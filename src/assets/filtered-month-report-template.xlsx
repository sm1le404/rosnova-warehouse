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9.xml" ContentType="application/vnd.openxmlformats-officedocument.spreadsheetml.worksheet+xml"/>
  <Override PartName="/xl/worksheets/sheet8.xml" ContentType="application/vnd.openxmlformats-officedocument.spreadsheetml.worksheet+xml"/>
  <Override PartName="/xl/worksheets/sheet7.xml" ContentType="application/vnd.openxmlformats-officedocument.spreadsheetml.worksheet+xml"/>
  <Override PartName="/xl/worksheets/sheet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14.xml" ContentType="application/vnd.openxmlformats-officedocument.spreadsheetml.worksheet+xml"/>
  <Override PartName="/xl/worksheets/sheet5.xml" ContentType="application/vnd.openxmlformats-officedocument.spreadsheetml.worksheet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11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4.xml" ContentType="application/vnd.openxmlformats-officedocument.spreadsheetml.worksheet+xml"/>
  <Override PartName="/xl/worksheets/sheet13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3" activeTab="3"/>
  </bookViews>
  <sheets>
    <sheet name="Альянс (СТС) РВ" sheetId="1" state="hidden" r:id="rId2"/>
    <sheet name="ТНЗ СТС СА" sheetId="2" state="hidden" r:id="rId3"/>
    <sheet name="ТНЗ СТС РВ" sheetId="3" state="hidden" r:id="rId4"/>
    <sheet name="page" sheetId="4" state="visible" r:id="rId5"/>
    <sheet name="01.06.2023" sheetId="5" state="hidden" r:id="rId6"/>
    <sheet name="02.06.2023" sheetId="6" state="hidden" r:id="rId7"/>
    <sheet name="03.06.2023" sheetId="7" state="hidden" r:id="rId8"/>
    <sheet name="04.06.2023" sheetId="8" state="hidden" r:id="rId9"/>
    <sheet name="05.06.2023" sheetId="9" state="hidden" r:id="rId10"/>
    <sheet name="06.06.2023" sheetId="10" state="hidden" r:id="rId11"/>
    <sheet name="07.06.2023" sheetId="11" state="hidden" r:id="rId12"/>
    <sheet name="08.06.2023" sheetId="12" state="hidden" r:id="rId13"/>
    <sheet name="09.06.2023" sheetId="13" state="hidden" r:id="rId14"/>
    <sheet name="10.06.2023" sheetId="14" state="hidden" r:id="rId15"/>
    <sheet name="11.06.2023" sheetId="15" state="hidden" r:id="rId16"/>
    <sheet name="12.06.2023" sheetId="16" state="hidden" r:id="rId17"/>
    <sheet name="13.06.2023" sheetId="17" state="hidden" r:id="rId1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<sst xmlns="http://schemas.openxmlformats.org/spreadsheetml/2006/main" count="2669" uniqueCount="109">
  <si>
    <t xml:space="preserve">Дата</t>
  </si>
  <si>
    <t xml:space="preserve">Наименование Н/П (марка по ГОСТ)</t>
  </si>
  <si>
    <t xml:space="preserve">ГОС.НОМЕР</t>
  </si>
  <si>
    <t xml:space="preserve">Номер ТТН</t>
  </si>
  <si>
    <t xml:space="preserve">Дата выдачи ТТН</t>
  </si>
  <si>
    <t xml:space="preserve">Количество литров</t>
  </si>
  <si>
    <t xml:space="preserve">Масса, кг          ТТН</t>
  </si>
  <si>
    <t xml:space="preserve">Плотность, ТТН</t>
  </si>
  <si>
    <t xml:space="preserve">Температура, ТТН</t>
  </si>
  <si>
    <t xml:space="preserve">Плотность, факт(акт долива)</t>
  </si>
  <si>
    <t xml:space="preserve">Температура, факт</t>
  </si>
  <si>
    <t xml:space="preserve">Масса факт(акт долива) кг</t>
  </si>
  <si>
    <t xml:space="preserve">ПТФ</t>
  </si>
  <si>
    <t xml:space="preserve">Долито в АЦ</t>
  </si>
  <si>
    <t xml:space="preserve">РГС</t>
  </si>
  <si>
    <t xml:space="preserve">ИТОГО с начала месяца</t>
  </si>
  <si>
    <t xml:space="preserve">Долив в литрах</t>
  </si>
  <si>
    <t xml:space="preserve">Долив в килограммах</t>
  </si>
  <si>
    <t xml:space="preserve">ТДТО</t>
  </si>
  <si>
    <t xml:space="preserve">тсо</t>
  </si>
  <si>
    <t xml:space="preserve">ТСО</t>
  </si>
  <si>
    <t xml:space="preserve">ГАЗОИЛЬ</t>
  </si>
  <si>
    <t xml:space="preserve">Результат пробы ПТФ</t>
  </si>
  <si>
    <t xml:space="preserve">ТНЗ</t>
  </si>
  <si>
    <t xml:space="preserve">ТДТО </t>
  </si>
  <si>
    <t xml:space="preserve">ДАТА время</t>
  </si>
  <si>
    <t xml:space="preserve">РЕЗЕРВУАР</t>
  </si>
  <si>
    <t xml:space="preserve">ПОКАЗАНИЯ СЧЕТЧИКА НА НАЧАЛО РАБОТЫ</t>
  </si>
  <si>
    <t xml:space="preserve">ПОКАЗАНИЯ СЧЕТЧИКА НА КОНЕЦ РАБОТЫ</t>
  </si>
  <si>
    <t xml:space="preserve">ОБЪЕМ ОТПУЩЕННОГО ТОПЛИВА</t>
  </si>
  <si>
    <t xml:space="preserve">ПЛОТНОСТЬ</t>
  </si>
  <si>
    <t xml:space="preserve">МАССА ОТПУЩЕННОГО ТОПЛИВА</t>
  </si>
  <si>
    <t xml:space="preserve">ГОС. НОМЕР АТЗ</t>
  </si>
  <si>
    <t xml:space="preserve">время</t>
  </si>
  <si>
    <t xml:space="preserve">ргс</t>
  </si>
  <si>
    <t xml:space="preserve">ГОС. НОМЕР АЦ</t>
  </si>
  <si>
    <t xml:space="preserve">1трк</t>
  </si>
  <si>
    <t xml:space="preserve">2трк</t>
  </si>
  <si>
    <t xml:space="preserve">4</t>
  </si>
  <si>
    <t xml:space="preserve">1</t>
  </si>
  <si>
    <t xml:space="preserve">е215вн</t>
  </si>
  <si>
    <t xml:space="preserve"> </t>
  </si>
  <si>
    <t xml:space="preserve">м948сн</t>
  </si>
  <si>
    <t xml:space="preserve">с554рк</t>
  </si>
  <si>
    <t xml:space="preserve">7</t>
  </si>
  <si>
    <t xml:space="preserve">с404хр</t>
  </si>
  <si>
    <t xml:space="preserve">5</t>
  </si>
  <si>
    <t xml:space="preserve">с472тм</t>
  </si>
  <si>
    <t xml:space="preserve">2</t>
  </si>
  <si>
    <t xml:space="preserve">3трк</t>
  </si>
  <si>
    <t xml:space="preserve">12</t>
  </si>
  <si>
    <t xml:space="preserve">к542се</t>
  </si>
  <si>
    <t xml:space="preserve">11</t>
  </si>
  <si>
    <t xml:space="preserve">м077ен</t>
  </si>
  <si>
    <t xml:space="preserve">3</t>
  </si>
  <si>
    <t xml:space="preserve">17</t>
  </si>
  <si>
    <t xml:space="preserve">Л-Тюмень</t>
  </si>
  <si>
    <t xml:space="preserve">10</t>
  </si>
  <si>
    <t xml:space="preserve">Л -ВПК С+</t>
  </si>
  <si>
    <t xml:space="preserve">13</t>
  </si>
  <si>
    <t xml:space="preserve">Л-ВПК РТ</t>
  </si>
  <si>
    <t xml:space="preserve">15</t>
  </si>
  <si>
    <t xml:space="preserve">8</t>
  </si>
  <si>
    <t xml:space="preserve">м017ен</t>
  </si>
  <si>
    <t xml:space="preserve">м109ее</t>
  </si>
  <si>
    <t xml:space="preserve">м126ее</t>
  </si>
  <si>
    <t xml:space="preserve">6</t>
  </si>
  <si>
    <t xml:space="preserve">м355су</t>
  </si>
  <si>
    <t xml:space="preserve">м326су</t>
  </si>
  <si>
    <t xml:space="preserve">н913вв</t>
  </si>
  <si>
    <t xml:space="preserve">Тюмень</t>
  </si>
  <si>
    <t xml:space="preserve">ЯНПЗ</t>
  </si>
  <si>
    <t xml:space="preserve">14</t>
  </si>
  <si>
    <t xml:space="preserve">н248рв</t>
  </si>
  <si>
    <t xml:space="preserve">к028ет</t>
  </si>
  <si>
    <t xml:space="preserve">е237тх</t>
  </si>
  <si>
    <t xml:space="preserve">м787но</t>
  </si>
  <si>
    <t xml:space="preserve">н251рв</t>
  </si>
  <si>
    <t xml:space="preserve">в917вр</t>
  </si>
  <si>
    <t xml:space="preserve">ДТ-Л-К5</t>
  </si>
  <si>
    <t xml:space="preserve">н467мр</t>
  </si>
  <si>
    <t xml:space="preserve">Ургун</t>
  </si>
  <si>
    <r>
      <rPr>
        <b val="true"/>
        <sz val="11"/>
        <color rgb="FFFF0000"/>
        <rFont val="Calibri"/>
        <family val="2"/>
        <charset val="204"/>
      </rPr>
      <t xml:space="preserve">ЯЯ </t>
    </r>
    <r>
      <rPr>
        <b val="true"/>
        <sz val="11"/>
        <rFont val="Calibri"/>
        <family val="2"/>
        <charset val="204"/>
      </rPr>
      <t xml:space="preserve">Ургун</t>
    </r>
  </si>
  <si>
    <t xml:space="preserve">ЯЯ</t>
  </si>
  <si>
    <t xml:space="preserve">С+</t>
  </si>
  <si>
    <t xml:space="preserve">м119вх</t>
  </si>
  <si>
    <t xml:space="preserve">н382ке</t>
  </si>
  <si>
    <t xml:space="preserve">к081рр</t>
  </si>
  <si>
    <t xml:space="preserve">к057рр</t>
  </si>
  <si>
    <t xml:space="preserve">9</t>
  </si>
  <si>
    <t xml:space="preserve">16</t>
  </si>
  <si>
    <t xml:space="preserve">Л-ВПК С+</t>
  </si>
  <si>
    <t xml:space="preserve">4трк</t>
  </si>
  <si>
    <t xml:space="preserve">с554хр</t>
  </si>
  <si>
    <t xml:space="preserve">с471тм</t>
  </si>
  <si>
    <t xml:space="preserve">Тюмень РТ</t>
  </si>
  <si>
    <t xml:space="preserve">Л-ВПК РТ / Сибургео</t>
  </si>
  <si>
    <t xml:space="preserve">к097ун</t>
  </si>
  <si>
    <t xml:space="preserve">с805нх</t>
  </si>
  <si>
    <t xml:space="preserve">ЯЯ </t>
  </si>
  <si>
    <t xml:space="preserve">УРГУН</t>
  </si>
  <si>
    <t xml:space="preserve">м147ва</t>
  </si>
  <si>
    <t xml:space="preserve">н388ке</t>
  </si>
  <si>
    <t xml:space="preserve">с472мт</t>
  </si>
  <si>
    <r>
      <rPr>
        <b val="true"/>
        <sz val="11"/>
        <color rgb="FFFF0000"/>
        <rFont val="Calibri"/>
        <family val="2"/>
        <charset val="204"/>
      </rPr>
      <t xml:space="preserve">ЯЯ     </t>
    </r>
    <r>
      <rPr>
        <b val="true"/>
        <sz val="11"/>
        <color rgb="FF000000"/>
        <rFont val="Calibri"/>
        <family val="2"/>
        <charset val="204"/>
      </rPr>
      <t xml:space="preserve">УРГУН</t>
    </r>
  </si>
  <si>
    <t xml:space="preserve">к616се</t>
  </si>
  <si>
    <t xml:space="preserve">Себургео</t>
  </si>
  <si>
    <t xml:space="preserve">ургун</t>
  </si>
  <si>
    <t xml:space="preserve">Л ВПК С+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</si>
</sst>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0"/>
    <numFmt numFmtId="166" formatCode="0.00"/>
    <numFmt numFmtId="167" formatCode="0.0"/>
    <numFmt numFmtId="168" formatCode="m/d/yyyy\ h:mm"/>
    <numFmt numFmtId="169" formatCode="m/d/yyyy"/>
    <numFmt numFmtId="170" formatCode="0.0000"/>
    <numFmt numFmtId="171" formatCode="@"/>
    <numFmt numFmtId="172" formatCode="h:mm"/>
    <numFmt numFmtId="173" formatCode="General"/>
  </numFmts>
  <fonts count="23">
    <font>
      <sz val="11"/>
      <color rgb="FF000000"/>
      <name val="Calibri"/>
      <family val="2"/>
      <charset val="20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4"/>
      <color rgb="FF000000"/>
      <name val="Calibri"/>
      <family val="2"/>
      <charset val="204"/>
    </font>
    <font>
      <sz val="16"/>
      <color rgb="FF000000"/>
      <name val="Calibri"/>
      <family val="2"/>
      <charset val="204"/>
    </font>
    <font>
      <b val="true"/>
      <sz val="11"/>
      <color rgb="FF000000"/>
      <name val="Calibri"/>
      <family val="2"/>
      <charset val="204"/>
    </font>
    <font>
      <sz val="11"/>
      <name val="Calibri"/>
      <family val="2"/>
      <charset val="204"/>
    </font>
    <font>
      <i val="true"/>
      <sz val="11"/>
      <color rgb="FFFF0000"/>
      <name val="Calibri"/>
      <family val="2"/>
      <charset val="204"/>
    </font>
    <font>
      <b val="true"/>
      <sz val="11"/>
      <name val="Calibri"/>
      <family val="2"/>
      <charset val="204"/>
    </font>
    <font>
      <sz val="11"/>
      <color rgb="FFFF0000"/>
      <name val="Calibri"/>
      <family val="2"/>
      <charset val="204"/>
    </font>
    <font>
      <i val="true"/>
      <sz val="11"/>
      <color rgb="FF0070C0"/>
      <name val="Calibri"/>
      <family val="2"/>
      <charset val="204"/>
    </font>
    <font>
      <b val="true"/>
      <sz val="11"/>
      <color rgb="FF9966FF"/>
      <name val="Calibri"/>
      <family val="2"/>
      <charset val="204"/>
    </font>
    <font>
      <b val="true"/>
      <sz val="11"/>
      <color rgb="FFFF0000"/>
      <name val="Calibri"/>
      <family val="2"/>
      <charset val="204"/>
    </font>
    <font>
      <b val="true"/>
      <sz val="11"/>
      <color rgb="FF00B050"/>
      <name val="Calibri"/>
      <family val="2"/>
      <charset val="204"/>
    </font>
    <font>
      <b val="true"/>
      <sz val="11"/>
      <color rgb="FF0070C0"/>
      <name val="Calibri"/>
      <family val="2"/>
      <charset val="204"/>
    </font>
    <font>
      <b val="true"/>
      <i val="true"/>
      <sz val="11"/>
      <color rgb="FF0070C0"/>
      <name val="Calibri"/>
      <family val="2"/>
      <charset val="204"/>
    </font>
    <font>
      <b val="true"/>
      <sz val="11"/>
      <color rgb="FF7030A0"/>
      <name val="Calibri"/>
      <family val="2"/>
      <charset val="204"/>
    </font>
    <font>
      <b val="true"/>
      <sz val="11"/>
      <color rgb="FF558ED5"/>
      <name val="Calibri"/>
      <family val="2"/>
      <charset val="204"/>
    </font>
    <font>
      <b val="true"/>
      <sz val="11"/>
      <color rgb="FF00B0F0"/>
      <name val="Calibri"/>
      <family val="2"/>
      <charset val="204"/>
    </font>
    <font>
      <b val="true"/>
      <sz val="11"/>
      <color rgb="FFFF00FF"/>
      <name val="Calibri"/>
      <family val="2"/>
      <charset val="204"/>
    </font>
    <font>
      <sz val="11"/>
      <color rgb="FF1F497D"/>
      <name val="Calibri"/>
      <family val="2"/>
      <charset val="204"/>
    </font>
    <font>
      <sz val="11"/>
      <color rgb="FF9966FF"/>
      <name val="Calibri"/>
      <family val="2"/>
      <charset val="204"/>
    </font>
  </fonts>
  <fills count="24">
    <fill>
      <patternFill patternType="none"/>
    </fill>
    <fill>
      <patternFill patternType="gray125"/>
    </fill>
    <fill>
      <patternFill patternType="solid">
        <fgColor rgb="FFEEECE1"/>
        <bgColor rgb="FFEBF1DE"/>
      </patternFill>
    </fill>
    <fill>
      <patternFill patternType="solid">
        <fgColor rgb="FFCCC1DA"/>
        <bgColor rgb="FFBFBFBF"/>
      </patternFill>
    </fill>
    <fill>
      <patternFill patternType="solid">
        <fgColor rgb="FFE6E0EC"/>
        <bgColor rgb="FFF2DCDB"/>
      </patternFill>
    </fill>
    <fill>
      <patternFill patternType="solid">
        <fgColor rgb="FFFFFFFF"/>
        <bgColor rgb="FFEBF1DE"/>
      </patternFill>
    </fill>
    <fill>
      <patternFill patternType="solid">
        <fgColor rgb="FFFF0000"/>
        <bgColor rgb="FF993300"/>
      </patternFill>
    </fill>
    <fill>
      <patternFill patternType="solid">
        <fgColor rgb="FFEBF1DE"/>
        <bgColor rgb="FFEEECE1"/>
      </patternFill>
    </fill>
    <fill>
      <patternFill patternType="solid">
        <fgColor rgb="FFD9D9D9"/>
        <bgColor rgb="FFE6E0EC"/>
      </patternFill>
    </fill>
    <fill>
      <patternFill patternType="solid">
        <fgColor rgb="FFFFFF00"/>
        <bgColor rgb="FFFFFF00"/>
      </patternFill>
    </fill>
    <fill>
      <patternFill patternType="solid">
        <fgColor rgb="FFBFBFBF"/>
        <bgColor rgb="FFCCC1DA"/>
      </patternFill>
    </fill>
    <fill>
      <patternFill patternType="solid">
        <fgColor rgb="FFB9CDE5"/>
        <bgColor rgb="FFCCC1DA"/>
      </patternFill>
    </fill>
    <fill>
      <patternFill patternType="solid">
        <fgColor rgb="FF9966FF"/>
        <bgColor rgb="FFCC99FF"/>
      </patternFill>
    </fill>
    <fill>
      <patternFill patternType="solid">
        <fgColor rgb="FF66FFFF"/>
        <bgColor rgb="FF66FFCC"/>
      </patternFill>
    </fill>
    <fill>
      <patternFill patternType="solid">
        <fgColor rgb="FF66FF66"/>
        <bgColor rgb="FF66FFCC"/>
      </patternFill>
    </fill>
    <fill>
      <patternFill patternType="solid">
        <fgColor rgb="FFFF00FF"/>
        <bgColor rgb="FFFF00FF"/>
      </patternFill>
    </fill>
    <fill>
      <patternFill patternType="solid">
        <fgColor rgb="FFFFCCFF"/>
        <bgColor rgb="FFF2DCDB"/>
      </patternFill>
    </fill>
    <fill>
      <patternFill patternType="solid">
        <fgColor rgb="FF00FF00"/>
        <bgColor rgb="FF66FF66"/>
      </patternFill>
    </fill>
    <fill>
      <patternFill patternType="solid">
        <fgColor rgb="FFCCFFFF"/>
        <bgColor rgb="FFEBF1DE"/>
      </patternFill>
    </fill>
    <fill>
      <patternFill patternType="solid">
        <fgColor rgb="FFCC99FF"/>
        <bgColor rgb="FFCCC1DA"/>
      </patternFill>
    </fill>
    <fill>
      <patternFill patternType="solid">
        <fgColor rgb="FFF2DCDB"/>
        <bgColor rgb="FFE6E0EC"/>
      </patternFill>
    </fill>
    <fill>
      <patternFill patternType="solid">
        <fgColor rgb="FFCCFF66"/>
        <bgColor rgb="FFFFFF00"/>
      </patternFill>
    </fill>
    <fill>
      <patternFill patternType="solid">
        <fgColor rgb="FFFFC000"/>
        <bgColor rgb="FFFF9900"/>
      </patternFill>
    </fill>
    <fill>
      <patternFill patternType="solid">
        <fgColor rgb="FF66FFCC"/>
        <bgColor rgb="FF66FFFF"/>
      </patternFill>
    </fill>
  </fills>
  <borders count="1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 style="thin"/>
      <top style="thin"/>
      <bottom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/>
      <top style="thin"/>
      <bottom style="thin"/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 style="thin"/>
      <right style="thin"/>
      <top style="medium"/>
      <bottom style="medium"/>
      <diagonal/>
    </border>
    <border diagonalUp="false" diagonalDown="false">
      <left style="thin"/>
      <right style="medium"/>
      <top style="medium"/>
      <bottom style="medium"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thin"/>
      <right/>
      <top style="medium"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4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4" fillId="4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0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4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5" borderId="3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5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5" borderId="3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0" fillId="5" borderId="3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5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5" borderId="3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5" borderId="3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6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7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5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7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5" borderId="3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5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5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5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5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6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5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8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8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0" fillId="5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5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2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0" fillId="2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4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0" fillId="5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0" fillId="5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6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7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8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8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3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0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distributed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left" vertical="top" textRotation="0" wrapText="false" indent="0" shrinkToFit="false"/>
      <protection locked="true" hidden="false"/>
    </xf>
    <xf numFmtId="171" fontId="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0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0" fillId="9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10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1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1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1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1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0" fillId="0" borderId="0" xfId="0" applyFont="false" applyBorder="true" applyAlignment="true" applyProtection="false">
      <alignment horizontal="left" vertical="top" textRotation="0" wrapText="false" indent="0" shrinkToFit="false"/>
      <protection locked="true" hidden="false"/>
    </xf>
    <xf numFmtId="169" fontId="0" fillId="1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0" fillId="5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0" fillId="5" borderId="1" xfId="0" applyFont="true" applyBorder="true" applyAlignment="true" applyProtection="false">
      <alignment horizontal="distributed" vertical="center" textRotation="0" wrapText="false" indent="0" shrinkToFit="false"/>
      <protection locked="true" hidden="false"/>
    </xf>
    <xf numFmtId="173" fontId="0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0" fillId="9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8" fillId="0" borderId="0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72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0" fillId="0" borderId="1" xfId="0" applyFont="true" applyBorder="true" applyAlignment="true" applyProtection="false">
      <alignment horizontal="distributed" vertical="center" textRotation="0" wrapText="false" indent="0" shrinkToFit="false"/>
      <protection locked="true" hidden="false"/>
    </xf>
    <xf numFmtId="164" fontId="0" fillId="9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0" fillId="9" borderId="3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9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0" fillId="0" borderId="3" xfId="0" applyFont="true" applyBorder="true" applyAlignment="true" applyProtection="false">
      <alignment horizontal="distributed" vertical="center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5" borderId="7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0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11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11" fillId="0" borderId="0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71" fontId="0" fillId="0" borderId="0" xfId="0" applyFont="false" applyBorder="true" applyAlignment="true" applyProtection="false">
      <alignment horizontal="distributed" vertical="center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12" fillId="0" borderId="0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72" fontId="14" fillId="0" borderId="0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71" fontId="0" fillId="12" borderId="1" xfId="0" applyFont="true" applyBorder="true" applyAlignment="true" applyProtection="false">
      <alignment horizontal="distributed" vertical="center" textRotation="0" wrapText="false" indent="0" shrinkToFit="false"/>
      <protection locked="true" hidden="false"/>
    </xf>
    <xf numFmtId="173" fontId="15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0" fillId="12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0" fillId="13" borderId="1" xfId="0" applyFont="true" applyBorder="true" applyAlignment="true" applyProtection="false">
      <alignment horizontal="distributed" vertical="center" textRotation="0" wrapText="false" indent="0" shrinkToFit="false"/>
      <protection locked="true" hidden="false"/>
    </xf>
    <xf numFmtId="165" fontId="0" fillId="13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0" fillId="14" borderId="1" xfId="0" applyFont="true" applyBorder="true" applyAlignment="true" applyProtection="false">
      <alignment horizontal="distributed" vertical="center" textRotation="0" wrapText="false" indent="0" shrinkToFit="false"/>
      <protection locked="true" hidden="false"/>
    </xf>
    <xf numFmtId="165" fontId="0" fillId="14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0" fillId="9" borderId="7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0" fillId="9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0" fillId="9" borderId="2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0" fillId="9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5" borderId="9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9" borderId="8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4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10" borderId="3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0" fillId="10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0" fillId="15" borderId="1" xfId="0" applyFont="true" applyBorder="true" applyAlignment="true" applyProtection="false">
      <alignment horizontal="distributed" vertical="center" textRotation="0" wrapText="false" indent="0" shrinkToFit="false"/>
      <protection locked="true" hidden="false"/>
    </xf>
    <xf numFmtId="165" fontId="0" fillId="15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12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16" fillId="0" borderId="0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71" fontId="0" fillId="16" borderId="1" xfId="0" applyFont="true" applyBorder="true" applyAlignment="true" applyProtection="false">
      <alignment horizontal="distributed" vertical="center" textRotation="0" wrapText="false" indent="0" shrinkToFit="false"/>
      <protection locked="true" hidden="false"/>
    </xf>
    <xf numFmtId="165" fontId="0" fillId="16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0" fillId="9" borderId="8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6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0" fillId="10" borderId="2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0" fillId="9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10" borderId="2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10" borderId="2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10" borderId="2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10" borderId="2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0" fillId="17" borderId="1" xfId="0" applyFont="true" applyBorder="true" applyAlignment="true" applyProtection="false">
      <alignment horizontal="distributed" vertical="center" textRotation="0" wrapText="false" indent="0" shrinkToFit="false"/>
      <protection locked="true" hidden="false"/>
    </xf>
    <xf numFmtId="164" fontId="0" fillId="17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0" fillId="0" borderId="1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0" fillId="0" borderId="11" xfId="0" applyFont="true" applyBorder="true" applyAlignment="true" applyProtection="false">
      <alignment horizontal="distributed" vertical="center" textRotation="0" wrapText="false" indent="0" shrinkToFit="false"/>
      <protection locked="true" hidden="false"/>
    </xf>
    <xf numFmtId="164" fontId="0" fillId="9" borderId="1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9" borderId="1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8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15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9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13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5" borderId="1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5" borderId="4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9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0" fillId="0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12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9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" fillId="9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16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0" fillId="18" borderId="1" xfId="0" applyFont="true" applyBorder="true" applyAlignment="true" applyProtection="false">
      <alignment horizontal="distributed" vertical="center" textRotation="0" wrapText="false" indent="0" shrinkToFit="false"/>
      <protection locked="true" hidden="false"/>
    </xf>
    <xf numFmtId="164" fontId="0" fillId="18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0" fillId="19" borderId="1" xfId="0" applyFont="true" applyBorder="true" applyAlignment="true" applyProtection="false">
      <alignment horizontal="distributed" vertical="center" textRotation="0" wrapText="false" indent="0" shrinkToFit="false"/>
      <protection locked="true" hidden="false"/>
    </xf>
    <xf numFmtId="164" fontId="0" fillId="19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0" fillId="21" borderId="1" xfId="0" applyFont="true" applyBorder="true" applyAlignment="true" applyProtection="false">
      <alignment horizontal="distributed" vertical="center" textRotation="0" wrapText="false" indent="0" shrinkToFit="false"/>
      <protection locked="true" hidden="false"/>
    </xf>
    <xf numFmtId="164" fontId="0" fillId="21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0" fillId="22" borderId="1" xfId="0" applyFont="true" applyBorder="true" applyAlignment="true" applyProtection="false">
      <alignment horizontal="distributed" vertical="center" textRotation="0" wrapText="false" indent="0" shrinkToFit="false"/>
      <protection locked="true" hidden="false"/>
    </xf>
    <xf numFmtId="164" fontId="0" fillId="22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0" fillId="23" borderId="1" xfId="0" applyFont="true" applyBorder="true" applyAlignment="true" applyProtection="false">
      <alignment horizontal="distributed" vertical="center" textRotation="0" wrapText="false" indent="0" shrinkToFit="false"/>
      <protection locked="true" hidden="false"/>
    </xf>
    <xf numFmtId="164" fontId="0" fillId="23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6" fillId="9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0" fillId="8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0" fillId="8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0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8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8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5" fontId="0" fillId="17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13" borderId="2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5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9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0" borderId="0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20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12" fillId="0" borderId="0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21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5" fontId="0" fillId="21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9" borderId="14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0" fillId="9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0" fillId="9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22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66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66FF"/>
      <rgbColor rgb="FF7030A0"/>
      <rgbColor rgb="FFEBF1DE"/>
      <rgbColor rgb="FFCCFFFF"/>
      <rgbColor rgb="FF660066"/>
      <rgbColor rgb="FFFFCCFF"/>
      <rgbColor rgb="FF0070C0"/>
      <rgbColor rgb="FFB9CDE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E6E0EC"/>
      <rgbColor rgb="FFEEECE1"/>
      <rgbColor rgb="FFCCFF66"/>
      <rgbColor rgb="FF8EB4E3"/>
      <rgbColor rgb="FFCCC1DA"/>
      <rgbColor rgb="FFCC99FF"/>
      <rgbColor rgb="FFF2DCDB"/>
      <rgbColor rgb="FF3366FF"/>
      <rgbColor rgb="FF66FFCC"/>
      <rgbColor rgb="FF66FF66"/>
      <rgbColor rgb="FFFFC000"/>
      <rgbColor rgb="FFFF9900"/>
      <rgbColor rgb="FFFF6600"/>
      <rgbColor rgb="FF558ED5"/>
      <rgbColor rgb="FFD9D9D9"/>
      <rgbColor rgb="FF003366"/>
      <rgbColor rgb="FF00B050"/>
      <rgbColor rgb="FF003300"/>
      <rgbColor rgb="FF333300"/>
      <rgbColor rgb="FF993300"/>
      <rgbColor rgb="FF993366"/>
      <rgbColor rgb="FF1F497D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worksheet" Target="worksheets/sheet12.xml"/><Relationship Id="rId14" Type="http://schemas.openxmlformats.org/officeDocument/2006/relationships/worksheet" Target="worksheets/sheet13.xml"/><Relationship Id="rId15" Type="http://schemas.openxmlformats.org/officeDocument/2006/relationships/worksheet" Target="worksheets/sheet14.xml"/><Relationship Id="rId16" Type="http://schemas.openxmlformats.org/officeDocument/2006/relationships/worksheet" Target="worksheets/sheet15.xml"/><Relationship Id="rId17" Type="http://schemas.openxmlformats.org/officeDocument/2006/relationships/worksheet" Target="worksheets/sheet16.xml"/><Relationship Id="rId18" Type="http://schemas.openxmlformats.org/officeDocument/2006/relationships/worksheet" Target="worksheets/sheet17.xml"/><Relationship Id="rId19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tabColor rgb="FF8EB4E3"/>
    <pageSetUpPr fitToPage="false"/>
  </sheetPr>
  <dimension ref="A1:HY710"/>
  <sheetViews>
    <sheetView showFormulas="false" showGridLines="true" showRowColHeaders="true" showZeros="true" rightToLeft="false" tabSelected="false" showOutlineSymbols="true" defaultGridColor="true" view="normal" topLeftCell="A1" colorId="64" zoomScale="60" zoomScaleNormal="60" zoomScalePageLayoutView="100" workbookViewId="0">
      <pane xSplit="0" ySplit="2" topLeftCell="A3" activePane="bottomLeft" state="frozen"/>
      <selection pane="topLeft" activeCell="A1" activeCellId="0" sqref="A1"/>
      <selection pane="bottomLeft" activeCell="G16" activeCellId="0" sqref="G16"/>
    </sheetView>
  </sheetViews>
  <sheetFormatPr defaultColWidth="8.8359375" defaultRowHeight="15" zeroHeight="false" outlineLevelRow="0" outlineLevelCol="0"/>
  <cols>
    <col collapsed="false" customWidth="true" hidden="false" outlineLevel="0" max="1" min="1" style="1" width="15.33"/>
    <col collapsed="false" customWidth="true" hidden="false" outlineLevel="0" max="2" min="2" style="1" width="13.51"/>
    <col collapsed="false" customWidth="true" hidden="false" outlineLevel="0" max="3" min="3" style="1" width="18.83"/>
    <col collapsed="false" customWidth="true" hidden="false" outlineLevel="0" max="4" min="4" style="1" width="9.83"/>
    <col collapsed="false" customWidth="true" hidden="false" outlineLevel="0" max="5" min="5" style="1" width="15.33"/>
    <col collapsed="false" customWidth="true" hidden="false" outlineLevel="0" max="6" min="6" style="1" width="14.5"/>
    <col collapsed="false" customWidth="true" hidden="false" outlineLevel="0" max="7" min="7" style="2" width="14"/>
    <col collapsed="false" customWidth="true" hidden="false" outlineLevel="0" max="8" min="8" style="1" width="13.51"/>
    <col collapsed="false" customWidth="true" hidden="false" outlineLevel="0" max="9" min="9" style="3" width="10.51"/>
    <col collapsed="false" customWidth="true" hidden="false" outlineLevel="0" max="10" min="10" style="1" width="13.83"/>
    <col collapsed="false" customWidth="true" hidden="false" outlineLevel="0" max="11" min="11" style="1" width="12.17"/>
    <col collapsed="false" customWidth="true" hidden="false" outlineLevel="0" max="12" min="12" style="1" width="13.33"/>
    <col collapsed="false" customWidth="true" hidden="false" outlineLevel="0" max="13" min="13" style="1" width="11"/>
    <col collapsed="false" customWidth="true" hidden="false" outlineLevel="0" max="14" min="14" style="4" width="10.51"/>
    <col collapsed="false" customWidth="true" hidden="false" outlineLevel="0" max="15" min="15" style="5" width="10.66"/>
    <col collapsed="false" customWidth="false" hidden="false" outlineLevel="0" max="16" min="16" style="6" width="8.83"/>
  </cols>
  <sheetData>
    <row r="1" customFormat="false" ht="75" hidden="false" customHeight="true" outlineLevel="0" collapsed="false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8" t="s">
        <v>6</v>
      </c>
      <c r="H1" s="7" t="s">
        <v>7</v>
      </c>
      <c r="I1" s="9" t="s">
        <v>8</v>
      </c>
      <c r="J1" s="7" t="s">
        <v>9</v>
      </c>
      <c r="K1" s="7" t="s">
        <v>10</v>
      </c>
      <c r="L1" s="7" t="s">
        <v>11</v>
      </c>
      <c r="M1" s="7" t="s">
        <v>12</v>
      </c>
      <c r="N1" s="10" t="s">
        <v>13</v>
      </c>
      <c r="O1" s="10"/>
      <c r="P1" s="11" t="s">
        <v>14</v>
      </c>
    </row>
    <row r="2" customFormat="false" ht="74.25" hidden="false" customHeight="true" outlineLevel="0" collapsed="false">
      <c r="A2" s="12" t="s">
        <v>15</v>
      </c>
      <c r="B2" s="12"/>
      <c r="C2" s="12"/>
      <c r="D2" s="12"/>
      <c r="E2" s="12"/>
      <c r="F2" s="12" t="n">
        <f aca="false">SUM(F3:F485)</f>
        <v>0</v>
      </c>
      <c r="G2" s="12" t="n">
        <f aca="false">SUM(G3:G485)</f>
        <v>0</v>
      </c>
      <c r="H2" s="12"/>
      <c r="I2" s="13"/>
      <c r="J2" s="12"/>
      <c r="K2" s="12"/>
      <c r="L2" s="12" t="n">
        <f aca="false">SUM(L3:L485)</f>
        <v>0</v>
      </c>
      <c r="M2" s="14"/>
      <c r="N2" s="15" t="s">
        <v>16</v>
      </c>
      <c r="O2" s="15" t="s">
        <v>17</v>
      </c>
      <c r="P2" s="16"/>
    </row>
    <row r="3" s="6" customFormat="true" ht="15" hidden="false" customHeight="false" outlineLevel="0" collapsed="false">
      <c r="A3" s="17"/>
      <c r="B3" s="18" t="s">
        <v>18</v>
      </c>
      <c r="C3" s="19"/>
      <c r="D3" s="19"/>
      <c r="E3" s="20"/>
      <c r="F3" s="19"/>
      <c r="G3" s="21"/>
      <c r="H3" s="19"/>
      <c r="I3" s="22"/>
      <c r="J3" s="19"/>
      <c r="K3" s="19"/>
      <c r="L3" s="23"/>
      <c r="M3" s="19" t="n">
        <v>-35</v>
      </c>
      <c r="N3" s="24" t="n">
        <v>0</v>
      </c>
      <c r="O3" s="25" t="n">
        <f aca="false">N3*J3</f>
        <v>0</v>
      </c>
      <c r="P3" s="26"/>
      <c r="Q3" s="27"/>
      <c r="R3" s="27"/>
      <c r="S3" s="27"/>
      <c r="T3" s="27"/>
      <c r="U3" s="27"/>
      <c r="V3" s="27"/>
      <c r="W3" s="27"/>
      <c r="X3" s="27"/>
      <c r="Y3" s="27"/>
      <c r="Z3" s="27"/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  <c r="AL3" s="27"/>
      <c r="AM3" s="27"/>
      <c r="AN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  <c r="BR3" s="27"/>
      <c r="BS3" s="27"/>
      <c r="BT3" s="27"/>
      <c r="BU3" s="27"/>
      <c r="BV3" s="27"/>
      <c r="BW3" s="27"/>
      <c r="BX3" s="27"/>
      <c r="BY3" s="27"/>
      <c r="BZ3" s="27"/>
      <c r="CA3" s="27"/>
      <c r="CB3" s="27"/>
      <c r="CC3" s="27"/>
      <c r="CD3" s="27"/>
      <c r="CE3" s="27"/>
      <c r="CF3" s="27"/>
      <c r="CG3" s="27"/>
      <c r="CH3" s="27"/>
      <c r="CI3" s="27"/>
      <c r="CJ3" s="27"/>
      <c r="CK3" s="27"/>
      <c r="CL3" s="27"/>
      <c r="CM3" s="27"/>
      <c r="CN3" s="27"/>
      <c r="CO3" s="27"/>
      <c r="CP3" s="27"/>
      <c r="CQ3" s="27"/>
      <c r="CR3" s="27"/>
      <c r="CS3" s="27"/>
      <c r="CT3" s="27"/>
      <c r="CU3" s="27"/>
      <c r="CV3" s="27"/>
      <c r="CW3" s="27"/>
      <c r="CX3" s="27"/>
      <c r="CY3" s="27"/>
      <c r="CZ3" s="27"/>
      <c r="DA3" s="27"/>
      <c r="DB3" s="27"/>
      <c r="DC3" s="27"/>
      <c r="DD3" s="27"/>
      <c r="DE3" s="27"/>
      <c r="DF3" s="27"/>
      <c r="DG3" s="27"/>
      <c r="DH3" s="27"/>
      <c r="DI3" s="27"/>
      <c r="DJ3" s="27"/>
      <c r="DK3" s="27"/>
      <c r="DL3" s="27"/>
      <c r="DM3" s="27"/>
      <c r="DN3" s="27"/>
      <c r="DO3" s="27"/>
      <c r="DP3" s="27"/>
      <c r="DQ3" s="27"/>
      <c r="DR3" s="27"/>
      <c r="DS3" s="27"/>
      <c r="DT3" s="27"/>
      <c r="DU3" s="27"/>
      <c r="DV3" s="27"/>
      <c r="DW3" s="27"/>
      <c r="DX3" s="27"/>
      <c r="DY3" s="27"/>
      <c r="DZ3" s="27"/>
      <c r="EA3" s="27"/>
      <c r="EB3" s="27"/>
      <c r="EC3" s="27"/>
      <c r="ED3" s="27"/>
      <c r="EE3" s="27"/>
      <c r="EF3" s="27"/>
      <c r="EG3" s="27"/>
      <c r="EH3" s="27"/>
      <c r="EI3" s="27"/>
      <c r="EJ3" s="27"/>
      <c r="EK3" s="27"/>
      <c r="EL3" s="27"/>
      <c r="EM3" s="27"/>
      <c r="EN3" s="27"/>
      <c r="EO3" s="27"/>
      <c r="EP3" s="27"/>
      <c r="EQ3" s="27"/>
      <c r="ER3" s="27"/>
      <c r="ES3" s="27"/>
      <c r="ET3" s="27"/>
      <c r="EU3" s="27"/>
      <c r="EV3" s="27"/>
      <c r="EW3" s="27"/>
      <c r="EX3" s="27"/>
      <c r="EY3" s="27"/>
      <c r="EZ3" s="27"/>
      <c r="FA3" s="27"/>
      <c r="FB3" s="27"/>
      <c r="FC3" s="27"/>
      <c r="FD3" s="27"/>
      <c r="FE3" s="27"/>
      <c r="FF3" s="27"/>
      <c r="FG3" s="27"/>
      <c r="FH3" s="27"/>
      <c r="FI3" s="27"/>
      <c r="FJ3" s="27"/>
      <c r="FK3" s="27"/>
      <c r="FL3" s="27"/>
      <c r="FM3" s="27"/>
      <c r="FN3" s="27"/>
      <c r="FO3" s="27"/>
      <c r="FP3" s="27"/>
      <c r="FQ3" s="27"/>
      <c r="FR3" s="27"/>
      <c r="FS3" s="27"/>
      <c r="FT3" s="27"/>
      <c r="FU3" s="27"/>
      <c r="FV3" s="27"/>
      <c r="FW3" s="27"/>
      <c r="FX3" s="27"/>
      <c r="FY3" s="27"/>
      <c r="FZ3" s="27"/>
      <c r="GA3" s="27"/>
      <c r="GB3" s="27"/>
      <c r="GC3" s="27"/>
      <c r="GD3" s="27"/>
      <c r="GE3" s="27"/>
      <c r="GF3" s="27"/>
      <c r="GG3" s="27"/>
      <c r="GH3" s="27"/>
      <c r="GI3" s="27"/>
      <c r="GJ3" s="27"/>
      <c r="GK3" s="27"/>
      <c r="GL3" s="27"/>
      <c r="GM3" s="27"/>
      <c r="GN3" s="27"/>
      <c r="GO3" s="27"/>
      <c r="GP3" s="27"/>
      <c r="GQ3" s="27"/>
      <c r="GR3" s="27"/>
      <c r="GS3" s="27"/>
      <c r="GT3" s="27"/>
      <c r="GU3" s="27"/>
      <c r="GV3" s="27"/>
      <c r="GW3" s="27"/>
      <c r="GX3" s="27"/>
      <c r="GY3" s="27"/>
      <c r="GZ3" s="27"/>
      <c r="HA3" s="27"/>
      <c r="HB3" s="27"/>
      <c r="HC3" s="27"/>
      <c r="HD3" s="27"/>
      <c r="HE3" s="27"/>
      <c r="HF3" s="27"/>
      <c r="HG3" s="27"/>
      <c r="HH3" s="27"/>
      <c r="HI3" s="27"/>
      <c r="HJ3" s="27"/>
      <c r="HK3" s="27"/>
      <c r="HL3" s="27"/>
      <c r="HM3" s="27"/>
      <c r="HN3" s="27"/>
      <c r="HO3" s="27"/>
      <c r="HP3" s="27"/>
      <c r="HQ3" s="27"/>
      <c r="HR3" s="27"/>
      <c r="HS3" s="27"/>
      <c r="HT3" s="27"/>
      <c r="HU3" s="27"/>
      <c r="HV3" s="27"/>
      <c r="HW3" s="27"/>
      <c r="HX3" s="27"/>
      <c r="HY3" s="27"/>
    </row>
    <row r="4" s="6" customFormat="true" ht="15" hidden="false" customHeight="false" outlineLevel="0" collapsed="false">
      <c r="A4" s="17"/>
      <c r="B4" s="28" t="s">
        <v>18</v>
      </c>
      <c r="C4" s="19"/>
      <c r="D4" s="19"/>
      <c r="E4" s="20"/>
      <c r="F4" s="19"/>
      <c r="G4" s="21"/>
      <c r="H4" s="19"/>
      <c r="I4" s="22"/>
      <c r="J4" s="19"/>
      <c r="K4" s="19"/>
      <c r="L4" s="23"/>
      <c r="M4" s="29" t="n">
        <v>-35</v>
      </c>
      <c r="N4" s="24" t="n">
        <v>0</v>
      </c>
      <c r="O4" s="30" t="n">
        <f aca="false">N4*J4</f>
        <v>0</v>
      </c>
      <c r="Q4" s="27"/>
      <c r="R4" s="27"/>
      <c r="S4" s="27"/>
      <c r="T4" s="27"/>
      <c r="U4" s="27"/>
      <c r="V4" s="27"/>
      <c r="W4" s="27"/>
      <c r="X4" s="27"/>
      <c r="Y4" s="27"/>
      <c r="Z4" s="27"/>
      <c r="AA4" s="27"/>
      <c r="AB4" s="27"/>
      <c r="AC4" s="27"/>
      <c r="AD4" s="27"/>
      <c r="AE4" s="27"/>
      <c r="AF4" s="27"/>
      <c r="AG4" s="27"/>
      <c r="AH4" s="27"/>
      <c r="AI4" s="27"/>
      <c r="AJ4" s="27"/>
      <c r="AK4" s="27"/>
      <c r="AL4" s="27"/>
      <c r="AM4" s="27"/>
      <c r="AN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  <c r="BR4" s="27"/>
      <c r="BS4" s="27"/>
      <c r="BT4" s="27"/>
      <c r="BU4" s="27"/>
      <c r="BV4" s="27"/>
      <c r="BW4" s="27"/>
      <c r="BX4" s="27"/>
      <c r="BY4" s="27"/>
      <c r="BZ4" s="27"/>
      <c r="CA4" s="27"/>
      <c r="CB4" s="27"/>
      <c r="CC4" s="27"/>
      <c r="CD4" s="27"/>
      <c r="CE4" s="27"/>
      <c r="CF4" s="27"/>
      <c r="CG4" s="27"/>
      <c r="CH4" s="27"/>
      <c r="CI4" s="27"/>
      <c r="CJ4" s="27"/>
      <c r="CK4" s="27"/>
      <c r="CL4" s="27"/>
      <c r="CM4" s="27"/>
      <c r="CN4" s="27"/>
      <c r="CO4" s="27"/>
      <c r="CP4" s="27"/>
      <c r="CQ4" s="27"/>
      <c r="CR4" s="27"/>
      <c r="CS4" s="27"/>
      <c r="CT4" s="27"/>
      <c r="CU4" s="27"/>
      <c r="CV4" s="27"/>
      <c r="CW4" s="27"/>
      <c r="CX4" s="27"/>
      <c r="CY4" s="27"/>
      <c r="CZ4" s="27"/>
      <c r="DA4" s="27"/>
      <c r="DB4" s="27"/>
      <c r="DC4" s="27"/>
      <c r="DD4" s="27"/>
      <c r="DE4" s="27"/>
      <c r="DF4" s="27"/>
      <c r="DG4" s="27"/>
      <c r="DH4" s="27"/>
      <c r="DI4" s="27"/>
      <c r="DJ4" s="27"/>
      <c r="DK4" s="27"/>
      <c r="DL4" s="27"/>
      <c r="DM4" s="27"/>
      <c r="DN4" s="27"/>
      <c r="DO4" s="27"/>
      <c r="DP4" s="27"/>
      <c r="DQ4" s="27"/>
      <c r="DR4" s="27"/>
      <c r="DS4" s="27"/>
      <c r="DT4" s="27"/>
      <c r="DU4" s="27"/>
      <c r="DV4" s="27"/>
      <c r="DW4" s="27"/>
      <c r="DX4" s="27"/>
      <c r="DY4" s="27"/>
      <c r="DZ4" s="27"/>
      <c r="EA4" s="27"/>
      <c r="EB4" s="27"/>
      <c r="EC4" s="27"/>
      <c r="ED4" s="27"/>
      <c r="EE4" s="27"/>
      <c r="EF4" s="27"/>
      <c r="EG4" s="27"/>
      <c r="EH4" s="27"/>
      <c r="EI4" s="27"/>
      <c r="EJ4" s="27"/>
      <c r="EK4" s="27"/>
      <c r="EL4" s="27"/>
      <c r="EM4" s="27"/>
      <c r="EN4" s="27"/>
      <c r="EO4" s="27"/>
      <c r="EP4" s="27"/>
      <c r="EQ4" s="27"/>
      <c r="ER4" s="27"/>
      <c r="ES4" s="27"/>
      <c r="ET4" s="27"/>
      <c r="EU4" s="27"/>
      <c r="EV4" s="27"/>
      <c r="EW4" s="27"/>
      <c r="EX4" s="27"/>
      <c r="EY4" s="27"/>
      <c r="EZ4" s="27"/>
      <c r="FA4" s="27"/>
      <c r="FB4" s="27"/>
      <c r="FC4" s="27"/>
      <c r="FD4" s="27"/>
      <c r="FE4" s="27"/>
      <c r="FF4" s="27"/>
      <c r="FG4" s="27"/>
      <c r="FH4" s="27"/>
      <c r="FI4" s="27"/>
      <c r="FJ4" s="27"/>
      <c r="FK4" s="27"/>
      <c r="FL4" s="27"/>
      <c r="FM4" s="27"/>
      <c r="FN4" s="27"/>
      <c r="FO4" s="27"/>
      <c r="FP4" s="27"/>
      <c r="FQ4" s="27"/>
      <c r="FR4" s="27"/>
      <c r="FS4" s="27"/>
      <c r="FT4" s="27"/>
      <c r="FU4" s="27"/>
      <c r="FV4" s="27"/>
      <c r="FW4" s="27"/>
      <c r="FX4" s="27"/>
      <c r="FY4" s="27"/>
      <c r="FZ4" s="27"/>
      <c r="GA4" s="27"/>
      <c r="GB4" s="27"/>
      <c r="GC4" s="27"/>
      <c r="GD4" s="27"/>
      <c r="GE4" s="27"/>
      <c r="GF4" s="27"/>
      <c r="GG4" s="27"/>
      <c r="GH4" s="27"/>
      <c r="GI4" s="27"/>
      <c r="GJ4" s="27"/>
      <c r="GK4" s="27"/>
      <c r="GL4" s="27"/>
      <c r="GM4" s="27"/>
      <c r="GN4" s="27"/>
      <c r="GO4" s="27"/>
      <c r="GP4" s="27"/>
      <c r="GQ4" s="27"/>
      <c r="GR4" s="27"/>
      <c r="GS4" s="27"/>
      <c r="GT4" s="27"/>
      <c r="GU4" s="27"/>
      <c r="GV4" s="27"/>
      <c r="GW4" s="27"/>
      <c r="GX4" s="27"/>
      <c r="GY4" s="27"/>
      <c r="GZ4" s="27"/>
      <c r="HA4" s="27"/>
      <c r="HB4" s="27"/>
      <c r="HC4" s="27"/>
      <c r="HD4" s="27"/>
      <c r="HE4" s="27"/>
      <c r="HF4" s="27"/>
      <c r="HG4" s="27"/>
      <c r="HH4" s="27"/>
      <c r="HI4" s="27"/>
      <c r="HJ4" s="27"/>
      <c r="HK4" s="27"/>
      <c r="HL4" s="27"/>
      <c r="HM4" s="27"/>
      <c r="HN4" s="27"/>
      <c r="HO4" s="27"/>
      <c r="HP4" s="27"/>
      <c r="HQ4" s="27"/>
      <c r="HR4" s="27"/>
      <c r="HS4" s="27"/>
      <c r="HT4" s="27"/>
      <c r="HU4" s="27"/>
      <c r="HV4" s="27"/>
      <c r="HW4" s="27"/>
      <c r="HX4" s="27"/>
      <c r="HY4" s="27"/>
    </row>
    <row r="5" s="6" customFormat="true" ht="15" hidden="false" customHeight="false" outlineLevel="0" collapsed="false">
      <c r="A5" s="17"/>
      <c r="B5" s="28" t="s">
        <v>18</v>
      </c>
      <c r="C5" s="19"/>
      <c r="D5" s="19"/>
      <c r="E5" s="20"/>
      <c r="F5" s="19"/>
      <c r="G5" s="21"/>
      <c r="H5" s="19"/>
      <c r="I5" s="22"/>
      <c r="J5" s="19"/>
      <c r="K5" s="19"/>
      <c r="L5" s="23"/>
      <c r="M5" s="29" t="n">
        <v>-35</v>
      </c>
      <c r="N5" s="24" t="n">
        <v>0</v>
      </c>
      <c r="O5" s="30" t="n">
        <f aca="false">N5*J5</f>
        <v>0</v>
      </c>
      <c r="Q5" s="27"/>
      <c r="R5" s="27"/>
      <c r="S5" s="27"/>
      <c r="T5" s="27"/>
      <c r="U5" s="27"/>
      <c r="V5" s="27"/>
      <c r="W5" s="27"/>
      <c r="X5" s="27"/>
      <c r="Y5" s="27"/>
      <c r="Z5" s="27"/>
      <c r="AA5" s="27"/>
      <c r="AB5" s="27"/>
      <c r="AC5" s="27"/>
      <c r="AD5" s="27"/>
      <c r="AE5" s="27"/>
      <c r="AF5" s="27"/>
      <c r="AG5" s="27"/>
      <c r="AH5" s="27"/>
      <c r="AI5" s="27"/>
      <c r="AJ5" s="27"/>
      <c r="AK5" s="27"/>
      <c r="AL5" s="27"/>
      <c r="AM5" s="27"/>
      <c r="AN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7"/>
      <c r="BR5" s="27"/>
      <c r="BS5" s="27"/>
      <c r="BT5" s="27"/>
      <c r="BU5" s="27"/>
      <c r="BV5" s="27"/>
      <c r="BW5" s="27"/>
      <c r="BX5" s="27"/>
      <c r="BY5" s="27"/>
      <c r="BZ5" s="27"/>
      <c r="CA5" s="27"/>
      <c r="CB5" s="27"/>
      <c r="CC5" s="27"/>
      <c r="CD5" s="27"/>
      <c r="CE5" s="27"/>
      <c r="CF5" s="27"/>
      <c r="CG5" s="27"/>
      <c r="CH5" s="27"/>
      <c r="CI5" s="27"/>
      <c r="CJ5" s="27"/>
      <c r="CK5" s="27"/>
      <c r="CL5" s="27"/>
      <c r="CM5" s="27"/>
      <c r="CN5" s="27"/>
      <c r="CO5" s="27"/>
      <c r="CP5" s="27"/>
      <c r="CQ5" s="27"/>
      <c r="CR5" s="27"/>
      <c r="CS5" s="27"/>
      <c r="CT5" s="27"/>
      <c r="CU5" s="27"/>
      <c r="CV5" s="27"/>
      <c r="CW5" s="27"/>
      <c r="CX5" s="27"/>
      <c r="CY5" s="27"/>
      <c r="CZ5" s="27"/>
      <c r="DA5" s="27"/>
      <c r="DB5" s="27"/>
      <c r="DC5" s="27"/>
      <c r="DD5" s="27"/>
      <c r="DE5" s="27"/>
      <c r="DF5" s="27"/>
      <c r="DG5" s="27"/>
      <c r="DH5" s="27"/>
      <c r="DI5" s="27"/>
      <c r="DJ5" s="27"/>
      <c r="DK5" s="27"/>
      <c r="DL5" s="27"/>
      <c r="DM5" s="27"/>
      <c r="DN5" s="27"/>
      <c r="DO5" s="27"/>
      <c r="DP5" s="27"/>
      <c r="DQ5" s="27"/>
      <c r="DR5" s="27"/>
      <c r="DS5" s="27"/>
      <c r="DT5" s="27"/>
      <c r="DU5" s="27"/>
      <c r="DV5" s="27"/>
      <c r="DW5" s="27"/>
      <c r="DX5" s="27"/>
      <c r="DY5" s="27"/>
      <c r="DZ5" s="27"/>
      <c r="EA5" s="27"/>
      <c r="EB5" s="27"/>
      <c r="EC5" s="27"/>
      <c r="ED5" s="27"/>
      <c r="EE5" s="27"/>
      <c r="EF5" s="27"/>
      <c r="EG5" s="27"/>
      <c r="EH5" s="27"/>
      <c r="EI5" s="27"/>
      <c r="EJ5" s="27"/>
      <c r="EK5" s="27"/>
      <c r="EL5" s="27"/>
      <c r="EM5" s="27"/>
      <c r="EN5" s="27"/>
      <c r="EO5" s="27"/>
      <c r="EP5" s="27"/>
      <c r="EQ5" s="27"/>
      <c r="ER5" s="27"/>
      <c r="ES5" s="27"/>
      <c r="ET5" s="27"/>
      <c r="EU5" s="27"/>
      <c r="EV5" s="27"/>
      <c r="EW5" s="27"/>
      <c r="EX5" s="27"/>
      <c r="EY5" s="27"/>
      <c r="EZ5" s="27"/>
      <c r="FA5" s="27"/>
      <c r="FB5" s="27"/>
      <c r="FC5" s="27"/>
      <c r="FD5" s="27"/>
      <c r="FE5" s="27"/>
      <c r="FF5" s="27"/>
      <c r="FG5" s="27"/>
      <c r="FH5" s="27"/>
      <c r="FI5" s="27"/>
      <c r="FJ5" s="27"/>
      <c r="FK5" s="27"/>
      <c r="FL5" s="27"/>
      <c r="FM5" s="27"/>
      <c r="FN5" s="27"/>
      <c r="FO5" s="27"/>
      <c r="FP5" s="27"/>
      <c r="FQ5" s="27"/>
      <c r="FR5" s="27"/>
      <c r="FS5" s="27"/>
      <c r="FT5" s="27"/>
      <c r="FU5" s="27"/>
      <c r="FV5" s="27"/>
      <c r="FW5" s="27"/>
      <c r="FX5" s="27"/>
      <c r="FY5" s="27"/>
      <c r="FZ5" s="27"/>
      <c r="GA5" s="27"/>
      <c r="GB5" s="27"/>
      <c r="GC5" s="27"/>
      <c r="GD5" s="27"/>
      <c r="GE5" s="27"/>
      <c r="GF5" s="27"/>
      <c r="GG5" s="27"/>
      <c r="GH5" s="27"/>
      <c r="GI5" s="27"/>
      <c r="GJ5" s="27"/>
      <c r="GK5" s="27"/>
      <c r="GL5" s="27"/>
      <c r="GM5" s="27"/>
      <c r="GN5" s="27"/>
      <c r="GO5" s="27"/>
      <c r="GP5" s="27"/>
      <c r="GQ5" s="27"/>
      <c r="GR5" s="27"/>
      <c r="GS5" s="27"/>
      <c r="GT5" s="27"/>
      <c r="GU5" s="27"/>
      <c r="GV5" s="27"/>
      <c r="GW5" s="27"/>
      <c r="GX5" s="27"/>
      <c r="GY5" s="27"/>
      <c r="GZ5" s="27"/>
      <c r="HA5" s="27"/>
      <c r="HB5" s="27"/>
      <c r="HC5" s="27"/>
      <c r="HD5" s="27"/>
      <c r="HE5" s="27"/>
      <c r="HF5" s="27"/>
      <c r="HG5" s="27"/>
      <c r="HH5" s="27"/>
      <c r="HI5" s="27"/>
      <c r="HJ5" s="27"/>
      <c r="HK5" s="27"/>
      <c r="HL5" s="27"/>
      <c r="HM5" s="27"/>
      <c r="HN5" s="27"/>
      <c r="HO5" s="27"/>
      <c r="HP5" s="27"/>
      <c r="HQ5" s="27"/>
      <c r="HR5" s="27"/>
      <c r="HS5" s="27"/>
      <c r="HT5" s="27"/>
      <c r="HU5" s="27"/>
      <c r="HV5" s="27"/>
      <c r="HW5" s="27"/>
      <c r="HX5" s="27"/>
      <c r="HY5" s="27"/>
    </row>
    <row r="6" s="6" customFormat="true" ht="15" hidden="false" customHeight="false" outlineLevel="0" collapsed="false">
      <c r="A6" s="17"/>
      <c r="B6" s="28" t="s">
        <v>18</v>
      </c>
      <c r="C6" s="19"/>
      <c r="D6" s="19"/>
      <c r="E6" s="20"/>
      <c r="F6" s="19"/>
      <c r="G6" s="21"/>
      <c r="H6" s="19"/>
      <c r="I6" s="22"/>
      <c r="J6" s="19"/>
      <c r="K6" s="19"/>
      <c r="L6" s="23"/>
      <c r="M6" s="29" t="n">
        <v>-35</v>
      </c>
      <c r="N6" s="24" t="n">
        <v>0</v>
      </c>
      <c r="O6" s="30" t="n">
        <f aca="false">N6*J6</f>
        <v>0</v>
      </c>
      <c r="Q6" s="27"/>
      <c r="R6" s="27"/>
      <c r="S6" s="27"/>
      <c r="T6" s="27"/>
      <c r="U6" s="27"/>
      <c r="V6" s="27"/>
      <c r="W6" s="27"/>
      <c r="X6" s="27"/>
      <c r="Y6" s="27"/>
      <c r="Z6" s="27"/>
      <c r="AA6" s="27"/>
      <c r="AB6" s="27"/>
      <c r="AC6" s="27"/>
      <c r="AD6" s="27"/>
      <c r="AE6" s="27"/>
      <c r="AF6" s="27"/>
      <c r="AG6" s="27"/>
      <c r="AH6" s="27"/>
      <c r="AI6" s="27"/>
      <c r="AJ6" s="27"/>
      <c r="AK6" s="27"/>
      <c r="AL6" s="27"/>
      <c r="AM6" s="27"/>
      <c r="AN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  <c r="BK6" s="27"/>
      <c r="BL6" s="27"/>
      <c r="BM6" s="27"/>
      <c r="BN6" s="27"/>
      <c r="BO6" s="27"/>
      <c r="BP6" s="27"/>
      <c r="BQ6" s="27"/>
      <c r="BR6" s="27"/>
      <c r="BS6" s="27"/>
      <c r="BT6" s="27"/>
      <c r="BU6" s="27"/>
      <c r="BV6" s="27"/>
      <c r="BW6" s="27"/>
      <c r="BX6" s="27"/>
      <c r="BY6" s="27"/>
      <c r="BZ6" s="27"/>
      <c r="CA6" s="27"/>
      <c r="CB6" s="27"/>
      <c r="CC6" s="27"/>
      <c r="CD6" s="27"/>
      <c r="CE6" s="27"/>
      <c r="CF6" s="27"/>
      <c r="CG6" s="27"/>
      <c r="CH6" s="27"/>
      <c r="CI6" s="27"/>
      <c r="CJ6" s="27"/>
      <c r="CK6" s="27"/>
      <c r="CL6" s="27"/>
      <c r="CM6" s="27"/>
      <c r="CN6" s="27"/>
      <c r="CO6" s="27"/>
      <c r="CP6" s="27"/>
      <c r="CQ6" s="27"/>
      <c r="CR6" s="27"/>
      <c r="CS6" s="27"/>
      <c r="CT6" s="27"/>
      <c r="CU6" s="27"/>
      <c r="CV6" s="27"/>
      <c r="CW6" s="27"/>
      <c r="CX6" s="27"/>
      <c r="CY6" s="27"/>
      <c r="CZ6" s="27"/>
      <c r="DA6" s="27"/>
      <c r="DB6" s="27"/>
      <c r="DC6" s="27"/>
      <c r="DD6" s="27"/>
      <c r="DE6" s="27"/>
      <c r="DF6" s="27"/>
      <c r="DG6" s="27"/>
      <c r="DH6" s="27"/>
      <c r="DI6" s="27"/>
      <c r="DJ6" s="27"/>
      <c r="DK6" s="27"/>
      <c r="DL6" s="27"/>
      <c r="DM6" s="27"/>
      <c r="DN6" s="27"/>
      <c r="DO6" s="27"/>
      <c r="DP6" s="27"/>
      <c r="DQ6" s="27"/>
      <c r="DR6" s="27"/>
      <c r="DS6" s="27"/>
      <c r="DT6" s="27"/>
      <c r="DU6" s="27"/>
      <c r="DV6" s="27"/>
      <c r="DW6" s="27"/>
      <c r="DX6" s="27"/>
      <c r="DY6" s="27"/>
      <c r="DZ6" s="27"/>
      <c r="EA6" s="27"/>
      <c r="EB6" s="27"/>
      <c r="EC6" s="27"/>
      <c r="ED6" s="27"/>
      <c r="EE6" s="27"/>
      <c r="EF6" s="27"/>
      <c r="EG6" s="27"/>
      <c r="EH6" s="27"/>
      <c r="EI6" s="27"/>
      <c r="EJ6" s="27"/>
      <c r="EK6" s="27"/>
      <c r="EL6" s="27"/>
      <c r="EM6" s="27"/>
      <c r="EN6" s="27"/>
      <c r="EO6" s="27"/>
      <c r="EP6" s="27"/>
      <c r="EQ6" s="27"/>
      <c r="ER6" s="27"/>
      <c r="ES6" s="27"/>
      <c r="ET6" s="27"/>
      <c r="EU6" s="27"/>
      <c r="EV6" s="27"/>
      <c r="EW6" s="27"/>
      <c r="EX6" s="27"/>
      <c r="EY6" s="27"/>
      <c r="EZ6" s="27"/>
      <c r="FA6" s="27"/>
      <c r="FB6" s="27"/>
      <c r="FC6" s="27"/>
      <c r="FD6" s="27"/>
      <c r="FE6" s="27"/>
      <c r="FF6" s="27"/>
      <c r="FG6" s="27"/>
      <c r="FH6" s="27"/>
      <c r="FI6" s="27"/>
      <c r="FJ6" s="27"/>
      <c r="FK6" s="27"/>
      <c r="FL6" s="27"/>
      <c r="FM6" s="27"/>
      <c r="FN6" s="27"/>
      <c r="FO6" s="27"/>
      <c r="FP6" s="27"/>
      <c r="FQ6" s="27"/>
      <c r="FR6" s="27"/>
      <c r="FS6" s="27"/>
      <c r="FT6" s="27"/>
      <c r="FU6" s="27"/>
      <c r="FV6" s="27"/>
      <c r="FW6" s="27"/>
      <c r="FX6" s="27"/>
      <c r="FY6" s="27"/>
      <c r="FZ6" s="27"/>
      <c r="GA6" s="27"/>
      <c r="GB6" s="27"/>
      <c r="GC6" s="27"/>
      <c r="GD6" s="27"/>
      <c r="GE6" s="27"/>
      <c r="GF6" s="27"/>
      <c r="GG6" s="27"/>
      <c r="GH6" s="27"/>
      <c r="GI6" s="27"/>
      <c r="GJ6" s="27"/>
      <c r="GK6" s="27"/>
      <c r="GL6" s="27"/>
      <c r="GM6" s="27"/>
      <c r="GN6" s="27"/>
      <c r="GO6" s="27"/>
      <c r="GP6" s="27"/>
      <c r="GQ6" s="27"/>
      <c r="GR6" s="27"/>
      <c r="GS6" s="27"/>
      <c r="GT6" s="27"/>
      <c r="GU6" s="27"/>
      <c r="GV6" s="27"/>
      <c r="GW6" s="27"/>
      <c r="GX6" s="27"/>
      <c r="GY6" s="27"/>
      <c r="GZ6" s="27"/>
      <c r="HA6" s="27"/>
      <c r="HB6" s="27"/>
      <c r="HC6" s="27"/>
      <c r="HD6" s="27"/>
      <c r="HE6" s="27"/>
      <c r="HF6" s="27"/>
      <c r="HG6" s="27"/>
      <c r="HH6" s="27"/>
      <c r="HI6" s="27"/>
      <c r="HJ6" s="27"/>
      <c r="HK6" s="27"/>
      <c r="HL6" s="27"/>
      <c r="HM6" s="27"/>
      <c r="HN6" s="27"/>
      <c r="HO6" s="27"/>
      <c r="HP6" s="27"/>
      <c r="HQ6" s="27"/>
      <c r="HR6" s="27"/>
      <c r="HS6" s="27"/>
      <c r="HT6" s="27"/>
      <c r="HU6" s="27"/>
      <c r="HV6" s="27"/>
      <c r="HW6" s="27"/>
      <c r="HX6" s="27"/>
      <c r="HY6" s="27"/>
    </row>
    <row r="7" s="6" customFormat="true" ht="15" hidden="false" customHeight="false" outlineLevel="0" collapsed="false">
      <c r="A7" s="17"/>
      <c r="B7" s="28" t="s">
        <v>18</v>
      </c>
      <c r="C7" s="19"/>
      <c r="D7" s="19"/>
      <c r="E7" s="20"/>
      <c r="F7" s="19"/>
      <c r="G7" s="21"/>
      <c r="H7" s="19"/>
      <c r="I7" s="22"/>
      <c r="J7" s="19"/>
      <c r="K7" s="19"/>
      <c r="L7" s="23"/>
      <c r="M7" s="29" t="n">
        <v>-35</v>
      </c>
      <c r="N7" s="24" t="n">
        <v>0</v>
      </c>
      <c r="O7" s="30" t="n">
        <f aca="false">N7*J7</f>
        <v>0</v>
      </c>
      <c r="Q7" s="27"/>
      <c r="R7" s="27"/>
      <c r="S7" s="27"/>
      <c r="T7" s="27"/>
      <c r="U7" s="27"/>
      <c r="V7" s="27"/>
      <c r="W7" s="27"/>
      <c r="X7" s="27"/>
      <c r="Y7" s="27"/>
      <c r="Z7" s="27"/>
      <c r="AA7" s="27"/>
      <c r="AB7" s="27"/>
      <c r="AC7" s="27"/>
      <c r="AD7" s="27"/>
      <c r="AE7" s="27"/>
      <c r="AF7" s="27"/>
      <c r="AG7" s="27"/>
      <c r="AH7" s="27"/>
      <c r="AI7" s="27"/>
      <c r="AJ7" s="27"/>
      <c r="AK7" s="27"/>
      <c r="AL7" s="27"/>
      <c r="AM7" s="27"/>
      <c r="AN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  <c r="BM7" s="27"/>
      <c r="BN7" s="27"/>
      <c r="BO7" s="27"/>
      <c r="BP7" s="27"/>
      <c r="BQ7" s="27"/>
      <c r="BR7" s="27"/>
      <c r="BS7" s="27"/>
      <c r="BT7" s="27"/>
      <c r="BU7" s="27"/>
      <c r="BV7" s="27"/>
      <c r="BW7" s="27"/>
      <c r="BX7" s="27"/>
      <c r="BY7" s="27"/>
      <c r="BZ7" s="27"/>
      <c r="CA7" s="27"/>
      <c r="CB7" s="27"/>
      <c r="CC7" s="27"/>
      <c r="CD7" s="27"/>
      <c r="CE7" s="27"/>
      <c r="CF7" s="27"/>
      <c r="CG7" s="27"/>
      <c r="CH7" s="27"/>
      <c r="CI7" s="27"/>
      <c r="CJ7" s="27"/>
      <c r="CK7" s="27"/>
      <c r="CL7" s="27"/>
      <c r="CM7" s="27"/>
      <c r="CN7" s="27"/>
      <c r="CO7" s="27"/>
      <c r="CP7" s="27"/>
      <c r="CQ7" s="27"/>
      <c r="CR7" s="27"/>
      <c r="CS7" s="27"/>
      <c r="CT7" s="27"/>
      <c r="CU7" s="27"/>
      <c r="CV7" s="27"/>
      <c r="CW7" s="27"/>
      <c r="CX7" s="27"/>
      <c r="CY7" s="27"/>
      <c r="CZ7" s="27"/>
      <c r="DA7" s="27"/>
      <c r="DB7" s="27"/>
      <c r="DC7" s="27"/>
      <c r="DD7" s="27"/>
      <c r="DE7" s="27"/>
      <c r="DF7" s="27"/>
      <c r="DG7" s="27"/>
      <c r="DH7" s="27"/>
      <c r="DI7" s="27"/>
      <c r="DJ7" s="27"/>
      <c r="DK7" s="27"/>
      <c r="DL7" s="27"/>
      <c r="DM7" s="27"/>
      <c r="DN7" s="27"/>
      <c r="DO7" s="27"/>
      <c r="DP7" s="27"/>
      <c r="DQ7" s="27"/>
      <c r="DR7" s="27"/>
      <c r="DS7" s="27"/>
      <c r="DT7" s="27"/>
      <c r="DU7" s="27"/>
      <c r="DV7" s="27"/>
      <c r="DW7" s="27"/>
      <c r="DX7" s="27"/>
      <c r="DY7" s="27"/>
      <c r="DZ7" s="27"/>
      <c r="EA7" s="27"/>
      <c r="EB7" s="27"/>
      <c r="EC7" s="27"/>
      <c r="ED7" s="27"/>
      <c r="EE7" s="27"/>
      <c r="EF7" s="27"/>
      <c r="EG7" s="27"/>
      <c r="EH7" s="27"/>
      <c r="EI7" s="27"/>
      <c r="EJ7" s="27"/>
      <c r="EK7" s="27"/>
      <c r="EL7" s="27"/>
      <c r="EM7" s="27"/>
      <c r="EN7" s="27"/>
      <c r="EO7" s="27"/>
      <c r="EP7" s="27"/>
      <c r="EQ7" s="27"/>
      <c r="ER7" s="27"/>
      <c r="ES7" s="27"/>
      <c r="ET7" s="27"/>
      <c r="EU7" s="27"/>
      <c r="EV7" s="27"/>
      <c r="EW7" s="27"/>
      <c r="EX7" s="27"/>
      <c r="EY7" s="27"/>
      <c r="EZ7" s="27"/>
      <c r="FA7" s="27"/>
      <c r="FB7" s="27"/>
      <c r="FC7" s="27"/>
      <c r="FD7" s="27"/>
      <c r="FE7" s="27"/>
      <c r="FF7" s="27"/>
      <c r="FG7" s="27"/>
      <c r="FH7" s="27"/>
      <c r="FI7" s="27"/>
      <c r="FJ7" s="27"/>
      <c r="FK7" s="27"/>
      <c r="FL7" s="27"/>
      <c r="FM7" s="27"/>
      <c r="FN7" s="27"/>
      <c r="FO7" s="27"/>
      <c r="FP7" s="27"/>
      <c r="FQ7" s="27"/>
      <c r="FR7" s="27"/>
      <c r="FS7" s="27"/>
      <c r="FT7" s="27"/>
      <c r="FU7" s="27"/>
      <c r="FV7" s="27"/>
      <c r="FW7" s="27"/>
      <c r="FX7" s="27"/>
      <c r="FY7" s="27"/>
      <c r="FZ7" s="27"/>
      <c r="GA7" s="27"/>
      <c r="GB7" s="27"/>
      <c r="GC7" s="27"/>
      <c r="GD7" s="27"/>
      <c r="GE7" s="27"/>
      <c r="GF7" s="27"/>
      <c r="GG7" s="27"/>
      <c r="GH7" s="27"/>
      <c r="GI7" s="27"/>
      <c r="GJ7" s="27"/>
      <c r="GK7" s="27"/>
      <c r="GL7" s="27"/>
      <c r="GM7" s="27"/>
      <c r="GN7" s="27"/>
      <c r="GO7" s="27"/>
      <c r="GP7" s="27"/>
      <c r="GQ7" s="27"/>
      <c r="GR7" s="27"/>
      <c r="GS7" s="27"/>
      <c r="GT7" s="27"/>
      <c r="GU7" s="27"/>
      <c r="GV7" s="27"/>
      <c r="GW7" s="27"/>
      <c r="GX7" s="27"/>
      <c r="GY7" s="27"/>
      <c r="GZ7" s="27"/>
      <c r="HA7" s="27"/>
      <c r="HB7" s="27"/>
      <c r="HC7" s="27"/>
      <c r="HD7" s="27"/>
      <c r="HE7" s="27"/>
      <c r="HF7" s="27"/>
      <c r="HG7" s="27"/>
      <c r="HH7" s="27"/>
      <c r="HI7" s="27"/>
      <c r="HJ7" s="27"/>
      <c r="HK7" s="27"/>
      <c r="HL7" s="27"/>
      <c r="HM7" s="27"/>
      <c r="HN7" s="27"/>
      <c r="HO7" s="27"/>
      <c r="HP7" s="27"/>
      <c r="HQ7" s="27"/>
      <c r="HR7" s="27"/>
      <c r="HS7" s="27"/>
      <c r="HT7" s="27"/>
      <c r="HU7" s="27"/>
      <c r="HV7" s="27"/>
      <c r="HW7" s="27"/>
      <c r="HX7" s="27"/>
      <c r="HY7" s="27"/>
    </row>
    <row r="8" s="6" customFormat="true" ht="15" hidden="false" customHeight="false" outlineLevel="0" collapsed="false">
      <c r="A8" s="17"/>
      <c r="B8" s="28" t="s">
        <v>18</v>
      </c>
      <c r="C8" s="19"/>
      <c r="D8" s="19"/>
      <c r="E8" s="20"/>
      <c r="F8" s="19"/>
      <c r="G8" s="21"/>
      <c r="H8" s="19"/>
      <c r="I8" s="22"/>
      <c r="J8" s="19"/>
      <c r="K8" s="19"/>
      <c r="L8" s="23"/>
      <c r="M8" s="29" t="n">
        <v>-35</v>
      </c>
      <c r="N8" s="24" t="n">
        <v>0</v>
      </c>
      <c r="O8" s="30" t="n">
        <f aca="false">N8*J8</f>
        <v>0</v>
      </c>
      <c r="Q8" s="27"/>
      <c r="R8" s="27"/>
      <c r="S8" s="27"/>
      <c r="T8" s="27"/>
      <c r="U8" s="27"/>
      <c r="V8" s="27"/>
      <c r="W8" s="27"/>
      <c r="X8" s="27"/>
      <c r="Y8" s="27"/>
      <c r="Z8" s="27"/>
      <c r="AA8" s="27"/>
      <c r="AB8" s="27"/>
      <c r="AC8" s="27"/>
      <c r="AD8" s="27"/>
      <c r="AE8" s="27"/>
      <c r="AF8" s="27"/>
      <c r="AG8" s="27"/>
      <c r="AH8" s="27"/>
      <c r="AI8" s="27"/>
      <c r="AJ8" s="27"/>
      <c r="AK8" s="27"/>
      <c r="AL8" s="27"/>
      <c r="AM8" s="27"/>
      <c r="AN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27"/>
      <c r="BN8" s="27"/>
      <c r="BO8" s="27"/>
      <c r="BP8" s="27"/>
      <c r="BQ8" s="27"/>
      <c r="BR8" s="27"/>
      <c r="BS8" s="27"/>
      <c r="BT8" s="27"/>
      <c r="BU8" s="27"/>
      <c r="BV8" s="27"/>
      <c r="BW8" s="27"/>
      <c r="BX8" s="27"/>
      <c r="BY8" s="27"/>
      <c r="BZ8" s="27"/>
      <c r="CA8" s="27"/>
      <c r="CB8" s="27"/>
      <c r="CC8" s="27"/>
      <c r="CD8" s="27"/>
      <c r="CE8" s="27"/>
      <c r="CF8" s="27"/>
      <c r="CG8" s="27"/>
      <c r="CH8" s="27"/>
      <c r="CI8" s="27"/>
      <c r="CJ8" s="27"/>
      <c r="CK8" s="27"/>
      <c r="CL8" s="27"/>
      <c r="CM8" s="27"/>
      <c r="CN8" s="27"/>
      <c r="CO8" s="27"/>
      <c r="CP8" s="27"/>
      <c r="CQ8" s="27"/>
      <c r="CR8" s="27"/>
      <c r="CS8" s="27"/>
      <c r="CT8" s="27"/>
      <c r="CU8" s="27"/>
      <c r="CV8" s="27"/>
      <c r="CW8" s="27"/>
      <c r="CX8" s="27"/>
      <c r="CY8" s="27"/>
      <c r="CZ8" s="27"/>
      <c r="DA8" s="27"/>
      <c r="DB8" s="27"/>
      <c r="DC8" s="27"/>
      <c r="DD8" s="27"/>
      <c r="DE8" s="27"/>
      <c r="DF8" s="27"/>
      <c r="DG8" s="27"/>
      <c r="DH8" s="27"/>
      <c r="DI8" s="27"/>
      <c r="DJ8" s="27"/>
      <c r="DK8" s="27"/>
      <c r="DL8" s="27"/>
      <c r="DM8" s="27"/>
      <c r="DN8" s="27"/>
      <c r="DO8" s="27"/>
      <c r="DP8" s="27"/>
      <c r="DQ8" s="27"/>
      <c r="DR8" s="27"/>
      <c r="DS8" s="27"/>
      <c r="DT8" s="27"/>
      <c r="DU8" s="27"/>
      <c r="DV8" s="27"/>
      <c r="DW8" s="27"/>
      <c r="DX8" s="27"/>
      <c r="DY8" s="27"/>
      <c r="DZ8" s="27"/>
      <c r="EA8" s="27"/>
      <c r="EB8" s="27"/>
      <c r="EC8" s="27"/>
      <c r="ED8" s="27"/>
      <c r="EE8" s="27"/>
      <c r="EF8" s="27"/>
      <c r="EG8" s="27"/>
      <c r="EH8" s="27"/>
      <c r="EI8" s="27"/>
      <c r="EJ8" s="27"/>
      <c r="EK8" s="27"/>
      <c r="EL8" s="27"/>
      <c r="EM8" s="27"/>
      <c r="EN8" s="27"/>
      <c r="EO8" s="27"/>
      <c r="EP8" s="27"/>
      <c r="EQ8" s="27"/>
      <c r="ER8" s="27"/>
      <c r="ES8" s="27"/>
      <c r="ET8" s="27"/>
      <c r="EU8" s="27"/>
      <c r="EV8" s="27"/>
      <c r="EW8" s="27"/>
      <c r="EX8" s="27"/>
      <c r="EY8" s="27"/>
      <c r="EZ8" s="27"/>
      <c r="FA8" s="27"/>
      <c r="FB8" s="27"/>
      <c r="FC8" s="27"/>
      <c r="FD8" s="27"/>
      <c r="FE8" s="27"/>
      <c r="FF8" s="27"/>
      <c r="FG8" s="27"/>
      <c r="FH8" s="27"/>
      <c r="FI8" s="27"/>
      <c r="FJ8" s="27"/>
      <c r="FK8" s="27"/>
      <c r="FL8" s="27"/>
      <c r="FM8" s="27"/>
      <c r="FN8" s="27"/>
      <c r="FO8" s="27"/>
      <c r="FP8" s="27"/>
      <c r="FQ8" s="27"/>
      <c r="FR8" s="27"/>
      <c r="FS8" s="27"/>
      <c r="FT8" s="27"/>
      <c r="FU8" s="27"/>
      <c r="FV8" s="27"/>
      <c r="FW8" s="27"/>
      <c r="FX8" s="27"/>
      <c r="FY8" s="27"/>
      <c r="FZ8" s="27"/>
      <c r="GA8" s="27"/>
      <c r="GB8" s="27"/>
      <c r="GC8" s="27"/>
      <c r="GD8" s="27"/>
      <c r="GE8" s="27"/>
      <c r="GF8" s="27"/>
      <c r="GG8" s="27"/>
      <c r="GH8" s="27"/>
      <c r="GI8" s="27"/>
      <c r="GJ8" s="27"/>
      <c r="GK8" s="27"/>
      <c r="GL8" s="27"/>
      <c r="GM8" s="27"/>
      <c r="GN8" s="27"/>
      <c r="GO8" s="27"/>
      <c r="GP8" s="27"/>
      <c r="GQ8" s="27"/>
      <c r="GR8" s="27"/>
      <c r="GS8" s="27"/>
      <c r="GT8" s="27"/>
      <c r="GU8" s="27"/>
      <c r="GV8" s="27"/>
      <c r="GW8" s="27"/>
      <c r="GX8" s="27"/>
      <c r="GY8" s="27"/>
      <c r="GZ8" s="27"/>
      <c r="HA8" s="27"/>
      <c r="HB8" s="27"/>
      <c r="HC8" s="27"/>
      <c r="HD8" s="27"/>
      <c r="HE8" s="27"/>
      <c r="HF8" s="27"/>
      <c r="HG8" s="27"/>
      <c r="HH8" s="27"/>
      <c r="HI8" s="27"/>
      <c r="HJ8" s="27"/>
      <c r="HK8" s="27"/>
      <c r="HL8" s="27"/>
      <c r="HM8" s="27"/>
      <c r="HN8" s="27"/>
      <c r="HO8" s="27"/>
      <c r="HP8" s="27"/>
      <c r="HQ8" s="27"/>
      <c r="HR8" s="27"/>
      <c r="HS8" s="27"/>
      <c r="HT8" s="27"/>
      <c r="HU8" s="27"/>
      <c r="HV8" s="27"/>
      <c r="HW8" s="27"/>
      <c r="HX8" s="27"/>
      <c r="HY8" s="27"/>
    </row>
    <row r="9" s="6" customFormat="true" ht="15" hidden="false" customHeight="false" outlineLevel="0" collapsed="false">
      <c r="A9" s="17"/>
      <c r="B9" s="28" t="s">
        <v>18</v>
      </c>
      <c r="C9" s="19"/>
      <c r="D9" s="19"/>
      <c r="E9" s="20"/>
      <c r="F9" s="19"/>
      <c r="G9" s="21"/>
      <c r="H9" s="19"/>
      <c r="I9" s="31"/>
      <c r="J9" s="19"/>
      <c r="K9" s="19"/>
      <c r="L9" s="23"/>
      <c r="M9" s="29" t="n">
        <v>-35</v>
      </c>
      <c r="N9" s="24" t="n">
        <v>0</v>
      </c>
      <c r="O9" s="30" t="n">
        <f aca="false">N9*J9</f>
        <v>0</v>
      </c>
      <c r="Q9" s="27"/>
      <c r="R9" s="27"/>
      <c r="S9" s="27"/>
      <c r="T9" s="27"/>
      <c r="U9" s="27"/>
      <c r="V9" s="27"/>
      <c r="W9" s="27"/>
      <c r="X9" s="27"/>
      <c r="Y9" s="27"/>
      <c r="Z9" s="27"/>
      <c r="AA9" s="27"/>
      <c r="AB9" s="27"/>
      <c r="AC9" s="27"/>
      <c r="AD9" s="27"/>
      <c r="AE9" s="27"/>
      <c r="AF9" s="27"/>
      <c r="AG9" s="27"/>
      <c r="AH9" s="27"/>
      <c r="AI9" s="27"/>
      <c r="AJ9" s="27"/>
      <c r="AK9" s="27"/>
      <c r="AL9" s="27"/>
      <c r="AM9" s="27"/>
      <c r="AN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27"/>
      <c r="BH9" s="27"/>
      <c r="BI9" s="27"/>
      <c r="BJ9" s="27"/>
      <c r="BK9" s="27"/>
      <c r="BL9" s="27"/>
      <c r="BM9" s="27"/>
      <c r="BN9" s="27"/>
      <c r="BO9" s="27"/>
      <c r="BP9" s="27"/>
      <c r="BQ9" s="27"/>
      <c r="BR9" s="27"/>
      <c r="BS9" s="27"/>
      <c r="BT9" s="27"/>
      <c r="BU9" s="27"/>
      <c r="BV9" s="27"/>
      <c r="BW9" s="27"/>
      <c r="BX9" s="27"/>
      <c r="BY9" s="27"/>
      <c r="BZ9" s="27"/>
      <c r="CA9" s="27"/>
      <c r="CB9" s="27"/>
      <c r="CC9" s="27"/>
      <c r="CD9" s="27"/>
      <c r="CE9" s="27"/>
      <c r="CF9" s="27"/>
      <c r="CG9" s="27"/>
      <c r="CH9" s="27"/>
      <c r="CI9" s="27"/>
      <c r="CJ9" s="27"/>
      <c r="CK9" s="27"/>
      <c r="CL9" s="27"/>
      <c r="CM9" s="27"/>
      <c r="CN9" s="27"/>
      <c r="CO9" s="27"/>
      <c r="CP9" s="27"/>
      <c r="CQ9" s="27"/>
      <c r="CR9" s="27"/>
      <c r="CS9" s="27"/>
      <c r="CT9" s="27"/>
      <c r="CU9" s="27"/>
      <c r="CV9" s="27"/>
      <c r="CW9" s="27"/>
      <c r="CX9" s="27"/>
      <c r="CY9" s="27"/>
      <c r="CZ9" s="27"/>
      <c r="DA9" s="27"/>
      <c r="DB9" s="27"/>
      <c r="DC9" s="27"/>
      <c r="DD9" s="27"/>
      <c r="DE9" s="27"/>
      <c r="DF9" s="27"/>
      <c r="DG9" s="27"/>
      <c r="DH9" s="27"/>
      <c r="DI9" s="27"/>
      <c r="DJ9" s="27"/>
      <c r="DK9" s="27"/>
      <c r="DL9" s="27"/>
      <c r="DM9" s="27"/>
      <c r="DN9" s="27"/>
      <c r="DO9" s="27"/>
      <c r="DP9" s="27"/>
      <c r="DQ9" s="27"/>
      <c r="DR9" s="27"/>
      <c r="DS9" s="27"/>
      <c r="DT9" s="27"/>
      <c r="DU9" s="27"/>
      <c r="DV9" s="27"/>
      <c r="DW9" s="27"/>
      <c r="DX9" s="27"/>
      <c r="DY9" s="27"/>
      <c r="DZ9" s="27"/>
      <c r="EA9" s="27"/>
      <c r="EB9" s="27"/>
      <c r="EC9" s="27"/>
      <c r="ED9" s="27"/>
      <c r="EE9" s="27"/>
      <c r="EF9" s="27"/>
      <c r="EG9" s="27"/>
      <c r="EH9" s="27"/>
      <c r="EI9" s="27"/>
      <c r="EJ9" s="27"/>
      <c r="EK9" s="27"/>
      <c r="EL9" s="27"/>
      <c r="EM9" s="27"/>
      <c r="EN9" s="27"/>
      <c r="EO9" s="27"/>
      <c r="EP9" s="27"/>
      <c r="EQ9" s="27"/>
      <c r="ER9" s="27"/>
      <c r="ES9" s="27"/>
      <c r="ET9" s="27"/>
      <c r="EU9" s="27"/>
      <c r="EV9" s="27"/>
      <c r="EW9" s="27"/>
      <c r="EX9" s="27"/>
      <c r="EY9" s="27"/>
      <c r="EZ9" s="27"/>
      <c r="FA9" s="27"/>
      <c r="FB9" s="27"/>
      <c r="FC9" s="27"/>
      <c r="FD9" s="27"/>
      <c r="FE9" s="27"/>
      <c r="FF9" s="27"/>
      <c r="FG9" s="27"/>
      <c r="FH9" s="27"/>
      <c r="FI9" s="27"/>
      <c r="FJ9" s="27"/>
      <c r="FK9" s="27"/>
      <c r="FL9" s="27"/>
      <c r="FM9" s="27"/>
      <c r="FN9" s="27"/>
      <c r="FO9" s="27"/>
      <c r="FP9" s="27"/>
      <c r="FQ9" s="27"/>
      <c r="FR9" s="27"/>
      <c r="FS9" s="27"/>
      <c r="FT9" s="27"/>
      <c r="FU9" s="27"/>
      <c r="FV9" s="27"/>
      <c r="FW9" s="27"/>
      <c r="FX9" s="27"/>
      <c r="FY9" s="27"/>
      <c r="FZ9" s="27"/>
      <c r="GA9" s="27"/>
      <c r="GB9" s="27"/>
      <c r="GC9" s="27"/>
      <c r="GD9" s="27"/>
      <c r="GE9" s="27"/>
      <c r="GF9" s="27"/>
      <c r="GG9" s="27"/>
      <c r="GH9" s="27"/>
      <c r="GI9" s="27"/>
      <c r="GJ9" s="27"/>
      <c r="GK9" s="27"/>
      <c r="GL9" s="27"/>
      <c r="GM9" s="27"/>
      <c r="GN9" s="27"/>
      <c r="GO9" s="27"/>
      <c r="GP9" s="27"/>
      <c r="GQ9" s="27"/>
      <c r="GR9" s="27"/>
      <c r="GS9" s="27"/>
      <c r="GT9" s="27"/>
      <c r="GU9" s="27"/>
      <c r="GV9" s="27"/>
      <c r="GW9" s="27"/>
      <c r="GX9" s="27"/>
      <c r="GY9" s="27"/>
      <c r="GZ9" s="27"/>
      <c r="HA9" s="27"/>
      <c r="HB9" s="27"/>
      <c r="HC9" s="27"/>
      <c r="HD9" s="27"/>
      <c r="HE9" s="27"/>
      <c r="HF9" s="27"/>
      <c r="HG9" s="27"/>
      <c r="HH9" s="27"/>
      <c r="HI9" s="27"/>
      <c r="HJ9" s="27"/>
      <c r="HK9" s="27"/>
      <c r="HL9" s="27"/>
      <c r="HM9" s="27"/>
      <c r="HN9" s="27"/>
      <c r="HO9" s="27"/>
      <c r="HP9" s="27"/>
      <c r="HQ9" s="27"/>
      <c r="HR9" s="27"/>
      <c r="HS9" s="27"/>
      <c r="HT9" s="27"/>
      <c r="HU9" s="27"/>
      <c r="HV9" s="27"/>
      <c r="HW9" s="27"/>
      <c r="HX9" s="27"/>
      <c r="HY9" s="27"/>
    </row>
    <row r="10" s="6" customFormat="true" ht="15" hidden="false" customHeight="false" outlineLevel="0" collapsed="false">
      <c r="A10" s="17"/>
      <c r="B10" s="28" t="s">
        <v>18</v>
      </c>
      <c r="C10" s="19"/>
      <c r="D10" s="19"/>
      <c r="E10" s="20"/>
      <c r="F10" s="19"/>
      <c r="G10" s="21"/>
      <c r="H10" s="19"/>
      <c r="I10" s="31"/>
      <c r="J10" s="19"/>
      <c r="K10" s="19"/>
      <c r="L10" s="23"/>
      <c r="M10" s="29" t="n">
        <v>-35</v>
      </c>
      <c r="N10" s="24" t="n">
        <v>0</v>
      </c>
      <c r="O10" s="30" t="n">
        <f aca="false">N10*J10</f>
        <v>0</v>
      </c>
      <c r="Q10" s="27"/>
      <c r="R10" s="27"/>
      <c r="S10" s="27"/>
      <c r="T10" s="27"/>
      <c r="U10" s="27"/>
      <c r="V10" s="27"/>
      <c r="W10" s="27"/>
      <c r="X10" s="27"/>
      <c r="Y10" s="27"/>
      <c r="Z10" s="27"/>
      <c r="AA10" s="27"/>
      <c r="AB10" s="27"/>
      <c r="AC10" s="27"/>
      <c r="AD10" s="27"/>
      <c r="AE10" s="27"/>
      <c r="AF10" s="27"/>
      <c r="AG10" s="27"/>
      <c r="AH10" s="27"/>
      <c r="AI10" s="27"/>
      <c r="AJ10" s="27"/>
      <c r="AK10" s="27"/>
      <c r="AL10" s="27"/>
      <c r="AM10" s="27"/>
      <c r="AN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27"/>
      <c r="BN10" s="27"/>
      <c r="BO10" s="27"/>
      <c r="BP10" s="27"/>
      <c r="BQ10" s="27"/>
      <c r="BR10" s="27"/>
      <c r="BS10" s="27"/>
      <c r="BT10" s="27"/>
      <c r="BU10" s="27"/>
      <c r="BV10" s="27"/>
      <c r="BW10" s="27"/>
      <c r="BX10" s="27"/>
      <c r="BY10" s="27"/>
      <c r="BZ10" s="27"/>
      <c r="CA10" s="27"/>
      <c r="CB10" s="27"/>
      <c r="CC10" s="27"/>
      <c r="CD10" s="27"/>
      <c r="CE10" s="27"/>
      <c r="CF10" s="27"/>
      <c r="CG10" s="27"/>
      <c r="CH10" s="27"/>
      <c r="CI10" s="27"/>
      <c r="CJ10" s="27"/>
      <c r="CK10" s="27"/>
      <c r="CL10" s="27"/>
      <c r="CM10" s="27"/>
      <c r="CN10" s="27"/>
      <c r="CO10" s="27"/>
      <c r="CP10" s="27"/>
      <c r="CQ10" s="27"/>
      <c r="CR10" s="27"/>
      <c r="CS10" s="27"/>
      <c r="CT10" s="27"/>
      <c r="CU10" s="27"/>
      <c r="CV10" s="27"/>
      <c r="CW10" s="27"/>
      <c r="CX10" s="27"/>
      <c r="CY10" s="27"/>
      <c r="CZ10" s="27"/>
      <c r="DA10" s="27"/>
      <c r="DB10" s="27"/>
      <c r="DC10" s="27"/>
      <c r="DD10" s="27"/>
      <c r="DE10" s="27"/>
      <c r="DF10" s="27"/>
      <c r="DG10" s="27"/>
      <c r="DH10" s="27"/>
      <c r="DI10" s="27"/>
      <c r="DJ10" s="27"/>
      <c r="DK10" s="27"/>
      <c r="DL10" s="27"/>
      <c r="DM10" s="27"/>
      <c r="DN10" s="27"/>
      <c r="DO10" s="27"/>
      <c r="DP10" s="27"/>
      <c r="DQ10" s="27"/>
      <c r="DR10" s="27"/>
      <c r="DS10" s="27"/>
      <c r="DT10" s="27"/>
      <c r="DU10" s="27"/>
      <c r="DV10" s="27"/>
      <c r="DW10" s="27"/>
      <c r="DX10" s="27"/>
      <c r="DY10" s="27"/>
      <c r="DZ10" s="27"/>
      <c r="EA10" s="27"/>
      <c r="EB10" s="27"/>
      <c r="EC10" s="27"/>
      <c r="ED10" s="27"/>
      <c r="EE10" s="27"/>
      <c r="EF10" s="27"/>
      <c r="EG10" s="27"/>
      <c r="EH10" s="27"/>
      <c r="EI10" s="27"/>
      <c r="EJ10" s="27"/>
      <c r="EK10" s="27"/>
      <c r="EL10" s="27"/>
      <c r="EM10" s="27"/>
      <c r="EN10" s="27"/>
      <c r="EO10" s="27"/>
      <c r="EP10" s="27"/>
      <c r="EQ10" s="27"/>
      <c r="ER10" s="27"/>
      <c r="ES10" s="27"/>
      <c r="ET10" s="27"/>
      <c r="EU10" s="27"/>
      <c r="EV10" s="27"/>
      <c r="EW10" s="27"/>
      <c r="EX10" s="27"/>
      <c r="EY10" s="27"/>
      <c r="EZ10" s="27"/>
      <c r="FA10" s="27"/>
      <c r="FB10" s="27"/>
      <c r="FC10" s="27"/>
      <c r="FD10" s="27"/>
      <c r="FE10" s="27"/>
      <c r="FF10" s="27"/>
      <c r="FG10" s="27"/>
      <c r="FH10" s="27"/>
      <c r="FI10" s="27"/>
      <c r="FJ10" s="27"/>
      <c r="FK10" s="27"/>
      <c r="FL10" s="27"/>
      <c r="FM10" s="27"/>
      <c r="FN10" s="27"/>
      <c r="FO10" s="27"/>
      <c r="FP10" s="27"/>
      <c r="FQ10" s="27"/>
      <c r="FR10" s="27"/>
      <c r="FS10" s="27"/>
      <c r="FT10" s="27"/>
      <c r="FU10" s="27"/>
      <c r="FV10" s="27"/>
      <c r="FW10" s="27"/>
      <c r="FX10" s="27"/>
      <c r="FY10" s="27"/>
      <c r="FZ10" s="27"/>
      <c r="GA10" s="27"/>
      <c r="GB10" s="27"/>
      <c r="GC10" s="27"/>
      <c r="GD10" s="27"/>
      <c r="GE10" s="27"/>
      <c r="GF10" s="27"/>
      <c r="GG10" s="27"/>
      <c r="GH10" s="27"/>
      <c r="GI10" s="27"/>
      <c r="GJ10" s="27"/>
      <c r="GK10" s="27"/>
      <c r="GL10" s="27"/>
      <c r="GM10" s="27"/>
      <c r="GN10" s="27"/>
      <c r="GO10" s="27"/>
      <c r="GP10" s="27"/>
      <c r="GQ10" s="27"/>
      <c r="GR10" s="27"/>
      <c r="GS10" s="27"/>
      <c r="GT10" s="27"/>
      <c r="GU10" s="27"/>
      <c r="GV10" s="27"/>
      <c r="GW10" s="27"/>
      <c r="GX10" s="27"/>
      <c r="GY10" s="27"/>
      <c r="GZ10" s="27"/>
      <c r="HA10" s="27"/>
      <c r="HB10" s="27"/>
      <c r="HC10" s="27"/>
      <c r="HD10" s="27"/>
      <c r="HE10" s="27"/>
      <c r="HF10" s="27"/>
      <c r="HG10" s="27"/>
      <c r="HH10" s="27"/>
      <c r="HI10" s="27"/>
      <c r="HJ10" s="27"/>
      <c r="HK10" s="27"/>
      <c r="HL10" s="27"/>
      <c r="HM10" s="27"/>
      <c r="HN10" s="27"/>
      <c r="HO10" s="27"/>
      <c r="HP10" s="27"/>
      <c r="HQ10" s="27"/>
      <c r="HR10" s="27"/>
      <c r="HS10" s="27"/>
      <c r="HT10" s="27"/>
      <c r="HU10" s="27"/>
      <c r="HV10" s="27"/>
      <c r="HW10" s="27"/>
      <c r="HX10" s="27"/>
      <c r="HY10" s="27"/>
    </row>
    <row r="11" s="6" customFormat="true" ht="15" hidden="false" customHeight="false" outlineLevel="0" collapsed="false">
      <c r="A11" s="17"/>
      <c r="B11" s="28" t="s">
        <v>18</v>
      </c>
      <c r="C11" s="19"/>
      <c r="D11" s="19"/>
      <c r="E11" s="20"/>
      <c r="F11" s="19"/>
      <c r="G11" s="21"/>
      <c r="H11" s="19"/>
      <c r="I11" s="31"/>
      <c r="J11" s="19"/>
      <c r="K11" s="19"/>
      <c r="L11" s="23"/>
      <c r="M11" s="29" t="n">
        <v>-35</v>
      </c>
      <c r="N11" s="24" t="n">
        <v>0</v>
      </c>
      <c r="O11" s="30" t="n">
        <f aca="false">N11*J11</f>
        <v>0</v>
      </c>
      <c r="Q11" s="27"/>
      <c r="R11" s="27"/>
      <c r="S11" s="27"/>
      <c r="T11" s="27"/>
      <c r="U11" s="27"/>
      <c r="V11" s="27"/>
      <c r="W11" s="27"/>
      <c r="X11" s="27"/>
      <c r="Y11" s="27"/>
      <c r="Z11" s="27"/>
      <c r="AA11" s="27"/>
      <c r="AB11" s="27"/>
      <c r="AC11" s="27"/>
      <c r="AD11" s="27"/>
      <c r="AE11" s="27"/>
      <c r="AF11" s="27"/>
      <c r="AG11" s="27"/>
      <c r="AH11" s="27"/>
      <c r="AI11" s="27"/>
      <c r="AJ11" s="27"/>
      <c r="AK11" s="27"/>
      <c r="AL11" s="27"/>
      <c r="AM11" s="27"/>
      <c r="AN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  <c r="BH11" s="27"/>
      <c r="BI11" s="27"/>
      <c r="BJ11" s="27"/>
      <c r="BK11" s="27"/>
      <c r="BL11" s="27"/>
      <c r="BM11" s="27"/>
      <c r="BN11" s="27"/>
      <c r="BO11" s="27"/>
      <c r="BP11" s="27"/>
      <c r="BQ11" s="27"/>
      <c r="BR11" s="27"/>
      <c r="BS11" s="27"/>
      <c r="BT11" s="27"/>
      <c r="BU11" s="27"/>
      <c r="BV11" s="27"/>
      <c r="BW11" s="27"/>
      <c r="BX11" s="27"/>
      <c r="BY11" s="27"/>
      <c r="BZ11" s="27"/>
      <c r="CA11" s="27"/>
      <c r="CB11" s="27"/>
      <c r="CC11" s="27"/>
      <c r="CD11" s="27"/>
      <c r="CE11" s="27"/>
      <c r="CF11" s="27"/>
      <c r="CG11" s="27"/>
      <c r="CH11" s="27"/>
      <c r="CI11" s="27"/>
      <c r="CJ11" s="27"/>
      <c r="CK11" s="27"/>
      <c r="CL11" s="27"/>
      <c r="CM11" s="27"/>
      <c r="CN11" s="27"/>
      <c r="CO11" s="27"/>
      <c r="CP11" s="27"/>
      <c r="CQ11" s="27"/>
      <c r="CR11" s="27"/>
      <c r="CS11" s="27"/>
      <c r="CT11" s="27"/>
      <c r="CU11" s="27"/>
      <c r="CV11" s="27"/>
      <c r="CW11" s="27"/>
      <c r="CX11" s="27"/>
      <c r="CY11" s="27"/>
      <c r="CZ11" s="27"/>
      <c r="DA11" s="27"/>
      <c r="DB11" s="27"/>
      <c r="DC11" s="27"/>
      <c r="DD11" s="27"/>
      <c r="DE11" s="27"/>
      <c r="DF11" s="27"/>
      <c r="DG11" s="27"/>
      <c r="DH11" s="27"/>
      <c r="DI11" s="27"/>
      <c r="DJ11" s="27"/>
      <c r="DK11" s="27"/>
      <c r="DL11" s="27"/>
      <c r="DM11" s="27"/>
      <c r="DN11" s="27"/>
      <c r="DO11" s="27"/>
      <c r="DP11" s="27"/>
      <c r="DQ11" s="27"/>
      <c r="DR11" s="27"/>
      <c r="DS11" s="27"/>
      <c r="DT11" s="27"/>
      <c r="DU11" s="27"/>
      <c r="DV11" s="27"/>
      <c r="DW11" s="27"/>
      <c r="DX11" s="27"/>
      <c r="DY11" s="27"/>
      <c r="DZ11" s="27"/>
      <c r="EA11" s="27"/>
      <c r="EB11" s="27"/>
      <c r="EC11" s="27"/>
      <c r="ED11" s="27"/>
      <c r="EE11" s="27"/>
      <c r="EF11" s="27"/>
      <c r="EG11" s="27"/>
      <c r="EH11" s="27"/>
      <c r="EI11" s="27"/>
      <c r="EJ11" s="27"/>
      <c r="EK11" s="27"/>
      <c r="EL11" s="27"/>
      <c r="EM11" s="27"/>
      <c r="EN11" s="27"/>
      <c r="EO11" s="27"/>
      <c r="EP11" s="27"/>
      <c r="EQ11" s="27"/>
      <c r="ER11" s="27"/>
      <c r="ES11" s="27"/>
      <c r="ET11" s="27"/>
      <c r="EU11" s="27"/>
      <c r="EV11" s="27"/>
      <c r="EW11" s="27"/>
      <c r="EX11" s="27"/>
      <c r="EY11" s="27"/>
      <c r="EZ11" s="27"/>
      <c r="FA11" s="27"/>
      <c r="FB11" s="27"/>
      <c r="FC11" s="27"/>
      <c r="FD11" s="27"/>
      <c r="FE11" s="27"/>
      <c r="FF11" s="27"/>
      <c r="FG11" s="27"/>
      <c r="FH11" s="27"/>
      <c r="FI11" s="27"/>
      <c r="FJ11" s="27"/>
      <c r="FK11" s="27"/>
      <c r="FL11" s="27"/>
      <c r="FM11" s="27"/>
      <c r="FN11" s="27"/>
      <c r="FO11" s="27"/>
      <c r="FP11" s="27"/>
      <c r="FQ11" s="27"/>
      <c r="FR11" s="27"/>
      <c r="FS11" s="27"/>
      <c r="FT11" s="27"/>
      <c r="FU11" s="27"/>
      <c r="FV11" s="27"/>
      <c r="FW11" s="27"/>
      <c r="FX11" s="27"/>
      <c r="FY11" s="27"/>
      <c r="FZ11" s="27"/>
      <c r="GA11" s="27"/>
      <c r="GB11" s="27"/>
      <c r="GC11" s="27"/>
      <c r="GD11" s="27"/>
      <c r="GE11" s="27"/>
      <c r="GF11" s="27"/>
      <c r="GG11" s="27"/>
      <c r="GH11" s="27"/>
      <c r="GI11" s="27"/>
      <c r="GJ11" s="27"/>
      <c r="GK11" s="27"/>
      <c r="GL11" s="27"/>
      <c r="GM11" s="27"/>
      <c r="GN11" s="27"/>
      <c r="GO11" s="27"/>
      <c r="GP11" s="27"/>
      <c r="GQ11" s="27"/>
      <c r="GR11" s="27"/>
      <c r="GS11" s="27"/>
      <c r="GT11" s="27"/>
      <c r="GU11" s="27"/>
      <c r="GV11" s="27"/>
      <c r="GW11" s="27"/>
      <c r="GX11" s="27"/>
      <c r="GY11" s="27"/>
      <c r="GZ11" s="27"/>
      <c r="HA11" s="27"/>
      <c r="HB11" s="27"/>
      <c r="HC11" s="27"/>
      <c r="HD11" s="27"/>
      <c r="HE11" s="27"/>
      <c r="HF11" s="27"/>
      <c r="HG11" s="27"/>
      <c r="HH11" s="27"/>
      <c r="HI11" s="27"/>
      <c r="HJ11" s="27"/>
      <c r="HK11" s="27"/>
      <c r="HL11" s="27"/>
      <c r="HM11" s="27"/>
      <c r="HN11" s="27"/>
      <c r="HO11" s="27"/>
      <c r="HP11" s="27"/>
      <c r="HQ11" s="27"/>
      <c r="HR11" s="27"/>
      <c r="HS11" s="27"/>
      <c r="HT11" s="27"/>
      <c r="HU11" s="27"/>
      <c r="HV11" s="27"/>
      <c r="HW11" s="27"/>
      <c r="HX11" s="27"/>
      <c r="HY11" s="27"/>
    </row>
    <row r="12" s="6" customFormat="true" ht="15" hidden="false" customHeight="false" outlineLevel="0" collapsed="false">
      <c r="A12" s="17"/>
      <c r="B12" s="28" t="s">
        <v>18</v>
      </c>
      <c r="C12" s="19"/>
      <c r="D12" s="19"/>
      <c r="E12" s="20"/>
      <c r="F12" s="19"/>
      <c r="G12" s="21"/>
      <c r="H12" s="19"/>
      <c r="I12" s="31"/>
      <c r="J12" s="19"/>
      <c r="K12" s="19"/>
      <c r="L12" s="23"/>
      <c r="M12" s="29" t="n">
        <v>-35</v>
      </c>
      <c r="N12" s="24" t="n">
        <v>0</v>
      </c>
      <c r="O12" s="30" t="n">
        <f aca="false">N12*J12</f>
        <v>0</v>
      </c>
      <c r="Q12" s="27"/>
      <c r="R12" s="27"/>
      <c r="S12" s="27"/>
      <c r="T12" s="27"/>
      <c r="U12" s="27"/>
      <c r="V12" s="27"/>
      <c r="W12" s="27"/>
      <c r="X12" s="27"/>
      <c r="Y12" s="27"/>
      <c r="Z12" s="27"/>
      <c r="AA12" s="27"/>
      <c r="AB12" s="27"/>
      <c r="AC12" s="27"/>
      <c r="AD12" s="27"/>
      <c r="AE12" s="27"/>
      <c r="AF12" s="27"/>
      <c r="AG12" s="27"/>
      <c r="AH12" s="27"/>
      <c r="AI12" s="27"/>
      <c r="AJ12" s="27"/>
      <c r="AK12" s="27"/>
      <c r="AL12" s="27"/>
      <c r="AM12" s="27"/>
      <c r="AN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27"/>
      <c r="BN12" s="27"/>
      <c r="BO12" s="27"/>
      <c r="BP12" s="27"/>
      <c r="BQ12" s="27"/>
      <c r="BR12" s="27"/>
      <c r="BS12" s="27"/>
      <c r="BT12" s="27"/>
      <c r="BU12" s="27"/>
      <c r="BV12" s="27"/>
      <c r="BW12" s="27"/>
      <c r="BX12" s="27"/>
      <c r="BY12" s="27"/>
      <c r="BZ12" s="27"/>
      <c r="CA12" s="27"/>
      <c r="CB12" s="27"/>
      <c r="CC12" s="27"/>
      <c r="CD12" s="27"/>
      <c r="CE12" s="27"/>
      <c r="CF12" s="27"/>
      <c r="CG12" s="27"/>
      <c r="CH12" s="27"/>
      <c r="CI12" s="27"/>
      <c r="CJ12" s="27"/>
      <c r="CK12" s="27"/>
      <c r="CL12" s="27"/>
      <c r="CM12" s="27"/>
      <c r="CN12" s="27"/>
      <c r="CO12" s="27"/>
      <c r="CP12" s="27"/>
      <c r="CQ12" s="27"/>
      <c r="CR12" s="27"/>
      <c r="CS12" s="27"/>
      <c r="CT12" s="27"/>
      <c r="CU12" s="27"/>
      <c r="CV12" s="27"/>
      <c r="CW12" s="27"/>
      <c r="CX12" s="27"/>
      <c r="CY12" s="27"/>
      <c r="CZ12" s="27"/>
      <c r="DA12" s="27"/>
      <c r="DB12" s="27"/>
      <c r="DC12" s="27"/>
      <c r="DD12" s="27"/>
      <c r="DE12" s="27"/>
      <c r="DF12" s="27"/>
      <c r="DG12" s="27"/>
      <c r="DH12" s="27"/>
      <c r="DI12" s="27"/>
      <c r="DJ12" s="27"/>
      <c r="DK12" s="27"/>
      <c r="DL12" s="27"/>
      <c r="DM12" s="27"/>
      <c r="DN12" s="27"/>
      <c r="DO12" s="27"/>
      <c r="DP12" s="27"/>
      <c r="DQ12" s="27"/>
      <c r="DR12" s="27"/>
      <c r="DS12" s="27"/>
      <c r="DT12" s="27"/>
      <c r="DU12" s="27"/>
      <c r="DV12" s="27"/>
      <c r="DW12" s="27"/>
      <c r="DX12" s="27"/>
      <c r="DY12" s="27"/>
      <c r="DZ12" s="27"/>
      <c r="EA12" s="27"/>
      <c r="EB12" s="27"/>
      <c r="EC12" s="27"/>
      <c r="ED12" s="27"/>
      <c r="EE12" s="27"/>
      <c r="EF12" s="27"/>
      <c r="EG12" s="27"/>
      <c r="EH12" s="27"/>
      <c r="EI12" s="27"/>
      <c r="EJ12" s="27"/>
      <c r="EK12" s="27"/>
      <c r="EL12" s="27"/>
      <c r="EM12" s="27"/>
      <c r="EN12" s="27"/>
      <c r="EO12" s="27"/>
      <c r="EP12" s="27"/>
      <c r="EQ12" s="27"/>
      <c r="ER12" s="27"/>
      <c r="ES12" s="27"/>
      <c r="ET12" s="27"/>
      <c r="EU12" s="27"/>
      <c r="EV12" s="27"/>
      <c r="EW12" s="27"/>
      <c r="EX12" s="27"/>
      <c r="EY12" s="27"/>
      <c r="EZ12" s="27"/>
      <c r="FA12" s="27"/>
      <c r="FB12" s="27"/>
      <c r="FC12" s="27"/>
      <c r="FD12" s="27"/>
      <c r="FE12" s="27"/>
      <c r="FF12" s="27"/>
      <c r="FG12" s="27"/>
      <c r="FH12" s="27"/>
      <c r="FI12" s="27"/>
      <c r="FJ12" s="27"/>
      <c r="FK12" s="27"/>
      <c r="FL12" s="27"/>
      <c r="FM12" s="27"/>
      <c r="FN12" s="27"/>
      <c r="FO12" s="27"/>
      <c r="FP12" s="27"/>
      <c r="FQ12" s="27"/>
      <c r="FR12" s="27"/>
      <c r="FS12" s="27"/>
      <c r="FT12" s="27"/>
      <c r="FU12" s="27"/>
      <c r="FV12" s="27"/>
      <c r="FW12" s="27"/>
      <c r="FX12" s="27"/>
      <c r="FY12" s="27"/>
      <c r="FZ12" s="27"/>
      <c r="GA12" s="27"/>
      <c r="GB12" s="27"/>
      <c r="GC12" s="27"/>
      <c r="GD12" s="27"/>
      <c r="GE12" s="27"/>
      <c r="GF12" s="27"/>
      <c r="GG12" s="27"/>
      <c r="GH12" s="27"/>
      <c r="GI12" s="27"/>
      <c r="GJ12" s="27"/>
      <c r="GK12" s="27"/>
      <c r="GL12" s="27"/>
      <c r="GM12" s="27"/>
      <c r="GN12" s="27"/>
      <c r="GO12" s="27"/>
      <c r="GP12" s="27"/>
      <c r="GQ12" s="27"/>
      <c r="GR12" s="27"/>
      <c r="GS12" s="27"/>
      <c r="GT12" s="27"/>
      <c r="GU12" s="27"/>
      <c r="GV12" s="27"/>
      <c r="GW12" s="27"/>
      <c r="GX12" s="27"/>
      <c r="GY12" s="27"/>
      <c r="GZ12" s="27"/>
      <c r="HA12" s="27"/>
      <c r="HB12" s="27"/>
      <c r="HC12" s="27"/>
      <c r="HD12" s="27"/>
      <c r="HE12" s="27"/>
      <c r="HF12" s="27"/>
      <c r="HG12" s="27"/>
      <c r="HH12" s="27"/>
      <c r="HI12" s="27"/>
      <c r="HJ12" s="27"/>
      <c r="HK12" s="27"/>
      <c r="HL12" s="27"/>
      <c r="HM12" s="27"/>
      <c r="HN12" s="27"/>
      <c r="HO12" s="27"/>
      <c r="HP12" s="27"/>
      <c r="HQ12" s="27"/>
      <c r="HR12" s="27"/>
      <c r="HS12" s="27"/>
      <c r="HT12" s="27"/>
      <c r="HU12" s="27"/>
      <c r="HV12" s="27"/>
      <c r="HW12" s="27"/>
      <c r="HX12" s="27"/>
      <c r="HY12" s="27"/>
    </row>
    <row r="13" s="6" customFormat="true" ht="15" hidden="false" customHeight="false" outlineLevel="0" collapsed="false">
      <c r="A13" s="17"/>
      <c r="B13" s="28" t="s">
        <v>18</v>
      </c>
      <c r="C13" s="19"/>
      <c r="D13" s="19"/>
      <c r="E13" s="20"/>
      <c r="F13" s="19"/>
      <c r="G13" s="21"/>
      <c r="H13" s="19"/>
      <c r="I13" s="31"/>
      <c r="J13" s="19"/>
      <c r="K13" s="19"/>
      <c r="L13" s="23"/>
      <c r="M13" s="29"/>
      <c r="N13" s="24" t="n">
        <v>0</v>
      </c>
      <c r="O13" s="30" t="n">
        <f aca="false">N13*J13</f>
        <v>0</v>
      </c>
      <c r="Q13" s="27"/>
      <c r="R13" s="27"/>
      <c r="S13" s="27"/>
      <c r="T13" s="27"/>
      <c r="U13" s="27"/>
      <c r="V13" s="27"/>
      <c r="W13" s="27"/>
      <c r="X13" s="27"/>
      <c r="Y13" s="27"/>
      <c r="Z13" s="27"/>
      <c r="AA13" s="27"/>
      <c r="AB13" s="27"/>
      <c r="AC13" s="27"/>
      <c r="AD13" s="27"/>
      <c r="AE13" s="27"/>
      <c r="AF13" s="27"/>
      <c r="AG13" s="27"/>
      <c r="AH13" s="27"/>
      <c r="AI13" s="27"/>
      <c r="AJ13" s="27"/>
      <c r="AK13" s="27"/>
      <c r="AL13" s="27"/>
      <c r="AM13" s="27"/>
      <c r="AN13" s="27"/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  <c r="BH13" s="27"/>
      <c r="BI13" s="27"/>
      <c r="BJ13" s="27"/>
      <c r="BK13" s="27"/>
      <c r="BL13" s="27"/>
      <c r="BM13" s="27"/>
      <c r="BN13" s="27"/>
      <c r="BO13" s="27"/>
      <c r="BP13" s="27"/>
      <c r="BQ13" s="27"/>
      <c r="BR13" s="27"/>
      <c r="BS13" s="27"/>
      <c r="BT13" s="27"/>
      <c r="BU13" s="27"/>
      <c r="BV13" s="27"/>
      <c r="BW13" s="27"/>
      <c r="BX13" s="27"/>
      <c r="BY13" s="27"/>
      <c r="BZ13" s="27"/>
      <c r="CA13" s="27"/>
      <c r="CB13" s="27"/>
      <c r="CC13" s="27"/>
      <c r="CD13" s="27"/>
      <c r="CE13" s="27"/>
      <c r="CF13" s="27"/>
      <c r="CG13" s="27"/>
      <c r="CH13" s="27"/>
      <c r="CI13" s="27"/>
      <c r="CJ13" s="27"/>
      <c r="CK13" s="27"/>
      <c r="CL13" s="27"/>
      <c r="CM13" s="27"/>
      <c r="CN13" s="27"/>
      <c r="CO13" s="27"/>
      <c r="CP13" s="27"/>
      <c r="CQ13" s="27"/>
      <c r="CR13" s="27"/>
      <c r="CS13" s="27"/>
      <c r="CT13" s="27"/>
      <c r="CU13" s="27"/>
      <c r="CV13" s="27"/>
      <c r="CW13" s="27"/>
      <c r="CX13" s="27"/>
      <c r="CY13" s="27"/>
      <c r="CZ13" s="27"/>
      <c r="DA13" s="27"/>
      <c r="DB13" s="27"/>
      <c r="DC13" s="27"/>
      <c r="DD13" s="27"/>
      <c r="DE13" s="27"/>
      <c r="DF13" s="27"/>
      <c r="DG13" s="27"/>
      <c r="DH13" s="27"/>
      <c r="DI13" s="27"/>
      <c r="DJ13" s="27"/>
      <c r="DK13" s="27"/>
      <c r="DL13" s="27"/>
      <c r="DM13" s="27"/>
      <c r="DN13" s="27"/>
      <c r="DO13" s="27"/>
      <c r="DP13" s="27"/>
      <c r="DQ13" s="27"/>
      <c r="DR13" s="27"/>
      <c r="DS13" s="27"/>
      <c r="DT13" s="27"/>
      <c r="DU13" s="27"/>
      <c r="DV13" s="27"/>
      <c r="DW13" s="27"/>
      <c r="DX13" s="27"/>
      <c r="DY13" s="27"/>
      <c r="DZ13" s="27"/>
      <c r="EA13" s="27"/>
      <c r="EB13" s="27"/>
      <c r="EC13" s="27"/>
      <c r="ED13" s="27"/>
      <c r="EE13" s="27"/>
      <c r="EF13" s="27"/>
      <c r="EG13" s="27"/>
      <c r="EH13" s="27"/>
      <c r="EI13" s="27"/>
      <c r="EJ13" s="27"/>
      <c r="EK13" s="27"/>
      <c r="EL13" s="27"/>
      <c r="EM13" s="27"/>
      <c r="EN13" s="27"/>
      <c r="EO13" s="27"/>
      <c r="EP13" s="27"/>
      <c r="EQ13" s="27"/>
      <c r="ER13" s="27"/>
      <c r="ES13" s="27"/>
      <c r="ET13" s="27"/>
      <c r="EU13" s="27"/>
      <c r="EV13" s="27"/>
      <c r="EW13" s="27"/>
      <c r="EX13" s="27"/>
      <c r="EY13" s="27"/>
      <c r="EZ13" s="27"/>
      <c r="FA13" s="27"/>
      <c r="FB13" s="27"/>
      <c r="FC13" s="27"/>
      <c r="FD13" s="27"/>
      <c r="FE13" s="27"/>
      <c r="FF13" s="27"/>
      <c r="FG13" s="27"/>
      <c r="FH13" s="27"/>
      <c r="FI13" s="27"/>
      <c r="FJ13" s="27"/>
      <c r="FK13" s="27"/>
      <c r="FL13" s="27"/>
      <c r="FM13" s="27"/>
      <c r="FN13" s="27"/>
      <c r="FO13" s="27"/>
      <c r="FP13" s="27"/>
      <c r="FQ13" s="27"/>
      <c r="FR13" s="27"/>
      <c r="FS13" s="27"/>
      <c r="FT13" s="27"/>
      <c r="FU13" s="27"/>
      <c r="FV13" s="27"/>
      <c r="FW13" s="27"/>
      <c r="FX13" s="27"/>
      <c r="FY13" s="27"/>
      <c r="FZ13" s="27"/>
      <c r="GA13" s="27"/>
      <c r="GB13" s="27"/>
      <c r="GC13" s="27"/>
      <c r="GD13" s="27"/>
      <c r="GE13" s="27"/>
      <c r="GF13" s="27"/>
      <c r="GG13" s="27"/>
      <c r="GH13" s="27"/>
      <c r="GI13" s="27"/>
      <c r="GJ13" s="27"/>
      <c r="GK13" s="27"/>
      <c r="GL13" s="27"/>
      <c r="GM13" s="27"/>
      <c r="GN13" s="27"/>
      <c r="GO13" s="27"/>
      <c r="GP13" s="27"/>
      <c r="GQ13" s="27"/>
      <c r="GR13" s="27"/>
      <c r="GS13" s="27"/>
      <c r="GT13" s="27"/>
      <c r="GU13" s="27"/>
      <c r="GV13" s="27"/>
      <c r="GW13" s="27"/>
      <c r="GX13" s="27"/>
      <c r="GY13" s="27"/>
      <c r="GZ13" s="27"/>
      <c r="HA13" s="27"/>
      <c r="HB13" s="27"/>
      <c r="HC13" s="27"/>
      <c r="HD13" s="27"/>
      <c r="HE13" s="27"/>
      <c r="HF13" s="27"/>
      <c r="HG13" s="27"/>
      <c r="HH13" s="27"/>
      <c r="HI13" s="27"/>
      <c r="HJ13" s="27"/>
      <c r="HK13" s="27"/>
      <c r="HL13" s="27"/>
      <c r="HM13" s="27"/>
      <c r="HN13" s="27"/>
      <c r="HO13" s="27"/>
      <c r="HP13" s="27"/>
      <c r="HQ13" s="27"/>
      <c r="HR13" s="27"/>
      <c r="HS13" s="27"/>
      <c r="HT13" s="27"/>
      <c r="HU13" s="27"/>
      <c r="HV13" s="27"/>
      <c r="HW13" s="27"/>
      <c r="HX13" s="27"/>
      <c r="HY13" s="27"/>
    </row>
    <row r="14" s="6" customFormat="true" ht="15" hidden="false" customHeight="false" outlineLevel="0" collapsed="false">
      <c r="A14" s="17"/>
      <c r="B14" s="28" t="s">
        <v>18</v>
      </c>
      <c r="C14" s="19"/>
      <c r="D14" s="19"/>
      <c r="E14" s="20"/>
      <c r="F14" s="19"/>
      <c r="G14" s="21"/>
      <c r="H14" s="19"/>
      <c r="I14" s="31"/>
      <c r="J14" s="19"/>
      <c r="K14" s="19"/>
      <c r="L14" s="23"/>
      <c r="M14" s="29"/>
      <c r="N14" s="24" t="n">
        <v>0</v>
      </c>
      <c r="O14" s="30" t="n">
        <f aca="false">N14*J14</f>
        <v>0</v>
      </c>
      <c r="Q14" s="27"/>
      <c r="R14" s="27"/>
      <c r="S14" s="27"/>
      <c r="T14" s="27"/>
      <c r="U14" s="27"/>
      <c r="V14" s="27"/>
      <c r="W14" s="27"/>
      <c r="X14" s="27"/>
      <c r="Y14" s="27"/>
      <c r="Z14" s="27"/>
      <c r="AA14" s="27"/>
      <c r="AB14" s="27"/>
      <c r="AC14" s="27"/>
      <c r="AD14" s="27"/>
      <c r="AE14" s="27"/>
      <c r="AF14" s="27"/>
      <c r="AG14" s="27"/>
      <c r="AH14" s="27"/>
      <c r="AI14" s="27"/>
      <c r="AJ14" s="27"/>
      <c r="AK14" s="27"/>
      <c r="AL14" s="27"/>
      <c r="AM14" s="27"/>
      <c r="AN14" s="27"/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  <c r="BH14" s="27"/>
      <c r="BI14" s="27"/>
      <c r="BJ14" s="27"/>
      <c r="BK14" s="27"/>
      <c r="BL14" s="27"/>
      <c r="BM14" s="27"/>
      <c r="BN14" s="27"/>
      <c r="BO14" s="27"/>
      <c r="BP14" s="27"/>
      <c r="BQ14" s="27"/>
      <c r="BR14" s="27"/>
      <c r="BS14" s="27"/>
      <c r="BT14" s="27"/>
      <c r="BU14" s="27"/>
      <c r="BV14" s="27"/>
      <c r="BW14" s="27"/>
      <c r="BX14" s="27"/>
      <c r="BY14" s="27"/>
      <c r="BZ14" s="27"/>
      <c r="CA14" s="27"/>
      <c r="CB14" s="27"/>
      <c r="CC14" s="27"/>
      <c r="CD14" s="27"/>
      <c r="CE14" s="27"/>
      <c r="CF14" s="27"/>
      <c r="CG14" s="27"/>
      <c r="CH14" s="27"/>
      <c r="CI14" s="27"/>
      <c r="CJ14" s="27"/>
      <c r="CK14" s="27"/>
      <c r="CL14" s="27"/>
      <c r="CM14" s="27"/>
      <c r="CN14" s="27"/>
      <c r="CO14" s="27"/>
      <c r="CP14" s="27"/>
      <c r="CQ14" s="27"/>
      <c r="CR14" s="27"/>
      <c r="CS14" s="27"/>
      <c r="CT14" s="27"/>
      <c r="CU14" s="27"/>
      <c r="CV14" s="27"/>
      <c r="CW14" s="27"/>
      <c r="CX14" s="27"/>
      <c r="CY14" s="27"/>
      <c r="CZ14" s="27"/>
      <c r="DA14" s="27"/>
      <c r="DB14" s="27"/>
      <c r="DC14" s="27"/>
      <c r="DD14" s="27"/>
      <c r="DE14" s="27"/>
      <c r="DF14" s="27"/>
      <c r="DG14" s="27"/>
      <c r="DH14" s="27"/>
      <c r="DI14" s="27"/>
      <c r="DJ14" s="27"/>
      <c r="DK14" s="27"/>
      <c r="DL14" s="27"/>
      <c r="DM14" s="27"/>
      <c r="DN14" s="27"/>
      <c r="DO14" s="27"/>
      <c r="DP14" s="27"/>
      <c r="DQ14" s="27"/>
      <c r="DR14" s="27"/>
      <c r="DS14" s="27"/>
      <c r="DT14" s="27"/>
      <c r="DU14" s="27"/>
      <c r="DV14" s="27"/>
      <c r="DW14" s="27"/>
      <c r="DX14" s="27"/>
      <c r="DY14" s="27"/>
      <c r="DZ14" s="27"/>
      <c r="EA14" s="27"/>
      <c r="EB14" s="27"/>
      <c r="EC14" s="27"/>
      <c r="ED14" s="27"/>
      <c r="EE14" s="27"/>
      <c r="EF14" s="27"/>
      <c r="EG14" s="27"/>
      <c r="EH14" s="27"/>
      <c r="EI14" s="27"/>
      <c r="EJ14" s="27"/>
      <c r="EK14" s="27"/>
      <c r="EL14" s="27"/>
      <c r="EM14" s="27"/>
      <c r="EN14" s="27"/>
      <c r="EO14" s="27"/>
      <c r="EP14" s="27"/>
      <c r="EQ14" s="27"/>
      <c r="ER14" s="27"/>
      <c r="ES14" s="27"/>
      <c r="ET14" s="27"/>
      <c r="EU14" s="27"/>
      <c r="EV14" s="27"/>
      <c r="EW14" s="27"/>
      <c r="EX14" s="27"/>
      <c r="EY14" s="27"/>
      <c r="EZ14" s="27"/>
      <c r="FA14" s="27"/>
      <c r="FB14" s="27"/>
      <c r="FC14" s="27"/>
      <c r="FD14" s="27"/>
      <c r="FE14" s="27"/>
      <c r="FF14" s="27"/>
      <c r="FG14" s="27"/>
      <c r="FH14" s="27"/>
      <c r="FI14" s="27"/>
      <c r="FJ14" s="27"/>
      <c r="FK14" s="27"/>
      <c r="FL14" s="27"/>
      <c r="FM14" s="27"/>
      <c r="FN14" s="27"/>
      <c r="FO14" s="27"/>
      <c r="FP14" s="27"/>
      <c r="FQ14" s="27"/>
      <c r="FR14" s="27"/>
      <c r="FS14" s="27"/>
      <c r="FT14" s="27"/>
      <c r="FU14" s="27"/>
      <c r="FV14" s="27"/>
      <c r="FW14" s="27"/>
      <c r="FX14" s="27"/>
      <c r="FY14" s="27"/>
      <c r="FZ14" s="27"/>
      <c r="GA14" s="27"/>
      <c r="GB14" s="27"/>
      <c r="GC14" s="27"/>
      <c r="GD14" s="27"/>
      <c r="GE14" s="27"/>
      <c r="GF14" s="27"/>
      <c r="GG14" s="27"/>
      <c r="GH14" s="27"/>
      <c r="GI14" s="27"/>
      <c r="GJ14" s="27"/>
      <c r="GK14" s="27"/>
      <c r="GL14" s="27"/>
      <c r="GM14" s="27"/>
      <c r="GN14" s="27"/>
      <c r="GO14" s="27"/>
      <c r="GP14" s="27"/>
      <c r="GQ14" s="27"/>
      <c r="GR14" s="27"/>
      <c r="GS14" s="27"/>
      <c r="GT14" s="27"/>
      <c r="GU14" s="27"/>
      <c r="GV14" s="27"/>
      <c r="GW14" s="27"/>
      <c r="GX14" s="27"/>
      <c r="GY14" s="27"/>
      <c r="GZ14" s="27"/>
      <c r="HA14" s="27"/>
      <c r="HB14" s="27"/>
      <c r="HC14" s="27"/>
      <c r="HD14" s="27"/>
      <c r="HE14" s="27"/>
      <c r="HF14" s="27"/>
      <c r="HG14" s="27"/>
      <c r="HH14" s="27"/>
      <c r="HI14" s="27"/>
      <c r="HJ14" s="27"/>
      <c r="HK14" s="27"/>
      <c r="HL14" s="27"/>
      <c r="HM14" s="27"/>
      <c r="HN14" s="27"/>
      <c r="HO14" s="27"/>
      <c r="HP14" s="27"/>
      <c r="HQ14" s="27"/>
      <c r="HR14" s="27"/>
      <c r="HS14" s="27"/>
      <c r="HT14" s="27"/>
      <c r="HU14" s="27"/>
      <c r="HV14" s="27"/>
      <c r="HW14" s="27"/>
      <c r="HX14" s="27"/>
      <c r="HY14" s="27"/>
    </row>
    <row r="15" s="6" customFormat="true" ht="15" hidden="false" customHeight="false" outlineLevel="0" collapsed="false">
      <c r="A15" s="17"/>
      <c r="B15" s="28" t="s">
        <v>18</v>
      </c>
      <c r="C15" s="19"/>
      <c r="D15" s="19"/>
      <c r="E15" s="20"/>
      <c r="F15" s="19"/>
      <c r="G15" s="21"/>
      <c r="H15" s="19"/>
      <c r="I15" s="31"/>
      <c r="J15" s="19"/>
      <c r="K15" s="19"/>
      <c r="L15" s="23"/>
      <c r="M15" s="29"/>
      <c r="N15" s="24"/>
      <c r="O15" s="30" t="n">
        <f aca="false">N15*J15</f>
        <v>0</v>
      </c>
      <c r="Q15" s="27"/>
      <c r="R15" s="27"/>
      <c r="S15" s="27"/>
      <c r="T15" s="27"/>
      <c r="U15" s="27"/>
      <c r="V15" s="27"/>
      <c r="W15" s="27"/>
      <c r="X15" s="27"/>
      <c r="Y15" s="27"/>
      <c r="Z15" s="27"/>
      <c r="AA15" s="27"/>
      <c r="AB15" s="27"/>
      <c r="AC15" s="27"/>
      <c r="AD15" s="27"/>
      <c r="AE15" s="27"/>
      <c r="AF15" s="27"/>
      <c r="AG15" s="27"/>
      <c r="AH15" s="27"/>
      <c r="AI15" s="27"/>
      <c r="AJ15" s="27"/>
      <c r="AK15" s="27"/>
      <c r="AL15" s="27"/>
      <c r="AM15" s="27"/>
      <c r="AN15" s="27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  <c r="BH15" s="27"/>
      <c r="BI15" s="27"/>
      <c r="BJ15" s="27"/>
      <c r="BK15" s="27"/>
      <c r="BL15" s="27"/>
      <c r="BM15" s="27"/>
      <c r="BN15" s="27"/>
      <c r="BO15" s="27"/>
      <c r="BP15" s="27"/>
      <c r="BQ15" s="27"/>
      <c r="BR15" s="27"/>
      <c r="BS15" s="27"/>
      <c r="BT15" s="27"/>
      <c r="BU15" s="27"/>
      <c r="BV15" s="27"/>
      <c r="BW15" s="27"/>
      <c r="BX15" s="27"/>
      <c r="BY15" s="27"/>
      <c r="BZ15" s="27"/>
      <c r="CA15" s="27"/>
      <c r="CB15" s="27"/>
      <c r="CC15" s="27"/>
      <c r="CD15" s="27"/>
      <c r="CE15" s="27"/>
      <c r="CF15" s="27"/>
      <c r="CG15" s="27"/>
      <c r="CH15" s="27"/>
      <c r="CI15" s="27"/>
      <c r="CJ15" s="27"/>
      <c r="CK15" s="27"/>
      <c r="CL15" s="27"/>
      <c r="CM15" s="27"/>
      <c r="CN15" s="27"/>
      <c r="CO15" s="27"/>
      <c r="CP15" s="27"/>
      <c r="CQ15" s="27"/>
      <c r="CR15" s="27"/>
      <c r="CS15" s="27"/>
      <c r="CT15" s="27"/>
      <c r="CU15" s="27"/>
      <c r="CV15" s="27"/>
      <c r="CW15" s="27"/>
      <c r="CX15" s="27"/>
      <c r="CY15" s="27"/>
      <c r="CZ15" s="27"/>
      <c r="DA15" s="27"/>
      <c r="DB15" s="27"/>
      <c r="DC15" s="27"/>
      <c r="DD15" s="27"/>
      <c r="DE15" s="27"/>
      <c r="DF15" s="27"/>
      <c r="DG15" s="27"/>
      <c r="DH15" s="27"/>
      <c r="DI15" s="27"/>
      <c r="DJ15" s="27"/>
      <c r="DK15" s="27"/>
      <c r="DL15" s="27"/>
      <c r="DM15" s="27"/>
      <c r="DN15" s="27"/>
      <c r="DO15" s="27"/>
      <c r="DP15" s="27"/>
      <c r="DQ15" s="27"/>
      <c r="DR15" s="27"/>
      <c r="DS15" s="27"/>
      <c r="DT15" s="27"/>
      <c r="DU15" s="27"/>
      <c r="DV15" s="27"/>
      <c r="DW15" s="27"/>
      <c r="DX15" s="27"/>
      <c r="DY15" s="27"/>
      <c r="DZ15" s="27"/>
      <c r="EA15" s="27"/>
      <c r="EB15" s="27"/>
      <c r="EC15" s="27"/>
      <c r="ED15" s="27"/>
      <c r="EE15" s="27"/>
      <c r="EF15" s="27"/>
      <c r="EG15" s="27"/>
      <c r="EH15" s="27"/>
      <c r="EI15" s="27"/>
      <c r="EJ15" s="27"/>
      <c r="EK15" s="27"/>
      <c r="EL15" s="27"/>
      <c r="EM15" s="27"/>
      <c r="EN15" s="27"/>
      <c r="EO15" s="27"/>
      <c r="EP15" s="27"/>
      <c r="EQ15" s="27"/>
      <c r="ER15" s="27"/>
      <c r="ES15" s="27"/>
      <c r="ET15" s="27"/>
      <c r="EU15" s="27"/>
      <c r="EV15" s="27"/>
      <c r="EW15" s="27"/>
      <c r="EX15" s="27"/>
      <c r="EY15" s="27"/>
      <c r="EZ15" s="27"/>
      <c r="FA15" s="27"/>
      <c r="FB15" s="27"/>
      <c r="FC15" s="27"/>
      <c r="FD15" s="27"/>
      <c r="FE15" s="27"/>
      <c r="FF15" s="27"/>
      <c r="FG15" s="27"/>
      <c r="FH15" s="27"/>
      <c r="FI15" s="27"/>
      <c r="FJ15" s="27"/>
      <c r="FK15" s="27"/>
      <c r="FL15" s="27"/>
      <c r="FM15" s="27"/>
      <c r="FN15" s="27"/>
      <c r="FO15" s="27"/>
      <c r="FP15" s="27"/>
      <c r="FQ15" s="27"/>
      <c r="FR15" s="27"/>
      <c r="FS15" s="27"/>
      <c r="FT15" s="27"/>
      <c r="FU15" s="27"/>
      <c r="FV15" s="27"/>
      <c r="FW15" s="27"/>
      <c r="FX15" s="27"/>
      <c r="FY15" s="27"/>
      <c r="FZ15" s="27"/>
      <c r="GA15" s="27"/>
      <c r="GB15" s="27"/>
      <c r="GC15" s="27"/>
      <c r="GD15" s="27"/>
      <c r="GE15" s="27"/>
      <c r="GF15" s="27"/>
      <c r="GG15" s="27"/>
      <c r="GH15" s="27"/>
      <c r="GI15" s="27"/>
      <c r="GJ15" s="27"/>
      <c r="GK15" s="27"/>
      <c r="GL15" s="27"/>
      <c r="GM15" s="27"/>
      <c r="GN15" s="27"/>
      <c r="GO15" s="27"/>
      <c r="GP15" s="27"/>
      <c r="GQ15" s="27"/>
      <c r="GR15" s="27"/>
      <c r="GS15" s="27"/>
      <c r="GT15" s="27"/>
      <c r="GU15" s="27"/>
      <c r="GV15" s="27"/>
      <c r="GW15" s="27"/>
      <c r="GX15" s="27"/>
      <c r="GY15" s="27"/>
      <c r="GZ15" s="27"/>
      <c r="HA15" s="27"/>
      <c r="HB15" s="27"/>
      <c r="HC15" s="27"/>
      <c r="HD15" s="27"/>
      <c r="HE15" s="27"/>
      <c r="HF15" s="27"/>
      <c r="HG15" s="27"/>
      <c r="HH15" s="27"/>
      <c r="HI15" s="27"/>
      <c r="HJ15" s="27"/>
      <c r="HK15" s="27"/>
      <c r="HL15" s="27"/>
      <c r="HM15" s="27"/>
      <c r="HN15" s="27"/>
      <c r="HO15" s="27"/>
      <c r="HP15" s="27"/>
      <c r="HQ15" s="27"/>
      <c r="HR15" s="27"/>
      <c r="HS15" s="27"/>
      <c r="HT15" s="27"/>
      <c r="HU15" s="27"/>
      <c r="HV15" s="27"/>
      <c r="HW15" s="27"/>
      <c r="HX15" s="27"/>
      <c r="HY15" s="27"/>
    </row>
    <row r="16" s="6" customFormat="true" ht="15" hidden="false" customHeight="false" outlineLevel="0" collapsed="false">
      <c r="A16" s="17"/>
      <c r="B16" s="28" t="s">
        <v>18</v>
      </c>
      <c r="C16" s="19"/>
      <c r="D16" s="19"/>
      <c r="E16" s="20"/>
      <c r="F16" s="19"/>
      <c r="G16" s="21"/>
      <c r="H16" s="19"/>
      <c r="I16" s="31"/>
      <c r="J16" s="19"/>
      <c r="K16" s="19"/>
      <c r="L16" s="23"/>
      <c r="M16" s="29"/>
      <c r="N16" s="24"/>
      <c r="O16" s="30" t="n">
        <f aca="false">N16*J16</f>
        <v>0</v>
      </c>
      <c r="Q16" s="27"/>
      <c r="R16" s="27"/>
      <c r="S16" s="27"/>
      <c r="T16" s="27"/>
      <c r="U16" s="27"/>
      <c r="V16" s="27"/>
      <c r="W16" s="27"/>
      <c r="X16" s="27"/>
      <c r="Y16" s="27"/>
      <c r="Z16" s="27"/>
      <c r="AA16" s="27"/>
      <c r="AB16" s="27"/>
      <c r="AC16" s="27"/>
      <c r="AD16" s="27"/>
      <c r="AE16" s="27"/>
      <c r="AF16" s="27"/>
      <c r="AG16" s="27"/>
      <c r="AH16" s="27"/>
      <c r="AI16" s="27"/>
      <c r="AJ16" s="27"/>
      <c r="AK16" s="27"/>
      <c r="AL16" s="27"/>
      <c r="AM16" s="27"/>
      <c r="AN16" s="27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27"/>
      <c r="BN16" s="27"/>
      <c r="BO16" s="27"/>
      <c r="BP16" s="27"/>
      <c r="BQ16" s="27"/>
      <c r="BR16" s="27"/>
      <c r="BS16" s="27"/>
      <c r="BT16" s="27"/>
      <c r="BU16" s="27"/>
      <c r="BV16" s="27"/>
      <c r="BW16" s="27"/>
      <c r="BX16" s="27"/>
      <c r="BY16" s="27"/>
      <c r="BZ16" s="27"/>
      <c r="CA16" s="27"/>
      <c r="CB16" s="27"/>
      <c r="CC16" s="27"/>
      <c r="CD16" s="27"/>
      <c r="CE16" s="27"/>
      <c r="CF16" s="27"/>
      <c r="CG16" s="27"/>
      <c r="CH16" s="27"/>
      <c r="CI16" s="27"/>
      <c r="CJ16" s="27"/>
      <c r="CK16" s="27"/>
      <c r="CL16" s="27"/>
      <c r="CM16" s="27"/>
      <c r="CN16" s="27"/>
      <c r="CO16" s="27"/>
      <c r="CP16" s="27"/>
      <c r="CQ16" s="27"/>
      <c r="CR16" s="27"/>
      <c r="CS16" s="27"/>
      <c r="CT16" s="27"/>
      <c r="CU16" s="27"/>
      <c r="CV16" s="27"/>
      <c r="CW16" s="27"/>
      <c r="CX16" s="27"/>
      <c r="CY16" s="27"/>
      <c r="CZ16" s="27"/>
      <c r="DA16" s="27"/>
      <c r="DB16" s="27"/>
      <c r="DC16" s="27"/>
      <c r="DD16" s="27"/>
      <c r="DE16" s="27"/>
      <c r="DF16" s="27"/>
      <c r="DG16" s="27"/>
      <c r="DH16" s="27"/>
      <c r="DI16" s="27"/>
      <c r="DJ16" s="27"/>
      <c r="DK16" s="27"/>
      <c r="DL16" s="27"/>
      <c r="DM16" s="27"/>
      <c r="DN16" s="27"/>
      <c r="DO16" s="27"/>
      <c r="DP16" s="27"/>
      <c r="DQ16" s="27"/>
      <c r="DR16" s="27"/>
      <c r="DS16" s="27"/>
      <c r="DT16" s="27"/>
      <c r="DU16" s="27"/>
      <c r="DV16" s="27"/>
      <c r="DW16" s="27"/>
      <c r="DX16" s="27"/>
      <c r="DY16" s="27"/>
      <c r="DZ16" s="27"/>
      <c r="EA16" s="27"/>
      <c r="EB16" s="27"/>
      <c r="EC16" s="27"/>
      <c r="ED16" s="27"/>
      <c r="EE16" s="27"/>
      <c r="EF16" s="27"/>
      <c r="EG16" s="27"/>
      <c r="EH16" s="27"/>
      <c r="EI16" s="27"/>
      <c r="EJ16" s="27"/>
      <c r="EK16" s="27"/>
      <c r="EL16" s="27"/>
      <c r="EM16" s="27"/>
      <c r="EN16" s="27"/>
      <c r="EO16" s="27"/>
      <c r="EP16" s="27"/>
      <c r="EQ16" s="27"/>
      <c r="ER16" s="27"/>
      <c r="ES16" s="27"/>
      <c r="ET16" s="27"/>
      <c r="EU16" s="27"/>
      <c r="EV16" s="27"/>
      <c r="EW16" s="27"/>
      <c r="EX16" s="27"/>
      <c r="EY16" s="27"/>
      <c r="EZ16" s="27"/>
      <c r="FA16" s="27"/>
      <c r="FB16" s="27"/>
      <c r="FC16" s="27"/>
      <c r="FD16" s="27"/>
      <c r="FE16" s="27"/>
      <c r="FF16" s="27"/>
      <c r="FG16" s="27"/>
      <c r="FH16" s="27"/>
      <c r="FI16" s="27"/>
      <c r="FJ16" s="27"/>
      <c r="FK16" s="27"/>
      <c r="FL16" s="27"/>
      <c r="FM16" s="27"/>
      <c r="FN16" s="27"/>
      <c r="FO16" s="27"/>
      <c r="FP16" s="27"/>
      <c r="FQ16" s="27"/>
      <c r="FR16" s="27"/>
      <c r="FS16" s="27"/>
      <c r="FT16" s="27"/>
      <c r="FU16" s="27"/>
      <c r="FV16" s="27"/>
      <c r="FW16" s="27"/>
      <c r="FX16" s="27"/>
      <c r="FY16" s="27"/>
      <c r="FZ16" s="27"/>
      <c r="GA16" s="27"/>
      <c r="GB16" s="27"/>
      <c r="GC16" s="27"/>
      <c r="GD16" s="27"/>
      <c r="GE16" s="27"/>
      <c r="GF16" s="27"/>
      <c r="GG16" s="27"/>
      <c r="GH16" s="27"/>
      <c r="GI16" s="27"/>
      <c r="GJ16" s="27"/>
      <c r="GK16" s="27"/>
      <c r="GL16" s="27"/>
      <c r="GM16" s="27"/>
      <c r="GN16" s="27"/>
      <c r="GO16" s="27"/>
      <c r="GP16" s="27"/>
      <c r="GQ16" s="27"/>
      <c r="GR16" s="27"/>
      <c r="GS16" s="27"/>
      <c r="GT16" s="27"/>
      <c r="GU16" s="27"/>
      <c r="GV16" s="27"/>
      <c r="GW16" s="27"/>
      <c r="GX16" s="27"/>
      <c r="GY16" s="27"/>
      <c r="GZ16" s="27"/>
      <c r="HA16" s="27"/>
      <c r="HB16" s="27"/>
      <c r="HC16" s="27"/>
      <c r="HD16" s="27"/>
      <c r="HE16" s="27"/>
      <c r="HF16" s="27"/>
      <c r="HG16" s="27"/>
      <c r="HH16" s="27"/>
      <c r="HI16" s="27"/>
      <c r="HJ16" s="27"/>
      <c r="HK16" s="27"/>
      <c r="HL16" s="27"/>
      <c r="HM16" s="27"/>
      <c r="HN16" s="27"/>
      <c r="HO16" s="27"/>
      <c r="HP16" s="27"/>
      <c r="HQ16" s="27"/>
      <c r="HR16" s="27"/>
      <c r="HS16" s="27"/>
      <c r="HT16" s="27"/>
      <c r="HU16" s="27"/>
      <c r="HV16" s="27"/>
      <c r="HW16" s="27"/>
      <c r="HX16" s="27"/>
      <c r="HY16" s="27"/>
    </row>
    <row r="17" s="6" customFormat="true" ht="15" hidden="false" customHeight="false" outlineLevel="0" collapsed="false">
      <c r="A17" s="17"/>
      <c r="B17" s="28" t="s">
        <v>18</v>
      </c>
      <c r="C17" s="19"/>
      <c r="D17" s="19"/>
      <c r="E17" s="20"/>
      <c r="F17" s="19"/>
      <c r="G17" s="21"/>
      <c r="H17" s="19"/>
      <c r="I17" s="31"/>
      <c r="J17" s="19"/>
      <c r="K17" s="19"/>
      <c r="L17" s="23"/>
      <c r="M17" s="29"/>
      <c r="N17" s="24"/>
      <c r="O17" s="30" t="n">
        <f aca="false">N17*J17</f>
        <v>0</v>
      </c>
      <c r="Q17" s="27"/>
      <c r="R17" s="27"/>
      <c r="S17" s="27"/>
      <c r="T17" s="27"/>
      <c r="U17" s="27"/>
      <c r="V17" s="27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7"/>
      <c r="BR17" s="27"/>
      <c r="BS17" s="27"/>
      <c r="BT17" s="27"/>
      <c r="BU17" s="27"/>
      <c r="BV17" s="27"/>
      <c r="BW17" s="27"/>
      <c r="BX17" s="27"/>
      <c r="BY17" s="27"/>
      <c r="BZ17" s="27"/>
      <c r="CA17" s="27"/>
      <c r="CB17" s="27"/>
      <c r="CC17" s="27"/>
      <c r="CD17" s="27"/>
      <c r="CE17" s="27"/>
      <c r="CF17" s="27"/>
      <c r="CG17" s="27"/>
      <c r="CH17" s="27"/>
      <c r="CI17" s="27"/>
      <c r="CJ17" s="27"/>
      <c r="CK17" s="27"/>
      <c r="CL17" s="27"/>
      <c r="CM17" s="27"/>
      <c r="CN17" s="27"/>
      <c r="CO17" s="27"/>
      <c r="CP17" s="27"/>
      <c r="CQ17" s="27"/>
      <c r="CR17" s="27"/>
      <c r="CS17" s="27"/>
      <c r="CT17" s="27"/>
      <c r="CU17" s="27"/>
      <c r="CV17" s="27"/>
      <c r="CW17" s="27"/>
      <c r="CX17" s="27"/>
      <c r="CY17" s="27"/>
      <c r="CZ17" s="27"/>
      <c r="DA17" s="27"/>
      <c r="DB17" s="27"/>
      <c r="DC17" s="27"/>
      <c r="DD17" s="27"/>
      <c r="DE17" s="27"/>
      <c r="DF17" s="27"/>
      <c r="DG17" s="27"/>
      <c r="DH17" s="27"/>
      <c r="DI17" s="27"/>
      <c r="DJ17" s="27"/>
      <c r="DK17" s="27"/>
      <c r="DL17" s="27"/>
      <c r="DM17" s="27"/>
      <c r="DN17" s="27"/>
      <c r="DO17" s="27"/>
      <c r="DP17" s="27"/>
      <c r="DQ17" s="27"/>
      <c r="DR17" s="27"/>
      <c r="DS17" s="27"/>
      <c r="DT17" s="27"/>
      <c r="DU17" s="27"/>
      <c r="DV17" s="27"/>
      <c r="DW17" s="27"/>
      <c r="DX17" s="27"/>
      <c r="DY17" s="27"/>
      <c r="DZ17" s="27"/>
      <c r="EA17" s="27"/>
      <c r="EB17" s="27"/>
      <c r="EC17" s="27"/>
      <c r="ED17" s="27"/>
      <c r="EE17" s="27"/>
      <c r="EF17" s="27"/>
      <c r="EG17" s="27"/>
      <c r="EH17" s="27"/>
      <c r="EI17" s="27"/>
      <c r="EJ17" s="27"/>
      <c r="EK17" s="27"/>
      <c r="EL17" s="27"/>
      <c r="EM17" s="27"/>
      <c r="EN17" s="27"/>
      <c r="EO17" s="27"/>
      <c r="EP17" s="27"/>
      <c r="EQ17" s="27"/>
      <c r="ER17" s="27"/>
      <c r="ES17" s="27"/>
      <c r="ET17" s="27"/>
      <c r="EU17" s="27"/>
      <c r="EV17" s="27"/>
      <c r="EW17" s="27"/>
      <c r="EX17" s="27"/>
      <c r="EY17" s="27"/>
      <c r="EZ17" s="27"/>
      <c r="FA17" s="27"/>
      <c r="FB17" s="27"/>
      <c r="FC17" s="27"/>
      <c r="FD17" s="27"/>
      <c r="FE17" s="27"/>
      <c r="FF17" s="27"/>
      <c r="FG17" s="27"/>
      <c r="FH17" s="27"/>
      <c r="FI17" s="27"/>
      <c r="FJ17" s="27"/>
      <c r="FK17" s="27"/>
      <c r="FL17" s="27"/>
      <c r="FM17" s="27"/>
      <c r="FN17" s="27"/>
      <c r="FO17" s="27"/>
      <c r="FP17" s="27"/>
      <c r="FQ17" s="27"/>
      <c r="FR17" s="27"/>
      <c r="FS17" s="27"/>
      <c r="FT17" s="27"/>
      <c r="FU17" s="27"/>
      <c r="FV17" s="27"/>
      <c r="FW17" s="27"/>
      <c r="FX17" s="27"/>
      <c r="FY17" s="27"/>
      <c r="FZ17" s="27"/>
      <c r="GA17" s="27"/>
      <c r="GB17" s="27"/>
      <c r="GC17" s="27"/>
      <c r="GD17" s="27"/>
      <c r="GE17" s="27"/>
      <c r="GF17" s="27"/>
      <c r="GG17" s="27"/>
      <c r="GH17" s="27"/>
      <c r="GI17" s="27"/>
      <c r="GJ17" s="27"/>
      <c r="GK17" s="27"/>
      <c r="GL17" s="27"/>
      <c r="GM17" s="27"/>
      <c r="GN17" s="27"/>
      <c r="GO17" s="27"/>
      <c r="GP17" s="27"/>
      <c r="GQ17" s="27"/>
      <c r="GR17" s="27"/>
      <c r="GS17" s="27"/>
      <c r="GT17" s="27"/>
      <c r="GU17" s="27"/>
      <c r="GV17" s="27"/>
      <c r="GW17" s="27"/>
      <c r="GX17" s="27"/>
      <c r="GY17" s="27"/>
      <c r="GZ17" s="27"/>
      <c r="HA17" s="27"/>
      <c r="HB17" s="27"/>
      <c r="HC17" s="27"/>
      <c r="HD17" s="27"/>
      <c r="HE17" s="27"/>
      <c r="HF17" s="27"/>
      <c r="HG17" s="27"/>
      <c r="HH17" s="27"/>
      <c r="HI17" s="27"/>
      <c r="HJ17" s="27"/>
      <c r="HK17" s="27"/>
      <c r="HL17" s="27"/>
      <c r="HM17" s="27"/>
      <c r="HN17" s="27"/>
      <c r="HO17" s="27"/>
      <c r="HP17" s="27"/>
      <c r="HQ17" s="27"/>
      <c r="HR17" s="27"/>
      <c r="HS17" s="27"/>
      <c r="HT17" s="27"/>
      <c r="HU17" s="27"/>
      <c r="HV17" s="27"/>
      <c r="HW17" s="27"/>
      <c r="HX17" s="27"/>
      <c r="HY17" s="27"/>
    </row>
    <row r="18" s="6" customFormat="true" ht="15" hidden="false" customHeight="false" outlineLevel="0" collapsed="false">
      <c r="A18" s="17"/>
      <c r="B18" s="28" t="s">
        <v>18</v>
      </c>
      <c r="C18" s="19"/>
      <c r="D18" s="19"/>
      <c r="E18" s="20"/>
      <c r="F18" s="19"/>
      <c r="G18" s="21"/>
      <c r="H18" s="19"/>
      <c r="I18" s="31"/>
      <c r="J18" s="19"/>
      <c r="K18" s="19"/>
      <c r="L18" s="23"/>
      <c r="M18" s="29"/>
      <c r="N18" s="24"/>
      <c r="O18" s="30" t="n">
        <f aca="false">N18*J18</f>
        <v>0</v>
      </c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27"/>
      <c r="BN18" s="27"/>
      <c r="BO18" s="27"/>
      <c r="BP18" s="27"/>
      <c r="BQ18" s="27"/>
      <c r="BR18" s="27"/>
      <c r="BS18" s="27"/>
      <c r="BT18" s="27"/>
      <c r="BU18" s="27"/>
      <c r="BV18" s="27"/>
      <c r="BW18" s="27"/>
      <c r="BX18" s="27"/>
      <c r="BY18" s="27"/>
      <c r="BZ18" s="27"/>
      <c r="CA18" s="27"/>
      <c r="CB18" s="27"/>
      <c r="CC18" s="27"/>
      <c r="CD18" s="27"/>
      <c r="CE18" s="27"/>
      <c r="CF18" s="27"/>
      <c r="CG18" s="27"/>
      <c r="CH18" s="27"/>
      <c r="CI18" s="27"/>
      <c r="CJ18" s="27"/>
      <c r="CK18" s="27"/>
      <c r="CL18" s="27"/>
      <c r="CM18" s="27"/>
      <c r="CN18" s="27"/>
      <c r="CO18" s="27"/>
      <c r="CP18" s="27"/>
      <c r="CQ18" s="27"/>
      <c r="CR18" s="27"/>
      <c r="CS18" s="27"/>
      <c r="CT18" s="27"/>
      <c r="CU18" s="27"/>
      <c r="CV18" s="27"/>
      <c r="CW18" s="27"/>
      <c r="CX18" s="27"/>
      <c r="CY18" s="27"/>
      <c r="CZ18" s="27"/>
      <c r="DA18" s="27"/>
      <c r="DB18" s="27"/>
      <c r="DC18" s="27"/>
      <c r="DD18" s="27"/>
      <c r="DE18" s="27"/>
      <c r="DF18" s="27"/>
      <c r="DG18" s="27"/>
      <c r="DH18" s="27"/>
      <c r="DI18" s="27"/>
      <c r="DJ18" s="27"/>
      <c r="DK18" s="27"/>
      <c r="DL18" s="27"/>
      <c r="DM18" s="27"/>
      <c r="DN18" s="27"/>
      <c r="DO18" s="27"/>
      <c r="DP18" s="27"/>
      <c r="DQ18" s="27"/>
      <c r="DR18" s="27"/>
      <c r="DS18" s="27"/>
      <c r="DT18" s="27"/>
      <c r="DU18" s="27"/>
      <c r="DV18" s="27"/>
      <c r="DW18" s="27"/>
      <c r="DX18" s="27"/>
      <c r="DY18" s="27"/>
      <c r="DZ18" s="27"/>
      <c r="EA18" s="27"/>
      <c r="EB18" s="27"/>
      <c r="EC18" s="27"/>
      <c r="ED18" s="27"/>
      <c r="EE18" s="27"/>
      <c r="EF18" s="27"/>
      <c r="EG18" s="27"/>
      <c r="EH18" s="27"/>
      <c r="EI18" s="27"/>
      <c r="EJ18" s="27"/>
      <c r="EK18" s="27"/>
      <c r="EL18" s="27"/>
      <c r="EM18" s="27"/>
      <c r="EN18" s="27"/>
      <c r="EO18" s="27"/>
      <c r="EP18" s="27"/>
      <c r="EQ18" s="27"/>
      <c r="ER18" s="27"/>
      <c r="ES18" s="27"/>
      <c r="ET18" s="27"/>
      <c r="EU18" s="27"/>
      <c r="EV18" s="27"/>
      <c r="EW18" s="27"/>
      <c r="EX18" s="27"/>
      <c r="EY18" s="27"/>
      <c r="EZ18" s="27"/>
      <c r="FA18" s="27"/>
      <c r="FB18" s="27"/>
      <c r="FC18" s="27"/>
      <c r="FD18" s="27"/>
      <c r="FE18" s="27"/>
      <c r="FF18" s="27"/>
      <c r="FG18" s="27"/>
      <c r="FH18" s="27"/>
      <c r="FI18" s="27"/>
      <c r="FJ18" s="27"/>
      <c r="FK18" s="27"/>
      <c r="FL18" s="27"/>
      <c r="FM18" s="27"/>
      <c r="FN18" s="27"/>
      <c r="FO18" s="27"/>
      <c r="FP18" s="27"/>
      <c r="FQ18" s="27"/>
      <c r="FR18" s="27"/>
      <c r="FS18" s="27"/>
      <c r="FT18" s="27"/>
      <c r="FU18" s="27"/>
      <c r="FV18" s="27"/>
      <c r="FW18" s="27"/>
      <c r="FX18" s="27"/>
      <c r="FY18" s="27"/>
      <c r="FZ18" s="27"/>
      <c r="GA18" s="27"/>
      <c r="GB18" s="27"/>
      <c r="GC18" s="27"/>
      <c r="GD18" s="27"/>
      <c r="GE18" s="27"/>
      <c r="GF18" s="27"/>
      <c r="GG18" s="27"/>
      <c r="GH18" s="27"/>
      <c r="GI18" s="27"/>
      <c r="GJ18" s="27"/>
      <c r="GK18" s="27"/>
      <c r="GL18" s="27"/>
      <c r="GM18" s="27"/>
      <c r="GN18" s="27"/>
      <c r="GO18" s="27"/>
      <c r="GP18" s="27"/>
      <c r="GQ18" s="27"/>
      <c r="GR18" s="27"/>
      <c r="GS18" s="27"/>
      <c r="GT18" s="27"/>
      <c r="GU18" s="27"/>
      <c r="GV18" s="27"/>
      <c r="GW18" s="27"/>
      <c r="GX18" s="27"/>
      <c r="GY18" s="27"/>
      <c r="GZ18" s="27"/>
      <c r="HA18" s="27"/>
      <c r="HB18" s="27"/>
      <c r="HC18" s="27"/>
      <c r="HD18" s="27"/>
      <c r="HE18" s="27"/>
      <c r="HF18" s="27"/>
      <c r="HG18" s="27"/>
      <c r="HH18" s="27"/>
      <c r="HI18" s="27"/>
      <c r="HJ18" s="27"/>
      <c r="HK18" s="27"/>
      <c r="HL18" s="27"/>
      <c r="HM18" s="27"/>
      <c r="HN18" s="27"/>
      <c r="HO18" s="27"/>
      <c r="HP18" s="27"/>
      <c r="HQ18" s="27"/>
      <c r="HR18" s="27"/>
      <c r="HS18" s="27"/>
      <c r="HT18" s="27"/>
      <c r="HU18" s="27"/>
      <c r="HV18" s="27"/>
      <c r="HW18" s="27"/>
      <c r="HX18" s="27"/>
      <c r="HY18" s="27"/>
    </row>
    <row r="19" s="6" customFormat="true" ht="15" hidden="false" customHeight="false" outlineLevel="0" collapsed="false">
      <c r="A19" s="17"/>
      <c r="B19" s="28" t="s">
        <v>18</v>
      </c>
      <c r="C19" s="19"/>
      <c r="D19" s="19"/>
      <c r="E19" s="20"/>
      <c r="F19" s="19"/>
      <c r="G19" s="21"/>
      <c r="H19" s="19"/>
      <c r="I19" s="31"/>
      <c r="J19" s="19"/>
      <c r="K19" s="19"/>
      <c r="L19" s="23"/>
      <c r="M19" s="29"/>
      <c r="N19" s="24"/>
      <c r="O19" s="30" t="n">
        <f aca="false">N19*J19</f>
        <v>0</v>
      </c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  <c r="BR19" s="27"/>
      <c r="BS19" s="27"/>
      <c r="BT19" s="27"/>
      <c r="BU19" s="27"/>
      <c r="BV19" s="27"/>
      <c r="BW19" s="27"/>
      <c r="BX19" s="27"/>
      <c r="BY19" s="27"/>
      <c r="BZ19" s="27"/>
      <c r="CA19" s="27"/>
      <c r="CB19" s="27"/>
      <c r="CC19" s="27"/>
      <c r="CD19" s="27"/>
      <c r="CE19" s="27"/>
      <c r="CF19" s="27"/>
      <c r="CG19" s="27"/>
      <c r="CH19" s="27"/>
      <c r="CI19" s="27"/>
      <c r="CJ19" s="27"/>
      <c r="CK19" s="27"/>
      <c r="CL19" s="27"/>
      <c r="CM19" s="27"/>
      <c r="CN19" s="27"/>
      <c r="CO19" s="27"/>
      <c r="CP19" s="27"/>
      <c r="CQ19" s="27"/>
      <c r="CR19" s="27"/>
      <c r="CS19" s="27"/>
      <c r="CT19" s="27"/>
      <c r="CU19" s="27"/>
      <c r="CV19" s="27"/>
      <c r="CW19" s="27"/>
      <c r="CX19" s="27"/>
      <c r="CY19" s="27"/>
      <c r="CZ19" s="27"/>
      <c r="DA19" s="27"/>
      <c r="DB19" s="27"/>
      <c r="DC19" s="27"/>
      <c r="DD19" s="27"/>
      <c r="DE19" s="27"/>
      <c r="DF19" s="27"/>
      <c r="DG19" s="27"/>
      <c r="DH19" s="27"/>
      <c r="DI19" s="27"/>
      <c r="DJ19" s="27"/>
      <c r="DK19" s="27"/>
      <c r="DL19" s="27"/>
      <c r="DM19" s="27"/>
      <c r="DN19" s="27"/>
      <c r="DO19" s="27"/>
      <c r="DP19" s="27"/>
      <c r="DQ19" s="27"/>
      <c r="DR19" s="27"/>
      <c r="DS19" s="27"/>
      <c r="DT19" s="27"/>
      <c r="DU19" s="27"/>
      <c r="DV19" s="27"/>
      <c r="DW19" s="27"/>
      <c r="DX19" s="27"/>
      <c r="DY19" s="27"/>
      <c r="DZ19" s="27"/>
      <c r="EA19" s="27"/>
      <c r="EB19" s="27"/>
      <c r="EC19" s="27"/>
      <c r="ED19" s="27"/>
      <c r="EE19" s="27"/>
      <c r="EF19" s="27"/>
      <c r="EG19" s="27"/>
      <c r="EH19" s="27"/>
      <c r="EI19" s="27"/>
      <c r="EJ19" s="27"/>
      <c r="EK19" s="27"/>
      <c r="EL19" s="27"/>
      <c r="EM19" s="27"/>
      <c r="EN19" s="27"/>
      <c r="EO19" s="27"/>
      <c r="EP19" s="27"/>
      <c r="EQ19" s="27"/>
      <c r="ER19" s="27"/>
      <c r="ES19" s="27"/>
      <c r="ET19" s="27"/>
      <c r="EU19" s="27"/>
      <c r="EV19" s="27"/>
      <c r="EW19" s="27"/>
      <c r="EX19" s="27"/>
      <c r="EY19" s="27"/>
      <c r="EZ19" s="27"/>
      <c r="FA19" s="27"/>
      <c r="FB19" s="27"/>
      <c r="FC19" s="27"/>
      <c r="FD19" s="27"/>
      <c r="FE19" s="27"/>
      <c r="FF19" s="27"/>
      <c r="FG19" s="27"/>
      <c r="FH19" s="27"/>
      <c r="FI19" s="27"/>
      <c r="FJ19" s="27"/>
      <c r="FK19" s="27"/>
      <c r="FL19" s="27"/>
      <c r="FM19" s="27"/>
      <c r="FN19" s="27"/>
      <c r="FO19" s="27"/>
      <c r="FP19" s="27"/>
      <c r="FQ19" s="27"/>
      <c r="FR19" s="27"/>
      <c r="FS19" s="27"/>
      <c r="FT19" s="27"/>
      <c r="FU19" s="27"/>
      <c r="FV19" s="27"/>
      <c r="FW19" s="27"/>
      <c r="FX19" s="27"/>
      <c r="FY19" s="27"/>
      <c r="FZ19" s="27"/>
      <c r="GA19" s="27"/>
      <c r="GB19" s="27"/>
      <c r="GC19" s="27"/>
      <c r="GD19" s="27"/>
      <c r="GE19" s="27"/>
      <c r="GF19" s="27"/>
      <c r="GG19" s="27"/>
      <c r="GH19" s="27"/>
      <c r="GI19" s="27"/>
      <c r="GJ19" s="27"/>
      <c r="GK19" s="27"/>
      <c r="GL19" s="27"/>
      <c r="GM19" s="27"/>
      <c r="GN19" s="27"/>
      <c r="GO19" s="27"/>
      <c r="GP19" s="27"/>
      <c r="GQ19" s="27"/>
      <c r="GR19" s="27"/>
      <c r="GS19" s="27"/>
      <c r="GT19" s="27"/>
      <c r="GU19" s="27"/>
      <c r="GV19" s="27"/>
      <c r="GW19" s="27"/>
      <c r="GX19" s="27"/>
      <c r="GY19" s="27"/>
      <c r="GZ19" s="27"/>
      <c r="HA19" s="27"/>
      <c r="HB19" s="27"/>
      <c r="HC19" s="27"/>
      <c r="HD19" s="27"/>
      <c r="HE19" s="27"/>
      <c r="HF19" s="27"/>
      <c r="HG19" s="27"/>
      <c r="HH19" s="27"/>
      <c r="HI19" s="27"/>
      <c r="HJ19" s="27"/>
      <c r="HK19" s="27"/>
      <c r="HL19" s="27"/>
      <c r="HM19" s="27"/>
      <c r="HN19" s="27"/>
      <c r="HO19" s="27"/>
      <c r="HP19" s="27"/>
      <c r="HQ19" s="27"/>
      <c r="HR19" s="27"/>
      <c r="HS19" s="27"/>
      <c r="HT19" s="27"/>
      <c r="HU19" s="27"/>
      <c r="HV19" s="27"/>
      <c r="HW19" s="27"/>
      <c r="HX19" s="27"/>
      <c r="HY19" s="27"/>
    </row>
    <row r="20" s="6" customFormat="true" ht="15" hidden="false" customHeight="false" outlineLevel="0" collapsed="false">
      <c r="A20" s="17"/>
      <c r="B20" s="28" t="s">
        <v>18</v>
      </c>
      <c r="C20" s="19"/>
      <c r="D20" s="19"/>
      <c r="E20" s="20"/>
      <c r="F20" s="19"/>
      <c r="G20" s="21"/>
      <c r="H20" s="19"/>
      <c r="I20" s="31"/>
      <c r="J20" s="19"/>
      <c r="K20" s="19"/>
      <c r="L20" s="23"/>
      <c r="M20" s="29"/>
      <c r="N20" s="24"/>
      <c r="O20" s="30" t="n">
        <f aca="false">N20*J20</f>
        <v>0</v>
      </c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  <c r="BR20" s="27"/>
      <c r="BS20" s="27"/>
      <c r="BT20" s="27"/>
      <c r="BU20" s="27"/>
      <c r="BV20" s="27"/>
      <c r="BW20" s="27"/>
      <c r="BX20" s="27"/>
      <c r="BY20" s="27"/>
      <c r="BZ20" s="27"/>
      <c r="CA20" s="27"/>
      <c r="CB20" s="27"/>
      <c r="CC20" s="27"/>
      <c r="CD20" s="27"/>
      <c r="CE20" s="27"/>
      <c r="CF20" s="27"/>
      <c r="CG20" s="27"/>
      <c r="CH20" s="27"/>
      <c r="CI20" s="27"/>
      <c r="CJ20" s="27"/>
      <c r="CK20" s="27"/>
      <c r="CL20" s="27"/>
      <c r="CM20" s="27"/>
      <c r="CN20" s="27"/>
      <c r="CO20" s="27"/>
      <c r="CP20" s="27"/>
      <c r="CQ20" s="27"/>
      <c r="CR20" s="27"/>
      <c r="CS20" s="27"/>
      <c r="CT20" s="27"/>
      <c r="CU20" s="27"/>
      <c r="CV20" s="27"/>
      <c r="CW20" s="27"/>
      <c r="CX20" s="27"/>
      <c r="CY20" s="27"/>
      <c r="CZ20" s="27"/>
      <c r="DA20" s="27"/>
      <c r="DB20" s="27"/>
      <c r="DC20" s="27"/>
      <c r="DD20" s="27"/>
      <c r="DE20" s="27"/>
      <c r="DF20" s="27"/>
      <c r="DG20" s="27"/>
      <c r="DH20" s="27"/>
      <c r="DI20" s="27"/>
      <c r="DJ20" s="27"/>
      <c r="DK20" s="27"/>
      <c r="DL20" s="27"/>
      <c r="DM20" s="27"/>
      <c r="DN20" s="27"/>
      <c r="DO20" s="27"/>
      <c r="DP20" s="27"/>
      <c r="DQ20" s="27"/>
      <c r="DR20" s="27"/>
      <c r="DS20" s="27"/>
      <c r="DT20" s="27"/>
      <c r="DU20" s="27"/>
      <c r="DV20" s="27"/>
      <c r="DW20" s="27"/>
      <c r="DX20" s="27"/>
      <c r="DY20" s="27"/>
      <c r="DZ20" s="27"/>
      <c r="EA20" s="27"/>
      <c r="EB20" s="27"/>
      <c r="EC20" s="27"/>
      <c r="ED20" s="27"/>
      <c r="EE20" s="27"/>
      <c r="EF20" s="27"/>
      <c r="EG20" s="27"/>
      <c r="EH20" s="27"/>
      <c r="EI20" s="27"/>
      <c r="EJ20" s="27"/>
      <c r="EK20" s="27"/>
      <c r="EL20" s="27"/>
      <c r="EM20" s="27"/>
      <c r="EN20" s="27"/>
      <c r="EO20" s="27"/>
      <c r="EP20" s="27"/>
      <c r="EQ20" s="27"/>
      <c r="ER20" s="27"/>
      <c r="ES20" s="27"/>
      <c r="ET20" s="27"/>
      <c r="EU20" s="27"/>
      <c r="EV20" s="27"/>
      <c r="EW20" s="27"/>
      <c r="EX20" s="27"/>
      <c r="EY20" s="27"/>
      <c r="EZ20" s="27"/>
      <c r="FA20" s="27"/>
      <c r="FB20" s="27"/>
      <c r="FC20" s="27"/>
      <c r="FD20" s="27"/>
      <c r="FE20" s="27"/>
      <c r="FF20" s="27"/>
      <c r="FG20" s="27"/>
      <c r="FH20" s="27"/>
      <c r="FI20" s="27"/>
      <c r="FJ20" s="27"/>
      <c r="FK20" s="27"/>
      <c r="FL20" s="27"/>
      <c r="FM20" s="27"/>
      <c r="FN20" s="27"/>
      <c r="FO20" s="27"/>
      <c r="FP20" s="27"/>
      <c r="FQ20" s="27"/>
      <c r="FR20" s="27"/>
      <c r="FS20" s="27"/>
      <c r="FT20" s="27"/>
      <c r="FU20" s="27"/>
      <c r="FV20" s="27"/>
      <c r="FW20" s="27"/>
      <c r="FX20" s="27"/>
      <c r="FY20" s="27"/>
      <c r="FZ20" s="27"/>
      <c r="GA20" s="27"/>
      <c r="GB20" s="27"/>
      <c r="GC20" s="27"/>
      <c r="GD20" s="27"/>
      <c r="GE20" s="27"/>
      <c r="GF20" s="27"/>
      <c r="GG20" s="27"/>
      <c r="GH20" s="27"/>
      <c r="GI20" s="27"/>
      <c r="GJ20" s="27"/>
      <c r="GK20" s="27"/>
      <c r="GL20" s="27"/>
      <c r="GM20" s="27"/>
      <c r="GN20" s="27"/>
      <c r="GO20" s="27"/>
      <c r="GP20" s="27"/>
      <c r="GQ20" s="27"/>
      <c r="GR20" s="27"/>
      <c r="GS20" s="27"/>
      <c r="GT20" s="27"/>
      <c r="GU20" s="27"/>
      <c r="GV20" s="27"/>
      <c r="GW20" s="27"/>
      <c r="GX20" s="27"/>
      <c r="GY20" s="27"/>
      <c r="GZ20" s="27"/>
      <c r="HA20" s="27"/>
      <c r="HB20" s="27"/>
      <c r="HC20" s="27"/>
      <c r="HD20" s="27"/>
      <c r="HE20" s="27"/>
      <c r="HF20" s="27"/>
      <c r="HG20" s="27"/>
      <c r="HH20" s="27"/>
      <c r="HI20" s="27"/>
      <c r="HJ20" s="27"/>
      <c r="HK20" s="27"/>
      <c r="HL20" s="27"/>
      <c r="HM20" s="27"/>
      <c r="HN20" s="27"/>
      <c r="HO20" s="27"/>
      <c r="HP20" s="27"/>
      <c r="HQ20" s="27"/>
      <c r="HR20" s="27"/>
      <c r="HS20" s="27"/>
      <c r="HT20" s="27"/>
      <c r="HU20" s="27"/>
      <c r="HV20" s="27"/>
      <c r="HW20" s="27"/>
      <c r="HX20" s="27"/>
      <c r="HY20" s="27"/>
    </row>
    <row r="21" s="6" customFormat="true" ht="15" hidden="false" customHeight="false" outlineLevel="0" collapsed="false">
      <c r="A21" s="17"/>
      <c r="B21" s="28" t="s">
        <v>18</v>
      </c>
      <c r="C21" s="19"/>
      <c r="D21" s="19"/>
      <c r="E21" s="20"/>
      <c r="F21" s="19"/>
      <c r="G21" s="21"/>
      <c r="H21" s="19"/>
      <c r="I21" s="31"/>
      <c r="J21" s="19"/>
      <c r="K21" s="19"/>
      <c r="L21" s="23"/>
      <c r="M21" s="29"/>
      <c r="N21" s="24"/>
      <c r="O21" s="30" t="n">
        <f aca="false">N21*J21</f>
        <v>0</v>
      </c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  <c r="BR21" s="27"/>
      <c r="BS21" s="27"/>
      <c r="BT21" s="27"/>
      <c r="BU21" s="27"/>
      <c r="BV21" s="27"/>
      <c r="BW21" s="27"/>
      <c r="BX21" s="27"/>
      <c r="BY21" s="27"/>
      <c r="BZ21" s="27"/>
      <c r="CA21" s="27"/>
      <c r="CB21" s="27"/>
      <c r="CC21" s="27"/>
      <c r="CD21" s="27"/>
      <c r="CE21" s="27"/>
      <c r="CF21" s="27"/>
      <c r="CG21" s="27"/>
      <c r="CH21" s="27"/>
      <c r="CI21" s="27"/>
      <c r="CJ21" s="27"/>
      <c r="CK21" s="27"/>
      <c r="CL21" s="27"/>
      <c r="CM21" s="27"/>
      <c r="CN21" s="27"/>
      <c r="CO21" s="27"/>
      <c r="CP21" s="27"/>
      <c r="CQ21" s="27"/>
      <c r="CR21" s="27"/>
      <c r="CS21" s="27"/>
      <c r="CT21" s="27"/>
      <c r="CU21" s="27"/>
      <c r="CV21" s="27"/>
      <c r="CW21" s="27"/>
      <c r="CX21" s="27"/>
      <c r="CY21" s="27"/>
      <c r="CZ21" s="27"/>
      <c r="DA21" s="27"/>
      <c r="DB21" s="27"/>
      <c r="DC21" s="27"/>
      <c r="DD21" s="27"/>
      <c r="DE21" s="27"/>
      <c r="DF21" s="27"/>
      <c r="DG21" s="27"/>
      <c r="DH21" s="27"/>
      <c r="DI21" s="27"/>
      <c r="DJ21" s="27"/>
      <c r="DK21" s="27"/>
      <c r="DL21" s="27"/>
      <c r="DM21" s="27"/>
      <c r="DN21" s="27"/>
      <c r="DO21" s="27"/>
      <c r="DP21" s="27"/>
      <c r="DQ21" s="27"/>
      <c r="DR21" s="27"/>
      <c r="DS21" s="27"/>
      <c r="DT21" s="27"/>
      <c r="DU21" s="27"/>
      <c r="DV21" s="27"/>
      <c r="DW21" s="27"/>
      <c r="DX21" s="27"/>
      <c r="DY21" s="27"/>
      <c r="DZ21" s="27"/>
      <c r="EA21" s="27"/>
      <c r="EB21" s="27"/>
      <c r="EC21" s="27"/>
      <c r="ED21" s="27"/>
      <c r="EE21" s="27"/>
      <c r="EF21" s="27"/>
      <c r="EG21" s="27"/>
      <c r="EH21" s="27"/>
      <c r="EI21" s="27"/>
      <c r="EJ21" s="27"/>
      <c r="EK21" s="27"/>
      <c r="EL21" s="27"/>
      <c r="EM21" s="27"/>
      <c r="EN21" s="27"/>
      <c r="EO21" s="27"/>
      <c r="EP21" s="27"/>
      <c r="EQ21" s="27"/>
      <c r="ER21" s="27"/>
      <c r="ES21" s="27"/>
      <c r="ET21" s="27"/>
      <c r="EU21" s="27"/>
      <c r="EV21" s="27"/>
      <c r="EW21" s="27"/>
      <c r="EX21" s="27"/>
      <c r="EY21" s="27"/>
      <c r="EZ21" s="27"/>
      <c r="FA21" s="27"/>
      <c r="FB21" s="27"/>
      <c r="FC21" s="27"/>
      <c r="FD21" s="27"/>
      <c r="FE21" s="27"/>
      <c r="FF21" s="27"/>
      <c r="FG21" s="27"/>
      <c r="FH21" s="27"/>
      <c r="FI21" s="27"/>
      <c r="FJ21" s="27"/>
      <c r="FK21" s="27"/>
      <c r="FL21" s="27"/>
      <c r="FM21" s="27"/>
      <c r="FN21" s="27"/>
      <c r="FO21" s="27"/>
      <c r="FP21" s="27"/>
      <c r="FQ21" s="27"/>
      <c r="FR21" s="27"/>
      <c r="FS21" s="27"/>
      <c r="FT21" s="27"/>
      <c r="FU21" s="27"/>
      <c r="FV21" s="27"/>
      <c r="FW21" s="27"/>
      <c r="FX21" s="27"/>
      <c r="FY21" s="27"/>
      <c r="FZ21" s="27"/>
      <c r="GA21" s="27"/>
      <c r="GB21" s="27"/>
      <c r="GC21" s="27"/>
      <c r="GD21" s="27"/>
      <c r="GE21" s="27"/>
      <c r="GF21" s="27"/>
      <c r="GG21" s="27"/>
      <c r="GH21" s="27"/>
      <c r="GI21" s="27"/>
      <c r="GJ21" s="27"/>
      <c r="GK21" s="27"/>
      <c r="GL21" s="27"/>
      <c r="GM21" s="27"/>
      <c r="GN21" s="27"/>
      <c r="GO21" s="27"/>
      <c r="GP21" s="27"/>
      <c r="GQ21" s="27"/>
      <c r="GR21" s="27"/>
      <c r="GS21" s="27"/>
      <c r="GT21" s="27"/>
      <c r="GU21" s="27"/>
      <c r="GV21" s="27"/>
      <c r="GW21" s="27"/>
      <c r="GX21" s="27"/>
      <c r="GY21" s="27"/>
      <c r="GZ21" s="27"/>
      <c r="HA21" s="27"/>
      <c r="HB21" s="27"/>
      <c r="HC21" s="27"/>
      <c r="HD21" s="27"/>
      <c r="HE21" s="27"/>
      <c r="HF21" s="27"/>
      <c r="HG21" s="27"/>
      <c r="HH21" s="27"/>
      <c r="HI21" s="27"/>
      <c r="HJ21" s="27"/>
      <c r="HK21" s="27"/>
      <c r="HL21" s="27"/>
      <c r="HM21" s="27"/>
      <c r="HN21" s="27"/>
      <c r="HO21" s="27"/>
      <c r="HP21" s="27"/>
      <c r="HQ21" s="27"/>
      <c r="HR21" s="27"/>
      <c r="HS21" s="27"/>
      <c r="HT21" s="27"/>
      <c r="HU21" s="27"/>
      <c r="HV21" s="27"/>
      <c r="HW21" s="27"/>
      <c r="HX21" s="27"/>
      <c r="HY21" s="27"/>
    </row>
    <row r="22" s="6" customFormat="true" ht="15" hidden="false" customHeight="false" outlineLevel="0" collapsed="false">
      <c r="A22" s="17"/>
      <c r="B22" s="18" t="s">
        <v>18</v>
      </c>
      <c r="C22" s="19"/>
      <c r="D22" s="19"/>
      <c r="E22" s="20"/>
      <c r="F22" s="19"/>
      <c r="G22" s="21"/>
      <c r="H22" s="19"/>
      <c r="I22" s="31"/>
      <c r="J22" s="19"/>
      <c r="K22" s="19"/>
      <c r="L22" s="23"/>
      <c r="M22" s="29"/>
      <c r="N22" s="24"/>
      <c r="O22" s="30" t="n">
        <f aca="false">N22*J22</f>
        <v>0</v>
      </c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  <c r="BG22" s="27"/>
      <c r="BH22" s="27"/>
      <c r="BI22" s="27"/>
      <c r="BJ22" s="27"/>
      <c r="BK22" s="27"/>
      <c r="BL22" s="27"/>
      <c r="BM22" s="27"/>
      <c r="BN22" s="27"/>
      <c r="BO22" s="27"/>
      <c r="BP22" s="27"/>
      <c r="BQ22" s="27"/>
      <c r="BR22" s="27"/>
      <c r="BS22" s="27"/>
      <c r="BT22" s="27"/>
      <c r="BU22" s="27"/>
      <c r="BV22" s="27"/>
      <c r="BW22" s="27"/>
      <c r="BX22" s="27"/>
      <c r="BY22" s="27"/>
      <c r="BZ22" s="27"/>
      <c r="CA22" s="27"/>
      <c r="CB22" s="27"/>
      <c r="CC22" s="27"/>
      <c r="CD22" s="27"/>
      <c r="CE22" s="27"/>
      <c r="CF22" s="27"/>
      <c r="CG22" s="27"/>
      <c r="CH22" s="27"/>
      <c r="CI22" s="27"/>
      <c r="CJ22" s="27"/>
      <c r="CK22" s="27"/>
      <c r="CL22" s="27"/>
      <c r="CM22" s="27"/>
      <c r="CN22" s="27"/>
      <c r="CO22" s="27"/>
      <c r="CP22" s="27"/>
      <c r="CQ22" s="27"/>
      <c r="CR22" s="27"/>
      <c r="CS22" s="27"/>
      <c r="CT22" s="27"/>
      <c r="CU22" s="27"/>
      <c r="CV22" s="27"/>
      <c r="CW22" s="27"/>
      <c r="CX22" s="27"/>
      <c r="CY22" s="27"/>
      <c r="CZ22" s="27"/>
      <c r="DA22" s="27"/>
      <c r="DB22" s="27"/>
      <c r="DC22" s="27"/>
      <c r="DD22" s="27"/>
      <c r="DE22" s="27"/>
      <c r="DF22" s="27"/>
      <c r="DG22" s="27"/>
      <c r="DH22" s="27"/>
      <c r="DI22" s="27"/>
      <c r="DJ22" s="27"/>
      <c r="DK22" s="27"/>
      <c r="DL22" s="27"/>
      <c r="DM22" s="27"/>
      <c r="DN22" s="27"/>
      <c r="DO22" s="27"/>
      <c r="DP22" s="27"/>
      <c r="DQ22" s="27"/>
      <c r="DR22" s="27"/>
      <c r="DS22" s="27"/>
      <c r="DT22" s="27"/>
      <c r="DU22" s="27"/>
      <c r="DV22" s="27"/>
      <c r="DW22" s="27"/>
      <c r="DX22" s="27"/>
      <c r="DY22" s="27"/>
      <c r="DZ22" s="27"/>
      <c r="EA22" s="27"/>
      <c r="EB22" s="27"/>
      <c r="EC22" s="27"/>
      <c r="ED22" s="27"/>
      <c r="EE22" s="27"/>
      <c r="EF22" s="27"/>
      <c r="EG22" s="27"/>
      <c r="EH22" s="27"/>
      <c r="EI22" s="27"/>
      <c r="EJ22" s="27"/>
      <c r="EK22" s="27"/>
      <c r="EL22" s="27"/>
      <c r="EM22" s="27"/>
      <c r="EN22" s="27"/>
      <c r="EO22" s="27"/>
      <c r="EP22" s="27"/>
      <c r="EQ22" s="27"/>
      <c r="ER22" s="27"/>
      <c r="ES22" s="27"/>
      <c r="ET22" s="27"/>
      <c r="EU22" s="27"/>
      <c r="EV22" s="27"/>
      <c r="EW22" s="27"/>
      <c r="EX22" s="27"/>
      <c r="EY22" s="27"/>
      <c r="EZ22" s="27"/>
      <c r="FA22" s="27"/>
      <c r="FB22" s="27"/>
      <c r="FC22" s="27"/>
      <c r="FD22" s="27"/>
      <c r="FE22" s="27"/>
      <c r="FF22" s="27"/>
      <c r="FG22" s="27"/>
      <c r="FH22" s="27"/>
      <c r="FI22" s="27"/>
      <c r="FJ22" s="27"/>
      <c r="FK22" s="27"/>
      <c r="FL22" s="27"/>
      <c r="FM22" s="27"/>
      <c r="FN22" s="27"/>
      <c r="FO22" s="27"/>
      <c r="FP22" s="27"/>
      <c r="FQ22" s="27"/>
      <c r="FR22" s="27"/>
      <c r="FS22" s="27"/>
      <c r="FT22" s="27"/>
      <c r="FU22" s="27"/>
      <c r="FV22" s="27"/>
      <c r="FW22" s="27"/>
      <c r="FX22" s="27"/>
      <c r="FY22" s="27"/>
      <c r="FZ22" s="27"/>
      <c r="GA22" s="27"/>
      <c r="GB22" s="27"/>
      <c r="GC22" s="27"/>
      <c r="GD22" s="27"/>
      <c r="GE22" s="27"/>
      <c r="GF22" s="27"/>
      <c r="GG22" s="27"/>
      <c r="GH22" s="27"/>
      <c r="GI22" s="27"/>
      <c r="GJ22" s="27"/>
      <c r="GK22" s="27"/>
      <c r="GL22" s="27"/>
      <c r="GM22" s="27"/>
      <c r="GN22" s="27"/>
      <c r="GO22" s="27"/>
      <c r="GP22" s="27"/>
      <c r="GQ22" s="27"/>
      <c r="GR22" s="27"/>
      <c r="GS22" s="27"/>
      <c r="GT22" s="27"/>
      <c r="GU22" s="27"/>
      <c r="GV22" s="27"/>
      <c r="GW22" s="27"/>
      <c r="GX22" s="27"/>
      <c r="GY22" s="27"/>
      <c r="GZ22" s="27"/>
      <c r="HA22" s="27"/>
      <c r="HB22" s="27"/>
      <c r="HC22" s="27"/>
      <c r="HD22" s="27"/>
      <c r="HE22" s="27"/>
      <c r="HF22" s="27"/>
      <c r="HG22" s="27"/>
      <c r="HH22" s="27"/>
      <c r="HI22" s="27"/>
      <c r="HJ22" s="27"/>
      <c r="HK22" s="27"/>
      <c r="HL22" s="27"/>
      <c r="HM22" s="27"/>
      <c r="HN22" s="27"/>
      <c r="HO22" s="27"/>
      <c r="HP22" s="27"/>
      <c r="HQ22" s="27"/>
      <c r="HR22" s="27"/>
      <c r="HS22" s="27"/>
      <c r="HT22" s="27"/>
      <c r="HU22" s="27"/>
      <c r="HV22" s="27"/>
      <c r="HW22" s="27"/>
      <c r="HX22" s="27"/>
      <c r="HY22" s="27"/>
    </row>
    <row r="23" s="6" customFormat="true" ht="15" hidden="false" customHeight="false" outlineLevel="0" collapsed="false">
      <c r="A23" s="17"/>
      <c r="B23" s="18" t="s">
        <v>18</v>
      </c>
      <c r="C23" s="19"/>
      <c r="D23" s="19"/>
      <c r="E23" s="20"/>
      <c r="F23" s="19"/>
      <c r="G23" s="21"/>
      <c r="H23" s="19"/>
      <c r="I23" s="31"/>
      <c r="J23" s="19"/>
      <c r="K23" s="19"/>
      <c r="L23" s="23"/>
      <c r="M23" s="29"/>
      <c r="N23" s="24"/>
      <c r="O23" s="30" t="n">
        <f aca="false">N23*J23</f>
        <v>0</v>
      </c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  <c r="BG23" s="27"/>
      <c r="BH23" s="27"/>
      <c r="BI23" s="27"/>
      <c r="BJ23" s="27"/>
      <c r="BK23" s="27"/>
      <c r="BL23" s="27"/>
      <c r="BM23" s="27"/>
      <c r="BN23" s="27"/>
      <c r="BO23" s="27"/>
      <c r="BP23" s="27"/>
      <c r="BQ23" s="27"/>
      <c r="BR23" s="27"/>
      <c r="BS23" s="27"/>
      <c r="BT23" s="27"/>
      <c r="BU23" s="27"/>
      <c r="BV23" s="27"/>
      <c r="BW23" s="27"/>
      <c r="BX23" s="27"/>
      <c r="BY23" s="27"/>
      <c r="BZ23" s="27"/>
      <c r="CA23" s="27"/>
      <c r="CB23" s="27"/>
      <c r="CC23" s="27"/>
      <c r="CD23" s="27"/>
      <c r="CE23" s="27"/>
      <c r="CF23" s="27"/>
      <c r="CG23" s="27"/>
      <c r="CH23" s="27"/>
      <c r="CI23" s="27"/>
      <c r="CJ23" s="27"/>
      <c r="CK23" s="27"/>
      <c r="CL23" s="27"/>
      <c r="CM23" s="27"/>
      <c r="CN23" s="27"/>
      <c r="CO23" s="27"/>
      <c r="CP23" s="27"/>
      <c r="CQ23" s="27"/>
      <c r="CR23" s="27"/>
      <c r="CS23" s="27"/>
      <c r="CT23" s="27"/>
      <c r="CU23" s="27"/>
      <c r="CV23" s="27"/>
      <c r="CW23" s="27"/>
      <c r="CX23" s="27"/>
      <c r="CY23" s="27"/>
      <c r="CZ23" s="27"/>
      <c r="DA23" s="27"/>
      <c r="DB23" s="27"/>
      <c r="DC23" s="27"/>
      <c r="DD23" s="27"/>
      <c r="DE23" s="27"/>
      <c r="DF23" s="27"/>
      <c r="DG23" s="27"/>
      <c r="DH23" s="27"/>
      <c r="DI23" s="27"/>
      <c r="DJ23" s="27"/>
      <c r="DK23" s="27"/>
      <c r="DL23" s="27"/>
      <c r="DM23" s="27"/>
      <c r="DN23" s="27"/>
      <c r="DO23" s="27"/>
      <c r="DP23" s="27"/>
      <c r="DQ23" s="27"/>
      <c r="DR23" s="27"/>
      <c r="DS23" s="27"/>
      <c r="DT23" s="27"/>
      <c r="DU23" s="27"/>
      <c r="DV23" s="27"/>
      <c r="DW23" s="27"/>
      <c r="DX23" s="27"/>
      <c r="DY23" s="27"/>
      <c r="DZ23" s="27"/>
      <c r="EA23" s="27"/>
      <c r="EB23" s="27"/>
      <c r="EC23" s="27"/>
      <c r="ED23" s="27"/>
      <c r="EE23" s="27"/>
      <c r="EF23" s="27"/>
      <c r="EG23" s="27"/>
      <c r="EH23" s="27"/>
      <c r="EI23" s="27"/>
      <c r="EJ23" s="27"/>
      <c r="EK23" s="27"/>
      <c r="EL23" s="27"/>
      <c r="EM23" s="27"/>
      <c r="EN23" s="27"/>
      <c r="EO23" s="27"/>
      <c r="EP23" s="27"/>
      <c r="EQ23" s="27"/>
      <c r="ER23" s="27"/>
      <c r="ES23" s="27"/>
      <c r="ET23" s="27"/>
      <c r="EU23" s="27"/>
      <c r="EV23" s="27"/>
      <c r="EW23" s="27"/>
      <c r="EX23" s="27"/>
      <c r="EY23" s="27"/>
      <c r="EZ23" s="27"/>
      <c r="FA23" s="27"/>
      <c r="FB23" s="27"/>
      <c r="FC23" s="27"/>
      <c r="FD23" s="27"/>
      <c r="FE23" s="27"/>
      <c r="FF23" s="27"/>
      <c r="FG23" s="27"/>
      <c r="FH23" s="27"/>
      <c r="FI23" s="27"/>
      <c r="FJ23" s="27"/>
      <c r="FK23" s="27"/>
      <c r="FL23" s="27"/>
      <c r="FM23" s="27"/>
      <c r="FN23" s="27"/>
      <c r="FO23" s="27"/>
      <c r="FP23" s="27"/>
      <c r="FQ23" s="27"/>
      <c r="FR23" s="27"/>
      <c r="FS23" s="27"/>
      <c r="FT23" s="27"/>
      <c r="FU23" s="27"/>
      <c r="FV23" s="27"/>
      <c r="FW23" s="27"/>
      <c r="FX23" s="27"/>
      <c r="FY23" s="27"/>
      <c r="FZ23" s="27"/>
      <c r="GA23" s="27"/>
      <c r="GB23" s="27"/>
      <c r="GC23" s="27"/>
      <c r="GD23" s="27"/>
      <c r="GE23" s="27"/>
      <c r="GF23" s="27"/>
      <c r="GG23" s="27"/>
      <c r="GH23" s="27"/>
      <c r="GI23" s="27"/>
      <c r="GJ23" s="27"/>
      <c r="GK23" s="27"/>
      <c r="GL23" s="27"/>
      <c r="GM23" s="27"/>
      <c r="GN23" s="27"/>
      <c r="GO23" s="27"/>
      <c r="GP23" s="27"/>
      <c r="GQ23" s="27"/>
      <c r="GR23" s="27"/>
      <c r="GS23" s="27"/>
      <c r="GT23" s="27"/>
      <c r="GU23" s="27"/>
      <c r="GV23" s="27"/>
      <c r="GW23" s="27"/>
      <c r="GX23" s="27"/>
      <c r="GY23" s="27"/>
      <c r="GZ23" s="27"/>
      <c r="HA23" s="27"/>
      <c r="HB23" s="27"/>
      <c r="HC23" s="27"/>
      <c r="HD23" s="27"/>
      <c r="HE23" s="27"/>
      <c r="HF23" s="27"/>
      <c r="HG23" s="27"/>
      <c r="HH23" s="27"/>
      <c r="HI23" s="27"/>
      <c r="HJ23" s="27"/>
      <c r="HK23" s="27"/>
      <c r="HL23" s="27"/>
      <c r="HM23" s="27"/>
      <c r="HN23" s="27"/>
      <c r="HO23" s="27"/>
      <c r="HP23" s="27"/>
      <c r="HQ23" s="27"/>
      <c r="HR23" s="27"/>
      <c r="HS23" s="27"/>
      <c r="HT23" s="27"/>
      <c r="HU23" s="27"/>
      <c r="HV23" s="27"/>
      <c r="HW23" s="27"/>
      <c r="HX23" s="27"/>
      <c r="HY23" s="27"/>
    </row>
    <row r="24" s="6" customFormat="true" ht="15" hidden="false" customHeight="false" outlineLevel="0" collapsed="false">
      <c r="A24" s="17"/>
      <c r="B24" s="18" t="s">
        <v>18</v>
      </c>
      <c r="C24" s="19"/>
      <c r="D24" s="19"/>
      <c r="E24" s="20"/>
      <c r="F24" s="19"/>
      <c r="G24" s="21"/>
      <c r="H24" s="19"/>
      <c r="I24" s="31"/>
      <c r="J24" s="19"/>
      <c r="K24" s="19"/>
      <c r="L24" s="23"/>
      <c r="M24" s="29"/>
      <c r="N24" s="24"/>
      <c r="O24" s="30" t="n">
        <f aca="false">N24*J24</f>
        <v>0</v>
      </c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27"/>
      <c r="BN24" s="27"/>
      <c r="BO24" s="27"/>
      <c r="BP24" s="27"/>
      <c r="BQ24" s="27"/>
      <c r="BR24" s="27"/>
      <c r="BS24" s="27"/>
      <c r="BT24" s="27"/>
      <c r="BU24" s="27"/>
      <c r="BV24" s="27"/>
      <c r="BW24" s="27"/>
      <c r="BX24" s="27"/>
      <c r="BY24" s="27"/>
      <c r="BZ24" s="27"/>
      <c r="CA24" s="27"/>
      <c r="CB24" s="27"/>
      <c r="CC24" s="27"/>
      <c r="CD24" s="27"/>
      <c r="CE24" s="27"/>
      <c r="CF24" s="27"/>
      <c r="CG24" s="27"/>
      <c r="CH24" s="27"/>
      <c r="CI24" s="27"/>
      <c r="CJ24" s="27"/>
      <c r="CK24" s="27"/>
      <c r="CL24" s="27"/>
      <c r="CM24" s="27"/>
      <c r="CN24" s="27"/>
      <c r="CO24" s="27"/>
      <c r="CP24" s="27"/>
      <c r="CQ24" s="27"/>
      <c r="CR24" s="27"/>
      <c r="CS24" s="27"/>
      <c r="CT24" s="27"/>
      <c r="CU24" s="27"/>
      <c r="CV24" s="27"/>
      <c r="CW24" s="27"/>
      <c r="CX24" s="27"/>
      <c r="CY24" s="27"/>
      <c r="CZ24" s="27"/>
      <c r="DA24" s="27"/>
      <c r="DB24" s="27"/>
      <c r="DC24" s="27"/>
      <c r="DD24" s="27"/>
      <c r="DE24" s="27"/>
      <c r="DF24" s="27"/>
      <c r="DG24" s="27"/>
      <c r="DH24" s="27"/>
      <c r="DI24" s="27"/>
      <c r="DJ24" s="27"/>
      <c r="DK24" s="27"/>
      <c r="DL24" s="27"/>
      <c r="DM24" s="27"/>
      <c r="DN24" s="27"/>
      <c r="DO24" s="27"/>
      <c r="DP24" s="27"/>
      <c r="DQ24" s="27"/>
      <c r="DR24" s="27"/>
      <c r="DS24" s="27"/>
      <c r="DT24" s="27"/>
      <c r="DU24" s="27"/>
      <c r="DV24" s="27"/>
      <c r="DW24" s="27"/>
      <c r="DX24" s="27"/>
      <c r="DY24" s="27"/>
      <c r="DZ24" s="27"/>
      <c r="EA24" s="27"/>
      <c r="EB24" s="27"/>
      <c r="EC24" s="27"/>
      <c r="ED24" s="27"/>
      <c r="EE24" s="27"/>
      <c r="EF24" s="27"/>
      <c r="EG24" s="27"/>
      <c r="EH24" s="27"/>
      <c r="EI24" s="27"/>
      <c r="EJ24" s="27"/>
      <c r="EK24" s="27"/>
      <c r="EL24" s="27"/>
      <c r="EM24" s="27"/>
      <c r="EN24" s="27"/>
      <c r="EO24" s="27"/>
      <c r="EP24" s="27"/>
      <c r="EQ24" s="27"/>
      <c r="ER24" s="27"/>
      <c r="ES24" s="27"/>
      <c r="ET24" s="27"/>
      <c r="EU24" s="27"/>
      <c r="EV24" s="27"/>
      <c r="EW24" s="27"/>
      <c r="EX24" s="27"/>
      <c r="EY24" s="27"/>
      <c r="EZ24" s="27"/>
      <c r="FA24" s="27"/>
      <c r="FB24" s="27"/>
      <c r="FC24" s="27"/>
      <c r="FD24" s="27"/>
      <c r="FE24" s="27"/>
      <c r="FF24" s="27"/>
      <c r="FG24" s="27"/>
      <c r="FH24" s="27"/>
      <c r="FI24" s="27"/>
      <c r="FJ24" s="27"/>
      <c r="FK24" s="27"/>
      <c r="FL24" s="27"/>
      <c r="FM24" s="27"/>
      <c r="FN24" s="27"/>
      <c r="FO24" s="27"/>
      <c r="FP24" s="27"/>
      <c r="FQ24" s="27"/>
      <c r="FR24" s="27"/>
      <c r="FS24" s="27"/>
      <c r="FT24" s="27"/>
      <c r="FU24" s="27"/>
      <c r="FV24" s="27"/>
      <c r="FW24" s="27"/>
      <c r="FX24" s="27"/>
      <c r="FY24" s="27"/>
      <c r="FZ24" s="27"/>
      <c r="GA24" s="27"/>
      <c r="GB24" s="27"/>
      <c r="GC24" s="27"/>
      <c r="GD24" s="27"/>
      <c r="GE24" s="27"/>
      <c r="GF24" s="27"/>
      <c r="GG24" s="27"/>
      <c r="GH24" s="27"/>
      <c r="GI24" s="27"/>
      <c r="GJ24" s="27"/>
      <c r="GK24" s="27"/>
      <c r="GL24" s="27"/>
      <c r="GM24" s="27"/>
      <c r="GN24" s="27"/>
      <c r="GO24" s="27"/>
      <c r="GP24" s="27"/>
      <c r="GQ24" s="27"/>
      <c r="GR24" s="27"/>
      <c r="GS24" s="27"/>
      <c r="GT24" s="27"/>
      <c r="GU24" s="27"/>
      <c r="GV24" s="27"/>
      <c r="GW24" s="27"/>
      <c r="GX24" s="27"/>
      <c r="GY24" s="27"/>
      <c r="GZ24" s="27"/>
      <c r="HA24" s="27"/>
      <c r="HB24" s="27"/>
      <c r="HC24" s="27"/>
      <c r="HD24" s="27"/>
      <c r="HE24" s="27"/>
      <c r="HF24" s="27"/>
      <c r="HG24" s="27"/>
      <c r="HH24" s="27"/>
      <c r="HI24" s="27"/>
      <c r="HJ24" s="27"/>
      <c r="HK24" s="27"/>
      <c r="HL24" s="27"/>
      <c r="HM24" s="27"/>
      <c r="HN24" s="27"/>
      <c r="HO24" s="27"/>
      <c r="HP24" s="27"/>
      <c r="HQ24" s="27"/>
      <c r="HR24" s="27"/>
      <c r="HS24" s="27"/>
      <c r="HT24" s="27"/>
      <c r="HU24" s="27"/>
      <c r="HV24" s="27"/>
      <c r="HW24" s="27"/>
      <c r="HX24" s="27"/>
      <c r="HY24" s="27"/>
    </row>
    <row r="25" s="6" customFormat="true" ht="15" hidden="false" customHeight="false" outlineLevel="0" collapsed="false">
      <c r="A25" s="17"/>
      <c r="B25" s="18" t="s">
        <v>18</v>
      </c>
      <c r="C25" s="19"/>
      <c r="D25" s="19"/>
      <c r="E25" s="20"/>
      <c r="F25" s="19"/>
      <c r="G25" s="21"/>
      <c r="H25" s="19"/>
      <c r="I25" s="31"/>
      <c r="J25" s="19"/>
      <c r="K25" s="19"/>
      <c r="L25" s="23"/>
      <c r="M25" s="29"/>
      <c r="N25" s="24"/>
      <c r="O25" s="30" t="n">
        <f aca="false">N25*J25</f>
        <v>0</v>
      </c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  <c r="BG25" s="27"/>
      <c r="BH25" s="27"/>
      <c r="BI25" s="27"/>
      <c r="BJ25" s="27"/>
      <c r="BK25" s="27"/>
      <c r="BL25" s="27"/>
      <c r="BM25" s="27"/>
      <c r="BN25" s="27"/>
      <c r="BO25" s="27"/>
      <c r="BP25" s="27"/>
      <c r="BQ25" s="27"/>
      <c r="BR25" s="27"/>
      <c r="BS25" s="27"/>
      <c r="BT25" s="27"/>
      <c r="BU25" s="27"/>
      <c r="BV25" s="27"/>
      <c r="BW25" s="27"/>
      <c r="BX25" s="27"/>
      <c r="BY25" s="27"/>
      <c r="BZ25" s="27"/>
      <c r="CA25" s="27"/>
      <c r="CB25" s="27"/>
      <c r="CC25" s="27"/>
      <c r="CD25" s="27"/>
      <c r="CE25" s="27"/>
      <c r="CF25" s="27"/>
      <c r="CG25" s="27"/>
      <c r="CH25" s="27"/>
      <c r="CI25" s="27"/>
      <c r="CJ25" s="27"/>
      <c r="CK25" s="27"/>
      <c r="CL25" s="27"/>
      <c r="CM25" s="27"/>
      <c r="CN25" s="27"/>
      <c r="CO25" s="27"/>
      <c r="CP25" s="27"/>
      <c r="CQ25" s="27"/>
      <c r="CR25" s="27"/>
      <c r="CS25" s="27"/>
      <c r="CT25" s="27"/>
      <c r="CU25" s="27"/>
      <c r="CV25" s="27"/>
      <c r="CW25" s="27"/>
      <c r="CX25" s="27"/>
      <c r="CY25" s="27"/>
      <c r="CZ25" s="27"/>
      <c r="DA25" s="27"/>
      <c r="DB25" s="27"/>
      <c r="DC25" s="27"/>
      <c r="DD25" s="27"/>
      <c r="DE25" s="27"/>
      <c r="DF25" s="27"/>
      <c r="DG25" s="27"/>
      <c r="DH25" s="27"/>
      <c r="DI25" s="27"/>
      <c r="DJ25" s="27"/>
      <c r="DK25" s="27"/>
      <c r="DL25" s="27"/>
      <c r="DM25" s="27"/>
      <c r="DN25" s="27"/>
      <c r="DO25" s="27"/>
      <c r="DP25" s="27"/>
      <c r="DQ25" s="27"/>
      <c r="DR25" s="27"/>
      <c r="DS25" s="27"/>
      <c r="DT25" s="27"/>
      <c r="DU25" s="27"/>
      <c r="DV25" s="27"/>
      <c r="DW25" s="27"/>
      <c r="DX25" s="27"/>
      <c r="DY25" s="27"/>
      <c r="DZ25" s="27"/>
      <c r="EA25" s="27"/>
      <c r="EB25" s="27"/>
      <c r="EC25" s="27"/>
      <c r="ED25" s="27"/>
      <c r="EE25" s="27"/>
      <c r="EF25" s="27"/>
      <c r="EG25" s="27"/>
      <c r="EH25" s="27"/>
      <c r="EI25" s="27"/>
      <c r="EJ25" s="27"/>
      <c r="EK25" s="27"/>
      <c r="EL25" s="27"/>
      <c r="EM25" s="27"/>
      <c r="EN25" s="27"/>
      <c r="EO25" s="27"/>
      <c r="EP25" s="27"/>
      <c r="EQ25" s="27"/>
      <c r="ER25" s="27"/>
      <c r="ES25" s="27"/>
      <c r="ET25" s="27"/>
      <c r="EU25" s="27"/>
      <c r="EV25" s="27"/>
      <c r="EW25" s="27"/>
      <c r="EX25" s="27"/>
      <c r="EY25" s="27"/>
      <c r="EZ25" s="27"/>
      <c r="FA25" s="27"/>
      <c r="FB25" s="27"/>
      <c r="FC25" s="27"/>
      <c r="FD25" s="27"/>
      <c r="FE25" s="27"/>
      <c r="FF25" s="27"/>
      <c r="FG25" s="27"/>
      <c r="FH25" s="27"/>
      <c r="FI25" s="27"/>
      <c r="FJ25" s="27"/>
      <c r="FK25" s="27"/>
      <c r="FL25" s="27"/>
      <c r="FM25" s="27"/>
      <c r="FN25" s="27"/>
      <c r="FO25" s="27"/>
      <c r="FP25" s="27"/>
      <c r="FQ25" s="27"/>
      <c r="FR25" s="27"/>
      <c r="FS25" s="27"/>
      <c r="FT25" s="27"/>
      <c r="FU25" s="27"/>
      <c r="FV25" s="27"/>
      <c r="FW25" s="27"/>
      <c r="FX25" s="27"/>
      <c r="FY25" s="27"/>
      <c r="FZ25" s="27"/>
      <c r="GA25" s="27"/>
      <c r="GB25" s="27"/>
      <c r="GC25" s="27"/>
      <c r="GD25" s="27"/>
      <c r="GE25" s="27"/>
      <c r="GF25" s="27"/>
      <c r="GG25" s="27"/>
      <c r="GH25" s="27"/>
      <c r="GI25" s="27"/>
      <c r="GJ25" s="27"/>
      <c r="GK25" s="27"/>
      <c r="GL25" s="27"/>
      <c r="GM25" s="27"/>
      <c r="GN25" s="27"/>
      <c r="GO25" s="27"/>
      <c r="GP25" s="27"/>
      <c r="GQ25" s="27"/>
      <c r="GR25" s="27"/>
      <c r="GS25" s="27"/>
      <c r="GT25" s="27"/>
      <c r="GU25" s="27"/>
      <c r="GV25" s="27"/>
      <c r="GW25" s="27"/>
      <c r="GX25" s="27"/>
      <c r="GY25" s="27"/>
      <c r="GZ25" s="27"/>
      <c r="HA25" s="27"/>
      <c r="HB25" s="27"/>
      <c r="HC25" s="27"/>
      <c r="HD25" s="27"/>
      <c r="HE25" s="27"/>
      <c r="HF25" s="27"/>
      <c r="HG25" s="27"/>
      <c r="HH25" s="27"/>
      <c r="HI25" s="27"/>
      <c r="HJ25" s="27"/>
      <c r="HK25" s="27"/>
      <c r="HL25" s="27"/>
      <c r="HM25" s="27"/>
      <c r="HN25" s="27"/>
      <c r="HO25" s="27"/>
      <c r="HP25" s="27"/>
      <c r="HQ25" s="27"/>
      <c r="HR25" s="27"/>
      <c r="HS25" s="27"/>
      <c r="HT25" s="27"/>
      <c r="HU25" s="27"/>
      <c r="HV25" s="27"/>
      <c r="HW25" s="27"/>
      <c r="HX25" s="27"/>
      <c r="HY25" s="27"/>
    </row>
    <row r="26" s="6" customFormat="true" ht="15" hidden="false" customHeight="false" outlineLevel="0" collapsed="false">
      <c r="A26" s="17"/>
      <c r="B26" s="18" t="s">
        <v>18</v>
      </c>
      <c r="C26" s="19"/>
      <c r="D26" s="19"/>
      <c r="E26" s="20"/>
      <c r="F26" s="19"/>
      <c r="G26" s="21"/>
      <c r="H26" s="19"/>
      <c r="I26" s="31"/>
      <c r="J26" s="19"/>
      <c r="K26" s="19"/>
      <c r="L26" s="23"/>
      <c r="M26" s="29"/>
      <c r="N26" s="24"/>
      <c r="O26" s="30" t="n">
        <f aca="false">N26*J26</f>
        <v>0</v>
      </c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  <c r="BG26" s="27"/>
      <c r="BH26" s="27"/>
      <c r="BI26" s="27"/>
      <c r="BJ26" s="27"/>
      <c r="BK26" s="27"/>
      <c r="BL26" s="27"/>
      <c r="BM26" s="27"/>
      <c r="BN26" s="27"/>
      <c r="BO26" s="27"/>
      <c r="BP26" s="27"/>
      <c r="BQ26" s="27"/>
      <c r="BR26" s="27"/>
      <c r="BS26" s="27"/>
      <c r="BT26" s="27"/>
      <c r="BU26" s="27"/>
      <c r="BV26" s="27"/>
      <c r="BW26" s="27"/>
      <c r="BX26" s="27"/>
      <c r="BY26" s="27"/>
      <c r="BZ26" s="27"/>
      <c r="CA26" s="27"/>
      <c r="CB26" s="27"/>
      <c r="CC26" s="27"/>
      <c r="CD26" s="27"/>
      <c r="CE26" s="27"/>
      <c r="CF26" s="27"/>
      <c r="CG26" s="27"/>
      <c r="CH26" s="27"/>
      <c r="CI26" s="27"/>
      <c r="CJ26" s="27"/>
      <c r="CK26" s="27"/>
      <c r="CL26" s="27"/>
      <c r="CM26" s="27"/>
      <c r="CN26" s="27"/>
      <c r="CO26" s="27"/>
      <c r="CP26" s="27"/>
      <c r="CQ26" s="27"/>
      <c r="CR26" s="27"/>
      <c r="CS26" s="27"/>
      <c r="CT26" s="27"/>
      <c r="CU26" s="27"/>
      <c r="CV26" s="27"/>
      <c r="CW26" s="27"/>
      <c r="CX26" s="27"/>
      <c r="CY26" s="27"/>
      <c r="CZ26" s="27"/>
      <c r="DA26" s="27"/>
      <c r="DB26" s="27"/>
      <c r="DC26" s="27"/>
      <c r="DD26" s="27"/>
      <c r="DE26" s="27"/>
      <c r="DF26" s="27"/>
      <c r="DG26" s="27"/>
      <c r="DH26" s="27"/>
      <c r="DI26" s="27"/>
      <c r="DJ26" s="27"/>
      <c r="DK26" s="27"/>
      <c r="DL26" s="27"/>
      <c r="DM26" s="27"/>
      <c r="DN26" s="27"/>
      <c r="DO26" s="27"/>
      <c r="DP26" s="27"/>
      <c r="DQ26" s="27"/>
      <c r="DR26" s="27"/>
      <c r="DS26" s="27"/>
      <c r="DT26" s="27"/>
      <c r="DU26" s="27"/>
      <c r="DV26" s="27"/>
      <c r="DW26" s="27"/>
      <c r="DX26" s="27"/>
      <c r="DY26" s="27"/>
      <c r="DZ26" s="27"/>
      <c r="EA26" s="27"/>
      <c r="EB26" s="27"/>
      <c r="EC26" s="27"/>
      <c r="ED26" s="27"/>
      <c r="EE26" s="27"/>
      <c r="EF26" s="27"/>
      <c r="EG26" s="27"/>
      <c r="EH26" s="27"/>
      <c r="EI26" s="27"/>
      <c r="EJ26" s="27"/>
      <c r="EK26" s="27"/>
      <c r="EL26" s="27"/>
      <c r="EM26" s="27"/>
      <c r="EN26" s="27"/>
      <c r="EO26" s="27"/>
      <c r="EP26" s="27"/>
      <c r="EQ26" s="27"/>
      <c r="ER26" s="27"/>
      <c r="ES26" s="27"/>
      <c r="ET26" s="27"/>
      <c r="EU26" s="27"/>
      <c r="EV26" s="27"/>
      <c r="EW26" s="27"/>
      <c r="EX26" s="27"/>
      <c r="EY26" s="27"/>
      <c r="EZ26" s="27"/>
      <c r="FA26" s="27"/>
      <c r="FB26" s="27"/>
      <c r="FC26" s="27"/>
      <c r="FD26" s="27"/>
      <c r="FE26" s="27"/>
      <c r="FF26" s="27"/>
      <c r="FG26" s="27"/>
      <c r="FH26" s="27"/>
      <c r="FI26" s="27"/>
      <c r="FJ26" s="27"/>
      <c r="FK26" s="27"/>
      <c r="FL26" s="27"/>
      <c r="FM26" s="27"/>
      <c r="FN26" s="27"/>
      <c r="FO26" s="27"/>
      <c r="FP26" s="27"/>
      <c r="FQ26" s="27"/>
      <c r="FR26" s="27"/>
      <c r="FS26" s="27"/>
      <c r="FT26" s="27"/>
      <c r="FU26" s="27"/>
      <c r="FV26" s="27"/>
      <c r="FW26" s="27"/>
      <c r="FX26" s="27"/>
      <c r="FY26" s="27"/>
      <c r="FZ26" s="27"/>
      <c r="GA26" s="27"/>
      <c r="GB26" s="27"/>
      <c r="GC26" s="27"/>
      <c r="GD26" s="27"/>
      <c r="GE26" s="27"/>
      <c r="GF26" s="27"/>
      <c r="GG26" s="27"/>
      <c r="GH26" s="27"/>
      <c r="GI26" s="27"/>
      <c r="GJ26" s="27"/>
      <c r="GK26" s="27"/>
      <c r="GL26" s="27"/>
      <c r="GM26" s="27"/>
      <c r="GN26" s="27"/>
      <c r="GO26" s="27"/>
      <c r="GP26" s="27"/>
      <c r="GQ26" s="27"/>
      <c r="GR26" s="27"/>
      <c r="GS26" s="27"/>
      <c r="GT26" s="27"/>
      <c r="GU26" s="27"/>
      <c r="GV26" s="27"/>
      <c r="GW26" s="27"/>
      <c r="GX26" s="27"/>
      <c r="GY26" s="27"/>
      <c r="GZ26" s="27"/>
      <c r="HA26" s="27"/>
      <c r="HB26" s="27"/>
      <c r="HC26" s="27"/>
      <c r="HD26" s="27"/>
      <c r="HE26" s="27"/>
      <c r="HF26" s="27"/>
      <c r="HG26" s="27"/>
      <c r="HH26" s="27"/>
      <c r="HI26" s="27"/>
      <c r="HJ26" s="27"/>
      <c r="HK26" s="27"/>
      <c r="HL26" s="27"/>
      <c r="HM26" s="27"/>
      <c r="HN26" s="27"/>
      <c r="HO26" s="27"/>
      <c r="HP26" s="27"/>
      <c r="HQ26" s="27"/>
      <c r="HR26" s="27"/>
      <c r="HS26" s="27"/>
      <c r="HT26" s="27"/>
      <c r="HU26" s="27"/>
      <c r="HV26" s="27"/>
      <c r="HW26" s="27"/>
      <c r="HX26" s="27"/>
      <c r="HY26" s="27"/>
    </row>
    <row r="27" s="6" customFormat="true" ht="15" hidden="false" customHeight="false" outlineLevel="0" collapsed="false">
      <c r="A27" s="17"/>
      <c r="B27" s="18" t="s">
        <v>18</v>
      </c>
      <c r="C27" s="19"/>
      <c r="D27" s="19"/>
      <c r="E27" s="20"/>
      <c r="F27" s="19"/>
      <c r="G27" s="21"/>
      <c r="H27" s="19"/>
      <c r="I27" s="31"/>
      <c r="J27" s="19"/>
      <c r="K27" s="19"/>
      <c r="L27" s="23"/>
      <c r="M27" s="29"/>
      <c r="N27" s="24"/>
      <c r="O27" s="30" t="n">
        <f aca="false">N27*J27</f>
        <v>0</v>
      </c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  <c r="BG27" s="27"/>
      <c r="BH27" s="27"/>
      <c r="BI27" s="27"/>
      <c r="BJ27" s="27"/>
      <c r="BK27" s="27"/>
      <c r="BL27" s="27"/>
      <c r="BM27" s="27"/>
      <c r="BN27" s="27"/>
      <c r="BO27" s="27"/>
      <c r="BP27" s="27"/>
      <c r="BQ27" s="27"/>
      <c r="BR27" s="27"/>
      <c r="BS27" s="27"/>
      <c r="BT27" s="27"/>
      <c r="BU27" s="27"/>
      <c r="BV27" s="27"/>
      <c r="BW27" s="27"/>
      <c r="BX27" s="27"/>
      <c r="BY27" s="27"/>
      <c r="BZ27" s="27"/>
      <c r="CA27" s="27"/>
      <c r="CB27" s="27"/>
      <c r="CC27" s="27"/>
      <c r="CD27" s="27"/>
      <c r="CE27" s="27"/>
      <c r="CF27" s="27"/>
      <c r="CG27" s="27"/>
      <c r="CH27" s="27"/>
      <c r="CI27" s="27"/>
      <c r="CJ27" s="27"/>
      <c r="CK27" s="27"/>
      <c r="CL27" s="27"/>
      <c r="CM27" s="27"/>
      <c r="CN27" s="27"/>
      <c r="CO27" s="27"/>
      <c r="CP27" s="27"/>
      <c r="CQ27" s="27"/>
      <c r="CR27" s="27"/>
      <c r="CS27" s="27"/>
      <c r="CT27" s="27"/>
      <c r="CU27" s="27"/>
      <c r="CV27" s="27"/>
      <c r="CW27" s="27"/>
      <c r="CX27" s="27"/>
      <c r="CY27" s="27"/>
      <c r="CZ27" s="27"/>
      <c r="DA27" s="27"/>
      <c r="DB27" s="27"/>
      <c r="DC27" s="27"/>
      <c r="DD27" s="27"/>
      <c r="DE27" s="27"/>
      <c r="DF27" s="27"/>
      <c r="DG27" s="27"/>
      <c r="DH27" s="27"/>
      <c r="DI27" s="27"/>
      <c r="DJ27" s="27"/>
      <c r="DK27" s="27"/>
      <c r="DL27" s="27"/>
      <c r="DM27" s="27"/>
      <c r="DN27" s="27"/>
      <c r="DO27" s="27"/>
      <c r="DP27" s="27"/>
      <c r="DQ27" s="27"/>
      <c r="DR27" s="27"/>
      <c r="DS27" s="27"/>
      <c r="DT27" s="27"/>
      <c r="DU27" s="27"/>
      <c r="DV27" s="27"/>
      <c r="DW27" s="27"/>
      <c r="DX27" s="27"/>
      <c r="DY27" s="27"/>
      <c r="DZ27" s="27"/>
      <c r="EA27" s="27"/>
      <c r="EB27" s="27"/>
      <c r="EC27" s="27"/>
      <c r="ED27" s="27"/>
      <c r="EE27" s="27"/>
      <c r="EF27" s="27"/>
      <c r="EG27" s="27"/>
      <c r="EH27" s="27"/>
      <c r="EI27" s="27"/>
      <c r="EJ27" s="27"/>
      <c r="EK27" s="27"/>
      <c r="EL27" s="27"/>
      <c r="EM27" s="27"/>
      <c r="EN27" s="27"/>
      <c r="EO27" s="27"/>
      <c r="EP27" s="27"/>
      <c r="EQ27" s="27"/>
      <c r="ER27" s="27"/>
      <c r="ES27" s="27"/>
      <c r="ET27" s="27"/>
      <c r="EU27" s="27"/>
      <c r="EV27" s="27"/>
      <c r="EW27" s="27"/>
      <c r="EX27" s="27"/>
      <c r="EY27" s="27"/>
      <c r="EZ27" s="27"/>
      <c r="FA27" s="27"/>
      <c r="FB27" s="27"/>
      <c r="FC27" s="27"/>
      <c r="FD27" s="27"/>
      <c r="FE27" s="27"/>
      <c r="FF27" s="27"/>
      <c r="FG27" s="27"/>
      <c r="FH27" s="27"/>
      <c r="FI27" s="27"/>
      <c r="FJ27" s="27"/>
      <c r="FK27" s="27"/>
      <c r="FL27" s="27"/>
      <c r="FM27" s="27"/>
      <c r="FN27" s="27"/>
      <c r="FO27" s="27"/>
      <c r="FP27" s="27"/>
      <c r="FQ27" s="27"/>
      <c r="FR27" s="27"/>
      <c r="FS27" s="27"/>
      <c r="FT27" s="27"/>
      <c r="FU27" s="27"/>
      <c r="FV27" s="27"/>
      <c r="FW27" s="27"/>
      <c r="FX27" s="27"/>
      <c r="FY27" s="27"/>
      <c r="FZ27" s="27"/>
      <c r="GA27" s="27"/>
      <c r="GB27" s="27"/>
      <c r="GC27" s="27"/>
      <c r="GD27" s="27"/>
      <c r="GE27" s="27"/>
      <c r="GF27" s="27"/>
      <c r="GG27" s="27"/>
      <c r="GH27" s="27"/>
      <c r="GI27" s="27"/>
      <c r="GJ27" s="27"/>
      <c r="GK27" s="27"/>
      <c r="GL27" s="27"/>
      <c r="GM27" s="27"/>
      <c r="GN27" s="27"/>
      <c r="GO27" s="27"/>
      <c r="GP27" s="27"/>
      <c r="GQ27" s="27"/>
      <c r="GR27" s="27"/>
      <c r="GS27" s="27"/>
      <c r="GT27" s="27"/>
      <c r="GU27" s="27"/>
      <c r="GV27" s="27"/>
      <c r="GW27" s="27"/>
      <c r="GX27" s="27"/>
      <c r="GY27" s="27"/>
      <c r="GZ27" s="27"/>
      <c r="HA27" s="27"/>
      <c r="HB27" s="27"/>
      <c r="HC27" s="27"/>
      <c r="HD27" s="27"/>
      <c r="HE27" s="27"/>
      <c r="HF27" s="27"/>
      <c r="HG27" s="27"/>
      <c r="HH27" s="27"/>
      <c r="HI27" s="27"/>
      <c r="HJ27" s="27"/>
      <c r="HK27" s="27"/>
      <c r="HL27" s="27"/>
      <c r="HM27" s="27"/>
      <c r="HN27" s="27"/>
      <c r="HO27" s="27"/>
      <c r="HP27" s="27"/>
      <c r="HQ27" s="27"/>
      <c r="HR27" s="27"/>
      <c r="HS27" s="27"/>
      <c r="HT27" s="27"/>
      <c r="HU27" s="27"/>
      <c r="HV27" s="27"/>
      <c r="HW27" s="27"/>
      <c r="HX27" s="27"/>
      <c r="HY27" s="27"/>
    </row>
    <row r="28" s="6" customFormat="true" ht="15" hidden="false" customHeight="false" outlineLevel="0" collapsed="false">
      <c r="A28" s="17"/>
      <c r="B28" s="18" t="s">
        <v>18</v>
      </c>
      <c r="C28" s="19"/>
      <c r="D28" s="19"/>
      <c r="E28" s="20"/>
      <c r="F28" s="19"/>
      <c r="G28" s="21"/>
      <c r="H28" s="19"/>
      <c r="I28" s="31"/>
      <c r="J28" s="19"/>
      <c r="K28" s="19"/>
      <c r="L28" s="23"/>
      <c r="M28" s="29"/>
      <c r="N28" s="24"/>
      <c r="O28" s="30" t="n">
        <f aca="false">N28*J28</f>
        <v>0</v>
      </c>
      <c r="Q28" s="27"/>
      <c r="R28" s="27"/>
      <c r="S28" s="27"/>
      <c r="T28" s="27"/>
      <c r="U28" s="27"/>
      <c r="V28" s="27"/>
      <c r="W28" s="27"/>
      <c r="X28" s="27"/>
      <c r="Y28" s="27"/>
      <c r="Z28" s="27"/>
      <c r="AA28" s="27"/>
      <c r="AB28" s="27"/>
      <c r="AC28" s="27"/>
      <c r="AD28" s="27"/>
      <c r="AE28" s="27"/>
      <c r="AF28" s="27"/>
      <c r="AG28" s="27"/>
      <c r="AH28" s="27"/>
      <c r="AI28" s="27"/>
      <c r="AJ28" s="27"/>
      <c r="AK28" s="27"/>
      <c r="AL28" s="27"/>
      <c r="AM28" s="27"/>
      <c r="AN28" s="27"/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  <c r="BG28" s="27"/>
      <c r="BH28" s="27"/>
      <c r="BI28" s="27"/>
      <c r="BJ28" s="27"/>
      <c r="BK28" s="27"/>
      <c r="BL28" s="27"/>
      <c r="BM28" s="27"/>
      <c r="BN28" s="27"/>
      <c r="BO28" s="27"/>
      <c r="BP28" s="27"/>
      <c r="BQ28" s="27"/>
      <c r="BR28" s="27"/>
      <c r="BS28" s="27"/>
      <c r="BT28" s="27"/>
      <c r="BU28" s="27"/>
      <c r="BV28" s="27"/>
      <c r="BW28" s="27"/>
      <c r="BX28" s="27"/>
      <c r="BY28" s="27"/>
      <c r="BZ28" s="27"/>
      <c r="CA28" s="27"/>
      <c r="CB28" s="27"/>
      <c r="CC28" s="27"/>
      <c r="CD28" s="27"/>
      <c r="CE28" s="27"/>
      <c r="CF28" s="27"/>
      <c r="CG28" s="27"/>
      <c r="CH28" s="27"/>
      <c r="CI28" s="27"/>
      <c r="CJ28" s="27"/>
      <c r="CK28" s="27"/>
      <c r="CL28" s="27"/>
      <c r="CM28" s="27"/>
      <c r="CN28" s="27"/>
      <c r="CO28" s="27"/>
      <c r="CP28" s="27"/>
      <c r="CQ28" s="27"/>
      <c r="CR28" s="27"/>
      <c r="CS28" s="27"/>
      <c r="CT28" s="27"/>
      <c r="CU28" s="27"/>
      <c r="CV28" s="27"/>
      <c r="CW28" s="27"/>
      <c r="CX28" s="27"/>
      <c r="CY28" s="27"/>
      <c r="CZ28" s="27"/>
      <c r="DA28" s="27"/>
      <c r="DB28" s="27"/>
      <c r="DC28" s="27"/>
      <c r="DD28" s="27"/>
      <c r="DE28" s="27"/>
      <c r="DF28" s="27"/>
      <c r="DG28" s="27"/>
      <c r="DH28" s="27"/>
      <c r="DI28" s="27"/>
      <c r="DJ28" s="27"/>
      <c r="DK28" s="27"/>
      <c r="DL28" s="27"/>
      <c r="DM28" s="27"/>
      <c r="DN28" s="27"/>
      <c r="DO28" s="27"/>
      <c r="DP28" s="27"/>
      <c r="DQ28" s="27"/>
      <c r="DR28" s="27"/>
      <c r="DS28" s="27"/>
      <c r="DT28" s="27"/>
      <c r="DU28" s="27"/>
      <c r="DV28" s="27"/>
      <c r="DW28" s="27"/>
      <c r="DX28" s="27"/>
      <c r="DY28" s="27"/>
      <c r="DZ28" s="27"/>
      <c r="EA28" s="27"/>
      <c r="EB28" s="27"/>
      <c r="EC28" s="27"/>
      <c r="ED28" s="27"/>
      <c r="EE28" s="27"/>
      <c r="EF28" s="27"/>
      <c r="EG28" s="27"/>
      <c r="EH28" s="27"/>
      <c r="EI28" s="27"/>
      <c r="EJ28" s="27"/>
      <c r="EK28" s="27"/>
      <c r="EL28" s="27"/>
      <c r="EM28" s="27"/>
      <c r="EN28" s="27"/>
      <c r="EO28" s="27"/>
      <c r="EP28" s="27"/>
      <c r="EQ28" s="27"/>
      <c r="ER28" s="27"/>
      <c r="ES28" s="27"/>
      <c r="ET28" s="27"/>
      <c r="EU28" s="27"/>
      <c r="EV28" s="27"/>
      <c r="EW28" s="27"/>
      <c r="EX28" s="27"/>
      <c r="EY28" s="27"/>
      <c r="EZ28" s="27"/>
      <c r="FA28" s="27"/>
      <c r="FB28" s="27"/>
      <c r="FC28" s="27"/>
      <c r="FD28" s="27"/>
      <c r="FE28" s="27"/>
      <c r="FF28" s="27"/>
      <c r="FG28" s="27"/>
      <c r="FH28" s="27"/>
      <c r="FI28" s="27"/>
      <c r="FJ28" s="27"/>
      <c r="FK28" s="27"/>
      <c r="FL28" s="27"/>
      <c r="FM28" s="27"/>
      <c r="FN28" s="27"/>
      <c r="FO28" s="27"/>
      <c r="FP28" s="27"/>
      <c r="FQ28" s="27"/>
      <c r="FR28" s="27"/>
      <c r="FS28" s="27"/>
      <c r="FT28" s="27"/>
      <c r="FU28" s="27"/>
      <c r="FV28" s="27"/>
      <c r="FW28" s="27"/>
      <c r="FX28" s="27"/>
      <c r="FY28" s="27"/>
      <c r="FZ28" s="27"/>
      <c r="GA28" s="27"/>
      <c r="GB28" s="27"/>
      <c r="GC28" s="27"/>
      <c r="GD28" s="27"/>
      <c r="GE28" s="27"/>
      <c r="GF28" s="27"/>
      <c r="GG28" s="27"/>
      <c r="GH28" s="27"/>
      <c r="GI28" s="27"/>
      <c r="GJ28" s="27"/>
      <c r="GK28" s="27"/>
      <c r="GL28" s="27"/>
      <c r="GM28" s="27"/>
      <c r="GN28" s="27"/>
      <c r="GO28" s="27"/>
      <c r="GP28" s="27"/>
      <c r="GQ28" s="27"/>
      <c r="GR28" s="27"/>
      <c r="GS28" s="27"/>
      <c r="GT28" s="27"/>
      <c r="GU28" s="27"/>
      <c r="GV28" s="27"/>
      <c r="GW28" s="27"/>
      <c r="GX28" s="27"/>
      <c r="GY28" s="27"/>
      <c r="GZ28" s="27"/>
      <c r="HA28" s="27"/>
      <c r="HB28" s="27"/>
      <c r="HC28" s="27"/>
      <c r="HD28" s="27"/>
      <c r="HE28" s="27"/>
      <c r="HF28" s="27"/>
      <c r="HG28" s="27"/>
      <c r="HH28" s="27"/>
      <c r="HI28" s="27"/>
      <c r="HJ28" s="27"/>
      <c r="HK28" s="27"/>
      <c r="HL28" s="27"/>
      <c r="HM28" s="27"/>
      <c r="HN28" s="27"/>
      <c r="HO28" s="27"/>
      <c r="HP28" s="27"/>
      <c r="HQ28" s="27"/>
      <c r="HR28" s="27"/>
      <c r="HS28" s="27"/>
      <c r="HT28" s="27"/>
      <c r="HU28" s="27"/>
      <c r="HV28" s="27"/>
      <c r="HW28" s="27"/>
      <c r="HX28" s="27"/>
      <c r="HY28" s="27"/>
    </row>
    <row r="29" s="6" customFormat="true" ht="15" hidden="false" customHeight="false" outlineLevel="0" collapsed="false">
      <c r="A29" s="17"/>
      <c r="B29" s="18" t="s">
        <v>18</v>
      </c>
      <c r="C29" s="19"/>
      <c r="D29" s="19"/>
      <c r="E29" s="20"/>
      <c r="F29" s="19"/>
      <c r="G29" s="21"/>
      <c r="H29" s="19"/>
      <c r="I29" s="31"/>
      <c r="J29" s="19"/>
      <c r="K29" s="19"/>
      <c r="L29" s="23"/>
      <c r="M29" s="29"/>
      <c r="N29" s="24"/>
      <c r="O29" s="30" t="n">
        <f aca="false">N29*J29</f>
        <v>0</v>
      </c>
      <c r="Q29" s="27"/>
      <c r="R29" s="27"/>
      <c r="S29" s="27"/>
      <c r="T29" s="27"/>
      <c r="U29" s="27"/>
      <c r="V29" s="27"/>
      <c r="W29" s="27"/>
      <c r="X29" s="27"/>
      <c r="Y29" s="27"/>
      <c r="Z29" s="27"/>
      <c r="AA29" s="27"/>
      <c r="AB29" s="27"/>
      <c r="AC29" s="27"/>
      <c r="AD29" s="27"/>
      <c r="AE29" s="27"/>
      <c r="AF29" s="27"/>
      <c r="AG29" s="27"/>
      <c r="AH29" s="27"/>
      <c r="AI29" s="27"/>
      <c r="AJ29" s="27"/>
      <c r="AK29" s="27"/>
      <c r="AL29" s="27"/>
      <c r="AM29" s="27"/>
      <c r="AN29" s="27"/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  <c r="BG29" s="27"/>
      <c r="BH29" s="27"/>
      <c r="BI29" s="27"/>
      <c r="BJ29" s="27"/>
      <c r="BK29" s="27"/>
      <c r="BL29" s="27"/>
      <c r="BM29" s="27"/>
      <c r="BN29" s="27"/>
      <c r="BO29" s="27"/>
      <c r="BP29" s="27"/>
      <c r="BQ29" s="27"/>
      <c r="BR29" s="27"/>
      <c r="BS29" s="27"/>
      <c r="BT29" s="27"/>
      <c r="BU29" s="27"/>
      <c r="BV29" s="27"/>
      <c r="BW29" s="27"/>
      <c r="BX29" s="27"/>
      <c r="BY29" s="27"/>
      <c r="BZ29" s="27"/>
      <c r="CA29" s="27"/>
      <c r="CB29" s="27"/>
      <c r="CC29" s="27"/>
      <c r="CD29" s="27"/>
      <c r="CE29" s="27"/>
      <c r="CF29" s="27"/>
      <c r="CG29" s="27"/>
      <c r="CH29" s="27"/>
      <c r="CI29" s="27"/>
      <c r="CJ29" s="27"/>
      <c r="CK29" s="27"/>
      <c r="CL29" s="27"/>
      <c r="CM29" s="27"/>
      <c r="CN29" s="27"/>
      <c r="CO29" s="27"/>
      <c r="CP29" s="27"/>
      <c r="CQ29" s="27"/>
      <c r="CR29" s="27"/>
      <c r="CS29" s="27"/>
      <c r="CT29" s="27"/>
      <c r="CU29" s="27"/>
      <c r="CV29" s="27"/>
      <c r="CW29" s="27"/>
      <c r="CX29" s="27"/>
      <c r="CY29" s="27"/>
      <c r="CZ29" s="27"/>
      <c r="DA29" s="27"/>
      <c r="DB29" s="27"/>
      <c r="DC29" s="27"/>
      <c r="DD29" s="27"/>
      <c r="DE29" s="27"/>
      <c r="DF29" s="27"/>
      <c r="DG29" s="27"/>
      <c r="DH29" s="27"/>
      <c r="DI29" s="27"/>
      <c r="DJ29" s="27"/>
      <c r="DK29" s="27"/>
      <c r="DL29" s="27"/>
      <c r="DM29" s="27"/>
      <c r="DN29" s="27"/>
      <c r="DO29" s="27"/>
      <c r="DP29" s="27"/>
      <c r="DQ29" s="27"/>
      <c r="DR29" s="27"/>
      <c r="DS29" s="27"/>
      <c r="DT29" s="27"/>
      <c r="DU29" s="27"/>
      <c r="DV29" s="27"/>
      <c r="DW29" s="27"/>
      <c r="DX29" s="27"/>
      <c r="DY29" s="27"/>
      <c r="DZ29" s="27"/>
      <c r="EA29" s="27"/>
      <c r="EB29" s="27"/>
      <c r="EC29" s="27"/>
      <c r="ED29" s="27"/>
      <c r="EE29" s="27"/>
      <c r="EF29" s="27"/>
      <c r="EG29" s="27"/>
      <c r="EH29" s="27"/>
      <c r="EI29" s="27"/>
      <c r="EJ29" s="27"/>
      <c r="EK29" s="27"/>
      <c r="EL29" s="27"/>
      <c r="EM29" s="27"/>
      <c r="EN29" s="27"/>
      <c r="EO29" s="27"/>
      <c r="EP29" s="27"/>
      <c r="EQ29" s="27"/>
      <c r="ER29" s="27"/>
      <c r="ES29" s="27"/>
      <c r="ET29" s="27"/>
      <c r="EU29" s="27"/>
      <c r="EV29" s="27"/>
      <c r="EW29" s="27"/>
      <c r="EX29" s="27"/>
      <c r="EY29" s="27"/>
      <c r="EZ29" s="27"/>
      <c r="FA29" s="27"/>
      <c r="FB29" s="27"/>
      <c r="FC29" s="27"/>
      <c r="FD29" s="27"/>
      <c r="FE29" s="27"/>
      <c r="FF29" s="27"/>
      <c r="FG29" s="27"/>
      <c r="FH29" s="27"/>
      <c r="FI29" s="27"/>
      <c r="FJ29" s="27"/>
      <c r="FK29" s="27"/>
      <c r="FL29" s="27"/>
      <c r="FM29" s="27"/>
      <c r="FN29" s="27"/>
      <c r="FO29" s="27"/>
      <c r="FP29" s="27"/>
      <c r="FQ29" s="27"/>
      <c r="FR29" s="27"/>
      <c r="FS29" s="27"/>
      <c r="FT29" s="27"/>
      <c r="FU29" s="27"/>
      <c r="FV29" s="27"/>
      <c r="FW29" s="27"/>
      <c r="FX29" s="27"/>
      <c r="FY29" s="27"/>
      <c r="FZ29" s="27"/>
      <c r="GA29" s="27"/>
      <c r="GB29" s="27"/>
      <c r="GC29" s="27"/>
      <c r="GD29" s="27"/>
      <c r="GE29" s="27"/>
      <c r="GF29" s="27"/>
      <c r="GG29" s="27"/>
      <c r="GH29" s="27"/>
      <c r="GI29" s="27"/>
      <c r="GJ29" s="27"/>
      <c r="GK29" s="27"/>
      <c r="GL29" s="27"/>
      <c r="GM29" s="27"/>
      <c r="GN29" s="27"/>
      <c r="GO29" s="27"/>
      <c r="GP29" s="27"/>
      <c r="GQ29" s="27"/>
      <c r="GR29" s="27"/>
      <c r="GS29" s="27"/>
      <c r="GT29" s="27"/>
      <c r="GU29" s="27"/>
      <c r="GV29" s="27"/>
      <c r="GW29" s="27"/>
      <c r="GX29" s="27"/>
      <c r="GY29" s="27"/>
      <c r="GZ29" s="27"/>
      <c r="HA29" s="27"/>
      <c r="HB29" s="27"/>
      <c r="HC29" s="27"/>
      <c r="HD29" s="27"/>
      <c r="HE29" s="27"/>
      <c r="HF29" s="27"/>
      <c r="HG29" s="27"/>
      <c r="HH29" s="27"/>
      <c r="HI29" s="27"/>
      <c r="HJ29" s="27"/>
      <c r="HK29" s="27"/>
      <c r="HL29" s="27"/>
      <c r="HM29" s="27"/>
      <c r="HN29" s="27"/>
      <c r="HO29" s="27"/>
      <c r="HP29" s="27"/>
      <c r="HQ29" s="27"/>
      <c r="HR29" s="27"/>
      <c r="HS29" s="27"/>
      <c r="HT29" s="27"/>
      <c r="HU29" s="27"/>
      <c r="HV29" s="27"/>
      <c r="HW29" s="27"/>
      <c r="HX29" s="27"/>
      <c r="HY29" s="27"/>
    </row>
    <row r="30" s="6" customFormat="true" ht="15" hidden="false" customHeight="false" outlineLevel="0" collapsed="false">
      <c r="A30" s="17"/>
      <c r="B30" s="18" t="s">
        <v>18</v>
      </c>
      <c r="C30" s="19"/>
      <c r="D30" s="19"/>
      <c r="E30" s="20"/>
      <c r="F30" s="19"/>
      <c r="G30" s="21"/>
      <c r="H30" s="19"/>
      <c r="I30" s="31"/>
      <c r="J30" s="19"/>
      <c r="K30" s="19"/>
      <c r="L30" s="23"/>
      <c r="M30" s="29"/>
      <c r="N30" s="24"/>
      <c r="O30" s="30" t="n">
        <f aca="false">N30*J30</f>
        <v>0</v>
      </c>
      <c r="Q30" s="27"/>
      <c r="R30" s="27"/>
      <c r="S30" s="27"/>
      <c r="T30" s="27"/>
      <c r="U30" s="27"/>
      <c r="V30" s="27"/>
      <c r="W30" s="27"/>
      <c r="X30" s="27"/>
      <c r="Y30" s="27"/>
      <c r="Z30" s="27"/>
      <c r="AA30" s="27"/>
      <c r="AB30" s="27"/>
      <c r="AC30" s="27"/>
      <c r="AD30" s="27"/>
      <c r="AE30" s="27"/>
      <c r="AF30" s="27"/>
      <c r="AG30" s="27"/>
      <c r="AH30" s="27"/>
      <c r="AI30" s="27"/>
      <c r="AJ30" s="27"/>
      <c r="AK30" s="27"/>
      <c r="AL30" s="27"/>
      <c r="AM30" s="27"/>
      <c r="AN30" s="27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  <c r="BG30" s="27"/>
      <c r="BH30" s="27"/>
      <c r="BI30" s="27"/>
      <c r="BJ30" s="27"/>
      <c r="BK30" s="27"/>
      <c r="BL30" s="27"/>
      <c r="BM30" s="27"/>
      <c r="BN30" s="27"/>
      <c r="BO30" s="27"/>
      <c r="BP30" s="27"/>
      <c r="BQ30" s="27"/>
      <c r="BR30" s="27"/>
      <c r="BS30" s="27"/>
      <c r="BT30" s="27"/>
      <c r="BU30" s="27"/>
      <c r="BV30" s="27"/>
      <c r="BW30" s="27"/>
      <c r="BX30" s="27"/>
      <c r="BY30" s="27"/>
      <c r="BZ30" s="27"/>
      <c r="CA30" s="27"/>
      <c r="CB30" s="27"/>
      <c r="CC30" s="27"/>
      <c r="CD30" s="27"/>
      <c r="CE30" s="27"/>
      <c r="CF30" s="27"/>
      <c r="CG30" s="27"/>
      <c r="CH30" s="27"/>
      <c r="CI30" s="27"/>
      <c r="CJ30" s="27"/>
      <c r="CK30" s="27"/>
      <c r="CL30" s="27"/>
      <c r="CM30" s="27"/>
      <c r="CN30" s="27"/>
      <c r="CO30" s="27"/>
      <c r="CP30" s="27"/>
      <c r="CQ30" s="27"/>
      <c r="CR30" s="27"/>
      <c r="CS30" s="27"/>
      <c r="CT30" s="27"/>
      <c r="CU30" s="27"/>
      <c r="CV30" s="27"/>
      <c r="CW30" s="27"/>
      <c r="CX30" s="27"/>
      <c r="CY30" s="27"/>
      <c r="CZ30" s="27"/>
      <c r="DA30" s="27"/>
      <c r="DB30" s="27"/>
      <c r="DC30" s="27"/>
      <c r="DD30" s="27"/>
      <c r="DE30" s="27"/>
      <c r="DF30" s="27"/>
      <c r="DG30" s="27"/>
      <c r="DH30" s="27"/>
      <c r="DI30" s="27"/>
      <c r="DJ30" s="27"/>
      <c r="DK30" s="27"/>
      <c r="DL30" s="27"/>
      <c r="DM30" s="27"/>
      <c r="DN30" s="27"/>
      <c r="DO30" s="27"/>
      <c r="DP30" s="27"/>
      <c r="DQ30" s="27"/>
      <c r="DR30" s="27"/>
      <c r="DS30" s="27"/>
      <c r="DT30" s="27"/>
      <c r="DU30" s="27"/>
      <c r="DV30" s="27"/>
      <c r="DW30" s="27"/>
      <c r="DX30" s="27"/>
      <c r="DY30" s="27"/>
      <c r="DZ30" s="27"/>
      <c r="EA30" s="27"/>
      <c r="EB30" s="27"/>
      <c r="EC30" s="27"/>
      <c r="ED30" s="27"/>
      <c r="EE30" s="27"/>
      <c r="EF30" s="27"/>
      <c r="EG30" s="27"/>
      <c r="EH30" s="27"/>
      <c r="EI30" s="27"/>
      <c r="EJ30" s="27"/>
      <c r="EK30" s="27"/>
      <c r="EL30" s="27"/>
      <c r="EM30" s="27"/>
      <c r="EN30" s="27"/>
      <c r="EO30" s="27"/>
      <c r="EP30" s="27"/>
      <c r="EQ30" s="27"/>
      <c r="ER30" s="27"/>
      <c r="ES30" s="27"/>
      <c r="ET30" s="27"/>
      <c r="EU30" s="27"/>
      <c r="EV30" s="27"/>
      <c r="EW30" s="27"/>
      <c r="EX30" s="27"/>
      <c r="EY30" s="27"/>
      <c r="EZ30" s="27"/>
      <c r="FA30" s="27"/>
      <c r="FB30" s="27"/>
      <c r="FC30" s="27"/>
      <c r="FD30" s="27"/>
      <c r="FE30" s="27"/>
      <c r="FF30" s="27"/>
      <c r="FG30" s="27"/>
      <c r="FH30" s="27"/>
      <c r="FI30" s="27"/>
      <c r="FJ30" s="27"/>
      <c r="FK30" s="27"/>
      <c r="FL30" s="27"/>
      <c r="FM30" s="27"/>
      <c r="FN30" s="27"/>
      <c r="FO30" s="27"/>
      <c r="FP30" s="27"/>
      <c r="FQ30" s="27"/>
      <c r="FR30" s="27"/>
      <c r="FS30" s="27"/>
      <c r="FT30" s="27"/>
      <c r="FU30" s="27"/>
      <c r="FV30" s="27"/>
      <c r="FW30" s="27"/>
      <c r="FX30" s="27"/>
      <c r="FY30" s="27"/>
      <c r="FZ30" s="27"/>
      <c r="GA30" s="27"/>
      <c r="GB30" s="27"/>
      <c r="GC30" s="27"/>
      <c r="GD30" s="27"/>
      <c r="GE30" s="27"/>
      <c r="GF30" s="27"/>
      <c r="GG30" s="27"/>
      <c r="GH30" s="27"/>
      <c r="GI30" s="27"/>
      <c r="GJ30" s="27"/>
      <c r="GK30" s="27"/>
      <c r="GL30" s="27"/>
      <c r="GM30" s="27"/>
      <c r="GN30" s="27"/>
      <c r="GO30" s="27"/>
      <c r="GP30" s="27"/>
      <c r="GQ30" s="27"/>
      <c r="GR30" s="27"/>
      <c r="GS30" s="27"/>
      <c r="GT30" s="27"/>
      <c r="GU30" s="27"/>
      <c r="GV30" s="27"/>
      <c r="GW30" s="27"/>
      <c r="GX30" s="27"/>
      <c r="GY30" s="27"/>
      <c r="GZ30" s="27"/>
      <c r="HA30" s="27"/>
      <c r="HB30" s="27"/>
      <c r="HC30" s="27"/>
      <c r="HD30" s="27"/>
      <c r="HE30" s="27"/>
      <c r="HF30" s="27"/>
      <c r="HG30" s="27"/>
      <c r="HH30" s="27"/>
      <c r="HI30" s="27"/>
      <c r="HJ30" s="27"/>
      <c r="HK30" s="27"/>
      <c r="HL30" s="27"/>
      <c r="HM30" s="27"/>
      <c r="HN30" s="27"/>
      <c r="HO30" s="27"/>
      <c r="HP30" s="27"/>
      <c r="HQ30" s="27"/>
      <c r="HR30" s="27"/>
      <c r="HS30" s="27"/>
      <c r="HT30" s="27"/>
      <c r="HU30" s="27"/>
      <c r="HV30" s="27"/>
      <c r="HW30" s="27"/>
      <c r="HX30" s="27"/>
      <c r="HY30" s="27"/>
    </row>
    <row r="31" s="6" customFormat="true" ht="15" hidden="false" customHeight="false" outlineLevel="0" collapsed="false">
      <c r="A31" s="17"/>
      <c r="B31" s="18" t="s">
        <v>18</v>
      </c>
      <c r="C31" s="19"/>
      <c r="D31" s="19"/>
      <c r="E31" s="20"/>
      <c r="F31" s="19"/>
      <c r="G31" s="21"/>
      <c r="H31" s="19"/>
      <c r="I31" s="31"/>
      <c r="J31" s="19"/>
      <c r="K31" s="19"/>
      <c r="L31" s="23"/>
      <c r="M31" s="29"/>
      <c r="N31" s="24"/>
      <c r="O31" s="30" t="n">
        <f aca="false">N31*J31</f>
        <v>0</v>
      </c>
      <c r="Q31" s="27"/>
      <c r="R31" s="27"/>
      <c r="S31" s="27"/>
      <c r="T31" s="27"/>
      <c r="U31" s="27"/>
      <c r="V31" s="27"/>
      <c r="W31" s="27"/>
      <c r="X31" s="27"/>
      <c r="Y31" s="27"/>
      <c r="Z31" s="27"/>
      <c r="AA31" s="27"/>
      <c r="AB31" s="27"/>
      <c r="AC31" s="27"/>
      <c r="AD31" s="27"/>
      <c r="AE31" s="27"/>
      <c r="AF31" s="27"/>
      <c r="AG31" s="27"/>
      <c r="AH31" s="27"/>
      <c r="AI31" s="27"/>
      <c r="AJ31" s="27"/>
      <c r="AK31" s="27"/>
      <c r="AL31" s="27"/>
      <c r="AM31" s="27"/>
      <c r="AN31" s="27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  <c r="BG31" s="27"/>
      <c r="BH31" s="27"/>
      <c r="BI31" s="27"/>
      <c r="BJ31" s="27"/>
      <c r="BK31" s="27"/>
      <c r="BL31" s="27"/>
      <c r="BM31" s="27"/>
      <c r="BN31" s="27"/>
      <c r="BO31" s="27"/>
      <c r="BP31" s="27"/>
      <c r="BQ31" s="27"/>
      <c r="BR31" s="27"/>
      <c r="BS31" s="27"/>
      <c r="BT31" s="27"/>
      <c r="BU31" s="27"/>
      <c r="BV31" s="27"/>
      <c r="BW31" s="27"/>
      <c r="BX31" s="27"/>
      <c r="BY31" s="27"/>
      <c r="BZ31" s="27"/>
      <c r="CA31" s="27"/>
      <c r="CB31" s="27"/>
      <c r="CC31" s="27"/>
      <c r="CD31" s="27"/>
      <c r="CE31" s="27"/>
      <c r="CF31" s="27"/>
      <c r="CG31" s="27"/>
      <c r="CH31" s="27"/>
      <c r="CI31" s="27"/>
      <c r="CJ31" s="27"/>
      <c r="CK31" s="27"/>
      <c r="CL31" s="27"/>
      <c r="CM31" s="27"/>
      <c r="CN31" s="27"/>
      <c r="CO31" s="27"/>
      <c r="CP31" s="27"/>
      <c r="CQ31" s="27"/>
      <c r="CR31" s="27"/>
      <c r="CS31" s="27"/>
      <c r="CT31" s="27"/>
      <c r="CU31" s="27"/>
      <c r="CV31" s="27"/>
      <c r="CW31" s="27"/>
      <c r="CX31" s="27"/>
      <c r="CY31" s="27"/>
      <c r="CZ31" s="27"/>
      <c r="DA31" s="27"/>
      <c r="DB31" s="27"/>
      <c r="DC31" s="27"/>
      <c r="DD31" s="27"/>
      <c r="DE31" s="27"/>
      <c r="DF31" s="27"/>
      <c r="DG31" s="27"/>
      <c r="DH31" s="27"/>
      <c r="DI31" s="27"/>
      <c r="DJ31" s="27"/>
      <c r="DK31" s="27"/>
      <c r="DL31" s="27"/>
      <c r="DM31" s="27"/>
      <c r="DN31" s="27"/>
      <c r="DO31" s="27"/>
      <c r="DP31" s="27"/>
      <c r="DQ31" s="27"/>
      <c r="DR31" s="27"/>
      <c r="DS31" s="27"/>
      <c r="DT31" s="27"/>
      <c r="DU31" s="27"/>
      <c r="DV31" s="27"/>
      <c r="DW31" s="27"/>
      <c r="DX31" s="27"/>
      <c r="DY31" s="27"/>
      <c r="DZ31" s="27"/>
      <c r="EA31" s="27"/>
      <c r="EB31" s="27"/>
      <c r="EC31" s="27"/>
      <c r="ED31" s="27"/>
      <c r="EE31" s="27"/>
      <c r="EF31" s="27"/>
      <c r="EG31" s="27"/>
      <c r="EH31" s="27"/>
      <c r="EI31" s="27"/>
      <c r="EJ31" s="27"/>
      <c r="EK31" s="27"/>
      <c r="EL31" s="27"/>
      <c r="EM31" s="27"/>
      <c r="EN31" s="27"/>
      <c r="EO31" s="27"/>
      <c r="EP31" s="27"/>
      <c r="EQ31" s="27"/>
      <c r="ER31" s="27"/>
      <c r="ES31" s="27"/>
      <c r="ET31" s="27"/>
      <c r="EU31" s="27"/>
      <c r="EV31" s="27"/>
      <c r="EW31" s="27"/>
      <c r="EX31" s="27"/>
      <c r="EY31" s="27"/>
      <c r="EZ31" s="27"/>
      <c r="FA31" s="27"/>
      <c r="FB31" s="27"/>
      <c r="FC31" s="27"/>
      <c r="FD31" s="27"/>
      <c r="FE31" s="27"/>
      <c r="FF31" s="27"/>
      <c r="FG31" s="27"/>
      <c r="FH31" s="27"/>
      <c r="FI31" s="27"/>
      <c r="FJ31" s="27"/>
      <c r="FK31" s="27"/>
      <c r="FL31" s="27"/>
      <c r="FM31" s="27"/>
      <c r="FN31" s="27"/>
      <c r="FO31" s="27"/>
      <c r="FP31" s="27"/>
      <c r="FQ31" s="27"/>
      <c r="FR31" s="27"/>
      <c r="FS31" s="27"/>
      <c r="FT31" s="27"/>
      <c r="FU31" s="27"/>
      <c r="FV31" s="27"/>
      <c r="FW31" s="27"/>
      <c r="FX31" s="27"/>
      <c r="FY31" s="27"/>
      <c r="FZ31" s="27"/>
      <c r="GA31" s="27"/>
      <c r="GB31" s="27"/>
      <c r="GC31" s="27"/>
      <c r="GD31" s="27"/>
      <c r="GE31" s="27"/>
      <c r="GF31" s="27"/>
      <c r="GG31" s="27"/>
      <c r="GH31" s="27"/>
      <c r="GI31" s="27"/>
      <c r="GJ31" s="27"/>
      <c r="GK31" s="27"/>
      <c r="GL31" s="27"/>
      <c r="GM31" s="27"/>
      <c r="GN31" s="27"/>
      <c r="GO31" s="27"/>
      <c r="GP31" s="27"/>
      <c r="GQ31" s="27"/>
      <c r="GR31" s="27"/>
      <c r="GS31" s="27"/>
      <c r="GT31" s="27"/>
      <c r="GU31" s="27"/>
      <c r="GV31" s="27"/>
      <c r="GW31" s="27"/>
      <c r="GX31" s="27"/>
      <c r="GY31" s="27"/>
      <c r="GZ31" s="27"/>
      <c r="HA31" s="27"/>
      <c r="HB31" s="27"/>
      <c r="HC31" s="27"/>
      <c r="HD31" s="27"/>
      <c r="HE31" s="27"/>
      <c r="HF31" s="27"/>
      <c r="HG31" s="27"/>
      <c r="HH31" s="27"/>
      <c r="HI31" s="27"/>
      <c r="HJ31" s="27"/>
      <c r="HK31" s="27"/>
      <c r="HL31" s="27"/>
      <c r="HM31" s="27"/>
      <c r="HN31" s="27"/>
      <c r="HO31" s="27"/>
      <c r="HP31" s="27"/>
      <c r="HQ31" s="27"/>
      <c r="HR31" s="27"/>
      <c r="HS31" s="27"/>
      <c r="HT31" s="27"/>
      <c r="HU31" s="27"/>
      <c r="HV31" s="27"/>
      <c r="HW31" s="27"/>
      <c r="HX31" s="27"/>
      <c r="HY31" s="27"/>
    </row>
    <row r="32" s="6" customFormat="true" ht="15" hidden="false" customHeight="false" outlineLevel="0" collapsed="false">
      <c r="A32" s="17"/>
      <c r="B32" s="18" t="s">
        <v>18</v>
      </c>
      <c r="C32" s="19"/>
      <c r="D32" s="19"/>
      <c r="E32" s="20"/>
      <c r="F32" s="19"/>
      <c r="G32" s="21"/>
      <c r="H32" s="19"/>
      <c r="I32" s="31"/>
      <c r="J32" s="19"/>
      <c r="K32" s="19"/>
      <c r="L32" s="23"/>
      <c r="M32" s="29"/>
      <c r="N32" s="24"/>
      <c r="O32" s="30" t="n">
        <f aca="false">N32*J32</f>
        <v>0</v>
      </c>
      <c r="Q32" s="27"/>
      <c r="R32" s="27"/>
      <c r="S32" s="27"/>
      <c r="T32" s="27"/>
      <c r="U32" s="27"/>
      <c r="V32" s="27"/>
      <c r="W32" s="27"/>
      <c r="X32" s="27"/>
      <c r="Y32" s="27"/>
      <c r="Z32" s="27"/>
      <c r="AA32" s="27"/>
      <c r="AB32" s="27"/>
      <c r="AC32" s="27"/>
      <c r="AD32" s="27"/>
      <c r="AE32" s="27"/>
      <c r="AF32" s="27"/>
      <c r="AG32" s="27"/>
      <c r="AH32" s="27"/>
      <c r="AI32" s="27"/>
      <c r="AJ32" s="27"/>
      <c r="AK32" s="27"/>
      <c r="AL32" s="27"/>
      <c r="AM32" s="27"/>
      <c r="AN32" s="27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  <c r="BG32" s="27"/>
      <c r="BH32" s="27"/>
      <c r="BI32" s="27"/>
      <c r="BJ32" s="27"/>
      <c r="BK32" s="27"/>
      <c r="BL32" s="27"/>
      <c r="BM32" s="27"/>
      <c r="BN32" s="27"/>
      <c r="BO32" s="27"/>
      <c r="BP32" s="27"/>
      <c r="BQ32" s="27"/>
      <c r="BR32" s="27"/>
      <c r="BS32" s="27"/>
      <c r="BT32" s="27"/>
      <c r="BU32" s="27"/>
      <c r="BV32" s="27"/>
      <c r="BW32" s="27"/>
      <c r="BX32" s="27"/>
      <c r="BY32" s="27"/>
      <c r="BZ32" s="27"/>
      <c r="CA32" s="27"/>
      <c r="CB32" s="27"/>
      <c r="CC32" s="27"/>
      <c r="CD32" s="27"/>
      <c r="CE32" s="27"/>
      <c r="CF32" s="27"/>
      <c r="CG32" s="27"/>
      <c r="CH32" s="27"/>
      <c r="CI32" s="27"/>
      <c r="CJ32" s="27"/>
      <c r="CK32" s="27"/>
      <c r="CL32" s="27"/>
      <c r="CM32" s="27"/>
      <c r="CN32" s="27"/>
      <c r="CO32" s="27"/>
      <c r="CP32" s="27"/>
      <c r="CQ32" s="27"/>
      <c r="CR32" s="27"/>
      <c r="CS32" s="27"/>
      <c r="CT32" s="27"/>
      <c r="CU32" s="27"/>
      <c r="CV32" s="27"/>
      <c r="CW32" s="27"/>
      <c r="CX32" s="27"/>
      <c r="CY32" s="27"/>
      <c r="CZ32" s="27"/>
      <c r="DA32" s="27"/>
      <c r="DB32" s="27"/>
      <c r="DC32" s="27"/>
      <c r="DD32" s="27"/>
      <c r="DE32" s="27"/>
      <c r="DF32" s="27"/>
      <c r="DG32" s="27"/>
      <c r="DH32" s="27"/>
      <c r="DI32" s="27"/>
      <c r="DJ32" s="27"/>
      <c r="DK32" s="27"/>
      <c r="DL32" s="27"/>
      <c r="DM32" s="27"/>
      <c r="DN32" s="27"/>
      <c r="DO32" s="27"/>
      <c r="DP32" s="27"/>
      <c r="DQ32" s="27"/>
      <c r="DR32" s="27"/>
      <c r="DS32" s="27"/>
      <c r="DT32" s="27"/>
      <c r="DU32" s="27"/>
      <c r="DV32" s="27"/>
      <c r="DW32" s="27"/>
      <c r="DX32" s="27"/>
      <c r="DY32" s="27"/>
      <c r="DZ32" s="27"/>
      <c r="EA32" s="27"/>
      <c r="EB32" s="27"/>
      <c r="EC32" s="27"/>
      <c r="ED32" s="27"/>
      <c r="EE32" s="27"/>
      <c r="EF32" s="27"/>
      <c r="EG32" s="27"/>
      <c r="EH32" s="27"/>
      <c r="EI32" s="27"/>
      <c r="EJ32" s="27"/>
      <c r="EK32" s="27"/>
      <c r="EL32" s="27"/>
      <c r="EM32" s="27"/>
      <c r="EN32" s="27"/>
      <c r="EO32" s="27"/>
      <c r="EP32" s="27"/>
      <c r="EQ32" s="27"/>
      <c r="ER32" s="27"/>
      <c r="ES32" s="27"/>
      <c r="ET32" s="27"/>
      <c r="EU32" s="27"/>
      <c r="EV32" s="27"/>
      <c r="EW32" s="27"/>
      <c r="EX32" s="27"/>
      <c r="EY32" s="27"/>
      <c r="EZ32" s="27"/>
      <c r="FA32" s="27"/>
      <c r="FB32" s="27"/>
      <c r="FC32" s="27"/>
      <c r="FD32" s="27"/>
      <c r="FE32" s="27"/>
      <c r="FF32" s="27"/>
      <c r="FG32" s="27"/>
      <c r="FH32" s="27"/>
      <c r="FI32" s="27"/>
      <c r="FJ32" s="27"/>
      <c r="FK32" s="27"/>
      <c r="FL32" s="27"/>
      <c r="FM32" s="27"/>
      <c r="FN32" s="27"/>
      <c r="FO32" s="27"/>
      <c r="FP32" s="27"/>
      <c r="FQ32" s="27"/>
      <c r="FR32" s="27"/>
      <c r="FS32" s="27"/>
      <c r="FT32" s="27"/>
      <c r="FU32" s="27"/>
      <c r="FV32" s="27"/>
      <c r="FW32" s="27"/>
      <c r="FX32" s="27"/>
      <c r="FY32" s="27"/>
      <c r="FZ32" s="27"/>
      <c r="GA32" s="27"/>
      <c r="GB32" s="27"/>
      <c r="GC32" s="27"/>
      <c r="GD32" s="27"/>
      <c r="GE32" s="27"/>
      <c r="GF32" s="27"/>
      <c r="GG32" s="27"/>
      <c r="GH32" s="27"/>
      <c r="GI32" s="27"/>
      <c r="GJ32" s="27"/>
      <c r="GK32" s="27"/>
      <c r="GL32" s="27"/>
      <c r="GM32" s="27"/>
      <c r="GN32" s="27"/>
      <c r="GO32" s="27"/>
      <c r="GP32" s="27"/>
      <c r="GQ32" s="27"/>
      <c r="GR32" s="27"/>
      <c r="GS32" s="27"/>
      <c r="GT32" s="27"/>
      <c r="GU32" s="27"/>
      <c r="GV32" s="27"/>
      <c r="GW32" s="27"/>
      <c r="GX32" s="27"/>
      <c r="GY32" s="27"/>
      <c r="GZ32" s="27"/>
      <c r="HA32" s="27"/>
      <c r="HB32" s="27"/>
      <c r="HC32" s="27"/>
      <c r="HD32" s="27"/>
      <c r="HE32" s="27"/>
      <c r="HF32" s="27"/>
      <c r="HG32" s="27"/>
      <c r="HH32" s="27"/>
      <c r="HI32" s="27"/>
      <c r="HJ32" s="27"/>
      <c r="HK32" s="27"/>
      <c r="HL32" s="27"/>
      <c r="HM32" s="27"/>
      <c r="HN32" s="27"/>
      <c r="HO32" s="27"/>
      <c r="HP32" s="27"/>
      <c r="HQ32" s="27"/>
      <c r="HR32" s="27"/>
      <c r="HS32" s="27"/>
      <c r="HT32" s="27"/>
      <c r="HU32" s="27"/>
      <c r="HV32" s="27"/>
      <c r="HW32" s="27"/>
      <c r="HX32" s="27"/>
      <c r="HY32" s="27"/>
    </row>
    <row r="33" s="6" customFormat="true" ht="15" hidden="false" customHeight="false" outlineLevel="0" collapsed="false">
      <c r="A33" s="17"/>
      <c r="B33" s="18" t="s">
        <v>18</v>
      </c>
      <c r="C33" s="19"/>
      <c r="D33" s="19"/>
      <c r="E33" s="20"/>
      <c r="F33" s="19"/>
      <c r="G33" s="21"/>
      <c r="H33" s="19"/>
      <c r="I33" s="31"/>
      <c r="J33" s="19"/>
      <c r="K33" s="19"/>
      <c r="L33" s="23"/>
      <c r="M33" s="29"/>
      <c r="N33" s="24"/>
      <c r="O33" s="30" t="n">
        <f aca="false">N33*J33</f>
        <v>0</v>
      </c>
      <c r="Q33" s="27"/>
      <c r="R33" s="27"/>
      <c r="S33" s="27"/>
      <c r="T33" s="27"/>
      <c r="U33" s="27"/>
      <c r="V33" s="27"/>
      <c r="W33" s="27"/>
      <c r="X33" s="27"/>
      <c r="Y33" s="27"/>
      <c r="Z33" s="27"/>
      <c r="AA33" s="27"/>
      <c r="AB33" s="27"/>
      <c r="AC33" s="27"/>
      <c r="AD33" s="27"/>
      <c r="AE33" s="27"/>
      <c r="AF33" s="27"/>
      <c r="AG33" s="27"/>
      <c r="AH33" s="27"/>
      <c r="AI33" s="27"/>
      <c r="AJ33" s="27"/>
      <c r="AK33" s="27"/>
      <c r="AL33" s="27"/>
      <c r="AM33" s="27"/>
      <c r="AN33" s="27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  <c r="BG33" s="27"/>
      <c r="BH33" s="27"/>
      <c r="BI33" s="27"/>
      <c r="BJ33" s="27"/>
      <c r="BK33" s="27"/>
      <c r="BL33" s="27"/>
      <c r="BM33" s="27"/>
      <c r="BN33" s="27"/>
      <c r="BO33" s="27"/>
      <c r="BP33" s="27"/>
      <c r="BQ33" s="27"/>
      <c r="BR33" s="27"/>
      <c r="BS33" s="27"/>
      <c r="BT33" s="27"/>
      <c r="BU33" s="27"/>
      <c r="BV33" s="27"/>
      <c r="BW33" s="27"/>
      <c r="BX33" s="27"/>
      <c r="BY33" s="27"/>
      <c r="BZ33" s="27"/>
      <c r="CA33" s="27"/>
      <c r="CB33" s="27"/>
      <c r="CC33" s="27"/>
      <c r="CD33" s="27"/>
      <c r="CE33" s="27"/>
      <c r="CF33" s="27"/>
      <c r="CG33" s="27"/>
      <c r="CH33" s="27"/>
      <c r="CI33" s="27"/>
      <c r="CJ33" s="27"/>
      <c r="CK33" s="27"/>
      <c r="CL33" s="27"/>
      <c r="CM33" s="27"/>
      <c r="CN33" s="27"/>
      <c r="CO33" s="27"/>
      <c r="CP33" s="27"/>
      <c r="CQ33" s="27"/>
      <c r="CR33" s="27"/>
      <c r="CS33" s="27"/>
      <c r="CT33" s="27"/>
      <c r="CU33" s="27"/>
      <c r="CV33" s="27"/>
      <c r="CW33" s="27"/>
      <c r="CX33" s="27"/>
      <c r="CY33" s="27"/>
      <c r="CZ33" s="27"/>
      <c r="DA33" s="27"/>
      <c r="DB33" s="27"/>
      <c r="DC33" s="27"/>
      <c r="DD33" s="27"/>
      <c r="DE33" s="27"/>
      <c r="DF33" s="27"/>
      <c r="DG33" s="27"/>
      <c r="DH33" s="27"/>
      <c r="DI33" s="27"/>
      <c r="DJ33" s="27"/>
      <c r="DK33" s="27"/>
      <c r="DL33" s="27"/>
      <c r="DM33" s="27"/>
      <c r="DN33" s="27"/>
      <c r="DO33" s="27"/>
      <c r="DP33" s="27"/>
      <c r="DQ33" s="27"/>
      <c r="DR33" s="27"/>
      <c r="DS33" s="27"/>
      <c r="DT33" s="27"/>
      <c r="DU33" s="27"/>
      <c r="DV33" s="27"/>
      <c r="DW33" s="27"/>
      <c r="DX33" s="27"/>
      <c r="DY33" s="27"/>
      <c r="DZ33" s="27"/>
      <c r="EA33" s="27"/>
      <c r="EB33" s="27"/>
      <c r="EC33" s="27"/>
      <c r="ED33" s="27"/>
      <c r="EE33" s="27"/>
      <c r="EF33" s="27"/>
      <c r="EG33" s="27"/>
      <c r="EH33" s="27"/>
      <c r="EI33" s="27"/>
      <c r="EJ33" s="27"/>
      <c r="EK33" s="27"/>
      <c r="EL33" s="27"/>
      <c r="EM33" s="27"/>
      <c r="EN33" s="27"/>
      <c r="EO33" s="27"/>
      <c r="EP33" s="27"/>
      <c r="EQ33" s="27"/>
      <c r="ER33" s="27"/>
      <c r="ES33" s="27"/>
      <c r="ET33" s="27"/>
      <c r="EU33" s="27"/>
      <c r="EV33" s="27"/>
      <c r="EW33" s="27"/>
      <c r="EX33" s="27"/>
      <c r="EY33" s="27"/>
      <c r="EZ33" s="27"/>
      <c r="FA33" s="27"/>
      <c r="FB33" s="27"/>
      <c r="FC33" s="27"/>
      <c r="FD33" s="27"/>
      <c r="FE33" s="27"/>
      <c r="FF33" s="27"/>
      <c r="FG33" s="27"/>
      <c r="FH33" s="27"/>
      <c r="FI33" s="27"/>
      <c r="FJ33" s="27"/>
      <c r="FK33" s="27"/>
      <c r="FL33" s="27"/>
      <c r="FM33" s="27"/>
      <c r="FN33" s="27"/>
      <c r="FO33" s="27"/>
      <c r="FP33" s="27"/>
      <c r="FQ33" s="27"/>
      <c r="FR33" s="27"/>
      <c r="FS33" s="27"/>
      <c r="FT33" s="27"/>
      <c r="FU33" s="27"/>
      <c r="FV33" s="27"/>
      <c r="FW33" s="27"/>
      <c r="FX33" s="27"/>
      <c r="FY33" s="27"/>
      <c r="FZ33" s="27"/>
      <c r="GA33" s="27"/>
      <c r="GB33" s="27"/>
      <c r="GC33" s="27"/>
      <c r="GD33" s="27"/>
      <c r="GE33" s="27"/>
      <c r="GF33" s="27"/>
      <c r="GG33" s="27"/>
      <c r="GH33" s="27"/>
      <c r="GI33" s="27"/>
      <c r="GJ33" s="27"/>
      <c r="GK33" s="27"/>
      <c r="GL33" s="27"/>
      <c r="GM33" s="27"/>
      <c r="GN33" s="27"/>
      <c r="GO33" s="27"/>
      <c r="GP33" s="27"/>
      <c r="GQ33" s="27"/>
      <c r="GR33" s="27"/>
      <c r="GS33" s="27"/>
      <c r="GT33" s="27"/>
      <c r="GU33" s="27"/>
      <c r="GV33" s="27"/>
      <c r="GW33" s="27"/>
      <c r="GX33" s="27"/>
      <c r="GY33" s="27"/>
      <c r="GZ33" s="27"/>
      <c r="HA33" s="27"/>
      <c r="HB33" s="27"/>
      <c r="HC33" s="27"/>
      <c r="HD33" s="27"/>
      <c r="HE33" s="27"/>
      <c r="HF33" s="27"/>
      <c r="HG33" s="27"/>
      <c r="HH33" s="27"/>
      <c r="HI33" s="27"/>
      <c r="HJ33" s="27"/>
      <c r="HK33" s="27"/>
      <c r="HL33" s="27"/>
      <c r="HM33" s="27"/>
      <c r="HN33" s="27"/>
      <c r="HO33" s="27"/>
      <c r="HP33" s="27"/>
      <c r="HQ33" s="27"/>
      <c r="HR33" s="27"/>
      <c r="HS33" s="27"/>
      <c r="HT33" s="27"/>
      <c r="HU33" s="27"/>
      <c r="HV33" s="27"/>
      <c r="HW33" s="27"/>
      <c r="HX33" s="27"/>
      <c r="HY33" s="27"/>
    </row>
    <row r="34" s="6" customFormat="true" ht="15" hidden="false" customHeight="false" outlineLevel="0" collapsed="false">
      <c r="A34" s="17"/>
      <c r="B34" s="18" t="s">
        <v>18</v>
      </c>
      <c r="C34" s="19"/>
      <c r="D34" s="19"/>
      <c r="E34" s="20"/>
      <c r="F34" s="19"/>
      <c r="G34" s="21"/>
      <c r="H34" s="19"/>
      <c r="I34" s="31"/>
      <c r="J34" s="19"/>
      <c r="K34" s="19"/>
      <c r="L34" s="23"/>
      <c r="M34" s="29"/>
      <c r="N34" s="24"/>
      <c r="O34" s="30" t="n">
        <f aca="false">N34*J34</f>
        <v>0</v>
      </c>
      <c r="Q34" s="27"/>
      <c r="R34" s="27"/>
      <c r="S34" s="27"/>
      <c r="T34" s="27"/>
      <c r="U34" s="27"/>
      <c r="V34" s="27"/>
      <c r="W34" s="27"/>
      <c r="X34" s="27"/>
      <c r="Y34" s="27"/>
      <c r="Z34" s="27"/>
      <c r="AA34" s="27"/>
      <c r="AB34" s="27"/>
      <c r="AC34" s="27"/>
      <c r="AD34" s="27"/>
      <c r="AE34" s="27"/>
      <c r="AF34" s="27"/>
      <c r="AG34" s="27"/>
      <c r="AH34" s="27"/>
      <c r="AI34" s="27"/>
      <c r="AJ34" s="27"/>
      <c r="AK34" s="27"/>
      <c r="AL34" s="27"/>
      <c r="AM34" s="27"/>
      <c r="AN34" s="27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  <c r="BG34" s="27"/>
      <c r="BH34" s="27"/>
      <c r="BI34" s="27"/>
      <c r="BJ34" s="27"/>
      <c r="BK34" s="27"/>
      <c r="BL34" s="27"/>
      <c r="BM34" s="27"/>
      <c r="BN34" s="27"/>
      <c r="BO34" s="27"/>
      <c r="BP34" s="27"/>
      <c r="BQ34" s="27"/>
      <c r="BR34" s="27"/>
      <c r="BS34" s="27"/>
      <c r="BT34" s="27"/>
      <c r="BU34" s="27"/>
      <c r="BV34" s="27"/>
      <c r="BW34" s="27"/>
      <c r="BX34" s="27"/>
      <c r="BY34" s="27"/>
      <c r="BZ34" s="27"/>
      <c r="CA34" s="27"/>
      <c r="CB34" s="27"/>
      <c r="CC34" s="27"/>
      <c r="CD34" s="27"/>
      <c r="CE34" s="27"/>
      <c r="CF34" s="27"/>
      <c r="CG34" s="27"/>
      <c r="CH34" s="27"/>
      <c r="CI34" s="27"/>
      <c r="CJ34" s="27"/>
      <c r="CK34" s="27"/>
      <c r="CL34" s="27"/>
      <c r="CM34" s="27"/>
      <c r="CN34" s="27"/>
      <c r="CO34" s="27"/>
      <c r="CP34" s="27"/>
      <c r="CQ34" s="27"/>
      <c r="CR34" s="27"/>
      <c r="CS34" s="27"/>
      <c r="CT34" s="27"/>
      <c r="CU34" s="27"/>
      <c r="CV34" s="27"/>
      <c r="CW34" s="27"/>
      <c r="CX34" s="27"/>
      <c r="CY34" s="27"/>
      <c r="CZ34" s="27"/>
      <c r="DA34" s="27"/>
      <c r="DB34" s="27"/>
      <c r="DC34" s="27"/>
      <c r="DD34" s="27"/>
      <c r="DE34" s="27"/>
      <c r="DF34" s="27"/>
      <c r="DG34" s="27"/>
      <c r="DH34" s="27"/>
      <c r="DI34" s="27"/>
      <c r="DJ34" s="27"/>
      <c r="DK34" s="27"/>
      <c r="DL34" s="27"/>
      <c r="DM34" s="27"/>
      <c r="DN34" s="27"/>
      <c r="DO34" s="27"/>
      <c r="DP34" s="27"/>
      <c r="DQ34" s="27"/>
      <c r="DR34" s="27"/>
      <c r="DS34" s="27"/>
      <c r="DT34" s="27"/>
      <c r="DU34" s="27"/>
      <c r="DV34" s="27"/>
      <c r="DW34" s="27"/>
      <c r="DX34" s="27"/>
      <c r="DY34" s="27"/>
      <c r="DZ34" s="27"/>
      <c r="EA34" s="27"/>
      <c r="EB34" s="27"/>
      <c r="EC34" s="27"/>
      <c r="ED34" s="27"/>
      <c r="EE34" s="27"/>
      <c r="EF34" s="27"/>
      <c r="EG34" s="27"/>
      <c r="EH34" s="27"/>
      <c r="EI34" s="27"/>
      <c r="EJ34" s="27"/>
      <c r="EK34" s="27"/>
      <c r="EL34" s="27"/>
      <c r="EM34" s="27"/>
      <c r="EN34" s="27"/>
      <c r="EO34" s="27"/>
      <c r="EP34" s="27"/>
      <c r="EQ34" s="27"/>
      <c r="ER34" s="27"/>
      <c r="ES34" s="27"/>
      <c r="ET34" s="27"/>
      <c r="EU34" s="27"/>
      <c r="EV34" s="27"/>
      <c r="EW34" s="27"/>
      <c r="EX34" s="27"/>
      <c r="EY34" s="27"/>
      <c r="EZ34" s="27"/>
      <c r="FA34" s="27"/>
      <c r="FB34" s="27"/>
      <c r="FC34" s="27"/>
      <c r="FD34" s="27"/>
      <c r="FE34" s="27"/>
      <c r="FF34" s="27"/>
      <c r="FG34" s="27"/>
      <c r="FH34" s="27"/>
      <c r="FI34" s="27"/>
      <c r="FJ34" s="27"/>
      <c r="FK34" s="27"/>
      <c r="FL34" s="27"/>
      <c r="FM34" s="27"/>
      <c r="FN34" s="27"/>
      <c r="FO34" s="27"/>
      <c r="FP34" s="27"/>
      <c r="FQ34" s="27"/>
      <c r="FR34" s="27"/>
      <c r="FS34" s="27"/>
      <c r="FT34" s="27"/>
      <c r="FU34" s="27"/>
      <c r="FV34" s="27"/>
      <c r="FW34" s="27"/>
      <c r="FX34" s="27"/>
      <c r="FY34" s="27"/>
      <c r="FZ34" s="27"/>
      <c r="GA34" s="27"/>
      <c r="GB34" s="27"/>
      <c r="GC34" s="27"/>
      <c r="GD34" s="27"/>
      <c r="GE34" s="27"/>
      <c r="GF34" s="27"/>
      <c r="GG34" s="27"/>
      <c r="GH34" s="27"/>
      <c r="GI34" s="27"/>
      <c r="GJ34" s="27"/>
      <c r="GK34" s="27"/>
      <c r="GL34" s="27"/>
      <c r="GM34" s="27"/>
      <c r="GN34" s="27"/>
      <c r="GO34" s="27"/>
      <c r="GP34" s="27"/>
      <c r="GQ34" s="27"/>
      <c r="GR34" s="27"/>
      <c r="GS34" s="27"/>
      <c r="GT34" s="27"/>
      <c r="GU34" s="27"/>
      <c r="GV34" s="27"/>
      <c r="GW34" s="27"/>
      <c r="GX34" s="27"/>
      <c r="GY34" s="27"/>
      <c r="GZ34" s="27"/>
      <c r="HA34" s="27"/>
      <c r="HB34" s="27"/>
      <c r="HC34" s="27"/>
      <c r="HD34" s="27"/>
      <c r="HE34" s="27"/>
      <c r="HF34" s="27"/>
      <c r="HG34" s="27"/>
      <c r="HH34" s="27"/>
      <c r="HI34" s="27"/>
      <c r="HJ34" s="27"/>
      <c r="HK34" s="27"/>
      <c r="HL34" s="27"/>
      <c r="HM34" s="27"/>
      <c r="HN34" s="27"/>
      <c r="HO34" s="27"/>
      <c r="HP34" s="27"/>
      <c r="HQ34" s="27"/>
      <c r="HR34" s="27"/>
      <c r="HS34" s="27"/>
      <c r="HT34" s="27"/>
      <c r="HU34" s="27"/>
      <c r="HV34" s="27"/>
      <c r="HW34" s="27"/>
      <c r="HX34" s="27"/>
      <c r="HY34" s="27"/>
    </row>
    <row r="35" s="6" customFormat="true" ht="15" hidden="false" customHeight="false" outlineLevel="0" collapsed="false">
      <c r="A35" s="17"/>
      <c r="B35" s="18" t="s">
        <v>18</v>
      </c>
      <c r="C35" s="19"/>
      <c r="D35" s="19"/>
      <c r="E35" s="20"/>
      <c r="F35" s="19"/>
      <c r="G35" s="21"/>
      <c r="H35" s="19"/>
      <c r="I35" s="31"/>
      <c r="J35" s="19"/>
      <c r="K35" s="19"/>
      <c r="L35" s="23"/>
      <c r="M35" s="29"/>
      <c r="N35" s="24"/>
      <c r="O35" s="30" t="n">
        <f aca="false">N35*J35</f>
        <v>0</v>
      </c>
      <c r="Q35" s="27"/>
      <c r="R35" s="27"/>
      <c r="S35" s="27"/>
      <c r="T35" s="27"/>
      <c r="U35" s="27"/>
      <c r="V35" s="27"/>
      <c r="W35" s="27"/>
      <c r="X35" s="27"/>
      <c r="Y35" s="27"/>
      <c r="Z35" s="27"/>
      <c r="AA35" s="27"/>
      <c r="AB35" s="27"/>
      <c r="AC35" s="27"/>
      <c r="AD35" s="27"/>
      <c r="AE35" s="27"/>
      <c r="AF35" s="27"/>
      <c r="AG35" s="27"/>
      <c r="AH35" s="27"/>
      <c r="AI35" s="27"/>
      <c r="AJ35" s="27"/>
      <c r="AK35" s="27"/>
      <c r="AL35" s="27"/>
      <c r="AM35" s="27"/>
      <c r="AN35" s="27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  <c r="BG35" s="27"/>
      <c r="BH35" s="27"/>
      <c r="BI35" s="27"/>
      <c r="BJ35" s="27"/>
      <c r="BK35" s="27"/>
      <c r="BL35" s="27"/>
      <c r="BM35" s="27"/>
      <c r="BN35" s="27"/>
      <c r="BO35" s="27"/>
      <c r="BP35" s="27"/>
      <c r="BQ35" s="27"/>
      <c r="BR35" s="27"/>
      <c r="BS35" s="27"/>
      <c r="BT35" s="27"/>
      <c r="BU35" s="27"/>
      <c r="BV35" s="27"/>
      <c r="BW35" s="27"/>
      <c r="BX35" s="27"/>
      <c r="BY35" s="27"/>
      <c r="BZ35" s="27"/>
      <c r="CA35" s="27"/>
      <c r="CB35" s="27"/>
      <c r="CC35" s="27"/>
      <c r="CD35" s="27"/>
      <c r="CE35" s="27"/>
      <c r="CF35" s="27"/>
      <c r="CG35" s="27"/>
      <c r="CH35" s="27"/>
      <c r="CI35" s="27"/>
      <c r="CJ35" s="27"/>
      <c r="CK35" s="27"/>
      <c r="CL35" s="27"/>
      <c r="CM35" s="27"/>
      <c r="CN35" s="27"/>
      <c r="CO35" s="27"/>
      <c r="CP35" s="27"/>
      <c r="CQ35" s="27"/>
      <c r="CR35" s="27"/>
      <c r="CS35" s="27"/>
      <c r="CT35" s="27"/>
      <c r="CU35" s="27"/>
      <c r="CV35" s="27"/>
      <c r="CW35" s="27"/>
      <c r="CX35" s="27"/>
      <c r="CY35" s="27"/>
      <c r="CZ35" s="27"/>
      <c r="DA35" s="27"/>
      <c r="DB35" s="27"/>
      <c r="DC35" s="27"/>
      <c r="DD35" s="27"/>
      <c r="DE35" s="27"/>
      <c r="DF35" s="27"/>
      <c r="DG35" s="27"/>
      <c r="DH35" s="27"/>
      <c r="DI35" s="27"/>
      <c r="DJ35" s="27"/>
      <c r="DK35" s="27"/>
      <c r="DL35" s="27"/>
      <c r="DM35" s="27"/>
      <c r="DN35" s="27"/>
      <c r="DO35" s="27"/>
      <c r="DP35" s="27"/>
      <c r="DQ35" s="27"/>
      <c r="DR35" s="27"/>
      <c r="DS35" s="27"/>
      <c r="DT35" s="27"/>
      <c r="DU35" s="27"/>
      <c r="DV35" s="27"/>
      <c r="DW35" s="27"/>
      <c r="DX35" s="27"/>
      <c r="DY35" s="27"/>
      <c r="DZ35" s="27"/>
      <c r="EA35" s="27"/>
      <c r="EB35" s="27"/>
      <c r="EC35" s="27"/>
      <c r="ED35" s="27"/>
      <c r="EE35" s="27"/>
      <c r="EF35" s="27"/>
      <c r="EG35" s="27"/>
      <c r="EH35" s="27"/>
      <c r="EI35" s="27"/>
      <c r="EJ35" s="27"/>
      <c r="EK35" s="27"/>
      <c r="EL35" s="27"/>
      <c r="EM35" s="27"/>
      <c r="EN35" s="27"/>
      <c r="EO35" s="27"/>
      <c r="EP35" s="27"/>
      <c r="EQ35" s="27"/>
      <c r="ER35" s="27"/>
      <c r="ES35" s="27"/>
      <c r="ET35" s="27"/>
      <c r="EU35" s="27"/>
      <c r="EV35" s="27"/>
      <c r="EW35" s="27"/>
      <c r="EX35" s="27"/>
      <c r="EY35" s="27"/>
      <c r="EZ35" s="27"/>
      <c r="FA35" s="27"/>
      <c r="FB35" s="27"/>
      <c r="FC35" s="27"/>
      <c r="FD35" s="27"/>
      <c r="FE35" s="27"/>
      <c r="FF35" s="27"/>
      <c r="FG35" s="27"/>
      <c r="FH35" s="27"/>
      <c r="FI35" s="27"/>
      <c r="FJ35" s="27"/>
      <c r="FK35" s="27"/>
      <c r="FL35" s="27"/>
      <c r="FM35" s="27"/>
      <c r="FN35" s="27"/>
      <c r="FO35" s="27"/>
      <c r="FP35" s="27"/>
      <c r="FQ35" s="27"/>
      <c r="FR35" s="27"/>
      <c r="FS35" s="27"/>
      <c r="FT35" s="27"/>
      <c r="FU35" s="27"/>
      <c r="FV35" s="27"/>
      <c r="FW35" s="27"/>
      <c r="FX35" s="27"/>
      <c r="FY35" s="27"/>
      <c r="FZ35" s="27"/>
      <c r="GA35" s="27"/>
      <c r="GB35" s="27"/>
      <c r="GC35" s="27"/>
      <c r="GD35" s="27"/>
      <c r="GE35" s="27"/>
      <c r="GF35" s="27"/>
      <c r="GG35" s="27"/>
      <c r="GH35" s="27"/>
      <c r="GI35" s="27"/>
      <c r="GJ35" s="27"/>
      <c r="GK35" s="27"/>
      <c r="GL35" s="27"/>
      <c r="GM35" s="27"/>
      <c r="GN35" s="27"/>
      <c r="GO35" s="27"/>
      <c r="GP35" s="27"/>
      <c r="GQ35" s="27"/>
      <c r="GR35" s="27"/>
      <c r="GS35" s="27"/>
      <c r="GT35" s="27"/>
      <c r="GU35" s="27"/>
      <c r="GV35" s="27"/>
      <c r="GW35" s="27"/>
      <c r="GX35" s="27"/>
      <c r="GY35" s="27"/>
      <c r="GZ35" s="27"/>
      <c r="HA35" s="27"/>
      <c r="HB35" s="27"/>
      <c r="HC35" s="27"/>
      <c r="HD35" s="27"/>
      <c r="HE35" s="27"/>
      <c r="HF35" s="27"/>
      <c r="HG35" s="27"/>
      <c r="HH35" s="27"/>
      <c r="HI35" s="27"/>
      <c r="HJ35" s="27"/>
      <c r="HK35" s="27"/>
      <c r="HL35" s="27"/>
      <c r="HM35" s="27"/>
      <c r="HN35" s="27"/>
      <c r="HO35" s="27"/>
      <c r="HP35" s="27"/>
      <c r="HQ35" s="27"/>
      <c r="HR35" s="27"/>
      <c r="HS35" s="27"/>
      <c r="HT35" s="27"/>
      <c r="HU35" s="27"/>
      <c r="HV35" s="27"/>
      <c r="HW35" s="27"/>
      <c r="HX35" s="27"/>
      <c r="HY35" s="27"/>
    </row>
    <row r="36" s="6" customFormat="true" ht="15" hidden="false" customHeight="false" outlineLevel="0" collapsed="false">
      <c r="A36" s="17"/>
      <c r="B36" s="18" t="s">
        <v>18</v>
      </c>
      <c r="C36" s="19"/>
      <c r="D36" s="19"/>
      <c r="E36" s="20"/>
      <c r="F36" s="19"/>
      <c r="G36" s="21"/>
      <c r="H36" s="19"/>
      <c r="I36" s="31"/>
      <c r="J36" s="19"/>
      <c r="K36" s="19"/>
      <c r="L36" s="23"/>
      <c r="M36" s="29"/>
      <c r="N36" s="24"/>
      <c r="O36" s="30" t="n">
        <f aca="false">N36*J36</f>
        <v>0</v>
      </c>
      <c r="Q36" s="27"/>
      <c r="R36" s="27"/>
      <c r="S36" s="27"/>
      <c r="T36" s="27"/>
      <c r="U36" s="27"/>
      <c r="V36" s="27"/>
      <c r="W36" s="27"/>
      <c r="X36" s="27"/>
      <c r="Y36" s="27"/>
      <c r="Z36" s="27"/>
      <c r="AA36" s="27"/>
      <c r="AB36" s="27"/>
      <c r="AC36" s="27"/>
      <c r="AD36" s="27"/>
      <c r="AE36" s="27"/>
      <c r="AF36" s="27"/>
      <c r="AG36" s="27"/>
      <c r="AH36" s="27"/>
      <c r="AI36" s="27"/>
      <c r="AJ36" s="27"/>
      <c r="AK36" s="27"/>
      <c r="AL36" s="27"/>
      <c r="AM36" s="27"/>
      <c r="AN36" s="27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  <c r="BG36" s="27"/>
      <c r="BH36" s="27"/>
      <c r="BI36" s="27"/>
      <c r="BJ36" s="27"/>
      <c r="BK36" s="27"/>
      <c r="BL36" s="27"/>
      <c r="BM36" s="27"/>
      <c r="BN36" s="27"/>
      <c r="BO36" s="27"/>
      <c r="BP36" s="27"/>
      <c r="BQ36" s="27"/>
      <c r="BR36" s="27"/>
      <c r="BS36" s="27"/>
      <c r="BT36" s="27"/>
      <c r="BU36" s="27"/>
      <c r="BV36" s="27"/>
      <c r="BW36" s="27"/>
      <c r="BX36" s="27"/>
      <c r="BY36" s="27"/>
      <c r="BZ36" s="27"/>
      <c r="CA36" s="27"/>
      <c r="CB36" s="27"/>
      <c r="CC36" s="27"/>
      <c r="CD36" s="27"/>
      <c r="CE36" s="27"/>
      <c r="CF36" s="27"/>
      <c r="CG36" s="27"/>
      <c r="CH36" s="27"/>
      <c r="CI36" s="27"/>
      <c r="CJ36" s="27"/>
      <c r="CK36" s="27"/>
      <c r="CL36" s="27"/>
      <c r="CM36" s="27"/>
      <c r="CN36" s="27"/>
      <c r="CO36" s="27"/>
      <c r="CP36" s="27"/>
      <c r="CQ36" s="27"/>
      <c r="CR36" s="27"/>
      <c r="CS36" s="27"/>
      <c r="CT36" s="27"/>
      <c r="CU36" s="27"/>
      <c r="CV36" s="27"/>
      <c r="CW36" s="27"/>
      <c r="CX36" s="27"/>
      <c r="CY36" s="27"/>
      <c r="CZ36" s="27"/>
      <c r="DA36" s="27"/>
      <c r="DB36" s="27"/>
      <c r="DC36" s="27"/>
      <c r="DD36" s="27"/>
      <c r="DE36" s="27"/>
      <c r="DF36" s="27"/>
      <c r="DG36" s="27"/>
      <c r="DH36" s="27"/>
      <c r="DI36" s="27"/>
      <c r="DJ36" s="27"/>
      <c r="DK36" s="27"/>
      <c r="DL36" s="27"/>
      <c r="DM36" s="27"/>
      <c r="DN36" s="27"/>
      <c r="DO36" s="27"/>
      <c r="DP36" s="27"/>
      <c r="DQ36" s="27"/>
      <c r="DR36" s="27"/>
      <c r="DS36" s="27"/>
      <c r="DT36" s="27"/>
      <c r="DU36" s="27"/>
      <c r="DV36" s="27"/>
      <c r="DW36" s="27"/>
      <c r="DX36" s="27"/>
      <c r="DY36" s="27"/>
      <c r="DZ36" s="27"/>
      <c r="EA36" s="27"/>
      <c r="EB36" s="27"/>
      <c r="EC36" s="27"/>
      <c r="ED36" s="27"/>
      <c r="EE36" s="27"/>
      <c r="EF36" s="27"/>
      <c r="EG36" s="27"/>
      <c r="EH36" s="27"/>
      <c r="EI36" s="27"/>
      <c r="EJ36" s="27"/>
      <c r="EK36" s="27"/>
      <c r="EL36" s="27"/>
      <c r="EM36" s="27"/>
      <c r="EN36" s="27"/>
      <c r="EO36" s="27"/>
      <c r="EP36" s="27"/>
      <c r="EQ36" s="27"/>
      <c r="ER36" s="27"/>
      <c r="ES36" s="27"/>
      <c r="ET36" s="27"/>
      <c r="EU36" s="27"/>
      <c r="EV36" s="27"/>
      <c r="EW36" s="27"/>
      <c r="EX36" s="27"/>
      <c r="EY36" s="27"/>
      <c r="EZ36" s="27"/>
      <c r="FA36" s="27"/>
      <c r="FB36" s="27"/>
      <c r="FC36" s="27"/>
      <c r="FD36" s="27"/>
      <c r="FE36" s="27"/>
      <c r="FF36" s="27"/>
      <c r="FG36" s="27"/>
      <c r="FH36" s="27"/>
      <c r="FI36" s="27"/>
      <c r="FJ36" s="27"/>
      <c r="FK36" s="27"/>
      <c r="FL36" s="27"/>
      <c r="FM36" s="27"/>
      <c r="FN36" s="27"/>
      <c r="FO36" s="27"/>
      <c r="FP36" s="27"/>
      <c r="FQ36" s="27"/>
      <c r="FR36" s="27"/>
      <c r="FS36" s="27"/>
      <c r="FT36" s="27"/>
      <c r="FU36" s="27"/>
      <c r="FV36" s="27"/>
      <c r="FW36" s="27"/>
      <c r="FX36" s="27"/>
      <c r="FY36" s="27"/>
      <c r="FZ36" s="27"/>
      <c r="GA36" s="27"/>
      <c r="GB36" s="27"/>
      <c r="GC36" s="27"/>
      <c r="GD36" s="27"/>
      <c r="GE36" s="27"/>
      <c r="GF36" s="27"/>
      <c r="GG36" s="27"/>
      <c r="GH36" s="27"/>
      <c r="GI36" s="27"/>
      <c r="GJ36" s="27"/>
      <c r="GK36" s="27"/>
      <c r="GL36" s="27"/>
      <c r="GM36" s="27"/>
      <c r="GN36" s="27"/>
      <c r="GO36" s="27"/>
      <c r="GP36" s="27"/>
      <c r="GQ36" s="27"/>
      <c r="GR36" s="27"/>
      <c r="GS36" s="27"/>
      <c r="GT36" s="27"/>
      <c r="GU36" s="27"/>
      <c r="GV36" s="27"/>
      <c r="GW36" s="27"/>
      <c r="GX36" s="27"/>
      <c r="GY36" s="27"/>
      <c r="GZ36" s="27"/>
      <c r="HA36" s="27"/>
      <c r="HB36" s="27"/>
      <c r="HC36" s="27"/>
      <c r="HD36" s="27"/>
      <c r="HE36" s="27"/>
      <c r="HF36" s="27"/>
      <c r="HG36" s="27"/>
      <c r="HH36" s="27"/>
      <c r="HI36" s="27"/>
      <c r="HJ36" s="27"/>
      <c r="HK36" s="27"/>
      <c r="HL36" s="27"/>
      <c r="HM36" s="27"/>
      <c r="HN36" s="27"/>
      <c r="HO36" s="27"/>
      <c r="HP36" s="27"/>
      <c r="HQ36" s="27"/>
      <c r="HR36" s="27"/>
      <c r="HS36" s="27"/>
      <c r="HT36" s="27"/>
      <c r="HU36" s="27"/>
      <c r="HV36" s="27"/>
      <c r="HW36" s="27"/>
      <c r="HX36" s="27"/>
      <c r="HY36" s="27"/>
    </row>
    <row r="37" s="6" customFormat="true" ht="15" hidden="false" customHeight="false" outlineLevel="0" collapsed="false">
      <c r="A37" s="17"/>
      <c r="B37" s="18" t="s">
        <v>18</v>
      </c>
      <c r="C37" s="19"/>
      <c r="D37" s="19"/>
      <c r="E37" s="20"/>
      <c r="F37" s="19"/>
      <c r="G37" s="21"/>
      <c r="H37" s="19"/>
      <c r="I37" s="31"/>
      <c r="J37" s="19"/>
      <c r="K37" s="19"/>
      <c r="L37" s="23"/>
      <c r="M37" s="29"/>
      <c r="N37" s="24"/>
      <c r="O37" s="30" t="n">
        <f aca="false">N37*J37</f>
        <v>0</v>
      </c>
      <c r="Q37" s="27"/>
      <c r="R37" s="27"/>
      <c r="S37" s="27"/>
      <c r="T37" s="27"/>
      <c r="U37" s="27"/>
      <c r="V37" s="27"/>
      <c r="W37" s="27"/>
      <c r="X37" s="27"/>
      <c r="Y37" s="27"/>
      <c r="Z37" s="27"/>
      <c r="AA37" s="27"/>
      <c r="AB37" s="27"/>
      <c r="AC37" s="27"/>
      <c r="AD37" s="27"/>
      <c r="AE37" s="27"/>
      <c r="AF37" s="27"/>
      <c r="AG37" s="27"/>
      <c r="AH37" s="27"/>
      <c r="AI37" s="27"/>
      <c r="AJ37" s="27"/>
      <c r="AK37" s="27"/>
      <c r="AL37" s="27"/>
      <c r="AM37" s="27"/>
      <c r="AN37" s="27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  <c r="BG37" s="27"/>
      <c r="BH37" s="27"/>
      <c r="BI37" s="27"/>
      <c r="BJ37" s="27"/>
      <c r="BK37" s="27"/>
      <c r="BL37" s="27"/>
      <c r="BM37" s="27"/>
      <c r="BN37" s="27"/>
      <c r="BO37" s="27"/>
      <c r="BP37" s="27"/>
      <c r="BQ37" s="27"/>
      <c r="BR37" s="27"/>
      <c r="BS37" s="27"/>
      <c r="BT37" s="27"/>
      <c r="BU37" s="27"/>
      <c r="BV37" s="27"/>
      <c r="BW37" s="27"/>
      <c r="BX37" s="27"/>
      <c r="BY37" s="27"/>
      <c r="BZ37" s="27"/>
      <c r="CA37" s="27"/>
      <c r="CB37" s="27"/>
      <c r="CC37" s="27"/>
      <c r="CD37" s="27"/>
      <c r="CE37" s="27"/>
      <c r="CF37" s="27"/>
      <c r="CG37" s="27"/>
      <c r="CH37" s="27"/>
      <c r="CI37" s="27"/>
      <c r="CJ37" s="27"/>
      <c r="CK37" s="27"/>
      <c r="CL37" s="27"/>
      <c r="CM37" s="27"/>
      <c r="CN37" s="27"/>
      <c r="CO37" s="27"/>
      <c r="CP37" s="27"/>
      <c r="CQ37" s="27"/>
      <c r="CR37" s="27"/>
      <c r="CS37" s="27"/>
      <c r="CT37" s="27"/>
      <c r="CU37" s="27"/>
      <c r="CV37" s="27"/>
      <c r="CW37" s="27"/>
      <c r="CX37" s="27"/>
      <c r="CY37" s="27"/>
      <c r="CZ37" s="27"/>
      <c r="DA37" s="27"/>
      <c r="DB37" s="27"/>
      <c r="DC37" s="27"/>
      <c r="DD37" s="27"/>
      <c r="DE37" s="27"/>
      <c r="DF37" s="27"/>
      <c r="DG37" s="27"/>
      <c r="DH37" s="27"/>
      <c r="DI37" s="27"/>
      <c r="DJ37" s="27"/>
      <c r="DK37" s="27"/>
      <c r="DL37" s="27"/>
      <c r="DM37" s="27"/>
      <c r="DN37" s="27"/>
      <c r="DO37" s="27"/>
      <c r="DP37" s="27"/>
      <c r="DQ37" s="27"/>
      <c r="DR37" s="27"/>
      <c r="DS37" s="27"/>
      <c r="DT37" s="27"/>
      <c r="DU37" s="27"/>
      <c r="DV37" s="27"/>
      <c r="DW37" s="27"/>
      <c r="DX37" s="27"/>
      <c r="DY37" s="27"/>
      <c r="DZ37" s="27"/>
      <c r="EA37" s="27"/>
      <c r="EB37" s="27"/>
      <c r="EC37" s="27"/>
      <c r="ED37" s="27"/>
      <c r="EE37" s="27"/>
      <c r="EF37" s="27"/>
      <c r="EG37" s="27"/>
      <c r="EH37" s="27"/>
      <c r="EI37" s="27"/>
      <c r="EJ37" s="27"/>
      <c r="EK37" s="27"/>
      <c r="EL37" s="27"/>
      <c r="EM37" s="27"/>
      <c r="EN37" s="27"/>
      <c r="EO37" s="27"/>
      <c r="EP37" s="27"/>
      <c r="EQ37" s="27"/>
      <c r="ER37" s="27"/>
      <c r="ES37" s="27"/>
      <c r="ET37" s="27"/>
      <c r="EU37" s="27"/>
      <c r="EV37" s="27"/>
      <c r="EW37" s="27"/>
      <c r="EX37" s="27"/>
      <c r="EY37" s="27"/>
      <c r="EZ37" s="27"/>
      <c r="FA37" s="27"/>
      <c r="FB37" s="27"/>
      <c r="FC37" s="27"/>
      <c r="FD37" s="27"/>
      <c r="FE37" s="27"/>
      <c r="FF37" s="27"/>
      <c r="FG37" s="27"/>
      <c r="FH37" s="27"/>
      <c r="FI37" s="27"/>
      <c r="FJ37" s="27"/>
      <c r="FK37" s="27"/>
      <c r="FL37" s="27"/>
      <c r="FM37" s="27"/>
      <c r="FN37" s="27"/>
      <c r="FO37" s="27"/>
      <c r="FP37" s="27"/>
      <c r="FQ37" s="27"/>
      <c r="FR37" s="27"/>
      <c r="FS37" s="27"/>
      <c r="FT37" s="27"/>
      <c r="FU37" s="27"/>
      <c r="FV37" s="27"/>
      <c r="FW37" s="27"/>
      <c r="FX37" s="27"/>
      <c r="FY37" s="27"/>
      <c r="FZ37" s="27"/>
      <c r="GA37" s="27"/>
      <c r="GB37" s="27"/>
      <c r="GC37" s="27"/>
      <c r="GD37" s="27"/>
      <c r="GE37" s="27"/>
      <c r="GF37" s="27"/>
      <c r="GG37" s="27"/>
      <c r="GH37" s="27"/>
      <c r="GI37" s="27"/>
      <c r="GJ37" s="27"/>
      <c r="GK37" s="27"/>
      <c r="GL37" s="27"/>
      <c r="GM37" s="27"/>
      <c r="GN37" s="27"/>
      <c r="GO37" s="27"/>
      <c r="GP37" s="27"/>
      <c r="GQ37" s="27"/>
      <c r="GR37" s="27"/>
      <c r="GS37" s="27"/>
      <c r="GT37" s="27"/>
      <c r="GU37" s="27"/>
      <c r="GV37" s="27"/>
      <c r="GW37" s="27"/>
      <c r="GX37" s="27"/>
      <c r="GY37" s="27"/>
      <c r="GZ37" s="27"/>
      <c r="HA37" s="27"/>
      <c r="HB37" s="27"/>
      <c r="HC37" s="27"/>
      <c r="HD37" s="27"/>
      <c r="HE37" s="27"/>
      <c r="HF37" s="27"/>
      <c r="HG37" s="27"/>
      <c r="HH37" s="27"/>
      <c r="HI37" s="27"/>
      <c r="HJ37" s="27"/>
      <c r="HK37" s="27"/>
      <c r="HL37" s="27"/>
      <c r="HM37" s="27"/>
      <c r="HN37" s="27"/>
      <c r="HO37" s="27"/>
      <c r="HP37" s="27"/>
      <c r="HQ37" s="27"/>
      <c r="HR37" s="27"/>
      <c r="HS37" s="27"/>
      <c r="HT37" s="27"/>
      <c r="HU37" s="27"/>
      <c r="HV37" s="27"/>
      <c r="HW37" s="27"/>
      <c r="HX37" s="27"/>
      <c r="HY37" s="27"/>
    </row>
    <row r="38" s="6" customFormat="true" ht="15" hidden="false" customHeight="false" outlineLevel="0" collapsed="false">
      <c r="A38" s="17"/>
      <c r="B38" s="18" t="s">
        <v>18</v>
      </c>
      <c r="C38" s="19"/>
      <c r="D38" s="19"/>
      <c r="E38" s="20"/>
      <c r="F38" s="19"/>
      <c r="G38" s="21"/>
      <c r="H38" s="19"/>
      <c r="I38" s="31"/>
      <c r="J38" s="19"/>
      <c r="K38" s="19"/>
      <c r="L38" s="23"/>
      <c r="M38" s="29"/>
      <c r="N38" s="24"/>
      <c r="O38" s="30" t="n">
        <f aca="false">N38*J38</f>
        <v>0</v>
      </c>
      <c r="Q38" s="27"/>
      <c r="R38" s="27"/>
      <c r="S38" s="27"/>
      <c r="T38" s="27"/>
      <c r="U38" s="27"/>
      <c r="V38" s="27"/>
      <c r="W38" s="27"/>
      <c r="X38" s="27"/>
      <c r="Y38" s="27"/>
      <c r="Z38" s="27"/>
      <c r="AA38" s="27"/>
      <c r="AB38" s="27"/>
      <c r="AC38" s="27"/>
      <c r="AD38" s="27"/>
      <c r="AE38" s="27"/>
      <c r="AF38" s="27"/>
      <c r="AG38" s="27"/>
      <c r="AH38" s="27"/>
      <c r="AI38" s="27"/>
      <c r="AJ38" s="27"/>
      <c r="AK38" s="27"/>
      <c r="AL38" s="27"/>
      <c r="AM38" s="27"/>
      <c r="AN38" s="27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  <c r="BG38" s="27"/>
      <c r="BH38" s="27"/>
      <c r="BI38" s="27"/>
      <c r="BJ38" s="27"/>
      <c r="BK38" s="27"/>
      <c r="BL38" s="27"/>
      <c r="BM38" s="27"/>
      <c r="BN38" s="27"/>
      <c r="BO38" s="27"/>
      <c r="BP38" s="27"/>
      <c r="BQ38" s="27"/>
      <c r="BR38" s="27"/>
      <c r="BS38" s="27"/>
      <c r="BT38" s="27"/>
      <c r="BU38" s="27"/>
      <c r="BV38" s="27"/>
      <c r="BW38" s="27"/>
      <c r="BX38" s="27"/>
      <c r="BY38" s="27"/>
      <c r="BZ38" s="27"/>
      <c r="CA38" s="27"/>
      <c r="CB38" s="27"/>
      <c r="CC38" s="27"/>
      <c r="CD38" s="27"/>
      <c r="CE38" s="27"/>
      <c r="CF38" s="27"/>
      <c r="CG38" s="27"/>
      <c r="CH38" s="27"/>
      <c r="CI38" s="27"/>
      <c r="CJ38" s="27"/>
      <c r="CK38" s="27"/>
      <c r="CL38" s="27"/>
      <c r="CM38" s="27"/>
      <c r="CN38" s="27"/>
      <c r="CO38" s="27"/>
      <c r="CP38" s="27"/>
      <c r="CQ38" s="27"/>
      <c r="CR38" s="27"/>
      <c r="CS38" s="27"/>
      <c r="CT38" s="27"/>
      <c r="CU38" s="27"/>
      <c r="CV38" s="27"/>
      <c r="CW38" s="27"/>
      <c r="CX38" s="27"/>
      <c r="CY38" s="27"/>
      <c r="CZ38" s="27"/>
      <c r="DA38" s="27"/>
      <c r="DB38" s="27"/>
      <c r="DC38" s="27"/>
      <c r="DD38" s="27"/>
      <c r="DE38" s="27"/>
      <c r="DF38" s="27"/>
      <c r="DG38" s="27"/>
      <c r="DH38" s="27"/>
      <c r="DI38" s="27"/>
      <c r="DJ38" s="27"/>
      <c r="DK38" s="27"/>
      <c r="DL38" s="27"/>
      <c r="DM38" s="27"/>
      <c r="DN38" s="27"/>
      <c r="DO38" s="27"/>
      <c r="DP38" s="27"/>
      <c r="DQ38" s="27"/>
      <c r="DR38" s="27"/>
      <c r="DS38" s="27"/>
      <c r="DT38" s="27"/>
      <c r="DU38" s="27"/>
      <c r="DV38" s="27"/>
      <c r="DW38" s="27"/>
      <c r="DX38" s="27"/>
      <c r="DY38" s="27"/>
      <c r="DZ38" s="27"/>
      <c r="EA38" s="27"/>
      <c r="EB38" s="27"/>
      <c r="EC38" s="27"/>
      <c r="ED38" s="27"/>
      <c r="EE38" s="27"/>
      <c r="EF38" s="27"/>
      <c r="EG38" s="27"/>
      <c r="EH38" s="27"/>
      <c r="EI38" s="27"/>
      <c r="EJ38" s="27"/>
      <c r="EK38" s="27"/>
      <c r="EL38" s="27"/>
      <c r="EM38" s="27"/>
      <c r="EN38" s="27"/>
      <c r="EO38" s="27"/>
      <c r="EP38" s="27"/>
      <c r="EQ38" s="27"/>
      <c r="ER38" s="27"/>
      <c r="ES38" s="27"/>
      <c r="ET38" s="27"/>
      <c r="EU38" s="27"/>
      <c r="EV38" s="27"/>
      <c r="EW38" s="27"/>
      <c r="EX38" s="27"/>
      <c r="EY38" s="27"/>
      <c r="EZ38" s="27"/>
      <c r="FA38" s="27"/>
      <c r="FB38" s="27"/>
      <c r="FC38" s="27"/>
      <c r="FD38" s="27"/>
      <c r="FE38" s="27"/>
      <c r="FF38" s="27"/>
      <c r="FG38" s="27"/>
      <c r="FH38" s="27"/>
      <c r="FI38" s="27"/>
      <c r="FJ38" s="27"/>
      <c r="FK38" s="27"/>
      <c r="FL38" s="27"/>
      <c r="FM38" s="27"/>
      <c r="FN38" s="27"/>
      <c r="FO38" s="27"/>
      <c r="FP38" s="27"/>
      <c r="FQ38" s="27"/>
      <c r="FR38" s="27"/>
      <c r="FS38" s="27"/>
      <c r="FT38" s="27"/>
      <c r="FU38" s="27"/>
      <c r="FV38" s="27"/>
      <c r="FW38" s="27"/>
      <c r="FX38" s="27"/>
      <c r="FY38" s="27"/>
      <c r="FZ38" s="27"/>
      <c r="GA38" s="27"/>
      <c r="GB38" s="27"/>
      <c r="GC38" s="27"/>
      <c r="GD38" s="27"/>
      <c r="GE38" s="27"/>
      <c r="GF38" s="27"/>
      <c r="GG38" s="27"/>
      <c r="GH38" s="27"/>
      <c r="GI38" s="27"/>
      <c r="GJ38" s="27"/>
      <c r="GK38" s="27"/>
      <c r="GL38" s="27"/>
      <c r="GM38" s="27"/>
      <c r="GN38" s="27"/>
      <c r="GO38" s="27"/>
      <c r="GP38" s="27"/>
      <c r="GQ38" s="27"/>
      <c r="GR38" s="27"/>
      <c r="GS38" s="27"/>
      <c r="GT38" s="27"/>
      <c r="GU38" s="27"/>
      <c r="GV38" s="27"/>
      <c r="GW38" s="27"/>
      <c r="GX38" s="27"/>
      <c r="GY38" s="27"/>
      <c r="GZ38" s="27"/>
      <c r="HA38" s="27"/>
      <c r="HB38" s="27"/>
      <c r="HC38" s="27"/>
      <c r="HD38" s="27"/>
      <c r="HE38" s="27"/>
      <c r="HF38" s="27"/>
      <c r="HG38" s="27"/>
      <c r="HH38" s="27"/>
      <c r="HI38" s="27"/>
      <c r="HJ38" s="27"/>
      <c r="HK38" s="27"/>
      <c r="HL38" s="27"/>
      <c r="HM38" s="27"/>
      <c r="HN38" s="27"/>
      <c r="HO38" s="27"/>
      <c r="HP38" s="27"/>
      <c r="HQ38" s="27"/>
      <c r="HR38" s="27"/>
      <c r="HS38" s="27"/>
      <c r="HT38" s="27"/>
      <c r="HU38" s="27"/>
      <c r="HV38" s="27"/>
      <c r="HW38" s="27"/>
      <c r="HX38" s="27"/>
      <c r="HY38" s="27"/>
    </row>
    <row r="39" s="6" customFormat="true" ht="15" hidden="false" customHeight="false" outlineLevel="0" collapsed="false">
      <c r="A39" s="17"/>
      <c r="B39" s="18" t="s">
        <v>18</v>
      </c>
      <c r="C39" s="19"/>
      <c r="D39" s="19"/>
      <c r="E39" s="20"/>
      <c r="F39" s="19"/>
      <c r="G39" s="21"/>
      <c r="H39" s="19"/>
      <c r="I39" s="31"/>
      <c r="J39" s="19"/>
      <c r="K39" s="19"/>
      <c r="L39" s="23"/>
      <c r="M39" s="29"/>
      <c r="N39" s="24"/>
      <c r="O39" s="30" t="n">
        <f aca="false">N39*J39</f>
        <v>0</v>
      </c>
      <c r="Q39" s="27"/>
      <c r="R39" s="32"/>
      <c r="S39" s="27"/>
      <c r="T39" s="27"/>
      <c r="U39" s="27"/>
      <c r="V39" s="27"/>
      <c r="W39" s="27"/>
      <c r="X39" s="27"/>
      <c r="Y39" s="27"/>
      <c r="Z39" s="27"/>
      <c r="AA39" s="27"/>
      <c r="AB39" s="27"/>
      <c r="AC39" s="27"/>
      <c r="AD39" s="27"/>
      <c r="AE39" s="27"/>
      <c r="AF39" s="27"/>
      <c r="AG39" s="27"/>
      <c r="AH39" s="27"/>
      <c r="AI39" s="27"/>
      <c r="AJ39" s="27"/>
      <c r="AK39" s="27"/>
      <c r="AL39" s="27"/>
      <c r="AM39" s="27"/>
      <c r="AN39" s="27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  <c r="BG39" s="27"/>
      <c r="BH39" s="27"/>
      <c r="BI39" s="27"/>
      <c r="BJ39" s="27"/>
      <c r="BK39" s="27"/>
      <c r="BL39" s="27"/>
      <c r="BM39" s="27"/>
      <c r="BN39" s="27"/>
      <c r="BO39" s="27"/>
      <c r="BP39" s="27"/>
      <c r="BQ39" s="27"/>
      <c r="BR39" s="27"/>
      <c r="BS39" s="27"/>
      <c r="BT39" s="27"/>
      <c r="BU39" s="27"/>
      <c r="BV39" s="27"/>
      <c r="BW39" s="27"/>
      <c r="BX39" s="27"/>
      <c r="BY39" s="27"/>
      <c r="BZ39" s="27"/>
      <c r="CA39" s="27"/>
      <c r="CB39" s="27"/>
      <c r="CC39" s="27"/>
      <c r="CD39" s="27"/>
      <c r="CE39" s="27"/>
      <c r="CF39" s="27"/>
      <c r="CG39" s="27"/>
      <c r="CH39" s="27"/>
      <c r="CI39" s="27"/>
      <c r="CJ39" s="27"/>
      <c r="CK39" s="27"/>
      <c r="CL39" s="27"/>
      <c r="CM39" s="27"/>
      <c r="CN39" s="27"/>
      <c r="CO39" s="27"/>
      <c r="CP39" s="27"/>
      <c r="CQ39" s="27"/>
      <c r="CR39" s="27"/>
      <c r="CS39" s="27"/>
      <c r="CT39" s="27"/>
      <c r="CU39" s="27"/>
      <c r="CV39" s="27"/>
      <c r="CW39" s="27"/>
      <c r="CX39" s="27"/>
      <c r="CY39" s="27"/>
      <c r="CZ39" s="27"/>
      <c r="DA39" s="27"/>
      <c r="DB39" s="27"/>
      <c r="DC39" s="27"/>
      <c r="DD39" s="27"/>
      <c r="DE39" s="27"/>
      <c r="DF39" s="27"/>
      <c r="DG39" s="27"/>
      <c r="DH39" s="27"/>
      <c r="DI39" s="27"/>
      <c r="DJ39" s="27"/>
      <c r="DK39" s="27"/>
      <c r="DL39" s="27"/>
      <c r="DM39" s="27"/>
      <c r="DN39" s="27"/>
      <c r="DO39" s="27"/>
      <c r="DP39" s="27"/>
      <c r="DQ39" s="27"/>
      <c r="DR39" s="27"/>
      <c r="DS39" s="27"/>
      <c r="DT39" s="27"/>
      <c r="DU39" s="27"/>
      <c r="DV39" s="27"/>
      <c r="DW39" s="27"/>
      <c r="DX39" s="27"/>
      <c r="DY39" s="27"/>
      <c r="DZ39" s="27"/>
      <c r="EA39" s="27"/>
      <c r="EB39" s="27"/>
      <c r="EC39" s="27"/>
      <c r="ED39" s="27"/>
      <c r="EE39" s="27"/>
      <c r="EF39" s="27"/>
      <c r="EG39" s="27"/>
      <c r="EH39" s="27"/>
      <c r="EI39" s="27"/>
      <c r="EJ39" s="27"/>
      <c r="EK39" s="27"/>
      <c r="EL39" s="27"/>
      <c r="EM39" s="27"/>
      <c r="EN39" s="27"/>
      <c r="EO39" s="27"/>
      <c r="EP39" s="27"/>
      <c r="EQ39" s="27"/>
      <c r="ER39" s="27"/>
      <c r="ES39" s="27"/>
      <c r="ET39" s="27"/>
      <c r="EU39" s="27"/>
      <c r="EV39" s="27"/>
      <c r="EW39" s="27"/>
      <c r="EX39" s="27"/>
      <c r="EY39" s="27"/>
      <c r="EZ39" s="27"/>
      <c r="FA39" s="27"/>
      <c r="FB39" s="27"/>
      <c r="FC39" s="27"/>
      <c r="FD39" s="27"/>
      <c r="FE39" s="27"/>
      <c r="FF39" s="27"/>
      <c r="FG39" s="27"/>
      <c r="FH39" s="27"/>
      <c r="FI39" s="27"/>
      <c r="FJ39" s="27"/>
      <c r="FK39" s="27"/>
      <c r="FL39" s="27"/>
      <c r="FM39" s="27"/>
      <c r="FN39" s="27"/>
      <c r="FO39" s="27"/>
      <c r="FP39" s="27"/>
      <c r="FQ39" s="27"/>
      <c r="FR39" s="27"/>
      <c r="FS39" s="27"/>
      <c r="FT39" s="27"/>
      <c r="FU39" s="27"/>
      <c r="FV39" s="27"/>
      <c r="FW39" s="27"/>
      <c r="FX39" s="27"/>
      <c r="FY39" s="27"/>
      <c r="FZ39" s="27"/>
      <c r="GA39" s="27"/>
      <c r="GB39" s="27"/>
      <c r="GC39" s="27"/>
      <c r="GD39" s="27"/>
      <c r="GE39" s="27"/>
      <c r="GF39" s="27"/>
      <c r="GG39" s="27"/>
      <c r="GH39" s="27"/>
      <c r="GI39" s="27"/>
      <c r="GJ39" s="27"/>
      <c r="GK39" s="27"/>
      <c r="GL39" s="27"/>
      <c r="GM39" s="27"/>
      <c r="GN39" s="27"/>
      <c r="GO39" s="27"/>
      <c r="GP39" s="27"/>
      <c r="GQ39" s="27"/>
      <c r="GR39" s="27"/>
      <c r="GS39" s="27"/>
      <c r="GT39" s="27"/>
      <c r="GU39" s="27"/>
      <c r="GV39" s="27"/>
      <c r="GW39" s="27"/>
      <c r="GX39" s="27"/>
      <c r="GY39" s="27"/>
      <c r="GZ39" s="27"/>
      <c r="HA39" s="27"/>
      <c r="HB39" s="27"/>
      <c r="HC39" s="27"/>
      <c r="HD39" s="27"/>
      <c r="HE39" s="27"/>
      <c r="HF39" s="27"/>
      <c r="HG39" s="27"/>
      <c r="HH39" s="27"/>
      <c r="HI39" s="27"/>
      <c r="HJ39" s="27"/>
      <c r="HK39" s="27"/>
      <c r="HL39" s="27"/>
      <c r="HM39" s="27"/>
      <c r="HN39" s="27"/>
      <c r="HO39" s="27"/>
      <c r="HP39" s="27"/>
      <c r="HQ39" s="27"/>
      <c r="HR39" s="27"/>
      <c r="HS39" s="27"/>
      <c r="HT39" s="27"/>
      <c r="HU39" s="27"/>
      <c r="HV39" s="27"/>
      <c r="HW39" s="27"/>
      <c r="HX39" s="27"/>
      <c r="HY39" s="27"/>
    </row>
    <row r="40" s="6" customFormat="true" ht="15" hidden="false" customHeight="false" outlineLevel="0" collapsed="false">
      <c r="A40" s="17"/>
      <c r="B40" s="18" t="s">
        <v>18</v>
      </c>
      <c r="C40" s="19"/>
      <c r="D40" s="19"/>
      <c r="E40" s="20"/>
      <c r="F40" s="19"/>
      <c r="G40" s="21"/>
      <c r="H40" s="19"/>
      <c r="I40" s="31"/>
      <c r="J40" s="19"/>
      <c r="K40" s="19"/>
      <c r="L40" s="23"/>
      <c r="M40" s="29"/>
      <c r="N40" s="24"/>
      <c r="O40" s="30" t="n">
        <f aca="false">N40*J40</f>
        <v>0</v>
      </c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  <c r="BG40" s="27"/>
      <c r="BH40" s="27"/>
      <c r="BI40" s="27"/>
      <c r="BJ40" s="27"/>
      <c r="BK40" s="27"/>
      <c r="BL40" s="27"/>
      <c r="BM40" s="27"/>
      <c r="BN40" s="27"/>
      <c r="BO40" s="27"/>
      <c r="BP40" s="27"/>
      <c r="BQ40" s="27"/>
      <c r="BR40" s="27"/>
      <c r="BS40" s="27"/>
      <c r="BT40" s="27"/>
      <c r="BU40" s="27"/>
      <c r="BV40" s="27"/>
      <c r="BW40" s="27"/>
      <c r="BX40" s="27"/>
      <c r="BY40" s="27"/>
      <c r="BZ40" s="27"/>
      <c r="CA40" s="27"/>
      <c r="CB40" s="27"/>
      <c r="CC40" s="27"/>
      <c r="CD40" s="27"/>
      <c r="CE40" s="27"/>
      <c r="CF40" s="27"/>
      <c r="CG40" s="27"/>
      <c r="CH40" s="27"/>
      <c r="CI40" s="27"/>
      <c r="CJ40" s="27"/>
      <c r="CK40" s="27"/>
      <c r="CL40" s="27"/>
      <c r="CM40" s="27"/>
      <c r="CN40" s="27"/>
      <c r="CO40" s="27"/>
      <c r="CP40" s="27"/>
      <c r="CQ40" s="27"/>
      <c r="CR40" s="27"/>
      <c r="CS40" s="27"/>
      <c r="CT40" s="27"/>
      <c r="CU40" s="27"/>
      <c r="CV40" s="27"/>
      <c r="CW40" s="27"/>
      <c r="CX40" s="27"/>
      <c r="CY40" s="27"/>
      <c r="CZ40" s="27"/>
      <c r="DA40" s="27"/>
      <c r="DB40" s="27"/>
      <c r="DC40" s="27"/>
      <c r="DD40" s="27"/>
      <c r="DE40" s="27"/>
      <c r="DF40" s="27"/>
      <c r="DG40" s="27"/>
      <c r="DH40" s="27"/>
      <c r="DI40" s="27"/>
      <c r="DJ40" s="27"/>
      <c r="DK40" s="27"/>
      <c r="DL40" s="27"/>
      <c r="DM40" s="27"/>
      <c r="DN40" s="27"/>
      <c r="DO40" s="27"/>
      <c r="DP40" s="27"/>
      <c r="DQ40" s="27"/>
      <c r="DR40" s="27"/>
      <c r="DS40" s="27"/>
      <c r="DT40" s="27"/>
      <c r="DU40" s="27"/>
      <c r="DV40" s="27"/>
      <c r="DW40" s="27"/>
      <c r="DX40" s="27"/>
      <c r="DY40" s="27"/>
      <c r="DZ40" s="27"/>
      <c r="EA40" s="27"/>
      <c r="EB40" s="27"/>
      <c r="EC40" s="27"/>
      <c r="ED40" s="27"/>
      <c r="EE40" s="27"/>
      <c r="EF40" s="27"/>
      <c r="EG40" s="27"/>
      <c r="EH40" s="27"/>
      <c r="EI40" s="27"/>
      <c r="EJ40" s="27"/>
      <c r="EK40" s="27"/>
      <c r="EL40" s="27"/>
      <c r="EM40" s="27"/>
      <c r="EN40" s="27"/>
      <c r="EO40" s="27"/>
      <c r="EP40" s="27"/>
      <c r="EQ40" s="27"/>
      <c r="ER40" s="27"/>
      <c r="ES40" s="27"/>
      <c r="ET40" s="27"/>
      <c r="EU40" s="27"/>
      <c r="EV40" s="27"/>
      <c r="EW40" s="27"/>
      <c r="EX40" s="27"/>
      <c r="EY40" s="27"/>
      <c r="EZ40" s="27"/>
      <c r="FA40" s="27"/>
      <c r="FB40" s="27"/>
      <c r="FC40" s="27"/>
      <c r="FD40" s="27"/>
      <c r="FE40" s="27"/>
      <c r="FF40" s="27"/>
      <c r="FG40" s="27"/>
      <c r="FH40" s="27"/>
      <c r="FI40" s="27"/>
      <c r="FJ40" s="27"/>
      <c r="FK40" s="27"/>
      <c r="FL40" s="27"/>
      <c r="FM40" s="27"/>
      <c r="FN40" s="27"/>
      <c r="FO40" s="27"/>
      <c r="FP40" s="27"/>
      <c r="FQ40" s="27"/>
      <c r="FR40" s="27"/>
      <c r="FS40" s="27"/>
      <c r="FT40" s="27"/>
      <c r="FU40" s="27"/>
      <c r="FV40" s="27"/>
      <c r="FW40" s="27"/>
      <c r="FX40" s="27"/>
      <c r="FY40" s="27"/>
      <c r="FZ40" s="27"/>
      <c r="GA40" s="27"/>
      <c r="GB40" s="27"/>
      <c r="GC40" s="27"/>
      <c r="GD40" s="27"/>
      <c r="GE40" s="27"/>
      <c r="GF40" s="27"/>
      <c r="GG40" s="27"/>
      <c r="GH40" s="27"/>
      <c r="GI40" s="27"/>
      <c r="GJ40" s="27"/>
      <c r="GK40" s="27"/>
      <c r="GL40" s="27"/>
      <c r="GM40" s="27"/>
      <c r="GN40" s="27"/>
      <c r="GO40" s="27"/>
      <c r="GP40" s="27"/>
      <c r="GQ40" s="27"/>
      <c r="GR40" s="27"/>
      <c r="GS40" s="27"/>
      <c r="GT40" s="27"/>
      <c r="GU40" s="27"/>
      <c r="GV40" s="27"/>
      <c r="GW40" s="27"/>
      <c r="GX40" s="27"/>
      <c r="GY40" s="27"/>
      <c r="GZ40" s="27"/>
      <c r="HA40" s="27"/>
      <c r="HB40" s="27"/>
      <c r="HC40" s="27"/>
      <c r="HD40" s="27"/>
      <c r="HE40" s="27"/>
      <c r="HF40" s="27"/>
      <c r="HG40" s="27"/>
      <c r="HH40" s="27"/>
      <c r="HI40" s="27"/>
      <c r="HJ40" s="27"/>
      <c r="HK40" s="27"/>
      <c r="HL40" s="27"/>
      <c r="HM40" s="27"/>
      <c r="HN40" s="27"/>
      <c r="HO40" s="27"/>
      <c r="HP40" s="27"/>
      <c r="HQ40" s="27"/>
      <c r="HR40" s="27"/>
      <c r="HS40" s="27"/>
      <c r="HT40" s="27"/>
      <c r="HU40" s="27"/>
      <c r="HV40" s="27"/>
      <c r="HW40" s="27"/>
      <c r="HX40" s="27"/>
      <c r="HY40" s="27"/>
    </row>
    <row r="41" s="6" customFormat="true" ht="15" hidden="false" customHeight="false" outlineLevel="0" collapsed="false">
      <c r="A41" s="17"/>
      <c r="B41" s="18" t="s">
        <v>18</v>
      </c>
      <c r="C41" s="19"/>
      <c r="D41" s="19"/>
      <c r="E41" s="20"/>
      <c r="F41" s="19"/>
      <c r="G41" s="21"/>
      <c r="H41" s="19"/>
      <c r="I41" s="31"/>
      <c r="J41" s="19"/>
      <c r="K41" s="19"/>
      <c r="L41" s="23"/>
      <c r="M41" s="29"/>
      <c r="N41" s="24"/>
      <c r="O41" s="30" t="n">
        <f aca="false">N41*J41</f>
        <v>0</v>
      </c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  <c r="BG41" s="27"/>
      <c r="BH41" s="27"/>
      <c r="BI41" s="27"/>
      <c r="BJ41" s="27"/>
      <c r="BK41" s="27"/>
      <c r="BL41" s="27"/>
      <c r="BM41" s="27"/>
      <c r="BN41" s="27"/>
      <c r="BO41" s="27"/>
      <c r="BP41" s="27"/>
      <c r="BQ41" s="27"/>
      <c r="BR41" s="27"/>
      <c r="BS41" s="27"/>
      <c r="BT41" s="27"/>
      <c r="BU41" s="27"/>
      <c r="BV41" s="27"/>
      <c r="BW41" s="27"/>
      <c r="BX41" s="27"/>
      <c r="BY41" s="27"/>
      <c r="BZ41" s="27"/>
      <c r="CA41" s="27"/>
      <c r="CB41" s="27"/>
      <c r="CC41" s="27"/>
      <c r="CD41" s="27"/>
      <c r="CE41" s="27"/>
      <c r="CF41" s="27"/>
      <c r="CG41" s="27"/>
      <c r="CH41" s="27"/>
      <c r="CI41" s="27"/>
      <c r="CJ41" s="27"/>
      <c r="CK41" s="27"/>
      <c r="CL41" s="27"/>
      <c r="CM41" s="27"/>
      <c r="CN41" s="27"/>
      <c r="CO41" s="27"/>
      <c r="CP41" s="27"/>
      <c r="CQ41" s="27"/>
      <c r="CR41" s="27"/>
      <c r="CS41" s="27"/>
      <c r="CT41" s="27"/>
      <c r="CU41" s="27"/>
      <c r="CV41" s="27"/>
      <c r="CW41" s="27"/>
      <c r="CX41" s="27"/>
      <c r="CY41" s="27"/>
      <c r="CZ41" s="27"/>
      <c r="DA41" s="27"/>
      <c r="DB41" s="27"/>
      <c r="DC41" s="27"/>
      <c r="DD41" s="27"/>
      <c r="DE41" s="27"/>
      <c r="DF41" s="27"/>
      <c r="DG41" s="27"/>
      <c r="DH41" s="27"/>
      <c r="DI41" s="27"/>
      <c r="DJ41" s="27"/>
      <c r="DK41" s="27"/>
      <c r="DL41" s="27"/>
      <c r="DM41" s="27"/>
      <c r="DN41" s="27"/>
      <c r="DO41" s="27"/>
      <c r="DP41" s="27"/>
      <c r="DQ41" s="27"/>
      <c r="DR41" s="27"/>
      <c r="DS41" s="27"/>
      <c r="DT41" s="27"/>
      <c r="DU41" s="27"/>
      <c r="DV41" s="27"/>
      <c r="DW41" s="27"/>
      <c r="DX41" s="27"/>
      <c r="DY41" s="27"/>
      <c r="DZ41" s="27"/>
      <c r="EA41" s="27"/>
      <c r="EB41" s="27"/>
      <c r="EC41" s="27"/>
      <c r="ED41" s="27"/>
      <c r="EE41" s="27"/>
      <c r="EF41" s="27"/>
      <c r="EG41" s="27"/>
      <c r="EH41" s="27"/>
      <c r="EI41" s="27"/>
      <c r="EJ41" s="27"/>
      <c r="EK41" s="27"/>
      <c r="EL41" s="27"/>
      <c r="EM41" s="27"/>
      <c r="EN41" s="27"/>
      <c r="EO41" s="27"/>
      <c r="EP41" s="27"/>
      <c r="EQ41" s="27"/>
      <c r="ER41" s="27"/>
      <c r="ES41" s="27"/>
      <c r="ET41" s="27"/>
      <c r="EU41" s="27"/>
      <c r="EV41" s="27"/>
      <c r="EW41" s="27"/>
      <c r="EX41" s="27"/>
      <c r="EY41" s="27"/>
      <c r="EZ41" s="27"/>
      <c r="FA41" s="27"/>
      <c r="FB41" s="27"/>
      <c r="FC41" s="27"/>
      <c r="FD41" s="27"/>
      <c r="FE41" s="27"/>
      <c r="FF41" s="27"/>
      <c r="FG41" s="27"/>
      <c r="FH41" s="27"/>
      <c r="FI41" s="27"/>
      <c r="FJ41" s="27"/>
      <c r="FK41" s="27"/>
      <c r="FL41" s="27"/>
      <c r="FM41" s="27"/>
      <c r="FN41" s="27"/>
      <c r="FO41" s="27"/>
      <c r="FP41" s="27"/>
      <c r="FQ41" s="27"/>
      <c r="FR41" s="27"/>
      <c r="FS41" s="27"/>
      <c r="FT41" s="27"/>
      <c r="FU41" s="27"/>
      <c r="FV41" s="27"/>
      <c r="FW41" s="27"/>
      <c r="FX41" s="27"/>
      <c r="FY41" s="27"/>
      <c r="FZ41" s="27"/>
      <c r="GA41" s="27"/>
      <c r="GB41" s="27"/>
      <c r="GC41" s="27"/>
      <c r="GD41" s="27"/>
      <c r="GE41" s="27"/>
      <c r="GF41" s="27"/>
      <c r="GG41" s="27"/>
      <c r="GH41" s="27"/>
      <c r="GI41" s="27"/>
      <c r="GJ41" s="27"/>
      <c r="GK41" s="27"/>
      <c r="GL41" s="27"/>
      <c r="GM41" s="27"/>
      <c r="GN41" s="27"/>
      <c r="GO41" s="27"/>
      <c r="GP41" s="27"/>
      <c r="GQ41" s="27"/>
      <c r="GR41" s="27"/>
      <c r="GS41" s="27"/>
      <c r="GT41" s="27"/>
      <c r="GU41" s="27"/>
      <c r="GV41" s="27"/>
      <c r="GW41" s="27"/>
      <c r="GX41" s="27"/>
      <c r="GY41" s="27"/>
      <c r="GZ41" s="27"/>
      <c r="HA41" s="27"/>
      <c r="HB41" s="27"/>
      <c r="HC41" s="27"/>
      <c r="HD41" s="27"/>
      <c r="HE41" s="27"/>
      <c r="HF41" s="27"/>
      <c r="HG41" s="27"/>
      <c r="HH41" s="27"/>
      <c r="HI41" s="27"/>
      <c r="HJ41" s="27"/>
      <c r="HK41" s="27"/>
      <c r="HL41" s="27"/>
      <c r="HM41" s="27"/>
      <c r="HN41" s="27"/>
      <c r="HO41" s="27"/>
      <c r="HP41" s="27"/>
      <c r="HQ41" s="27"/>
      <c r="HR41" s="27"/>
      <c r="HS41" s="27"/>
      <c r="HT41" s="27"/>
      <c r="HU41" s="27"/>
      <c r="HV41" s="27"/>
      <c r="HW41" s="27"/>
      <c r="HX41" s="27"/>
      <c r="HY41" s="27"/>
    </row>
    <row r="42" s="6" customFormat="true" ht="15" hidden="false" customHeight="false" outlineLevel="0" collapsed="false">
      <c r="A42" s="17"/>
      <c r="B42" s="18" t="s">
        <v>18</v>
      </c>
      <c r="C42" s="19"/>
      <c r="D42" s="19"/>
      <c r="E42" s="20"/>
      <c r="F42" s="19"/>
      <c r="G42" s="21"/>
      <c r="H42" s="19"/>
      <c r="I42" s="31"/>
      <c r="J42" s="19"/>
      <c r="K42" s="19"/>
      <c r="L42" s="23"/>
      <c r="M42" s="29"/>
      <c r="N42" s="24"/>
      <c r="O42" s="30" t="n">
        <f aca="false">N42*J42</f>
        <v>0</v>
      </c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  <c r="BG42" s="27"/>
      <c r="BH42" s="27"/>
      <c r="BI42" s="27"/>
      <c r="BJ42" s="27"/>
      <c r="BK42" s="27"/>
      <c r="BL42" s="27"/>
      <c r="BM42" s="27"/>
      <c r="BN42" s="27"/>
      <c r="BO42" s="27"/>
      <c r="BP42" s="27"/>
      <c r="BQ42" s="27"/>
      <c r="BR42" s="27"/>
      <c r="BS42" s="27"/>
      <c r="BT42" s="27"/>
      <c r="BU42" s="27"/>
      <c r="BV42" s="27"/>
      <c r="BW42" s="27"/>
      <c r="BX42" s="27"/>
      <c r="BY42" s="27"/>
      <c r="BZ42" s="27"/>
      <c r="CA42" s="27"/>
      <c r="CB42" s="27"/>
      <c r="CC42" s="27"/>
      <c r="CD42" s="27"/>
      <c r="CE42" s="27"/>
      <c r="CF42" s="27"/>
      <c r="CG42" s="27"/>
      <c r="CH42" s="27"/>
      <c r="CI42" s="27"/>
      <c r="CJ42" s="27"/>
      <c r="CK42" s="27"/>
      <c r="CL42" s="27"/>
      <c r="CM42" s="27"/>
      <c r="CN42" s="27"/>
      <c r="CO42" s="27"/>
      <c r="CP42" s="27"/>
      <c r="CQ42" s="27"/>
      <c r="CR42" s="27"/>
      <c r="CS42" s="27"/>
      <c r="CT42" s="27"/>
      <c r="CU42" s="27"/>
      <c r="CV42" s="27"/>
      <c r="CW42" s="27"/>
      <c r="CX42" s="27"/>
      <c r="CY42" s="27"/>
      <c r="CZ42" s="27"/>
      <c r="DA42" s="27"/>
      <c r="DB42" s="27"/>
      <c r="DC42" s="27"/>
      <c r="DD42" s="27"/>
      <c r="DE42" s="27"/>
      <c r="DF42" s="27"/>
      <c r="DG42" s="27"/>
      <c r="DH42" s="27"/>
      <c r="DI42" s="27"/>
      <c r="DJ42" s="27"/>
      <c r="DK42" s="27"/>
      <c r="DL42" s="27"/>
      <c r="DM42" s="27"/>
      <c r="DN42" s="27"/>
      <c r="DO42" s="27"/>
      <c r="DP42" s="27"/>
      <c r="DQ42" s="27"/>
      <c r="DR42" s="27"/>
      <c r="DS42" s="27"/>
      <c r="DT42" s="27"/>
      <c r="DU42" s="27"/>
      <c r="DV42" s="27"/>
      <c r="DW42" s="27"/>
      <c r="DX42" s="27"/>
      <c r="DY42" s="27"/>
      <c r="DZ42" s="27"/>
      <c r="EA42" s="27"/>
      <c r="EB42" s="27"/>
      <c r="EC42" s="27"/>
      <c r="ED42" s="27"/>
      <c r="EE42" s="27"/>
      <c r="EF42" s="27"/>
      <c r="EG42" s="27"/>
      <c r="EH42" s="27"/>
      <c r="EI42" s="27"/>
      <c r="EJ42" s="27"/>
      <c r="EK42" s="27"/>
      <c r="EL42" s="27"/>
      <c r="EM42" s="27"/>
      <c r="EN42" s="27"/>
      <c r="EO42" s="27"/>
      <c r="EP42" s="27"/>
      <c r="EQ42" s="27"/>
      <c r="ER42" s="27"/>
      <c r="ES42" s="27"/>
      <c r="ET42" s="27"/>
      <c r="EU42" s="27"/>
      <c r="EV42" s="27"/>
      <c r="EW42" s="27"/>
      <c r="EX42" s="27"/>
      <c r="EY42" s="27"/>
      <c r="EZ42" s="27"/>
      <c r="FA42" s="27"/>
      <c r="FB42" s="27"/>
      <c r="FC42" s="27"/>
      <c r="FD42" s="27"/>
      <c r="FE42" s="27"/>
      <c r="FF42" s="27"/>
      <c r="FG42" s="27"/>
      <c r="FH42" s="27"/>
      <c r="FI42" s="27"/>
      <c r="FJ42" s="27"/>
      <c r="FK42" s="27"/>
      <c r="FL42" s="27"/>
      <c r="FM42" s="27"/>
      <c r="FN42" s="27"/>
      <c r="FO42" s="27"/>
      <c r="FP42" s="27"/>
      <c r="FQ42" s="27"/>
      <c r="FR42" s="27"/>
      <c r="FS42" s="27"/>
      <c r="FT42" s="27"/>
      <c r="FU42" s="27"/>
      <c r="FV42" s="27"/>
      <c r="FW42" s="27"/>
      <c r="FX42" s="27"/>
      <c r="FY42" s="27"/>
      <c r="FZ42" s="27"/>
      <c r="GA42" s="27"/>
      <c r="GB42" s="27"/>
      <c r="GC42" s="27"/>
      <c r="GD42" s="27"/>
      <c r="GE42" s="27"/>
      <c r="GF42" s="27"/>
      <c r="GG42" s="27"/>
      <c r="GH42" s="27"/>
      <c r="GI42" s="27"/>
      <c r="GJ42" s="27"/>
      <c r="GK42" s="27"/>
      <c r="GL42" s="27"/>
      <c r="GM42" s="27"/>
      <c r="GN42" s="27"/>
      <c r="GO42" s="27"/>
      <c r="GP42" s="27"/>
      <c r="GQ42" s="27"/>
      <c r="GR42" s="27"/>
      <c r="GS42" s="27"/>
      <c r="GT42" s="27"/>
      <c r="GU42" s="27"/>
      <c r="GV42" s="27"/>
      <c r="GW42" s="27"/>
      <c r="GX42" s="27"/>
      <c r="GY42" s="27"/>
      <c r="GZ42" s="27"/>
      <c r="HA42" s="27"/>
      <c r="HB42" s="27"/>
      <c r="HC42" s="27"/>
      <c r="HD42" s="27"/>
      <c r="HE42" s="27"/>
      <c r="HF42" s="27"/>
      <c r="HG42" s="27"/>
      <c r="HH42" s="27"/>
      <c r="HI42" s="27"/>
      <c r="HJ42" s="27"/>
      <c r="HK42" s="27"/>
      <c r="HL42" s="27"/>
      <c r="HM42" s="27"/>
      <c r="HN42" s="27"/>
      <c r="HO42" s="27"/>
      <c r="HP42" s="27"/>
      <c r="HQ42" s="27"/>
      <c r="HR42" s="27"/>
      <c r="HS42" s="27"/>
      <c r="HT42" s="27"/>
      <c r="HU42" s="27"/>
      <c r="HV42" s="27"/>
      <c r="HW42" s="27"/>
      <c r="HX42" s="27"/>
      <c r="HY42" s="27"/>
    </row>
    <row r="43" s="6" customFormat="true" ht="15" hidden="false" customHeight="false" outlineLevel="0" collapsed="false">
      <c r="A43" s="17"/>
      <c r="B43" s="18" t="s">
        <v>18</v>
      </c>
      <c r="C43" s="19"/>
      <c r="D43" s="19"/>
      <c r="E43" s="20"/>
      <c r="F43" s="19"/>
      <c r="G43" s="21"/>
      <c r="H43" s="19"/>
      <c r="I43" s="31"/>
      <c r="J43" s="19"/>
      <c r="K43" s="19"/>
      <c r="L43" s="23"/>
      <c r="M43" s="29"/>
      <c r="N43" s="24"/>
      <c r="O43" s="30" t="n">
        <f aca="false">N43*J43</f>
        <v>0</v>
      </c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  <c r="BG43" s="27"/>
      <c r="BH43" s="27"/>
      <c r="BI43" s="27"/>
      <c r="BJ43" s="27"/>
      <c r="BK43" s="27"/>
      <c r="BL43" s="27"/>
      <c r="BM43" s="27"/>
      <c r="BN43" s="27"/>
      <c r="BO43" s="27"/>
      <c r="BP43" s="27"/>
      <c r="BQ43" s="27"/>
      <c r="BR43" s="27"/>
      <c r="BS43" s="27"/>
      <c r="BT43" s="27"/>
      <c r="BU43" s="27"/>
      <c r="BV43" s="27"/>
      <c r="BW43" s="27"/>
      <c r="BX43" s="27"/>
      <c r="BY43" s="27"/>
      <c r="BZ43" s="27"/>
      <c r="CA43" s="27"/>
      <c r="CB43" s="27"/>
      <c r="CC43" s="27"/>
      <c r="CD43" s="27"/>
      <c r="CE43" s="27"/>
      <c r="CF43" s="27"/>
      <c r="CG43" s="27"/>
      <c r="CH43" s="27"/>
      <c r="CI43" s="27"/>
      <c r="CJ43" s="27"/>
      <c r="CK43" s="27"/>
      <c r="CL43" s="27"/>
      <c r="CM43" s="27"/>
      <c r="CN43" s="27"/>
      <c r="CO43" s="27"/>
      <c r="CP43" s="27"/>
      <c r="CQ43" s="27"/>
      <c r="CR43" s="27"/>
      <c r="CS43" s="27"/>
      <c r="CT43" s="27"/>
      <c r="CU43" s="27"/>
      <c r="CV43" s="27"/>
      <c r="CW43" s="27"/>
      <c r="CX43" s="27"/>
      <c r="CY43" s="27"/>
      <c r="CZ43" s="27"/>
      <c r="DA43" s="27"/>
      <c r="DB43" s="27"/>
      <c r="DC43" s="27"/>
      <c r="DD43" s="27"/>
      <c r="DE43" s="27"/>
      <c r="DF43" s="27"/>
      <c r="DG43" s="27"/>
      <c r="DH43" s="27"/>
      <c r="DI43" s="27"/>
      <c r="DJ43" s="27"/>
      <c r="DK43" s="27"/>
      <c r="DL43" s="27"/>
      <c r="DM43" s="27"/>
      <c r="DN43" s="27"/>
      <c r="DO43" s="27"/>
      <c r="DP43" s="27"/>
      <c r="DQ43" s="27"/>
      <c r="DR43" s="27"/>
      <c r="DS43" s="27"/>
      <c r="DT43" s="27"/>
      <c r="DU43" s="27"/>
      <c r="DV43" s="27"/>
      <c r="DW43" s="27"/>
      <c r="DX43" s="27"/>
      <c r="DY43" s="27"/>
      <c r="DZ43" s="27"/>
      <c r="EA43" s="27"/>
      <c r="EB43" s="27"/>
      <c r="EC43" s="27"/>
      <c r="ED43" s="27"/>
      <c r="EE43" s="27"/>
      <c r="EF43" s="27"/>
      <c r="EG43" s="27"/>
      <c r="EH43" s="27"/>
      <c r="EI43" s="27"/>
      <c r="EJ43" s="27"/>
      <c r="EK43" s="27"/>
      <c r="EL43" s="27"/>
      <c r="EM43" s="27"/>
      <c r="EN43" s="27"/>
      <c r="EO43" s="27"/>
      <c r="EP43" s="27"/>
      <c r="EQ43" s="27"/>
      <c r="ER43" s="27"/>
      <c r="ES43" s="27"/>
      <c r="ET43" s="27"/>
      <c r="EU43" s="27"/>
      <c r="EV43" s="27"/>
      <c r="EW43" s="27"/>
      <c r="EX43" s="27"/>
      <c r="EY43" s="27"/>
      <c r="EZ43" s="27"/>
      <c r="FA43" s="27"/>
      <c r="FB43" s="27"/>
      <c r="FC43" s="27"/>
      <c r="FD43" s="27"/>
      <c r="FE43" s="27"/>
      <c r="FF43" s="27"/>
      <c r="FG43" s="27"/>
      <c r="FH43" s="27"/>
      <c r="FI43" s="27"/>
      <c r="FJ43" s="27"/>
      <c r="FK43" s="27"/>
      <c r="FL43" s="27"/>
      <c r="FM43" s="27"/>
      <c r="FN43" s="27"/>
      <c r="FO43" s="27"/>
      <c r="FP43" s="27"/>
      <c r="FQ43" s="27"/>
      <c r="FR43" s="27"/>
      <c r="FS43" s="27"/>
      <c r="FT43" s="27"/>
      <c r="FU43" s="27"/>
      <c r="FV43" s="27"/>
      <c r="FW43" s="27"/>
      <c r="FX43" s="27"/>
      <c r="FY43" s="27"/>
      <c r="FZ43" s="27"/>
      <c r="GA43" s="27"/>
      <c r="GB43" s="27"/>
      <c r="GC43" s="27"/>
      <c r="GD43" s="27"/>
      <c r="GE43" s="27"/>
      <c r="GF43" s="27"/>
      <c r="GG43" s="27"/>
      <c r="GH43" s="27"/>
      <c r="GI43" s="27"/>
      <c r="GJ43" s="27"/>
      <c r="GK43" s="27"/>
      <c r="GL43" s="27"/>
      <c r="GM43" s="27"/>
      <c r="GN43" s="27"/>
      <c r="GO43" s="27"/>
      <c r="GP43" s="27"/>
      <c r="GQ43" s="27"/>
      <c r="GR43" s="27"/>
      <c r="GS43" s="27"/>
      <c r="GT43" s="27"/>
      <c r="GU43" s="27"/>
      <c r="GV43" s="27"/>
      <c r="GW43" s="27"/>
      <c r="GX43" s="27"/>
      <c r="GY43" s="27"/>
      <c r="GZ43" s="27"/>
      <c r="HA43" s="27"/>
      <c r="HB43" s="27"/>
      <c r="HC43" s="27"/>
      <c r="HD43" s="27"/>
      <c r="HE43" s="27"/>
      <c r="HF43" s="27"/>
      <c r="HG43" s="27"/>
      <c r="HH43" s="27"/>
      <c r="HI43" s="27"/>
      <c r="HJ43" s="27"/>
      <c r="HK43" s="27"/>
      <c r="HL43" s="27"/>
      <c r="HM43" s="27"/>
      <c r="HN43" s="27"/>
      <c r="HO43" s="27"/>
      <c r="HP43" s="27"/>
      <c r="HQ43" s="27"/>
      <c r="HR43" s="27"/>
      <c r="HS43" s="27"/>
      <c r="HT43" s="27"/>
      <c r="HU43" s="27"/>
      <c r="HV43" s="27"/>
      <c r="HW43" s="27"/>
      <c r="HX43" s="27"/>
      <c r="HY43" s="27"/>
    </row>
    <row r="44" s="6" customFormat="true" ht="15" hidden="false" customHeight="false" outlineLevel="0" collapsed="false">
      <c r="A44" s="17"/>
      <c r="B44" s="18" t="s">
        <v>18</v>
      </c>
      <c r="C44" s="19"/>
      <c r="D44" s="19"/>
      <c r="E44" s="20"/>
      <c r="F44" s="19"/>
      <c r="G44" s="21"/>
      <c r="H44" s="19"/>
      <c r="I44" s="31"/>
      <c r="J44" s="19"/>
      <c r="K44" s="19"/>
      <c r="L44" s="23"/>
      <c r="M44" s="29"/>
      <c r="N44" s="24"/>
      <c r="O44" s="30" t="n">
        <f aca="false">N44*J44</f>
        <v>0</v>
      </c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  <c r="BG44" s="27"/>
      <c r="BH44" s="27"/>
      <c r="BI44" s="27"/>
      <c r="BJ44" s="27"/>
      <c r="BK44" s="27"/>
      <c r="BL44" s="27"/>
      <c r="BM44" s="27"/>
      <c r="BN44" s="27"/>
      <c r="BO44" s="27"/>
      <c r="BP44" s="27"/>
      <c r="BQ44" s="27"/>
      <c r="BR44" s="27"/>
      <c r="BS44" s="27"/>
      <c r="BT44" s="27"/>
      <c r="BU44" s="27"/>
      <c r="BV44" s="27"/>
      <c r="BW44" s="27"/>
      <c r="BX44" s="27"/>
      <c r="BY44" s="27"/>
      <c r="BZ44" s="27"/>
      <c r="CA44" s="27"/>
      <c r="CB44" s="27"/>
      <c r="CC44" s="27"/>
      <c r="CD44" s="27"/>
      <c r="CE44" s="27"/>
      <c r="CF44" s="27"/>
      <c r="CG44" s="27"/>
      <c r="CH44" s="27"/>
      <c r="CI44" s="27"/>
      <c r="CJ44" s="27"/>
      <c r="CK44" s="27"/>
      <c r="CL44" s="27"/>
      <c r="CM44" s="27"/>
      <c r="CN44" s="27"/>
      <c r="CO44" s="27"/>
      <c r="CP44" s="27"/>
      <c r="CQ44" s="27"/>
      <c r="CR44" s="27"/>
      <c r="CS44" s="27"/>
      <c r="CT44" s="27"/>
      <c r="CU44" s="27"/>
      <c r="CV44" s="27"/>
      <c r="CW44" s="27"/>
      <c r="CX44" s="27"/>
      <c r="CY44" s="27"/>
      <c r="CZ44" s="27"/>
      <c r="DA44" s="27"/>
      <c r="DB44" s="27"/>
      <c r="DC44" s="27"/>
      <c r="DD44" s="27"/>
      <c r="DE44" s="27"/>
      <c r="DF44" s="27"/>
      <c r="DG44" s="27"/>
      <c r="DH44" s="27"/>
      <c r="DI44" s="27"/>
      <c r="DJ44" s="27"/>
      <c r="DK44" s="27"/>
      <c r="DL44" s="27"/>
      <c r="DM44" s="27"/>
      <c r="DN44" s="27"/>
      <c r="DO44" s="27"/>
      <c r="DP44" s="27"/>
      <c r="DQ44" s="27"/>
      <c r="DR44" s="27"/>
      <c r="DS44" s="27"/>
      <c r="DT44" s="27"/>
      <c r="DU44" s="27"/>
      <c r="DV44" s="27"/>
      <c r="DW44" s="27"/>
      <c r="DX44" s="27"/>
      <c r="DY44" s="27"/>
      <c r="DZ44" s="27"/>
      <c r="EA44" s="27"/>
      <c r="EB44" s="27"/>
      <c r="EC44" s="27"/>
      <c r="ED44" s="27"/>
      <c r="EE44" s="27"/>
      <c r="EF44" s="27"/>
      <c r="EG44" s="27"/>
      <c r="EH44" s="27"/>
      <c r="EI44" s="27"/>
      <c r="EJ44" s="27"/>
      <c r="EK44" s="27"/>
      <c r="EL44" s="27"/>
      <c r="EM44" s="27"/>
      <c r="EN44" s="27"/>
      <c r="EO44" s="27"/>
      <c r="EP44" s="27"/>
      <c r="EQ44" s="27"/>
      <c r="ER44" s="27"/>
      <c r="ES44" s="27"/>
      <c r="ET44" s="27"/>
      <c r="EU44" s="27"/>
      <c r="EV44" s="27"/>
      <c r="EW44" s="27"/>
      <c r="EX44" s="27"/>
      <c r="EY44" s="27"/>
      <c r="EZ44" s="27"/>
      <c r="FA44" s="27"/>
      <c r="FB44" s="27"/>
      <c r="FC44" s="27"/>
      <c r="FD44" s="27"/>
      <c r="FE44" s="27"/>
      <c r="FF44" s="27"/>
      <c r="FG44" s="27"/>
      <c r="FH44" s="27"/>
      <c r="FI44" s="27"/>
      <c r="FJ44" s="27"/>
      <c r="FK44" s="27"/>
      <c r="FL44" s="27"/>
      <c r="FM44" s="27"/>
      <c r="FN44" s="27"/>
      <c r="FO44" s="27"/>
      <c r="FP44" s="27"/>
      <c r="FQ44" s="27"/>
      <c r="FR44" s="27"/>
      <c r="FS44" s="27"/>
      <c r="FT44" s="27"/>
      <c r="FU44" s="27"/>
      <c r="FV44" s="27"/>
      <c r="FW44" s="27"/>
      <c r="FX44" s="27"/>
      <c r="FY44" s="27"/>
      <c r="FZ44" s="27"/>
      <c r="GA44" s="27"/>
      <c r="GB44" s="27"/>
      <c r="GC44" s="27"/>
      <c r="GD44" s="27"/>
      <c r="GE44" s="27"/>
      <c r="GF44" s="27"/>
      <c r="GG44" s="27"/>
      <c r="GH44" s="27"/>
      <c r="GI44" s="27"/>
      <c r="GJ44" s="27"/>
      <c r="GK44" s="27"/>
      <c r="GL44" s="27"/>
      <c r="GM44" s="27"/>
      <c r="GN44" s="27"/>
      <c r="GO44" s="27"/>
      <c r="GP44" s="27"/>
      <c r="GQ44" s="27"/>
      <c r="GR44" s="27"/>
      <c r="GS44" s="27"/>
      <c r="GT44" s="27"/>
      <c r="GU44" s="27"/>
      <c r="GV44" s="27"/>
      <c r="GW44" s="27"/>
      <c r="GX44" s="27"/>
      <c r="GY44" s="27"/>
      <c r="GZ44" s="27"/>
      <c r="HA44" s="27"/>
      <c r="HB44" s="27"/>
      <c r="HC44" s="27"/>
      <c r="HD44" s="27"/>
      <c r="HE44" s="27"/>
      <c r="HF44" s="27"/>
      <c r="HG44" s="27"/>
      <c r="HH44" s="27"/>
      <c r="HI44" s="27"/>
      <c r="HJ44" s="27"/>
      <c r="HK44" s="27"/>
      <c r="HL44" s="27"/>
      <c r="HM44" s="27"/>
      <c r="HN44" s="27"/>
      <c r="HO44" s="27"/>
      <c r="HP44" s="27"/>
      <c r="HQ44" s="27"/>
      <c r="HR44" s="27"/>
      <c r="HS44" s="27"/>
      <c r="HT44" s="27"/>
      <c r="HU44" s="27"/>
      <c r="HV44" s="27"/>
      <c r="HW44" s="27"/>
      <c r="HX44" s="27"/>
      <c r="HY44" s="27"/>
    </row>
    <row r="45" s="6" customFormat="true" ht="15" hidden="false" customHeight="false" outlineLevel="0" collapsed="false">
      <c r="A45" s="17"/>
      <c r="B45" s="18" t="s">
        <v>18</v>
      </c>
      <c r="C45" s="19"/>
      <c r="D45" s="19"/>
      <c r="E45" s="20"/>
      <c r="F45" s="19"/>
      <c r="G45" s="21"/>
      <c r="H45" s="19"/>
      <c r="I45" s="31"/>
      <c r="J45" s="19"/>
      <c r="K45" s="19"/>
      <c r="L45" s="23"/>
      <c r="M45" s="29"/>
      <c r="N45" s="24"/>
      <c r="O45" s="30" t="n">
        <f aca="false">N45*J45</f>
        <v>0</v>
      </c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  <c r="BG45" s="27"/>
      <c r="BH45" s="27"/>
      <c r="BI45" s="27"/>
      <c r="BJ45" s="27"/>
      <c r="BK45" s="27"/>
      <c r="BL45" s="27"/>
      <c r="BM45" s="27"/>
      <c r="BN45" s="27"/>
      <c r="BO45" s="27"/>
      <c r="BP45" s="27"/>
      <c r="BQ45" s="27"/>
      <c r="BR45" s="27"/>
      <c r="BS45" s="27"/>
      <c r="BT45" s="27"/>
      <c r="BU45" s="27"/>
      <c r="BV45" s="27"/>
      <c r="BW45" s="27"/>
      <c r="BX45" s="27"/>
      <c r="BY45" s="27"/>
      <c r="BZ45" s="27"/>
      <c r="CA45" s="27"/>
      <c r="CB45" s="27"/>
      <c r="CC45" s="27"/>
      <c r="CD45" s="27"/>
      <c r="CE45" s="27"/>
      <c r="CF45" s="27"/>
      <c r="CG45" s="27"/>
      <c r="CH45" s="27"/>
      <c r="CI45" s="27"/>
      <c r="CJ45" s="27"/>
      <c r="CK45" s="27"/>
      <c r="CL45" s="27"/>
      <c r="CM45" s="27"/>
      <c r="CN45" s="27"/>
      <c r="CO45" s="27"/>
      <c r="CP45" s="27"/>
      <c r="CQ45" s="27"/>
      <c r="CR45" s="27"/>
      <c r="CS45" s="27"/>
      <c r="CT45" s="27"/>
      <c r="CU45" s="27"/>
      <c r="CV45" s="27"/>
      <c r="CW45" s="27"/>
      <c r="CX45" s="27"/>
      <c r="CY45" s="27"/>
      <c r="CZ45" s="27"/>
      <c r="DA45" s="27"/>
      <c r="DB45" s="27"/>
      <c r="DC45" s="27"/>
      <c r="DD45" s="27"/>
      <c r="DE45" s="27"/>
      <c r="DF45" s="27"/>
      <c r="DG45" s="27"/>
      <c r="DH45" s="27"/>
      <c r="DI45" s="27"/>
      <c r="DJ45" s="27"/>
      <c r="DK45" s="27"/>
      <c r="DL45" s="27"/>
      <c r="DM45" s="27"/>
      <c r="DN45" s="27"/>
      <c r="DO45" s="27"/>
      <c r="DP45" s="27"/>
      <c r="DQ45" s="27"/>
      <c r="DR45" s="27"/>
      <c r="DS45" s="27"/>
      <c r="DT45" s="27"/>
      <c r="DU45" s="27"/>
      <c r="DV45" s="27"/>
      <c r="DW45" s="27"/>
      <c r="DX45" s="27"/>
      <c r="DY45" s="27"/>
      <c r="DZ45" s="27"/>
      <c r="EA45" s="27"/>
      <c r="EB45" s="27"/>
      <c r="EC45" s="27"/>
      <c r="ED45" s="27"/>
      <c r="EE45" s="27"/>
      <c r="EF45" s="27"/>
      <c r="EG45" s="27"/>
      <c r="EH45" s="27"/>
      <c r="EI45" s="27"/>
      <c r="EJ45" s="27"/>
      <c r="EK45" s="27"/>
      <c r="EL45" s="27"/>
      <c r="EM45" s="27"/>
      <c r="EN45" s="27"/>
      <c r="EO45" s="27"/>
      <c r="EP45" s="27"/>
      <c r="EQ45" s="27"/>
      <c r="ER45" s="27"/>
      <c r="ES45" s="27"/>
      <c r="ET45" s="27"/>
      <c r="EU45" s="27"/>
      <c r="EV45" s="27"/>
      <c r="EW45" s="27"/>
      <c r="EX45" s="27"/>
      <c r="EY45" s="27"/>
      <c r="EZ45" s="27"/>
      <c r="FA45" s="27"/>
      <c r="FB45" s="27"/>
      <c r="FC45" s="27"/>
      <c r="FD45" s="27"/>
      <c r="FE45" s="27"/>
      <c r="FF45" s="27"/>
      <c r="FG45" s="27"/>
      <c r="FH45" s="27"/>
      <c r="FI45" s="27"/>
      <c r="FJ45" s="27"/>
      <c r="FK45" s="27"/>
      <c r="FL45" s="27"/>
      <c r="FM45" s="27"/>
      <c r="FN45" s="27"/>
      <c r="FO45" s="27"/>
      <c r="FP45" s="27"/>
      <c r="FQ45" s="27"/>
      <c r="FR45" s="27"/>
      <c r="FS45" s="27"/>
      <c r="FT45" s="27"/>
      <c r="FU45" s="27"/>
      <c r="FV45" s="27"/>
      <c r="FW45" s="27"/>
      <c r="FX45" s="27"/>
      <c r="FY45" s="27"/>
      <c r="FZ45" s="27"/>
      <c r="GA45" s="27"/>
      <c r="GB45" s="27"/>
      <c r="GC45" s="27"/>
      <c r="GD45" s="27"/>
      <c r="GE45" s="27"/>
      <c r="GF45" s="27"/>
      <c r="GG45" s="27"/>
      <c r="GH45" s="27"/>
      <c r="GI45" s="27"/>
      <c r="GJ45" s="27"/>
      <c r="GK45" s="27"/>
      <c r="GL45" s="27"/>
      <c r="GM45" s="27"/>
      <c r="GN45" s="27"/>
      <c r="GO45" s="27"/>
      <c r="GP45" s="27"/>
      <c r="GQ45" s="27"/>
      <c r="GR45" s="27"/>
      <c r="GS45" s="27"/>
      <c r="GT45" s="27"/>
      <c r="GU45" s="27"/>
      <c r="GV45" s="27"/>
      <c r="GW45" s="27"/>
      <c r="GX45" s="27"/>
      <c r="GY45" s="27"/>
      <c r="GZ45" s="27"/>
      <c r="HA45" s="27"/>
      <c r="HB45" s="27"/>
      <c r="HC45" s="27"/>
      <c r="HD45" s="27"/>
      <c r="HE45" s="27"/>
      <c r="HF45" s="27"/>
      <c r="HG45" s="27"/>
      <c r="HH45" s="27"/>
      <c r="HI45" s="27"/>
      <c r="HJ45" s="27"/>
      <c r="HK45" s="27"/>
      <c r="HL45" s="27"/>
      <c r="HM45" s="27"/>
      <c r="HN45" s="27"/>
      <c r="HO45" s="27"/>
      <c r="HP45" s="27"/>
      <c r="HQ45" s="27"/>
      <c r="HR45" s="27"/>
      <c r="HS45" s="27"/>
      <c r="HT45" s="27"/>
      <c r="HU45" s="27"/>
      <c r="HV45" s="27"/>
      <c r="HW45" s="27"/>
      <c r="HX45" s="27"/>
      <c r="HY45" s="27"/>
    </row>
    <row r="46" s="6" customFormat="true" ht="15" hidden="false" customHeight="false" outlineLevel="0" collapsed="false">
      <c r="A46" s="17"/>
      <c r="B46" s="18" t="s">
        <v>18</v>
      </c>
      <c r="C46" s="19"/>
      <c r="D46" s="19"/>
      <c r="E46" s="20"/>
      <c r="F46" s="19"/>
      <c r="G46" s="21"/>
      <c r="H46" s="19"/>
      <c r="I46" s="31"/>
      <c r="J46" s="19"/>
      <c r="K46" s="19"/>
      <c r="L46" s="23"/>
      <c r="M46" s="29"/>
      <c r="N46" s="24"/>
      <c r="O46" s="30" t="n">
        <f aca="false">N46*J46</f>
        <v>0</v>
      </c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  <c r="BG46" s="27"/>
      <c r="BH46" s="27"/>
      <c r="BI46" s="27"/>
      <c r="BJ46" s="27"/>
      <c r="BK46" s="27"/>
      <c r="BL46" s="27"/>
      <c r="BM46" s="27"/>
      <c r="BN46" s="27"/>
      <c r="BO46" s="27"/>
      <c r="BP46" s="27"/>
      <c r="BQ46" s="27"/>
      <c r="BR46" s="27"/>
      <c r="BS46" s="27"/>
      <c r="BT46" s="27"/>
      <c r="BU46" s="27"/>
      <c r="BV46" s="27"/>
      <c r="BW46" s="27"/>
      <c r="BX46" s="27"/>
      <c r="BY46" s="27"/>
      <c r="BZ46" s="27"/>
      <c r="CA46" s="27"/>
      <c r="CB46" s="27"/>
      <c r="CC46" s="27"/>
      <c r="CD46" s="27"/>
      <c r="CE46" s="27"/>
      <c r="CF46" s="27"/>
      <c r="CG46" s="27"/>
      <c r="CH46" s="27"/>
      <c r="CI46" s="27"/>
      <c r="CJ46" s="27"/>
      <c r="CK46" s="27"/>
      <c r="CL46" s="27"/>
      <c r="CM46" s="27"/>
      <c r="CN46" s="27"/>
      <c r="CO46" s="27"/>
      <c r="CP46" s="27"/>
      <c r="CQ46" s="27"/>
      <c r="CR46" s="27"/>
      <c r="CS46" s="27"/>
      <c r="CT46" s="27"/>
      <c r="CU46" s="27"/>
      <c r="CV46" s="27"/>
      <c r="CW46" s="27"/>
      <c r="CX46" s="27"/>
      <c r="CY46" s="27"/>
      <c r="CZ46" s="27"/>
      <c r="DA46" s="27"/>
      <c r="DB46" s="27"/>
      <c r="DC46" s="27"/>
      <c r="DD46" s="27"/>
      <c r="DE46" s="27"/>
      <c r="DF46" s="27"/>
      <c r="DG46" s="27"/>
      <c r="DH46" s="27"/>
      <c r="DI46" s="27"/>
      <c r="DJ46" s="27"/>
      <c r="DK46" s="27"/>
      <c r="DL46" s="27"/>
      <c r="DM46" s="27"/>
      <c r="DN46" s="27"/>
      <c r="DO46" s="27"/>
      <c r="DP46" s="27"/>
      <c r="DQ46" s="27"/>
      <c r="DR46" s="27"/>
      <c r="DS46" s="27"/>
      <c r="DT46" s="27"/>
      <c r="DU46" s="27"/>
      <c r="DV46" s="27"/>
      <c r="DW46" s="27"/>
      <c r="DX46" s="27"/>
      <c r="DY46" s="27"/>
      <c r="DZ46" s="27"/>
      <c r="EA46" s="27"/>
      <c r="EB46" s="27"/>
      <c r="EC46" s="27"/>
      <c r="ED46" s="27"/>
      <c r="EE46" s="27"/>
      <c r="EF46" s="27"/>
      <c r="EG46" s="27"/>
      <c r="EH46" s="27"/>
      <c r="EI46" s="27"/>
      <c r="EJ46" s="27"/>
      <c r="EK46" s="27"/>
      <c r="EL46" s="27"/>
      <c r="EM46" s="27"/>
      <c r="EN46" s="27"/>
      <c r="EO46" s="27"/>
      <c r="EP46" s="27"/>
      <c r="EQ46" s="27"/>
      <c r="ER46" s="27"/>
      <c r="ES46" s="27"/>
      <c r="ET46" s="27"/>
      <c r="EU46" s="27"/>
      <c r="EV46" s="27"/>
      <c r="EW46" s="27"/>
      <c r="EX46" s="27"/>
      <c r="EY46" s="27"/>
      <c r="EZ46" s="27"/>
      <c r="FA46" s="27"/>
      <c r="FB46" s="27"/>
      <c r="FC46" s="27"/>
      <c r="FD46" s="27"/>
      <c r="FE46" s="27"/>
      <c r="FF46" s="27"/>
      <c r="FG46" s="27"/>
      <c r="FH46" s="27"/>
      <c r="FI46" s="27"/>
      <c r="FJ46" s="27"/>
      <c r="FK46" s="27"/>
      <c r="FL46" s="27"/>
      <c r="FM46" s="27"/>
      <c r="FN46" s="27"/>
      <c r="FO46" s="27"/>
      <c r="FP46" s="27"/>
      <c r="FQ46" s="27"/>
      <c r="FR46" s="27"/>
      <c r="FS46" s="27"/>
      <c r="FT46" s="27"/>
      <c r="FU46" s="27"/>
      <c r="FV46" s="27"/>
      <c r="FW46" s="27"/>
      <c r="FX46" s="27"/>
      <c r="FY46" s="27"/>
      <c r="FZ46" s="27"/>
      <c r="GA46" s="27"/>
      <c r="GB46" s="27"/>
      <c r="GC46" s="27"/>
      <c r="GD46" s="27"/>
      <c r="GE46" s="27"/>
      <c r="GF46" s="27"/>
      <c r="GG46" s="27"/>
      <c r="GH46" s="27"/>
      <c r="GI46" s="27"/>
      <c r="GJ46" s="27"/>
      <c r="GK46" s="27"/>
      <c r="GL46" s="27"/>
      <c r="GM46" s="27"/>
      <c r="GN46" s="27"/>
      <c r="GO46" s="27"/>
      <c r="GP46" s="27"/>
      <c r="GQ46" s="27"/>
      <c r="GR46" s="27"/>
      <c r="GS46" s="27"/>
      <c r="GT46" s="27"/>
      <c r="GU46" s="27"/>
      <c r="GV46" s="27"/>
      <c r="GW46" s="27"/>
      <c r="GX46" s="27"/>
      <c r="GY46" s="27"/>
      <c r="GZ46" s="27"/>
      <c r="HA46" s="27"/>
      <c r="HB46" s="27"/>
      <c r="HC46" s="27"/>
      <c r="HD46" s="27"/>
      <c r="HE46" s="27"/>
      <c r="HF46" s="27"/>
      <c r="HG46" s="27"/>
      <c r="HH46" s="27"/>
      <c r="HI46" s="27"/>
      <c r="HJ46" s="27"/>
      <c r="HK46" s="27"/>
      <c r="HL46" s="27"/>
      <c r="HM46" s="27"/>
      <c r="HN46" s="27"/>
      <c r="HO46" s="27"/>
      <c r="HP46" s="27"/>
      <c r="HQ46" s="27"/>
      <c r="HR46" s="27"/>
      <c r="HS46" s="27"/>
      <c r="HT46" s="27"/>
      <c r="HU46" s="27"/>
      <c r="HV46" s="27"/>
      <c r="HW46" s="27"/>
      <c r="HX46" s="27"/>
      <c r="HY46" s="27"/>
    </row>
    <row r="47" s="6" customFormat="true" ht="15" hidden="false" customHeight="false" outlineLevel="0" collapsed="false">
      <c r="A47" s="17"/>
      <c r="B47" s="18" t="s">
        <v>18</v>
      </c>
      <c r="C47" s="19"/>
      <c r="D47" s="19"/>
      <c r="E47" s="20"/>
      <c r="F47" s="19"/>
      <c r="G47" s="21"/>
      <c r="H47" s="19"/>
      <c r="I47" s="31"/>
      <c r="J47" s="19"/>
      <c r="K47" s="19"/>
      <c r="L47" s="23"/>
      <c r="M47" s="29"/>
      <c r="N47" s="24"/>
      <c r="O47" s="30" t="n">
        <f aca="false">N47*J47</f>
        <v>0</v>
      </c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  <c r="BG47" s="27"/>
      <c r="BH47" s="27"/>
      <c r="BI47" s="27"/>
      <c r="BJ47" s="27"/>
      <c r="BK47" s="27"/>
      <c r="BL47" s="27"/>
      <c r="BM47" s="27"/>
      <c r="BN47" s="27"/>
      <c r="BO47" s="27"/>
      <c r="BP47" s="27"/>
      <c r="BQ47" s="27"/>
      <c r="BR47" s="27"/>
      <c r="BS47" s="27"/>
      <c r="BT47" s="27"/>
      <c r="BU47" s="27"/>
      <c r="BV47" s="27"/>
      <c r="BW47" s="27"/>
      <c r="BX47" s="27"/>
      <c r="BY47" s="27"/>
      <c r="BZ47" s="27"/>
      <c r="CA47" s="27"/>
      <c r="CB47" s="27"/>
      <c r="CC47" s="27"/>
      <c r="CD47" s="27"/>
      <c r="CE47" s="27"/>
      <c r="CF47" s="27"/>
      <c r="CG47" s="27"/>
      <c r="CH47" s="27"/>
      <c r="CI47" s="27"/>
      <c r="CJ47" s="27"/>
      <c r="CK47" s="27"/>
      <c r="CL47" s="27"/>
      <c r="CM47" s="27"/>
      <c r="CN47" s="27"/>
      <c r="CO47" s="27"/>
      <c r="CP47" s="27"/>
      <c r="CQ47" s="27"/>
      <c r="CR47" s="27"/>
      <c r="CS47" s="27"/>
      <c r="CT47" s="27"/>
      <c r="CU47" s="27"/>
      <c r="CV47" s="27"/>
      <c r="CW47" s="27"/>
      <c r="CX47" s="27"/>
      <c r="CY47" s="27"/>
      <c r="CZ47" s="27"/>
      <c r="DA47" s="27"/>
      <c r="DB47" s="27"/>
      <c r="DC47" s="27"/>
      <c r="DD47" s="27"/>
      <c r="DE47" s="27"/>
      <c r="DF47" s="27"/>
      <c r="DG47" s="27"/>
      <c r="DH47" s="27"/>
      <c r="DI47" s="27"/>
      <c r="DJ47" s="27"/>
      <c r="DK47" s="27"/>
      <c r="DL47" s="27"/>
      <c r="DM47" s="27"/>
      <c r="DN47" s="27"/>
      <c r="DO47" s="27"/>
      <c r="DP47" s="27"/>
      <c r="DQ47" s="27"/>
      <c r="DR47" s="27"/>
      <c r="DS47" s="27"/>
      <c r="DT47" s="27"/>
      <c r="DU47" s="27"/>
      <c r="DV47" s="27"/>
      <c r="DW47" s="27"/>
      <c r="DX47" s="27"/>
      <c r="DY47" s="27"/>
      <c r="DZ47" s="27"/>
      <c r="EA47" s="27"/>
      <c r="EB47" s="27"/>
      <c r="EC47" s="27"/>
      <c r="ED47" s="27"/>
      <c r="EE47" s="27"/>
      <c r="EF47" s="27"/>
      <c r="EG47" s="27"/>
      <c r="EH47" s="27"/>
      <c r="EI47" s="27"/>
      <c r="EJ47" s="27"/>
      <c r="EK47" s="27"/>
      <c r="EL47" s="27"/>
      <c r="EM47" s="27"/>
      <c r="EN47" s="27"/>
      <c r="EO47" s="27"/>
      <c r="EP47" s="27"/>
      <c r="EQ47" s="27"/>
      <c r="ER47" s="27"/>
      <c r="ES47" s="27"/>
      <c r="ET47" s="27"/>
      <c r="EU47" s="27"/>
      <c r="EV47" s="27"/>
      <c r="EW47" s="27"/>
      <c r="EX47" s="27"/>
      <c r="EY47" s="27"/>
      <c r="EZ47" s="27"/>
      <c r="FA47" s="27"/>
      <c r="FB47" s="27"/>
      <c r="FC47" s="27"/>
      <c r="FD47" s="27"/>
      <c r="FE47" s="27"/>
      <c r="FF47" s="27"/>
      <c r="FG47" s="27"/>
      <c r="FH47" s="27"/>
      <c r="FI47" s="27"/>
      <c r="FJ47" s="27"/>
      <c r="FK47" s="27"/>
      <c r="FL47" s="27"/>
      <c r="FM47" s="27"/>
      <c r="FN47" s="27"/>
      <c r="FO47" s="27"/>
      <c r="FP47" s="27"/>
      <c r="FQ47" s="27"/>
      <c r="FR47" s="27"/>
      <c r="FS47" s="27"/>
      <c r="FT47" s="27"/>
      <c r="FU47" s="27"/>
      <c r="FV47" s="27"/>
      <c r="FW47" s="27"/>
      <c r="FX47" s="27"/>
      <c r="FY47" s="27"/>
      <c r="FZ47" s="27"/>
      <c r="GA47" s="27"/>
      <c r="GB47" s="27"/>
      <c r="GC47" s="27"/>
      <c r="GD47" s="27"/>
      <c r="GE47" s="27"/>
      <c r="GF47" s="27"/>
      <c r="GG47" s="27"/>
      <c r="GH47" s="27"/>
      <c r="GI47" s="27"/>
      <c r="GJ47" s="27"/>
      <c r="GK47" s="27"/>
      <c r="GL47" s="27"/>
      <c r="GM47" s="27"/>
      <c r="GN47" s="27"/>
      <c r="GO47" s="27"/>
      <c r="GP47" s="27"/>
      <c r="GQ47" s="27"/>
      <c r="GR47" s="27"/>
      <c r="GS47" s="27"/>
      <c r="GT47" s="27"/>
      <c r="GU47" s="27"/>
      <c r="GV47" s="27"/>
      <c r="GW47" s="27"/>
      <c r="GX47" s="27"/>
      <c r="GY47" s="27"/>
      <c r="GZ47" s="27"/>
      <c r="HA47" s="27"/>
      <c r="HB47" s="27"/>
      <c r="HC47" s="27"/>
      <c r="HD47" s="27"/>
      <c r="HE47" s="27"/>
      <c r="HF47" s="27"/>
      <c r="HG47" s="27"/>
      <c r="HH47" s="27"/>
      <c r="HI47" s="27"/>
      <c r="HJ47" s="27"/>
      <c r="HK47" s="27"/>
      <c r="HL47" s="27"/>
      <c r="HM47" s="27"/>
      <c r="HN47" s="27"/>
      <c r="HO47" s="27"/>
      <c r="HP47" s="27"/>
      <c r="HQ47" s="27"/>
      <c r="HR47" s="27"/>
      <c r="HS47" s="27"/>
      <c r="HT47" s="27"/>
      <c r="HU47" s="27"/>
      <c r="HV47" s="27"/>
      <c r="HW47" s="27"/>
      <c r="HX47" s="27"/>
      <c r="HY47" s="27"/>
    </row>
    <row r="48" s="6" customFormat="true" ht="15" hidden="false" customHeight="false" outlineLevel="0" collapsed="false">
      <c r="A48" s="17"/>
      <c r="B48" s="18" t="s">
        <v>18</v>
      </c>
      <c r="C48" s="19"/>
      <c r="D48" s="19"/>
      <c r="E48" s="20"/>
      <c r="F48" s="19"/>
      <c r="G48" s="21"/>
      <c r="H48" s="19"/>
      <c r="I48" s="31"/>
      <c r="J48" s="19"/>
      <c r="K48" s="19"/>
      <c r="L48" s="23"/>
      <c r="M48" s="29"/>
      <c r="N48" s="24"/>
      <c r="O48" s="30" t="n">
        <f aca="false">N48*J48</f>
        <v>0</v>
      </c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  <c r="BG48" s="27"/>
      <c r="BH48" s="27"/>
      <c r="BI48" s="27"/>
      <c r="BJ48" s="27"/>
      <c r="BK48" s="27"/>
      <c r="BL48" s="27"/>
      <c r="BM48" s="27"/>
      <c r="BN48" s="27"/>
      <c r="BO48" s="27"/>
      <c r="BP48" s="27"/>
      <c r="BQ48" s="27"/>
      <c r="BR48" s="27"/>
      <c r="BS48" s="27"/>
      <c r="BT48" s="27"/>
      <c r="BU48" s="27"/>
      <c r="BV48" s="27"/>
      <c r="BW48" s="27"/>
      <c r="BX48" s="27"/>
      <c r="BY48" s="27"/>
      <c r="BZ48" s="27"/>
      <c r="CA48" s="27"/>
      <c r="CB48" s="27"/>
      <c r="CC48" s="27"/>
      <c r="CD48" s="27"/>
      <c r="CE48" s="27"/>
      <c r="CF48" s="27"/>
      <c r="CG48" s="27"/>
      <c r="CH48" s="27"/>
      <c r="CI48" s="27"/>
      <c r="CJ48" s="27"/>
      <c r="CK48" s="27"/>
      <c r="CL48" s="27"/>
      <c r="CM48" s="27"/>
      <c r="CN48" s="27"/>
      <c r="CO48" s="27"/>
      <c r="CP48" s="27"/>
      <c r="CQ48" s="27"/>
      <c r="CR48" s="27"/>
      <c r="CS48" s="27"/>
      <c r="CT48" s="27"/>
      <c r="CU48" s="27"/>
      <c r="CV48" s="27"/>
      <c r="CW48" s="27"/>
      <c r="CX48" s="27"/>
      <c r="CY48" s="27"/>
      <c r="CZ48" s="27"/>
      <c r="DA48" s="27"/>
      <c r="DB48" s="27"/>
      <c r="DC48" s="27"/>
      <c r="DD48" s="27"/>
      <c r="DE48" s="27"/>
      <c r="DF48" s="27"/>
      <c r="DG48" s="27"/>
      <c r="DH48" s="27"/>
      <c r="DI48" s="27"/>
      <c r="DJ48" s="27"/>
      <c r="DK48" s="27"/>
      <c r="DL48" s="27"/>
      <c r="DM48" s="27"/>
      <c r="DN48" s="27"/>
      <c r="DO48" s="27"/>
      <c r="DP48" s="27"/>
      <c r="DQ48" s="27"/>
      <c r="DR48" s="27"/>
      <c r="DS48" s="27"/>
      <c r="DT48" s="27"/>
      <c r="DU48" s="27"/>
      <c r="DV48" s="27"/>
      <c r="DW48" s="27"/>
      <c r="DX48" s="27"/>
      <c r="DY48" s="27"/>
      <c r="DZ48" s="27"/>
      <c r="EA48" s="27"/>
      <c r="EB48" s="27"/>
      <c r="EC48" s="27"/>
      <c r="ED48" s="27"/>
      <c r="EE48" s="27"/>
      <c r="EF48" s="27"/>
      <c r="EG48" s="27"/>
      <c r="EH48" s="27"/>
      <c r="EI48" s="27"/>
      <c r="EJ48" s="27"/>
      <c r="EK48" s="27"/>
      <c r="EL48" s="27"/>
      <c r="EM48" s="27"/>
      <c r="EN48" s="27"/>
      <c r="EO48" s="27"/>
      <c r="EP48" s="27"/>
      <c r="EQ48" s="27"/>
      <c r="ER48" s="27"/>
      <c r="ES48" s="27"/>
      <c r="ET48" s="27"/>
      <c r="EU48" s="27"/>
      <c r="EV48" s="27"/>
      <c r="EW48" s="27"/>
      <c r="EX48" s="27"/>
      <c r="EY48" s="27"/>
      <c r="EZ48" s="27"/>
      <c r="FA48" s="27"/>
      <c r="FB48" s="27"/>
      <c r="FC48" s="27"/>
      <c r="FD48" s="27"/>
      <c r="FE48" s="27"/>
      <c r="FF48" s="27"/>
      <c r="FG48" s="27"/>
      <c r="FH48" s="27"/>
      <c r="FI48" s="27"/>
      <c r="FJ48" s="27"/>
      <c r="FK48" s="27"/>
      <c r="FL48" s="27"/>
      <c r="FM48" s="27"/>
      <c r="FN48" s="27"/>
      <c r="FO48" s="27"/>
      <c r="FP48" s="27"/>
      <c r="FQ48" s="27"/>
      <c r="FR48" s="27"/>
      <c r="FS48" s="27"/>
      <c r="FT48" s="27"/>
      <c r="FU48" s="27"/>
      <c r="FV48" s="27"/>
      <c r="FW48" s="27"/>
      <c r="FX48" s="27"/>
      <c r="FY48" s="27"/>
      <c r="FZ48" s="27"/>
      <c r="GA48" s="27"/>
      <c r="GB48" s="27"/>
      <c r="GC48" s="27"/>
      <c r="GD48" s="27"/>
      <c r="GE48" s="27"/>
      <c r="GF48" s="27"/>
      <c r="GG48" s="27"/>
      <c r="GH48" s="27"/>
      <c r="GI48" s="27"/>
      <c r="GJ48" s="27"/>
      <c r="GK48" s="27"/>
      <c r="GL48" s="27"/>
      <c r="GM48" s="27"/>
      <c r="GN48" s="27"/>
      <c r="GO48" s="27"/>
      <c r="GP48" s="27"/>
      <c r="GQ48" s="27"/>
      <c r="GR48" s="27"/>
      <c r="GS48" s="27"/>
      <c r="GT48" s="27"/>
      <c r="GU48" s="27"/>
      <c r="GV48" s="27"/>
      <c r="GW48" s="27"/>
      <c r="GX48" s="27"/>
      <c r="GY48" s="27"/>
      <c r="GZ48" s="27"/>
      <c r="HA48" s="27"/>
      <c r="HB48" s="27"/>
      <c r="HC48" s="27"/>
      <c r="HD48" s="27"/>
      <c r="HE48" s="27"/>
      <c r="HF48" s="27"/>
      <c r="HG48" s="27"/>
      <c r="HH48" s="27"/>
      <c r="HI48" s="27"/>
      <c r="HJ48" s="27"/>
      <c r="HK48" s="27"/>
      <c r="HL48" s="27"/>
      <c r="HM48" s="27"/>
      <c r="HN48" s="27"/>
      <c r="HO48" s="27"/>
      <c r="HP48" s="27"/>
      <c r="HQ48" s="27"/>
      <c r="HR48" s="27"/>
      <c r="HS48" s="27"/>
      <c r="HT48" s="27"/>
      <c r="HU48" s="27"/>
      <c r="HV48" s="27"/>
      <c r="HW48" s="27"/>
      <c r="HX48" s="27"/>
      <c r="HY48" s="27"/>
    </row>
    <row r="49" s="6" customFormat="true" ht="15" hidden="false" customHeight="false" outlineLevel="0" collapsed="false">
      <c r="A49" s="17"/>
      <c r="B49" s="18" t="s">
        <v>18</v>
      </c>
      <c r="C49" s="19"/>
      <c r="D49" s="19"/>
      <c r="E49" s="20"/>
      <c r="F49" s="19"/>
      <c r="G49" s="21"/>
      <c r="H49" s="19"/>
      <c r="I49" s="31"/>
      <c r="J49" s="19"/>
      <c r="K49" s="19"/>
      <c r="L49" s="23"/>
      <c r="M49" s="29"/>
      <c r="N49" s="24"/>
      <c r="O49" s="30" t="n">
        <f aca="false">N49*J49</f>
        <v>0</v>
      </c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  <c r="BG49" s="27"/>
      <c r="BH49" s="27"/>
      <c r="BI49" s="27"/>
      <c r="BJ49" s="27"/>
      <c r="BK49" s="27"/>
      <c r="BL49" s="27"/>
      <c r="BM49" s="27"/>
      <c r="BN49" s="27"/>
      <c r="BO49" s="27"/>
      <c r="BP49" s="27"/>
      <c r="BQ49" s="27"/>
      <c r="BR49" s="27"/>
      <c r="BS49" s="27"/>
      <c r="BT49" s="27"/>
      <c r="BU49" s="27"/>
      <c r="BV49" s="27"/>
      <c r="BW49" s="27"/>
      <c r="BX49" s="27"/>
      <c r="BY49" s="27"/>
      <c r="BZ49" s="27"/>
      <c r="CA49" s="27"/>
      <c r="CB49" s="27"/>
      <c r="CC49" s="27"/>
      <c r="CD49" s="27"/>
      <c r="CE49" s="27"/>
      <c r="CF49" s="27"/>
      <c r="CG49" s="27"/>
      <c r="CH49" s="27"/>
      <c r="CI49" s="27"/>
      <c r="CJ49" s="27"/>
      <c r="CK49" s="27"/>
      <c r="CL49" s="27"/>
      <c r="CM49" s="27"/>
      <c r="CN49" s="27"/>
      <c r="CO49" s="27"/>
      <c r="CP49" s="27"/>
      <c r="CQ49" s="27"/>
      <c r="CR49" s="27"/>
      <c r="CS49" s="27"/>
      <c r="CT49" s="27"/>
      <c r="CU49" s="27"/>
      <c r="CV49" s="27"/>
      <c r="CW49" s="27"/>
      <c r="CX49" s="27"/>
      <c r="CY49" s="27"/>
      <c r="CZ49" s="27"/>
      <c r="DA49" s="27"/>
      <c r="DB49" s="27"/>
      <c r="DC49" s="27"/>
      <c r="DD49" s="27"/>
      <c r="DE49" s="27"/>
      <c r="DF49" s="27"/>
      <c r="DG49" s="27"/>
      <c r="DH49" s="27"/>
      <c r="DI49" s="27"/>
      <c r="DJ49" s="27"/>
      <c r="DK49" s="27"/>
      <c r="DL49" s="27"/>
      <c r="DM49" s="27"/>
      <c r="DN49" s="27"/>
      <c r="DO49" s="27"/>
      <c r="DP49" s="27"/>
      <c r="DQ49" s="27"/>
      <c r="DR49" s="27"/>
      <c r="DS49" s="27"/>
      <c r="DT49" s="27"/>
      <c r="DU49" s="27"/>
      <c r="DV49" s="27"/>
      <c r="DW49" s="27"/>
      <c r="DX49" s="27"/>
      <c r="DY49" s="27"/>
      <c r="DZ49" s="27"/>
      <c r="EA49" s="27"/>
      <c r="EB49" s="27"/>
      <c r="EC49" s="27"/>
      <c r="ED49" s="27"/>
      <c r="EE49" s="27"/>
      <c r="EF49" s="27"/>
      <c r="EG49" s="27"/>
      <c r="EH49" s="27"/>
      <c r="EI49" s="27"/>
      <c r="EJ49" s="27"/>
      <c r="EK49" s="27"/>
      <c r="EL49" s="27"/>
      <c r="EM49" s="27"/>
      <c r="EN49" s="27"/>
      <c r="EO49" s="27"/>
      <c r="EP49" s="27"/>
      <c r="EQ49" s="27"/>
      <c r="ER49" s="27"/>
      <c r="ES49" s="27"/>
      <c r="ET49" s="27"/>
      <c r="EU49" s="27"/>
      <c r="EV49" s="27"/>
      <c r="EW49" s="27"/>
      <c r="EX49" s="27"/>
      <c r="EY49" s="27"/>
      <c r="EZ49" s="27"/>
      <c r="FA49" s="27"/>
      <c r="FB49" s="27"/>
      <c r="FC49" s="27"/>
      <c r="FD49" s="27"/>
      <c r="FE49" s="27"/>
      <c r="FF49" s="27"/>
      <c r="FG49" s="27"/>
      <c r="FH49" s="27"/>
      <c r="FI49" s="27"/>
      <c r="FJ49" s="27"/>
      <c r="FK49" s="27"/>
      <c r="FL49" s="27"/>
      <c r="FM49" s="27"/>
      <c r="FN49" s="27"/>
      <c r="FO49" s="27"/>
      <c r="FP49" s="27"/>
      <c r="FQ49" s="27"/>
      <c r="FR49" s="27"/>
      <c r="FS49" s="27"/>
      <c r="FT49" s="27"/>
      <c r="FU49" s="27"/>
      <c r="FV49" s="27"/>
      <c r="FW49" s="27"/>
      <c r="FX49" s="27"/>
      <c r="FY49" s="27"/>
      <c r="FZ49" s="27"/>
      <c r="GA49" s="27"/>
      <c r="GB49" s="27"/>
      <c r="GC49" s="27"/>
      <c r="GD49" s="27"/>
      <c r="GE49" s="27"/>
      <c r="GF49" s="27"/>
      <c r="GG49" s="27"/>
      <c r="GH49" s="27"/>
      <c r="GI49" s="27"/>
      <c r="GJ49" s="27"/>
      <c r="GK49" s="27"/>
      <c r="GL49" s="27"/>
      <c r="GM49" s="27"/>
      <c r="GN49" s="27"/>
      <c r="GO49" s="27"/>
      <c r="GP49" s="27"/>
      <c r="GQ49" s="27"/>
      <c r="GR49" s="27"/>
      <c r="GS49" s="27"/>
      <c r="GT49" s="27"/>
      <c r="GU49" s="27"/>
      <c r="GV49" s="27"/>
      <c r="GW49" s="27"/>
      <c r="GX49" s="27"/>
      <c r="GY49" s="27"/>
      <c r="GZ49" s="27"/>
      <c r="HA49" s="27"/>
      <c r="HB49" s="27"/>
      <c r="HC49" s="27"/>
      <c r="HD49" s="27"/>
      <c r="HE49" s="27"/>
      <c r="HF49" s="27"/>
      <c r="HG49" s="27"/>
      <c r="HH49" s="27"/>
      <c r="HI49" s="27"/>
      <c r="HJ49" s="27"/>
      <c r="HK49" s="27"/>
      <c r="HL49" s="27"/>
      <c r="HM49" s="27"/>
      <c r="HN49" s="27"/>
      <c r="HO49" s="27"/>
      <c r="HP49" s="27"/>
      <c r="HQ49" s="27"/>
      <c r="HR49" s="27"/>
      <c r="HS49" s="27"/>
      <c r="HT49" s="27"/>
      <c r="HU49" s="27"/>
      <c r="HV49" s="27"/>
      <c r="HW49" s="27"/>
      <c r="HX49" s="27"/>
      <c r="HY49" s="27"/>
    </row>
    <row r="50" s="6" customFormat="true" ht="15" hidden="false" customHeight="false" outlineLevel="0" collapsed="false">
      <c r="A50" s="17"/>
      <c r="B50" s="18" t="s">
        <v>18</v>
      </c>
      <c r="C50" s="19"/>
      <c r="D50" s="19"/>
      <c r="E50" s="20"/>
      <c r="F50" s="19"/>
      <c r="G50" s="21"/>
      <c r="H50" s="19"/>
      <c r="I50" s="31"/>
      <c r="J50" s="19"/>
      <c r="K50" s="19"/>
      <c r="L50" s="23"/>
      <c r="M50" s="29"/>
      <c r="N50" s="24"/>
      <c r="O50" s="30" t="n">
        <f aca="false">N50*J50</f>
        <v>0</v>
      </c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  <c r="BG50" s="27"/>
      <c r="BH50" s="27"/>
      <c r="BI50" s="27"/>
      <c r="BJ50" s="27"/>
      <c r="BK50" s="27"/>
      <c r="BL50" s="27"/>
      <c r="BM50" s="27"/>
      <c r="BN50" s="27"/>
      <c r="BO50" s="27"/>
      <c r="BP50" s="27"/>
      <c r="BQ50" s="27"/>
      <c r="BR50" s="27"/>
      <c r="BS50" s="27"/>
      <c r="BT50" s="27"/>
      <c r="BU50" s="27"/>
      <c r="BV50" s="27"/>
      <c r="BW50" s="27"/>
      <c r="BX50" s="27"/>
      <c r="BY50" s="27"/>
      <c r="BZ50" s="27"/>
      <c r="CA50" s="27"/>
      <c r="CB50" s="27"/>
      <c r="CC50" s="27"/>
      <c r="CD50" s="27"/>
      <c r="CE50" s="27"/>
      <c r="CF50" s="27"/>
      <c r="CG50" s="27"/>
      <c r="CH50" s="27"/>
      <c r="CI50" s="27"/>
      <c r="CJ50" s="27"/>
      <c r="CK50" s="27"/>
      <c r="CL50" s="27"/>
      <c r="CM50" s="27"/>
      <c r="CN50" s="27"/>
      <c r="CO50" s="27"/>
      <c r="CP50" s="27"/>
      <c r="CQ50" s="27"/>
      <c r="CR50" s="27"/>
      <c r="CS50" s="27"/>
      <c r="CT50" s="27"/>
      <c r="CU50" s="27"/>
      <c r="CV50" s="27"/>
      <c r="CW50" s="27"/>
      <c r="CX50" s="27"/>
      <c r="CY50" s="27"/>
      <c r="CZ50" s="27"/>
      <c r="DA50" s="27"/>
      <c r="DB50" s="27"/>
      <c r="DC50" s="27"/>
      <c r="DD50" s="27"/>
      <c r="DE50" s="27"/>
      <c r="DF50" s="27"/>
      <c r="DG50" s="27"/>
      <c r="DH50" s="27"/>
      <c r="DI50" s="27"/>
      <c r="DJ50" s="27"/>
      <c r="DK50" s="27"/>
      <c r="DL50" s="27"/>
      <c r="DM50" s="27"/>
      <c r="DN50" s="27"/>
      <c r="DO50" s="27"/>
      <c r="DP50" s="27"/>
      <c r="DQ50" s="27"/>
      <c r="DR50" s="27"/>
      <c r="DS50" s="27"/>
      <c r="DT50" s="27"/>
      <c r="DU50" s="27"/>
      <c r="DV50" s="27"/>
      <c r="DW50" s="27"/>
      <c r="DX50" s="27"/>
      <c r="DY50" s="27"/>
      <c r="DZ50" s="27"/>
      <c r="EA50" s="27"/>
      <c r="EB50" s="27"/>
      <c r="EC50" s="27"/>
      <c r="ED50" s="27"/>
      <c r="EE50" s="27"/>
      <c r="EF50" s="27"/>
      <c r="EG50" s="27"/>
      <c r="EH50" s="27"/>
      <c r="EI50" s="27"/>
      <c r="EJ50" s="27"/>
      <c r="EK50" s="27"/>
      <c r="EL50" s="27"/>
      <c r="EM50" s="27"/>
      <c r="EN50" s="27"/>
      <c r="EO50" s="27"/>
      <c r="EP50" s="27"/>
      <c r="EQ50" s="27"/>
      <c r="ER50" s="27"/>
      <c r="ES50" s="27"/>
      <c r="ET50" s="27"/>
      <c r="EU50" s="27"/>
      <c r="EV50" s="27"/>
      <c r="EW50" s="27"/>
      <c r="EX50" s="27"/>
      <c r="EY50" s="27"/>
      <c r="EZ50" s="27"/>
      <c r="FA50" s="27"/>
      <c r="FB50" s="27"/>
      <c r="FC50" s="27"/>
      <c r="FD50" s="27"/>
      <c r="FE50" s="27"/>
      <c r="FF50" s="27"/>
      <c r="FG50" s="27"/>
      <c r="FH50" s="27"/>
      <c r="FI50" s="27"/>
      <c r="FJ50" s="27"/>
      <c r="FK50" s="27"/>
      <c r="FL50" s="27"/>
      <c r="FM50" s="27"/>
      <c r="FN50" s="27"/>
      <c r="FO50" s="27"/>
      <c r="FP50" s="27"/>
      <c r="FQ50" s="27"/>
      <c r="FR50" s="27"/>
      <c r="FS50" s="27"/>
      <c r="FT50" s="27"/>
      <c r="FU50" s="27"/>
      <c r="FV50" s="27"/>
      <c r="FW50" s="27"/>
      <c r="FX50" s="27"/>
      <c r="FY50" s="27"/>
      <c r="FZ50" s="27"/>
      <c r="GA50" s="27"/>
      <c r="GB50" s="27"/>
      <c r="GC50" s="27"/>
      <c r="GD50" s="27"/>
      <c r="GE50" s="27"/>
      <c r="GF50" s="27"/>
      <c r="GG50" s="27"/>
      <c r="GH50" s="27"/>
      <c r="GI50" s="27"/>
      <c r="GJ50" s="27"/>
      <c r="GK50" s="27"/>
      <c r="GL50" s="27"/>
      <c r="GM50" s="27"/>
      <c r="GN50" s="27"/>
      <c r="GO50" s="27"/>
      <c r="GP50" s="27"/>
      <c r="GQ50" s="27"/>
      <c r="GR50" s="27"/>
      <c r="GS50" s="27"/>
      <c r="GT50" s="27"/>
      <c r="GU50" s="27"/>
      <c r="GV50" s="27"/>
      <c r="GW50" s="27"/>
      <c r="GX50" s="27"/>
      <c r="GY50" s="27"/>
      <c r="GZ50" s="27"/>
      <c r="HA50" s="27"/>
      <c r="HB50" s="27"/>
      <c r="HC50" s="27"/>
      <c r="HD50" s="27"/>
      <c r="HE50" s="27"/>
      <c r="HF50" s="27"/>
      <c r="HG50" s="27"/>
      <c r="HH50" s="27"/>
      <c r="HI50" s="27"/>
      <c r="HJ50" s="27"/>
      <c r="HK50" s="27"/>
      <c r="HL50" s="27"/>
      <c r="HM50" s="27"/>
      <c r="HN50" s="27"/>
      <c r="HO50" s="27"/>
      <c r="HP50" s="27"/>
      <c r="HQ50" s="27"/>
      <c r="HR50" s="27"/>
      <c r="HS50" s="27"/>
      <c r="HT50" s="27"/>
      <c r="HU50" s="27"/>
      <c r="HV50" s="27"/>
      <c r="HW50" s="27"/>
      <c r="HX50" s="27"/>
      <c r="HY50" s="27"/>
    </row>
    <row r="51" s="6" customFormat="true" ht="15" hidden="false" customHeight="false" outlineLevel="0" collapsed="false">
      <c r="A51" s="17"/>
      <c r="B51" s="18" t="s">
        <v>18</v>
      </c>
      <c r="C51" s="19"/>
      <c r="D51" s="19"/>
      <c r="E51" s="20"/>
      <c r="F51" s="19"/>
      <c r="G51" s="21"/>
      <c r="H51" s="19"/>
      <c r="I51" s="31"/>
      <c r="J51" s="19"/>
      <c r="K51" s="19"/>
      <c r="L51" s="23"/>
      <c r="M51" s="29"/>
      <c r="N51" s="24"/>
      <c r="O51" s="30" t="n">
        <f aca="false">N51*J51</f>
        <v>0</v>
      </c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  <c r="BG51" s="27"/>
      <c r="BH51" s="27"/>
      <c r="BI51" s="27"/>
      <c r="BJ51" s="27"/>
      <c r="BK51" s="27"/>
      <c r="BL51" s="27"/>
      <c r="BM51" s="27"/>
      <c r="BN51" s="27"/>
      <c r="BO51" s="27"/>
      <c r="BP51" s="27"/>
      <c r="BQ51" s="27"/>
      <c r="BR51" s="27"/>
      <c r="BS51" s="27"/>
      <c r="BT51" s="27"/>
      <c r="BU51" s="27"/>
      <c r="BV51" s="27"/>
      <c r="BW51" s="27"/>
      <c r="BX51" s="27"/>
      <c r="BY51" s="27"/>
      <c r="BZ51" s="27"/>
      <c r="CA51" s="27"/>
      <c r="CB51" s="27"/>
      <c r="CC51" s="27"/>
      <c r="CD51" s="27"/>
      <c r="CE51" s="27"/>
      <c r="CF51" s="27"/>
      <c r="CG51" s="27"/>
      <c r="CH51" s="27"/>
      <c r="CI51" s="27"/>
      <c r="CJ51" s="27"/>
      <c r="CK51" s="27"/>
      <c r="CL51" s="27"/>
      <c r="CM51" s="27"/>
      <c r="CN51" s="27"/>
      <c r="CO51" s="27"/>
      <c r="CP51" s="27"/>
      <c r="CQ51" s="27"/>
      <c r="CR51" s="27"/>
      <c r="CS51" s="27"/>
      <c r="CT51" s="27"/>
      <c r="CU51" s="27"/>
      <c r="CV51" s="27"/>
      <c r="CW51" s="27"/>
      <c r="CX51" s="27"/>
      <c r="CY51" s="27"/>
      <c r="CZ51" s="27"/>
      <c r="DA51" s="27"/>
      <c r="DB51" s="27"/>
      <c r="DC51" s="27"/>
      <c r="DD51" s="27"/>
      <c r="DE51" s="27"/>
      <c r="DF51" s="27"/>
      <c r="DG51" s="27"/>
      <c r="DH51" s="27"/>
      <c r="DI51" s="27"/>
      <c r="DJ51" s="27"/>
      <c r="DK51" s="27"/>
      <c r="DL51" s="27"/>
      <c r="DM51" s="27"/>
      <c r="DN51" s="27"/>
      <c r="DO51" s="27"/>
      <c r="DP51" s="27"/>
      <c r="DQ51" s="27"/>
      <c r="DR51" s="27"/>
      <c r="DS51" s="27"/>
      <c r="DT51" s="27"/>
      <c r="DU51" s="27"/>
      <c r="DV51" s="27"/>
      <c r="DW51" s="27"/>
      <c r="DX51" s="27"/>
      <c r="DY51" s="27"/>
      <c r="DZ51" s="27"/>
      <c r="EA51" s="27"/>
      <c r="EB51" s="27"/>
      <c r="EC51" s="27"/>
      <c r="ED51" s="27"/>
      <c r="EE51" s="27"/>
      <c r="EF51" s="27"/>
      <c r="EG51" s="27"/>
      <c r="EH51" s="27"/>
      <c r="EI51" s="27"/>
      <c r="EJ51" s="27"/>
      <c r="EK51" s="27"/>
      <c r="EL51" s="27"/>
      <c r="EM51" s="27"/>
      <c r="EN51" s="27"/>
      <c r="EO51" s="27"/>
      <c r="EP51" s="27"/>
      <c r="EQ51" s="27"/>
      <c r="ER51" s="27"/>
      <c r="ES51" s="27"/>
      <c r="ET51" s="27"/>
      <c r="EU51" s="27"/>
      <c r="EV51" s="27"/>
      <c r="EW51" s="27"/>
      <c r="EX51" s="27"/>
      <c r="EY51" s="27"/>
      <c r="EZ51" s="27"/>
      <c r="FA51" s="27"/>
      <c r="FB51" s="27"/>
      <c r="FC51" s="27"/>
      <c r="FD51" s="27"/>
      <c r="FE51" s="27"/>
      <c r="FF51" s="27"/>
      <c r="FG51" s="27"/>
      <c r="FH51" s="27"/>
      <c r="FI51" s="27"/>
      <c r="FJ51" s="27"/>
      <c r="FK51" s="27"/>
      <c r="FL51" s="27"/>
      <c r="FM51" s="27"/>
      <c r="FN51" s="27"/>
      <c r="FO51" s="27"/>
      <c r="FP51" s="27"/>
      <c r="FQ51" s="27"/>
      <c r="FR51" s="27"/>
      <c r="FS51" s="27"/>
      <c r="FT51" s="27"/>
      <c r="FU51" s="27"/>
      <c r="FV51" s="27"/>
      <c r="FW51" s="27"/>
      <c r="FX51" s="27"/>
      <c r="FY51" s="27"/>
      <c r="FZ51" s="27"/>
      <c r="GA51" s="27"/>
      <c r="GB51" s="27"/>
      <c r="GC51" s="27"/>
      <c r="GD51" s="27"/>
      <c r="GE51" s="27"/>
      <c r="GF51" s="27"/>
      <c r="GG51" s="27"/>
      <c r="GH51" s="27"/>
      <c r="GI51" s="27"/>
      <c r="GJ51" s="27"/>
      <c r="GK51" s="27"/>
      <c r="GL51" s="27"/>
      <c r="GM51" s="27"/>
      <c r="GN51" s="27"/>
      <c r="GO51" s="27"/>
      <c r="GP51" s="27"/>
      <c r="GQ51" s="27"/>
      <c r="GR51" s="27"/>
      <c r="GS51" s="27"/>
      <c r="GT51" s="27"/>
      <c r="GU51" s="27"/>
      <c r="GV51" s="27"/>
      <c r="GW51" s="27"/>
      <c r="GX51" s="27"/>
      <c r="GY51" s="27"/>
      <c r="GZ51" s="27"/>
      <c r="HA51" s="27"/>
      <c r="HB51" s="27"/>
      <c r="HC51" s="27"/>
      <c r="HD51" s="27"/>
      <c r="HE51" s="27"/>
      <c r="HF51" s="27"/>
      <c r="HG51" s="27"/>
      <c r="HH51" s="27"/>
      <c r="HI51" s="27"/>
      <c r="HJ51" s="27"/>
      <c r="HK51" s="27"/>
      <c r="HL51" s="27"/>
      <c r="HM51" s="27"/>
      <c r="HN51" s="27"/>
      <c r="HO51" s="27"/>
      <c r="HP51" s="27"/>
      <c r="HQ51" s="27"/>
      <c r="HR51" s="27"/>
      <c r="HS51" s="27"/>
      <c r="HT51" s="27"/>
      <c r="HU51" s="27"/>
      <c r="HV51" s="27"/>
      <c r="HW51" s="27"/>
      <c r="HX51" s="27"/>
      <c r="HY51" s="27"/>
    </row>
    <row r="52" s="6" customFormat="true" ht="15" hidden="false" customHeight="false" outlineLevel="0" collapsed="false">
      <c r="A52" s="17"/>
      <c r="B52" s="18" t="s">
        <v>18</v>
      </c>
      <c r="C52" s="19"/>
      <c r="D52" s="19"/>
      <c r="E52" s="20"/>
      <c r="F52" s="19"/>
      <c r="G52" s="21"/>
      <c r="H52" s="19"/>
      <c r="I52" s="31"/>
      <c r="J52" s="19"/>
      <c r="K52" s="19"/>
      <c r="L52" s="23"/>
      <c r="M52" s="29"/>
      <c r="N52" s="24"/>
      <c r="O52" s="30" t="n">
        <f aca="false">N52*J52</f>
        <v>0</v>
      </c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  <c r="BG52" s="27"/>
      <c r="BH52" s="27"/>
      <c r="BI52" s="27"/>
      <c r="BJ52" s="27"/>
      <c r="BK52" s="27"/>
      <c r="BL52" s="27"/>
      <c r="BM52" s="27"/>
      <c r="BN52" s="27"/>
      <c r="BO52" s="27"/>
      <c r="BP52" s="27"/>
      <c r="BQ52" s="27"/>
      <c r="BR52" s="27"/>
      <c r="BS52" s="27"/>
      <c r="BT52" s="27"/>
      <c r="BU52" s="27"/>
      <c r="BV52" s="27"/>
      <c r="BW52" s="27"/>
      <c r="BX52" s="27"/>
      <c r="BY52" s="27"/>
      <c r="BZ52" s="27"/>
      <c r="CA52" s="27"/>
      <c r="CB52" s="27"/>
      <c r="CC52" s="27"/>
      <c r="CD52" s="27"/>
      <c r="CE52" s="27"/>
      <c r="CF52" s="27"/>
      <c r="CG52" s="27"/>
      <c r="CH52" s="27"/>
      <c r="CI52" s="27"/>
      <c r="CJ52" s="27"/>
      <c r="CK52" s="27"/>
      <c r="CL52" s="27"/>
      <c r="CM52" s="27"/>
      <c r="CN52" s="27"/>
      <c r="CO52" s="27"/>
      <c r="CP52" s="27"/>
      <c r="CQ52" s="27"/>
      <c r="CR52" s="27"/>
      <c r="CS52" s="27"/>
      <c r="CT52" s="27"/>
      <c r="CU52" s="27"/>
      <c r="CV52" s="27"/>
      <c r="CW52" s="27"/>
      <c r="CX52" s="27"/>
      <c r="CY52" s="27"/>
      <c r="CZ52" s="27"/>
      <c r="DA52" s="27"/>
      <c r="DB52" s="27"/>
      <c r="DC52" s="27"/>
      <c r="DD52" s="27"/>
      <c r="DE52" s="27"/>
      <c r="DF52" s="27"/>
      <c r="DG52" s="27"/>
      <c r="DH52" s="27"/>
      <c r="DI52" s="27"/>
      <c r="DJ52" s="27"/>
      <c r="DK52" s="27"/>
      <c r="DL52" s="27"/>
      <c r="DM52" s="27"/>
      <c r="DN52" s="27"/>
      <c r="DO52" s="27"/>
      <c r="DP52" s="27"/>
      <c r="DQ52" s="27"/>
      <c r="DR52" s="27"/>
      <c r="DS52" s="27"/>
      <c r="DT52" s="27"/>
      <c r="DU52" s="27"/>
      <c r="DV52" s="27"/>
      <c r="DW52" s="27"/>
      <c r="DX52" s="27"/>
      <c r="DY52" s="27"/>
      <c r="DZ52" s="27"/>
      <c r="EA52" s="27"/>
      <c r="EB52" s="27"/>
      <c r="EC52" s="27"/>
      <c r="ED52" s="27"/>
      <c r="EE52" s="27"/>
      <c r="EF52" s="27"/>
      <c r="EG52" s="27"/>
      <c r="EH52" s="27"/>
      <c r="EI52" s="27"/>
      <c r="EJ52" s="27"/>
      <c r="EK52" s="27"/>
      <c r="EL52" s="27"/>
      <c r="EM52" s="27"/>
      <c r="EN52" s="27"/>
      <c r="EO52" s="27"/>
      <c r="EP52" s="27"/>
      <c r="EQ52" s="27"/>
      <c r="ER52" s="27"/>
      <c r="ES52" s="27"/>
      <c r="ET52" s="27"/>
      <c r="EU52" s="27"/>
      <c r="EV52" s="27"/>
      <c r="EW52" s="27"/>
      <c r="EX52" s="27"/>
      <c r="EY52" s="27"/>
      <c r="EZ52" s="27"/>
      <c r="FA52" s="27"/>
      <c r="FB52" s="27"/>
      <c r="FC52" s="27"/>
      <c r="FD52" s="27"/>
      <c r="FE52" s="27"/>
      <c r="FF52" s="27"/>
      <c r="FG52" s="27"/>
      <c r="FH52" s="27"/>
      <c r="FI52" s="27"/>
      <c r="FJ52" s="27"/>
      <c r="FK52" s="27"/>
      <c r="FL52" s="27"/>
      <c r="FM52" s="27"/>
      <c r="FN52" s="27"/>
      <c r="FO52" s="27"/>
      <c r="FP52" s="27"/>
      <c r="FQ52" s="27"/>
      <c r="FR52" s="27"/>
      <c r="FS52" s="27"/>
      <c r="FT52" s="27"/>
      <c r="FU52" s="27"/>
      <c r="FV52" s="27"/>
      <c r="FW52" s="27"/>
      <c r="FX52" s="27"/>
      <c r="FY52" s="27"/>
      <c r="FZ52" s="27"/>
      <c r="GA52" s="27"/>
      <c r="GB52" s="27"/>
      <c r="GC52" s="27"/>
      <c r="GD52" s="27"/>
      <c r="GE52" s="27"/>
      <c r="GF52" s="27"/>
      <c r="GG52" s="27"/>
      <c r="GH52" s="27"/>
      <c r="GI52" s="27"/>
      <c r="GJ52" s="27"/>
      <c r="GK52" s="27"/>
      <c r="GL52" s="27"/>
      <c r="GM52" s="27"/>
      <c r="GN52" s="27"/>
      <c r="GO52" s="27"/>
      <c r="GP52" s="27"/>
      <c r="GQ52" s="27"/>
      <c r="GR52" s="27"/>
      <c r="GS52" s="27"/>
      <c r="GT52" s="27"/>
      <c r="GU52" s="27"/>
      <c r="GV52" s="27"/>
      <c r="GW52" s="27"/>
      <c r="GX52" s="27"/>
      <c r="GY52" s="27"/>
      <c r="GZ52" s="27"/>
      <c r="HA52" s="27"/>
      <c r="HB52" s="27"/>
      <c r="HC52" s="27"/>
      <c r="HD52" s="27"/>
      <c r="HE52" s="27"/>
      <c r="HF52" s="27"/>
      <c r="HG52" s="27"/>
      <c r="HH52" s="27"/>
      <c r="HI52" s="27"/>
      <c r="HJ52" s="27"/>
      <c r="HK52" s="27"/>
      <c r="HL52" s="27"/>
      <c r="HM52" s="27"/>
      <c r="HN52" s="27"/>
      <c r="HO52" s="27"/>
      <c r="HP52" s="27"/>
      <c r="HQ52" s="27"/>
      <c r="HR52" s="27"/>
      <c r="HS52" s="27"/>
      <c r="HT52" s="27"/>
      <c r="HU52" s="27"/>
      <c r="HV52" s="27"/>
      <c r="HW52" s="27"/>
      <c r="HX52" s="27"/>
      <c r="HY52" s="27"/>
    </row>
    <row r="53" s="6" customFormat="true" ht="15" hidden="false" customHeight="false" outlineLevel="0" collapsed="false">
      <c r="A53" s="17"/>
      <c r="B53" s="18" t="s">
        <v>18</v>
      </c>
      <c r="C53" s="19"/>
      <c r="D53" s="19"/>
      <c r="E53" s="20"/>
      <c r="F53" s="19"/>
      <c r="G53" s="21"/>
      <c r="H53" s="19"/>
      <c r="I53" s="31"/>
      <c r="J53" s="19"/>
      <c r="K53" s="19"/>
      <c r="L53" s="23"/>
      <c r="M53" s="29"/>
      <c r="N53" s="24"/>
      <c r="O53" s="30" t="n">
        <f aca="false">N53*J53</f>
        <v>0</v>
      </c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  <c r="BG53" s="27"/>
      <c r="BH53" s="27"/>
      <c r="BI53" s="27"/>
      <c r="BJ53" s="27"/>
      <c r="BK53" s="27"/>
      <c r="BL53" s="27"/>
      <c r="BM53" s="27"/>
      <c r="BN53" s="27"/>
      <c r="BO53" s="27"/>
      <c r="BP53" s="27"/>
      <c r="BQ53" s="27"/>
      <c r="BR53" s="27"/>
      <c r="BS53" s="27"/>
      <c r="BT53" s="27"/>
      <c r="BU53" s="27"/>
      <c r="BV53" s="27"/>
      <c r="BW53" s="27"/>
      <c r="BX53" s="27"/>
      <c r="BY53" s="27"/>
      <c r="BZ53" s="27"/>
      <c r="CA53" s="27"/>
      <c r="CB53" s="27"/>
      <c r="CC53" s="27"/>
      <c r="CD53" s="27"/>
      <c r="CE53" s="27"/>
      <c r="CF53" s="27"/>
      <c r="CG53" s="27"/>
      <c r="CH53" s="27"/>
      <c r="CI53" s="27"/>
      <c r="CJ53" s="27"/>
      <c r="CK53" s="27"/>
      <c r="CL53" s="27"/>
      <c r="CM53" s="27"/>
      <c r="CN53" s="27"/>
      <c r="CO53" s="27"/>
      <c r="CP53" s="27"/>
      <c r="CQ53" s="27"/>
      <c r="CR53" s="27"/>
      <c r="CS53" s="27"/>
      <c r="CT53" s="27"/>
      <c r="CU53" s="27"/>
      <c r="CV53" s="27"/>
      <c r="CW53" s="27"/>
      <c r="CX53" s="27"/>
      <c r="CY53" s="27"/>
      <c r="CZ53" s="27"/>
      <c r="DA53" s="27"/>
      <c r="DB53" s="27"/>
      <c r="DC53" s="27"/>
      <c r="DD53" s="27"/>
      <c r="DE53" s="27"/>
      <c r="DF53" s="27"/>
      <c r="DG53" s="27"/>
      <c r="DH53" s="27"/>
      <c r="DI53" s="27"/>
      <c r="DJ53" s="27"/>
      <c r="DK53" s="27"/>
      <c r="DL53" s="27"/>
      <c r="DM53" s="27"/>
      <c r="DN53" s="27"/>
      <c r="DO53" s="27"/>
      <c r="DP53" s="27"/>
      <c r="DQ53" s="27"/>
      <c r="DR53" s="27"/>
      <c r="DS53" s="27"/>
      <c r="DT53" s="27"/>
      <c r="DU53" s="27"/>
      <c r="DV53" s="27"/>
      <c r="DW53" s="27"/>
      <c r="DX53" s="27"/>
      <c r="DY53" s="27"/>
      <c r="DZ53" s="27"/>
      <c r="EA53" s="27"/>
      <c r="EB53" s="27"/>
      <c r="EC53" s="27"/>
      <c r="ED53" s="27"/>
      <c r="EE53" s="27"/>
      <c r="EF53" s="27"/>
      <c r="EG53" s="27"/>
      <c r="EH53" s="27"/>
      <c r="EI53" s="27"/>
      <c r="EJ53" s="27"/>
      <c r="EK53" s="27"/>
      <c r="EL53" s="27"/>
      <c r="EM53" s="27"/>
      <c r="EN53" s="27"/>
      <c r="EO53" s="27"/>
      <c r="EP53" s="27"/>
      <c r="EQ53" s="27"/>
      <c r="ER53" s="27"/>
      <c r="ES53" s="27"/>
      <c r="ET53" s="27"/>
      <c r="EU53" s="27"/>
      <c r="EV53" s="27"/>
      <c r="EW53" s="27"/>
      <c r="EX53" s="27"/>
      <c r="EY53" s="27"/>
      <c r="EZ53" s="27"/>
      <c r="FA53" s="27"/>
      <c r="FB53" s="27"/>
      <c r="FC53" s="27"/>
      <c r="FD53" s="27"/>
      <c r="FE53" s="27"/>
      <c r="FF53" s="27"/>
      <c r="FG53" s="27"/>
      <c r="FH53" s="27"/>
      <c r="FI53" s="27"/>
      <c r="FJ53" s="27"/>
      <c r="FK53" s="27"/>
      <c r="FL53" s="27"/>
      <c r="FM53" s="27"/>
      <c r="FN53" s="27"/>
      <c r="FO53" s="27"/>
      <c r="FP53" s="27"/>
      <c r="FQ53" s="27"/>
      <c r="FR53" s="27"/>
      <c r="FS53" s="27"/>
      <c r="FT53" s="27"/>
      <c r="FU53" s="27"/>
      <c r="FV53" s="27"/>
      <c r="FW53" s="27"/>
      <c r="FX53" s="27"/>
      <c r="FY53" s="27"/>
      <c r="FZ53" s="27"/>
      <c r="GA53" s="27"/>
      <c r="GB53" s="27"/>
      <c r="GC53" s="27"/>
      <c r="GD53" s="27"/>
      <c r="GE53" s="27"/>
      <c r="GF53" s="27"/>
      <c r="GG53" s="27"/>
      <c r="GH53" s="27"/>
      <c r="GI53" s="27"/>
      <c r="GJ53" s="27"/>
      <c r="GK53" s="27"/>
      <c r="GL53" s="27"/>
      <c r="GM53" s="27"/>
      <c r="GN53" s="27"/>
      <c r="GO53" s="27"/>
      <c r="GP53" s="27"/>
      <c r="GQ53" s="27"/>
      <c r="GR53" s="27"/>
      <c r="GS53" s="27"/>
      <c r="GT53" s="27"/>
      <c r="GU53" s="27"/>
      <c r="GV53" s="27"/>
      <c r="GW53" s="27"/>
      <c r="GX53" s="27"/>
      <c r="GY53" s="27"/>
      <c r="GZ53" s="27"/>
      <c r="HA53" s="27"/>
      <c r="HB53" s="27"/>
      <c r="HC53" s="27"/>
      <c r="HD53" s="27"/>
      <c r="HE53" s="27"/>
      <c r="HF53" s="27"/>
      <c r="HG53" s="27"/>
      <c r="HH53" s="27"/>
      <c r="HI53" s="27"/>
      <c r="HJ53" s="27"/>
      <c r="HK53" s="27"/>
      <c r="HL53" s="27"/>
      <c r="HM53" s="27"/>
      <c r="HN53" s="27"/>
      <c r="HO53" s="27"/>
      <c r="HP53" s="27"/>
      <c r="HQ53" s="27"/>
      <c r="HR53" s="27"/>
      <c r="HS53" s="27"/>
      <c r="HT53" s="27"/>
      <c r="HU53" s="27"/>
      <c r="HV53" s="27"/>
      <c r="HW53" s="27"/>
      <c r="HX53" s="27"/>
      <c r="HY53" s="27"/>
    </row>
    <row r="54" s="6" customFormat="true" ht="15" hidden="false" customHeight="false" outlineLevel="0" collapsed="false">
      <c r="A54" s="17"/>
      <c r="B54" s="18" t="s">
        <v>18</v>
      </c>
      <c r="C54" s="19"/>
      <c r="D54" s="19"/>
      <c r="E54" s="20"/>
      <c r="F54" s="19"/>
      <c r="G54" s="21"/>
      <c r="H54" s="19"/>
      <c r="I54" s="31"/>
      <c r="J54" s="19"/>
      <c r="K54" s="19"/>
      <c r="L54" s="23"/>
      <c r="M54" s="29"/>
      <c r="N54" s="24"/>
      <c r="O54" s="30" t="n">
        <f aca="false">N54*J54</f>
        <v>0</v>
      </c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  <c r="BG54" s="27"/>
      <c r="BH54" s="27"/>
      <c r="BI54" s="27"/>
      <c r="BJ54" s="27"/>
      <c r="BK54" s="27"/>
      <c r="BL54" s="27"/>
      <c r="BM54" s="27"/>
      <c r="BN54" s="27"/>
      <c r="BO54" s="27"/>
      <c r="BP54" s="27"/>
      <c r="BQ54" s="27"/>
      <c r="BR54" s="27"/>
      <c r="BS54" s="27"/>
      <c r="BT54" s="27"/>
      <c r="BU54" s="27"/>
      <c r="BV54" s="27"/>
      <c r="BW54" s="27"/>
      <c r="BX54" s="27"/>
      <c r="BY54" s="27"/>
      <c r="BZ54" s="27"/>
      <c r="CA54" s="27"/>
      <c r="CB54" s="27"/>
      <c r="CC54" s="27"/>
      <c r="CD54" s="27"/>
      <c r="CE54" s="27"/>
      <c r="CF54" s="27"/>
      <c r="CG54" s="27"/>
      <c r="CH54" s="27"/>
      <c r="CI54" s="27"/>
      <c r="CJ54" s="27"/>
      <c r="CK54" s="27"/>
      <c r="CL54" s="27"/>
      <c r="CM54" s="27"/>
      <c r="CN54" s="27"/>
      <c r="CO54" s="27"/>
      <c r="CP54" s="27"/>
      <c r="CQ54" s="27"/>
      <c r="CR54" s="27"/>
      <c r="CS54" s="27"/>
      <c r="CT54" s="27"/>
      <c r="CU54" s="27"/>
      <c r="CV54" s="27"/>
      <c r="CW54" s="27"/>
      <c r="CX54" s="27"/>
      <c r="CY54" s="27"/>
      <c r="CZ54" s="27"/>
      <c r="DA54" s="27"/>
      <c r="DB54" s="27"/>
      <c r="DC54" s="27"/>
      <c r="DD54" s="27"/>
      <c r="DE54" s="27"/>
      <c r="DF54" s="27"/>
      <c r="DG54" s="27"/>
      <c r="DH54" s="27"/>
      <c r="DI54" s="27"/>
      <c r="DJ54" s="27"/>
      <c r="DK54" s="27"/>
      <c r="DL54" s="27"/>
      <c r="DM54" s="27"/>
      <c r="DN54" s="27"/>
      <c r="DO54" s="27"/>
      <c r="DP54" s="27"/>
      <c r="DQ54" s="27"/>
      <c r="DR54" s="27"/>
      <c r="DS54" s="27"/>
      <c r="DT54" s="27"/>
      <c r="DU54" s="27"/>
      <c r="DV54" s="27"/>
      <c r="DW54" s="27"/>
      <c r="DX54" s="27"/>
      <c r="DY54" s="27"/>
      <c r="DZ54" s="27"/>
      <c r="EA54" s="27"/>
      <c r="EB54" s="27"/>
      <c r="EC54" s="27"/>
      <c r="ED54" s="27"/>
      <c r="EE54" s="27"/>
      <c r="EF54" s="27"/>
      <c r="EG54" s="27"/>
      <c r="EH54" s="27"/>
      <c r="EI54" s="27"/>
      <c r="EJ54" s="27"/>
      <c r="EK54" s="27"/>
      <c r="EL54" s="27"/>
      <c r="EM54" s="27"/>
      <c r="EN54" s="27"/>
      <c r="EO54" s="27"/>
      <c r="EP54" s="27"/>
      <c r="EQ54" s="27"/>
      <c r="ER54" s="27"/>
      <c r="ES54" s="27"/>
      <c r="ET54" s="27"/>
      <c r="EU54" s="27"/>
      <c r="EV54" s="27"/>
      <c r="EW54" s="27"/>
      <c r="EX54" s="27"/>
      <c r="EY54" s="27"/>
      <c r="EZ54" s="27"/>
      <c r="FA54" s="27"/>
      <c r="FB54" s="27"/>
      <c r="FC54" s="27"/>
      <c r="FD54" s="27"/>
      <c r="FE54" s="27"/>
      <c r="FF54" s="27"/>
      <c r="FG54" s="27"/>
      <c r="FH54" s="27"/>
      <c r="FI54" s="27"/>
      <c r="FJ54" s="27"/>
      <c r="FK54" s="27"/>
      <c r="FL54" s="27"/>
      <c r="FM54" s="27"/>
      <c r="FN54" s="27"/>
      <c r="FO54" s="27"/>
      <c r="FP54" s="27"/>
      <c r="FQ54" s="27"/>
      <c r="FR54" s="27"/>
      <c r="FS54" s="27"/>
      <c r="FT54" s="27"/>
      <c r="FU54" s="27"/>
      <c r="FV54" s="27"/>
      <c r="FW54" s="27"/>
      <c r="FX54" s="27"/>
      <c r="FY54" s="27"/>
      <c r="FZ54" s="27"/>
      <c r="GA54" s="27"/>
      <c r="GB54" s="27"/>
      <c r="GC54" s="27"/>
      <c r="GD54" s="27"/>
      <c r="GE54" s="27"/>
      <c r="GF54" s="27"/>
      <c r="GG54" s="27"/>
      <c r="GH54" s="27"/>
      <c r="GI54" s="27"/>
      <c r="GJ54" s="27"/>
      <c r="GK54" s="27"/>
      <c r="GL54" s="27"/>
      <c r="GM54" s="27"/>
      <c r="GN54" s="27"/>
      <c r="GO54" s="27"/>
      <c r="GP54" s="27"/>
      <c r="GQ54" s="27"/>
      <c r="GR54" s="27"/>
      <c r="GS54" s="27"/>
      <c r="GT54" s="27"/>
      <c r="GU54" s="27"/>
      <c r="GV54" s="27"/>
      <c r="GW54" s="27"/>
      <c r="GX54" s="27"/>
      <c r="GY54" s="27"/>
      <c r="GZ54" s="27"/>
      <c r="HA54" s="27"/>
      <c r="HB54" s="27"/>
      <c r="HC54" s="27"/>
      <c r="HD54" s="27"/>
      <c r="HE54" s="27"/>
      <c r="HF54" s="27"/>
      <c r="HG54" s="27"/>
      <c r="HH54" s="27"/>
      <c r="HI54" s="27"/>
      <c r="HJ54" s="27"/>
      <c r="HK54" s="27"/>
      <c r="HL54" s="27"/>
      <c r="HM54" s="27"/>
      <c r="HN54" s="27"/>
      <c r="HO54" s="27"/>
      <c r="HP54" s="27"/>
      <c r="HQ54" s="27"/>
      <c r="HR54" s="27"/>
      <c r="HS54" s="27"/>
      <c r="HT54" s="27"/>
      <c r="HU54" s="27"/>
      <c r="HV54" s="27"/>
      <c r="HW54" s="27"/>
      <c r="HX54" s="27"/>
      <c r="HY54" s="27"/>
    </row>
    <row r="55" s="6" customFormat="true" ht="15" hidden="false" customHeight="false" outlineLevel="0" collapsed="false">
      <c r="A55" s="17"/>
      <c r="B55" s="18" t="s">
        <v>18</v>
      </c>
      <c r="C55" s="19"/>
      <c r="D55" s="19"/>
      <c r="E55" s="20"/>
      <c r="F55" s="19"/>
      <c r="G55" s="21"/>
      <c r="H55" s="19"/>
      <c r="I55" s="31"/>
      <c r="J55" s="19"/>
      <c r="K55" s="19"/>
      <c r="L55" s="23"/>
      <c r="M55" s="29"/>
      <c r="N55" s="24"/>
      <c r="O55" s="30" t="n">
        <f aca="false">N55*J55</f>
        <v>0</v>
      </c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  <c r="BG55" s="27"/>
      <c r="BH55" s="27"/>
      <c r="BI55" s="27"/>
      <c r="BJ55" s="27"/>
      <c r="BK55" s="27"/>
      <c r="BL55" s="27"/>
      <c r="BM55" s="27"/>
      <c r="BN55" s="27"/>
      <c r="BO55" s="27"/>
      <c r="BP55" s="27"/>
      <c r="BQ55" s="27"/>
      <c r="BR55" s="27"/>
      <c r="BS55" s="27"/>
      <c r="BT55" s="27"/>
      <c r="BU55" s="27"/>
      <c r="BV55" s="27"/>
      <c r="BW55" s="27"/>
      <c r="BX55" s="27"/>
      <c r="BY55" s="27"/>
      <c r="BZ55" s="27"/>
      <c r="CA55" s="27"/>
      <c r="CB55" s="27"/>
      <c r="CC55" s="27"/>
      <c r="CD55" s="27"/>
      <c r="CE55" s="27"/>
      <c r="CF55" s="27"/>
      <c r="CG55" s="27"/>
      <c r="CH55" s="27"/>
      <c r="CI55" s="27"/>
      <c r="CJ55" s="27"/>
      <c r="CK55" s="27"/>
      <c r="CL55" s="27"/>
      <c r="CM55" s="27"/>
      <c r="CN55" s="27"/>
      <c r="CO55" s="27"/>
      <c r="CP55" s="27"/>
      <c r="CQ55" s="27"/>
      <c r="CR55" s="27"/>
      <c r="CS55" s="27"/>
      <c r="CT55" s="27"/>
      <c r="CU55" s="27"/>
      <c r="CV55" s="27"/>
      <c r="CW55" s="27"/>
      <c r="CX55" s="27"/>
      <c r="CY55" s="27"/>
      <c r="CZ55" s="27"/>
      <c r="DA55" s="27"/>
      <c r="DB55" s="27"/>
      <c r="DC55" s="27"/>
      <c r="DD55" s="27"/>
      <c r="DE55" s="27"/>
      <c r="DF55" s="27"/>
      <c r="DG55" s="27"/>
      <c r="DH55" s="27"/>
      <c r="DI55" s="27"/>
      <c r="DJ55" s="27"/>
      <c r="DK55" s="27"/>
      <c r="DL55" s="27"/>
      <c r="DM55" s="27"/>
      <c r="DN55" s="27"/>
      <c r="DO55" s="27"/>
      <c r="DP55" s="27"/>
      <c r="DQ55" s="27"/>
      <c r="DR55" s="27"/>
      <c r="DS55" s="27"/>
      <c r="DT55" s="27"/>
      <c r="DU55" s="27"/>
      <c r="DV55" s="27"/>
      <c r="DW55" s="27"/>
      <c r="DX55" s="27"/>
      <c r="DY55" s="27"/>
      <c r="DZ55" s="27"/>
      <c r="EA55" s="27"/>
      <c r="EB55" s="27"/>
      <c r="EC55" s="27"/>
      <c r="ED55" s="27"/>
      <c r="EE55" s="27"/>
      <c r="EF55" s="27"/>
      <c r="EG55" s="27"/>
      <c r="EH55" s="27"/>
      <c r="EI55" s="27"/>
      <c r="EJ55" s="27"/>
      <c r="EK55" s="27"/>
      <c r="EL55" s="27"/>
      <c r="EM55" s="27"/>
      <c r="EN55" s="27"/>
      <c r="EO55" s="27"/>
      <c r="EP55" s="27"/>
      <c r="EQ55" s="27"/>
      <c r="ER55" s="27"/>
      <c r="ES55" s="27"/>
      <c r="ET55" s="27"/>
      <c r="EU55" s="27"/>
      <c r="EV55" s="27"/>
      <c r="EW55" s="27"/>
      <c r="EX55" s="27"/>
      <c r="EY55" s="27"/>
      <c r="EZ55" s="27"/>
      <c r="FA55" s="27"/>
      <c r="FB55" s="27"/>
      <c r="FC55" s="27"/>
      <c r="FD55" s="27"/>
      <c r="FE55" s="27"/>
      <c r="FF55" s="27"/>
      <c r="FG55" s="27"/>
      <c r="FH55" s="27"/>
      <c r="FI55" s="27"/>
      <c r="FJ55" s="27"/>
      <c r="FK55" s="27"/>
      <c r="FL55" s="27"/>
      <c r="FM55" s="27"/>
      <c r="FN55" s="27"/>
      <c r="FO55" s="27"/>
      <c r="FP55" s="27"/>
      <c r="FQ55" s="27"/>
      <c r="FR55" s="27"/>
      <c r="FS55" s="27"/>
      <c r="FT55" s="27"/>
      <c r="FU55" s="27"/>
      <c r="FV55" s="27"/>
      <c r="FW55" s="27"/>
      <c r="FX55" s="27"/>
      <c r="FY55" s="27"/>
      <c r="FZ55" s="27"/>
      <c r="GA55" s="27"/>
      <c r="GB55" s="27"/>
      <c r="GC55" s="27"/>
      <c r="GD55" s="27"/>
      <c r="GE55" s="27"/>
      <c r="GF55" s="27"/>
      <c r="GG55" s="27"/>
      <c r="GH55" s="27"/>
      <c r="GI55" s="27"/>
      <c r="GJ55" s="27"/>
      <c r="GK55" s="27"/>
      <c r="GL55" s="27"/>
      <c r="GM55" s="27"/>
      <c r="GN55" s="27"/>
      <c r="GO55" s="27"/>
      <c r="GP55" s="27"/>
      <c r="GQ55" s="27"/>
      <c r="GR55" s="27"/>
      <c r="GS55" s="27"/>
      <c r="GT55" s="27"/>
      <c r="GU55" s="27"/>
      <c r="GV55" s="27"/>
      <c r="GW55" s="27"/>
      <c r="GX55" s="27"/>
      <c r="GY55" s="27"/>
      <c r="GZ55" s="27"/>
      <c r="HA55" s="27"/>
      <c r="HB55" s="27"/>
      <c r="HC55" s="27"/>
      <c r="HD55" s="27"/>
      <c r="HE55" s="27"/>
      <c r="HF55" s="27"/>
      <c r="HG55" s="27"/>
      <c r="HH55" s="27"/>
      <c r="HI55" s="27"/>
      <c r="HJ55" s="27"/>
      <c r="HK55" s="27"/>
      <c r="HL55" s="27"/>
      <c r="HM55" s="27"/>
      <c r="HN55" s="27"/>
      <c r="HO55" s="27"/>
      <c r="HP55" s="27"/>
      <c r="HQ55" s="27"/>
      <c r="HR55" s="27"/>
      <c r="HS55" s="27"/>
      <c r="HT55" s="27"/>
      <c r="HU55" s="27"/>
      <c r="HV55" s="27"/>
      <c r="HW55" s="27"/>
      <c r="HX55" s="27"/>
      <c r="HY55" s="27"/>
    </row>
    <row r="56" s="6" customFormat="true" ht="15" hidden="false" customHeight="false" outlineLevel="0" collapsed="false">
      <c r="A56" s="17"/>
      <c r="B56" s="18" t="s">
        <v>18</v>
      </c>
      <c r="C56" s="19"/>
      <c r="D56" s="19"/>
      <c r="E56" s="20"/>
      <c r="F56" s="19"/>
      <c r="G56" s="21"/>
      <c r="H56" s="19"/>
      <c r="I56" s="31"/>
      <c r="J56" s="19"/>
      <c r="K56" s="19"/>
      <c r="L56" s="23"/>
      <c r="M56" s="29"/>
      <c r="N56" s="24"/>
      <c r="O56" s="30" t="n">
        <f aca="false">N56*J56</f>
        <v>0</v>
      </c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  <c r="BG56" s="27"/>
      <c r="BH56" s="27"/>
      <c r="BI56" s="27"/>
      <c r="BJ56" s="27"/>
      <c r="BK56" s="27"/>
      <c r="BL56" s="27"/>
      <c r="BM56" s="27"/>
      <c r="BN56" s="27"/>
      <c r="BO56" s="27"/>
      <c r="BP56" s="27"/>
      <c r="BQ56" s="27"/>
      <c r="BR56" s="27"/>
      <c r="BS56" s="27"/>
      <c r="BT56" s="27"/>
      <c r="BU56" s="27"/>
      <c r="BV56" s="27"/>
      <c r="BW56" s="27"/>
      <c r="BX56" s="27"/>
      <c r="BY56" s="27"/>
      <c r="BZ56" s="27"/>
      <c r="CA56" s="27"/>
      <c r="CB56" s="27"/>
      <c r="CC56" s="27"/>
      <c r="CD56" s="27"/>
      <c r="CE56" s="27"/>
      <c r="CF56" s="27"/>
      <c r="CG56" s="27"/>
      <c r="CH56" s="27"/>
      <c r="CI56" s="27"/>
      <c r="CJ56" s="27"/>
      <c r="CK56" s="27"/>
      <c r="CL56" s="27"/>
      <c r="CM56" s="27"/>
      <c r="CN56" s="27"/>
      <c r="CO56" s="27"/>
      <c r="CP56" s="27"/>
      <c r="CQ56" s="27"/>
      <c r="CR56" s="27"/>
      <c r="CS56" s="27"/>
      <c r="CT56" s="27"/>
      <c r="CU56" s="27"/>
      <c r="CV56" s="27"/>
      <c r="CW56" s="27"/>
      <c r="CX56" s="27"/>
      <c r="CY56" s="27"/>
      <c r="CZ56" s="27"/>
      <c r="DA56" s="27"/>
      <c r="DB56" s="27"/>
      <c r="DC56" s="27"/>
      <c r="DD56" s="27"/>
      <c r="DE56" s="27"/>
      <c r="DF56" s="27"/>
      <c r="DG56" s="27"/>
      <c r="DH56" s="27"/>
      <c r="DI56" s="27"/>
      <c r="DJ56" s="27"/>
      <c r="DK56" s="27"/>
      <c r="DL56" s="27"/>
      <c r="DM56" s="27"/>
      <c r="DN56" s="27"/>
      <c r="DO56" s="27"/>
      <c r="DP56" s="27"/>
      <c r="DQ56" s="27"/>
      <c r="DR56" s="27"/>
      <c r="DS56" s="27"/>
      <c r="DT56" s="27"/>
      <c r="DU56" s="27"/>
      <c r="DV56" s="27"/>
      <c r="DW56" s="27"/>
      <c r="DX56" s="27"/>
      <c r="DY56" s="27"/>
      <c r="DZ56" s="27"/>
      <c r="EA56" s="27"/>
      <c r="EB56" s="27"/>
      <c r="EC56" s="27"/>
      <c r="ED56" s="27"/>
      <c r="EE56" s="27"/>
      <c r="EF56" s="27"/>
      <c r="EG56" s="27"/>
      <c r="EH56" s="27"/>
      <c r="EI56" s="27"/>
      <c r="EJ56" s="27"/>
      <c r="EK56" s="27"/>
      <c r="EL56" s="27"/>
      <c r="EM56" s="27"/>
      <c r="EN56" s="27"/>
      <c r="EO56" s="27"/>
      <c r="EP56" s="27"/>
      <c r="EQ56" s="27"/>
      <c r="ER56" s="27"/>
      <c r="ES56" s="27"/>
      <c r="ET56" s="27"/>
      <c r="EU56" s="27"/>
      <c r="EV56" s="27"/>
      <c r="EW56" s="27"/>
      <c r="EX56" s="27"/>
      <c r="EY56" s="27"/>
      <c r="EZ56" s="27"/>
      <c r="FA56" s="27"/>
      <c r="FB56" s="27"/>
      <c r="FC56" s="27"/>
      <c r="FD56" s="27"/>
      <c r="FE56" s="27"/>
      <c r="FF56" s="27"/>
      <c r="FG56" s="27"/>
      <c r="FH56" s="27"/>
      <c r="FI56" s="27"/>
      <c r="FJ56" s="27"/>
      <c r="FK56" s="27"/>
      <c r="FL56" s="27"/>
      <c r="FM56" s="27"/>
      <c r="FN56" s="27"/>
      <c r="FO56" s="27"/>
      <c r="FP56" s="27"/>
      <c r="FQ56" s="27"/>
      <c r="FR56" s="27"/>
      <c r="FS56" s="27"/>
      <c r="FT56" s="27"/>
      <c r="FU56" s="27"/>
      <c r="FV56" s="27"/>
      <c r="FW56" s="27"/>
      <c r="FX56" s="27"/>
      <c r="FY56" s="27"/>
      <c r="FZ56" s="27"/>
      <c r="GA56" s="27"/>
      <c r="GB56" s="27"/>
      <c r="GC56" s="27"/>
      <c r="GD56" s="27"/>
      <c r="GE56" s="27"/>
      <c r="GF56" s="27"/>
      <c r="GG56" s="27"/>
      <c r="GH56" s="27"/>
      <c r="GI56" s="27"/>
      <c r="GJ56" s="27"/>
      <c r="GK56" s="27"/>
      <c r="GL56" s="27"/>
      <c r="GM56" s="27"/>
      <c r="GN56" s="27"/>
      <c r="GO56" s="27"/>
      <c r="GP56" s="27"/>
      <c r="GQ56" s="27"/>
      <c r="GR56" s="27"/>
      <c r="GS56" s="27"/>
      <c r="GT56" s="27"/>
      <c r="GU56" s="27"/>
      <c r="GV56" s="27"/>
      <c r="GW56" s="27"/>
      <c r="GX56" s="27"/>
      <c r="GY56" s="27"/>
      <c r="GZ56" s="27"/>
      <c r="HA56" s="27"/>
      <c r="HB56" s="27"/>
      <c r="HC56" s="27"/>
      <c r="HD56" s="27"/>
      <c r="HE56" s="27"/>
      <c r="HF56" s="27"/>
      <c r="HG56" s="27"/>
      <c r="HH56" s="27"/>
      <c r="HI56" s="27"/>
      <c r="HJ56" s="27"/>
      <c r="HK56" s="27"/>
      <c r="HL56" s="27"/>
      <c r="HM56" s="27"/>
      <c r="HN56" s="27"/>
      <c r="HO56" s="27"/>
      <c r="HP56" s="27"/>
      <c r="HQ56" s="27"/>
      <c r="HR56" s="27"/>
      <c r="HS56" s="27"/>
      <c r="HT56" s="27"/>
      <c r="HU56" s="27"/>
      <c r="HV56" s="27"/>
      <c r="HW56" s="27"/>
      <c r="HX56" s="27"/>
      <c r="HY56" s="27"/>
    </row>
    <row r="57" s="6" customFormat="true" ht="15" hidden="false" customHeight="false" outlineLevel="0" collapsed="false">
      <c r="A57" s="17"/>
      <c r="B57" s="18" t="s">
        <v>18</v>
      </c>
      <c r="C57" s="19"/>
      <c r="D57" s="19"/>
      <c r="E57" s="20"/>
      <c r="F57" s="19"/>
      <c r="G57" s="21"/>
      <c r="H57" s="19"/>
      <c r="I57" s="31"/>
      <c r="J57" s="19"/>
      <c r="K57" s="19"/>
      <c r="L57" s="23"/>
      <c r="M57" s="29"/>
      <c r="N57" s="24"/>
      <c r="O57" s="30" t="n">
        <f aca="false">N57*J57</f>
        <v>0</v>
      </c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  <c r="BG57" s="27"/>
      <c r="BH57" s="27"/>
      <c r="BI57" s="27"/>
      <c r="BJ57" s="27"/>
      <c r="BK57" s="27"/>
      <c r="BL57" s="27"/>
      <c r="BM57" s="27"/>
      <c r="BN57" s="27"/>
      <c r="BO57" s="27"/>
      <c r="BP57" s="27"/>
      <c r="BQ57" s="27"/>
      <c r="BR57" s="27"/>
      <c r="BS57" s="27"/>
      <c r="BT57" s="27"/>
      <c r="BU57" s="27"/>
      <c r="BV57" s="27"/>
      <c r="BW57" s="27"/>
      <c r="BX57" s="27"/>
      <c r="BY57" s="27"/>
      <c r="BZ57" s="27"/>
      <c r="CA57" s="27"/>
      <c r="CB57" s="27"/>
      <c r="CC57" s="27"/>
      <c r="CD57" s="27"/>
      <c r="CE57" s="27"/>
      <c r="CF57" s="27"/>
      <c r="CG57" s="27"/>
      <c r="CH57" s="27"/>
      <c r="CI57" s="27"/>
      <c r="CJ57" s="27"/>
      <c r="CK57" s="27"/>
      <c r="CL57" s="27"/>
      <c r="CM57" s="27"/>
      <c r="CN57" s="27"/>
      <c r="CO57" s="27"/>
      <c r="CP57" s="27"/>
      <c r="CQ57" s="27"/>
      <c r="CR57" s="27"/>
      <c r="CS57" s="27"/>
      <c r="CT57" s="27"/>
      <c r="CU57" s="27"/>
      <c r="CV57" s="27"/>
      <c r="CW57" s="27"/>
      <c r="CX57" s="27"/>
      <c r="CY57" s="27"/>
      <c r="CZ57" s="27"/>
      <c r="DA57" s="27"/>
      <c r="DB57" s="27"/>
      <c r="DC57" s="27"/>
      <c r="DD57" s="27"/>
      <c r="DE57" s="27"/>
      <c r="DF57" s="27"/>
      <c r="DG57" s="27"/>
      <c r="DH57" s="27"/>
      <c r="DI57" s="27"/>
      <c r="DJ57" s="27"/>
      <c r="DK57" s="27"/>
      <c r="DL57" s="27"/>
      <c r="DM57" s="27"/>
      <c r="DN57" s="27"/>
      <c r="DO57" s="27"/>
      <c r="DP57" s="27"/>
      <c r="DQ57" s="27"/>
      <c r="DR57" s="27"/>
      <c r="DS57" s="27"/>
      <c r="DT57" s="27"/>
      <c r="DU57" s="27"/>
      <c r="DV57" s="27"/>
      <c r="DW57" s="27"/>
      <c r="DX57" s="27"/>
      <c r="DY57" s="27"/>
      <c r="DZ57" s="27"/>
      <c r="EA57" s="27"/>
      <c r="EB57" s="27"/>
      <c r="EC57" s="27"/>
      <c r="ED57" s="27"/>
      <c r="EE57" s="27"/>
      <c r="EF57" s="27"/>
      <c r="EG57" s="27"/>
      <c r="EH57" s="27"/>
      <c r="EI57" s="27"/>
      <c r="EJ57" s="27"/>
      <c r="EK57" s="27"/>
      <c r="EL57" s="27"/>
      <c r="EM57" s="27"/>
      <c r="EN57" s="27"/>
      <c r="EO57" s="27"/>
      <c r="EP57" s="27"/>
      <c r="EQ57" s="27"/>
      <c r="ER57" s="27"/>
      <c r="ES57" s="27"/>
      <c r="ET57" s="27"/>
      <c r="EU57" s="27"/>
      <c r="EV57" s="27"/>
      <c r="EW57" s="27"/>
      <c r="EX57" s="27"/>
      <c r="EY57" s="27"/>
      <c r="EZ57" s="27"/>
      <c r="FA57" s="27"/>
      <c r="FB57" s="27"/>
      <c r="FC57" s="27"/>
      <c r="FD57" s="27"/>
      <c r="FE57" s="27"/>
      <c r="FF57" s="27"/>
      <c r="FG57" s="27"/>
      <c r="FH57" s="27"/>
      <c r="FI57" s="27"/>
      <c r="FJ57" s="27"/>
      <c r="FK57" s="27"/>
      <c r="FL57" s="27"/>
      <c r="FM57" s="27"/>
      <c r="FN57" s="27"/>
      <c r="FO57" s="27"/>
      <c r="FP57" s="27"/>
      <c r="FQ57" s="27"/>
      <c r="FR57" s="27"/>
      <c r="FS57" s="27"/>
      <c r="FT57" s="27"/>
      <c r="FU57" s="27"/>
      <c r="FV57" s="27"/>
      <c r="FW57" s="27"/>
      <c r="FX57" s="27"/>
      <c r="FY57" s="27"/>
      <c r="FZ57" s="27"/>
      <c r="GA57" s="27"/>
      <c r="GB57" s="27"/>
      <c r="GC57" s="27"/>
      <c r="GD57" s="27"/>
      <c r="GE57" s="27"/>
      <c r="GF57" s="27"/>
      <c r="GG57" s="27"/>
      <c r="GH57" s="27"/>
      <c r="GI57" s="27"/>
      <c r="GJ57" s="27"/>
      <c r="GK57" s="27"/>
      <c r="GL57" s="27"/>
      <c r="GM57" s="27"/>
      <c r="GN57" s="27"/>
      <c r="GO57" s="27"/>
      <c r="GP57" s="27"/>
      <c r="GQ57" s="27"/>
      <c r="GR57" s="27"/>
      <c r="GS57" s="27"/>
      <c r="GT57" s="27"/>
      <c r="GU57" s="27"/>
      <c r="GV57" s="27"/>
      <c r="GW57" s="27"/>
      <c r="GX57" s="27"/>
      <c r="GY57" s="27"/>
      <c r="GZ57" s="27"/>
      <c r="HA57" s="27"/>
      <c r="HB57" s="27"/>
      <c r="HC57" s="27"/>
      <c r="HD57" s="27"/>
      <c r="HE57" s="27"/>
      <c r="HF57" s="27"/>
      <c r="HG57" s="27"/>
      <c r="HH57" s="27"/>
      <c r="HI57" s="27"/>
      <c r="HJ57" s="27"/>
      <c r="HK57" s="27"/>
      <c r="HL57" s="27"/>
      <c r="HM57" s="27"/>
      <c r="HN57" s="27"/>
      <c r="HO57" s="27"/>
      <c r="HP57" s="27"/>
      <c r="HQ57" s="27"/>
      <c r="HR57" s="27"/>
      <c r="HS57" s="27"/>
      <c r="HT57" s="27"/>
      <c r="HU57" s="27"/>
      <c r="HV57" s="27"/>
      <c r="HW57" s="27"/>
      <c r="HX57" s="27"/>
      <c r="HY57" s="27"/>
    </row>
    <row r="58" s="6" customFormat="true" ht="15" hidden="false" customHeight="false" outlineLevel="0" collapsed="false">
      <c r="A58" s="17"/>
      <c r="B58" s="18" t="s">
        <v>18</v>
      </c>
      <c r="C58" s="19"/>
      <c r="D58" s="19"/>
      <c r="E58" s="20"/>
      <c r="F58" s="19"/>
      <c r="G58" s="21"/>
      <c r="H58" s="19"/>
      <c r="I58" s="31"/>
      <c r="J58" s="19"/>
      <c r="K58" s="19"/>
      <c r="L58" s="23"/>
      <c r="M58" s="29"/>
      <c r="N58" s="24"/>
      <c r="O58" s="30" t="n">
        <f aca="false">N58*J58</f>
        <v>0</v>
      </c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  <c r="BG58" s="27"/>
      <c r="BH58" s="27"/>
      <c r="BI58" s="27"/>
      <c r="BJ58" s="27"/>
      <c r="BK58" s="27"/>
      <c r="BL58" s="27"/>
      <c r="BM58" s="27"/>
      <c r="BN58" s="27"/>
      <c r="BO58" s="27"/>
      <c r="BP58" s="27"/>
      <c r="BQ58" s="27"/>
      <c r="BR58" s="27"/>
      <c r="BS58" s="27"/>
      <c r="BT58" s="27"/>
      <c r="BU58" s="27"/>
      <c r="BV58" s="27"/>
      <c r="BW58" s="27"/>
      <c r="BX58" s="27"/>
      <c r="BY58" s="27"/>
      <c r="BZ58" s="27"/>
      <c r="CA58" s="27"/>
      <c r="CB58" s="27"/>
      <c r="CC58" s="27"/>
      <c r="CD58" s="27"/>
      <c r="CE58" s="27"/>
      <c r="CF58" s="27"/>
      <c r="CG58" s="27"/>
      <c r="CH58" s="27"/>
      <c r="CI58" s="27"/>
      <c r="CJ58" s="27"/>
      <c r="CK58" s="27"/>
      <c r="CL58" s="27"/>
      <c r="CM58" s="27"/>
      <c r="CN58" s="27"/>
      <c r="CO58" s="27"/>
      <c r="CP58" s="27"/>
      <c r="CQ58" s="27"/>
      <c r="CR58" s="27"/>
      <c r="CS58" s="27"/>
      <c r="CT58" s="27"/>
      <c r="CU58" s="27"/>
      <c r="CV58" s="27"/>
      <c r="CW58" s="27"/>
      <c r="CX58" s="27"/>
      <c r="CY58" s="27"/>
      <c r="CZ58" s="27"/>
      <c r="DA58" s="27"/>
      <c r="DB58" s="27"/>
      <c r="DC58" s="27"/>
      <c r="DD58" s="27"/>
      <c r="DE58" s="27"/>
      <c r="DF58" s="27"/>
      <c r="DG58" s="27"/>
      <c r="DH58" s="27"/>
      <c r="DI58" s="27"/>
      <c r="DJ58" s="27"/>
      <c r="DK58" s="27"/>
      <c r="DL58" s="27"/>
      <c r="DM58" s="27"/>
      <c r="DN58" s="27"/>
      <c r="DO58" s="27"/>
      <c r="DP58" s="27"/>
      <c r="DQ58" s="27"/>
      <c r="DR58" s="27"/>
      <c r="DS58" s="27"/>
      <c r="DT58" s="27"/>
      <c r="DU58" s="27"/>
      <c r="DV58" s="27"/>
      <c r="DW58" s="27"/>
      <c r="DX58" s="27"/>
      <c r="DY58" s="27"/>
      <c r="DZ58" s="27"/>
      <c r="EA58" s="27"/>
      <c r="EB58" s="27"/>
      <c r="EC58" s="27"/>
      <c r="ED58" s="27"/>
      <c r="EE58" s="27"/>
      <c r="EF58" s="27"/>
      <c r="EG58" s="27"/>
      <c r="EH58" s="27"/>
      <c r="EI58" s="27"/>
      <c r="EJ58" s="27"/>
      <c r="EK58" s="27"/>
      <c r="EL58" s="27"/>
      <c r="EM58" s="27"/>
      <c r="EN58" s="27"/>
      <c r="EO58" s="27"/>
      <c r="EP58" s="27"/>
      <c r="EQ58" s="27"/>
      <c r="ER58" s="27"/>
      <c r="ES58" s="27"/>
      <c r="ET58" s="27"/>
      <c r="EU58" s="27"/>
      <c r="EV58" s="27"/>
      <c r="EW58" s="27"/>
      <c r="EX58" s="27"/>
      <c r="EY58" s="27"/>
      <c r="EZ58" s="27"/>
      <c r="FA58" s="27"/>
      <c r="FB58" s="27"/>
      <c r="FC58" s="27"/>
      <c r="FD58" s="27"/>
      <c r="FE58" s="27"/>
      <c r="FF58" s="27"/>
      <c r="FG58" s="27"/>
      <c r="FH58" s="27"/>
      <c r="FI58" s="27"/>
      <c r="FJ58" s="27"/>
      <c r="FK58" s="27"/>
      <c r="FL58" s="27"/>
      <c r="FM58" s="27"/>
      <c r="FN58" s="27"/>
      <c r="FO58" s="27"/>
      <c r="FP58" s="27"/>
      <c r="FQ58" s="27"/>
      <c r="FR58" s="27"/>
      <c r="FS58" s="27"/>
      <c r="FT58" s="27"/>
      <c r="FU58" s="27"/>
      <c r="FV58" s="27"/>
      <c r="FW58" s="27"/>
      <c r="FX58" s="27"/>
      <c r="FY58" s="27"/>
      <c r="FZ58" s="27"/>
      <c r="GA58" s="27"/>
      <c r="GB58" s="27"/>
      <c r="GC58" s="27"/>
      <c r="GD58" s="27"/>
      <c r="GE58" s="27"/>
      <c r="GF58" s="27"/>
      <c r="GG58" s="27"/>
      <c r="GH58" s="27"/>
      <c r="GI58" s="27"/>
      <c r="GJ58" s="27"/>
      <c r="GK58" s="27"/>
      <c r="GL58" s="27"/>
      <c r="GM58" s="27"/>
      <c r="GN58" s="27"/>
      <c r="GO58" s="27"/>
      <c r="GP58" s="27"/>
      <c r="GQ58" s="27"/>
      <c r="GR58" s="27"/>
      <c r="GS58" s="27"/>
      <c r="GT58" s="27"/>
      <c r="GU58" s="27"/>
      <c r="GV58" s="27"/>
      <c r="GW58" s="27"/>
      <c r="GX58" s="27"/>
      <c r="GY58" s="27"/>
      <c r="GZ58" s="27"/>
      <c r="HA58" s="27"/>
      <c r="HB58" s="27"/>
      <c r="HC58" s="27"/>
      <c r="HD58" s="27"/>
      <c r="HE58" s="27"/>
      <c r="HF58" s="27"/>
      <c r="HG58" s="27"/>
      <c r="HH58" s="27"/>
      <c r="HI58" s="27"/>
      <c r="HJ58" s="27"/>
      <c r="HK58" s="27"/>
      <c r="HL58" s="27"/>
      <c r="HM58" s="27"/>
      <c r="HN58" s="27"/>
      <c r="HO58" s="27"/>
      <c r="HP58" s="27"/>
      <c r="HQ58" s="27"/>
      <c r="HR58" s="27"/>
      <c r="HS58" s="27"/>
      <c r="HT58" s="27"/>
      <c r="HU58" s="27"/>
      <c r="HV58" s="27"/>
      <c r="HW58" s="27"/>
      <c r="HX58" s="27"/>
      <c r="HY58" s="27"/>
    </row>
    <row r="59" s="6" customFormat="true" ht="15" hidden="false" customHeight="false" outlineLevel="0" collapsed="false">
      <c r="A59" s="17"/>
      <c r="B59" s="18" t="s">
        <v>18</v>
      </c>
      <c r="C59" s="19"/>
      <c r="D59" s="19"/>
      <c r="E59" s="20"/>
      <c r="F59" s="19"/>
      <c r="G59" s="21"/>
      <c r="H59" s="19"/>
      <c r="I59" s="31"/>
      <c r="J59" s="19"/>
      <c r="K59" s="19"/>
      <c r="L59" s="23"/>
      <c r="M59" s="29"/>
      <c r="N59" s="24"/>
      <c r="O59" s="30" t="n">
        <f aca="false">N59*J59</f>
        <v>0</v>
      </c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  <c r="BG59" s="27"/>
      <c r="BH59" s="27"/>
      <c r="BI59" s="27"/>
      <c r="BJ59" s="27"/>
      <c r="BK59" s="27"/>
      <c r="BL59" s="27"/>
      <c r="BM59" s="27"/>
      <c r="BN59" s="27"/>
      <c r="BO59" s="27"/>
      <c r="BP59" s="27"/>
      <c r="BQ59" s="27"/>
      <c r="BR59" s="27"/>
      <c r="BS59" s="27"/>
      <c r="BT59" s="27"/>
      <c r="BU59" s="27"/>
      <c r="BV59" s="27"/>
      <c r="BW59" s="27"/>
      <c r="BX59" s="27"/>
      <c r="BY59" s="27"/>
      <c r="BZ59" s="27"/>
      <c r="CA59" s="27"/>
      <c r="CB59" s="27"/>
      <c r="CC59" s="27"/>
      <c r="CD59" s="27"/>
      <c r="CE59" s="27"/>
      <c r="CF59" s="27"/>
      <c r="CG59" s="27"/>
      <c r="CH59" s="27"/>
      <c r="CI59" s="27"/>
      <c r="CJ59" s="27"/>
      <c r="CK59" s="27"/>
      <c r="CL59" s="27"/>
      <c r="CM59" s="27"/>
      <c r="CN59" s="27"/>
      <c r="CO59" s="27"/>
      <c r="CP59" s="27"/>
      <c r="CQ59" s="27"/>
      <c r="CR59" s="27"/>
      <c r="CS59" s="27"/>
      <c r="CT59" s="27"/>
      <c r="CU59" s="27"/>
      <c r="CV59" s="27"/>
      <c r="CW59" s="27"/>
      <c r="CX59" s="27"/>
      <c r="CY59" s="27"/>
      <c r="CZ59" s="27"/>
      <c r="DA59" s="27"/>
      <c r="DB59" s="27"/>
      <c r="DC59" s="27"/>
      <c r="DD59" s="27"/>
      <c r="DE59" s="27"/>
      <c r="DF59" s="27"/>
      <c r="DG59" s="27"/>
      <c r="DH59" s="27"/>
      <c r="DI59" s="27"/>
      <c r="DJ59" s="27"/>
      <c r="DK59" s="27"/>
      <c r="DL59" s="27"/>
      <c r="DM59" s="27"/>
      <c r="DN59" s="27"/>
      <c r="DO59" s="27"/>
      <c r="DP59" s="27"/>
      <c r="DQ59" s="27"/>
      <c r="DR59" s="27"/>
      <c r="DS59" s="27"/>
      <c r="DT59" s="27"/>
      <c r="DU59" s="27"/>
      <c r="DV59" s="27"/>
      <c r="DW59" s="27"/>
      <c r="DX59" s="27"/>
      <c r="DY59" s="27"/>
      <c r="DZ59" s="27"/>
      <c r="EA59" s="27"/>
      <c r="EB59" s="27"/>
      <c r="EC59" s="27"/>
      <c r="ED59" s="27"/>
      <c r="EE59" s="27"/>
      <c r="EF59" s="27"/>
      <c r="EG59" s="27"/>
      <c r="EH59" s="27"/>
      <c r="EI59" s="27"/>
      <c r="EJ59" s="27"/>
      <c r="EK59" s="27"/>
      <c r="EL59" s="27"/>
      <c r="EM59" s="27"/>
      <c r="EN59" s="27"/>
      <c r="EO59" s="27"/>
      <c r="EP59" s="27"/>
      <c r="EQ59" s="27"/>
      <c r="ER59" s="27"/>
      <c r="ES59" s="27"/>
      <c r="ET59" s="27"/>
      <c r="EU59" s="27"/>
      <c r="EV59" s="27"/>
      <c r="EW59" s="27"/>
      <c r="EX59" s="27"/>
      <c r="EY59" s="27"/>
      <c r="EZ59" s="27"/>
      <c r="FA59" s="27"/>
      <c r="FB59" s="27"/>
      <c r="FC59" s="27"/>
      <c r="FD59" s="27"/>
      <c r="FE59" s="27"/>
      <c r="FF59" s="27"/>
      <c r="FG59" s="27"/>
      <c r="FH59" s="27"/>
      <c r="FI59" s="27"/>
      <c r="FJ59" s="27"/>
      <c r="FK59" s="27"/>
      <c r="FL59" s="27"/>
      <c r="FM59" s="27"/>
      <c r="FN59" s="27"/>
      <c r="FO59" s="27"/>
      <c r="FP59" s="27"/>
      <c r="FQ59" s="27"/>
      <c r="FR59" s="27"/>
      <c r="FS59" s="27"/>
      <c r="FT59" s="27"/>
      <c r="FU59" s="27"/>
      <c r="FV59" s="27"/>
      <c r="FW59" s="27"/>
      <c r="FX59" s="27"/>
      <c r="FY59" s="27"/>
      <c r="FZ59" s="27"/>
      <c r="GA59" s="27"/>
      <c r="GB59" s="27"/>
      <c r="GC59" s="27"/>
      <c r="GD59" s="27"/>
      <c r="GE59" s="27"/>
      <c r="GF59" s="27"/>
      <c r="GG59" s="27"/>
      <c r="GH59" s="27"/>
      <c r="GI59" s="27"/>
      <c r="GJ59" s="27"/>
      <c r="GK59" s="27"/>
      <c r="GL59" s="27"/>
      <c r="GM59" s="27"/>
      <c r="GN59" s="27"/>
      <c r="GO59" s="27"/>
      <c r="GP59" s="27"/>
      <c r="GQ59" s="27"/>
      <c r="GR59" s="27"/>
      <c r="GS59" s="27"/>
      <c r="GT59" s="27"/>
      <c r="GU59" s="27"/>
      <c r="GV59" s="27"/>
      <c r="GW59" s="27"/>
      <c r="GX59" s="27"/>
      <c r="GY59" s="27"/>
      <c r="GZ59" s="27"/>
      <c r="HA59" s="27"/>
      <c r="HB59" s="27"/>
      <c r="HC59" s="27"/>
      <c r="HD59" s="27"/>
      <c r="HE59" s="27"/>
      <c r="HF59" s="27"/>
      <c r="HG59" s="27"/>
      <c r="HH59" s="27"/>
      <c r="HI59" s="27"/>
      <c r="HJ59" s="27"/>
      <c r="HK59" s="27"/>
      <c r="HL59" s="27"/>
      <c r="HM59" s="27"/>
      <c r="HN59" s="27"/>
      <c r="HO59" s="27"/>
      <c r="HP59" s="27"/>
      <c r="HQ59" s="27"/>
      <c r="HR59" s="27"/>
      <c r="HS59" s="27"/>
      <c r="HT59" s="27"/>
      <c r="HU59" s="27"/>
      <c r="HV59" s="27"/>
      <c r="HW59" s="27"/>
      <c r="HX59" s="27"/>
      <c r="HY59" s="27"/>
    </row>
    <row r="60" s="6" customFormat="true" ht="15" hidden="false" customHeight="false" outlineLevel="0" collapsed="false">
      <c r="A60" s="17"/>
      <c r="B60" s="18" t="s">
        <v>18</v>
      </c>
      <c r="C60" s="19"/>
      <c r="D60" s="19"/>
      <c r="E60" s="20"/>
      <c r="F60" s="19"/>
      <c r="G60" s="21"/>
      <c r="H60" s="19"/>
      <c r="I60" s="31"/>
      <c r="J60" s="19"/>
      <c r="K60" s="19"/>
      <c r="L60" s="23"/>
      <c r="M60" s="29"/>
      <c r="N60" s="24"/>
      <c r="O60" s="30" t="n">
        <f aca="false">N60*J60</f>
        <v>0</v>
      </c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  <c r="BG60" s="27"/>
      <c r="BH60" s="27"/>
      <c r="BI60" s="27"/>
      <c r="BJ60" s="27"/>
      <c r="BK60" s="27"/>
      <c r="BL60" s="27"/>
      <c r="BM60" s="27"/>
      <c r="BN60" s="27"/>
      <c r="BO60" s="27"/>
      <c r="BP60" s="27"/>
      <c r="BQ60" s="27"/>
      <c r="BR60" s="27"/>
      <c r="BS60" s="27"/>
      <c r="BT60" s="27"/>
      <c r="BU60" s="27"/>
      <c r="BV60" s="27"/>
      <c r="BW60" s="27"/>
      <c r="BX60" s="27"/>
      <c r="BY60" s="27"/>
      <c r="BZ60" s="27"/>
      <c r="CA60" s="27"/>
      <c r="CB60" s="27"/>
      <c r="CC60" s="27"/>
      <c r="CD60" s="27"/>
      <c r="CE60" s="27"/>
      <c r="CF60" s="27"/>
      <c r="CG60" s="27"/>
      <c r="CH60" s="27"/>
      <c r="CI60" s="27"/>
      <c r="CJ60" s="27"/>
      <c r="CK60" s="27"/>
      <c r="CL60" s="27"/>
      <c r="CM60" s="27"/>
      <c r="CN60" s="27"/>
      <c r="CO60" s="27"/>
      <c r="CP60" s="27"/>
      <c r="CQ60" s="27"/>
      <c r="CR60" s="27"/>
      <c r="CS60" s="27"/>
      <c r="CT60" s="27"/>
      <c r="CU60" s="27"/>
      <c r="CV60" s="27"/>
      <c r="CW60" s="27"/>
      <c r="CX60" s="27"/>
      <c r="CY60" s="27"/>
      <c r="CZ60" s="27"/>
      <c r="DA60" s="27"/>
      <c r="DB60" s="27"/>
      <c r="DC60" s="27"/>
      <c r="DD60" s="27"/>
      <c r="DE60" s="27"/>
      <c r="DF60" s="27"/>
      <c r="DG60" s="27"/>
      <c r="DH60" s="27"/>
      <c r="DI60" s="27"/>
      <c r="DJ60" s="27"/>
      <c r="DK60" s="27"/>
      <c r="DL60" s="27"/>
      <c r="DM60" s="27"/>
      <c r="DN60" s="27"/>
      <c r="DO60" s="27"/>
      <c r="DP60" s="27"/>
      <c r="DQ60" s="27"/>
      <c r="DR60" s="27"/>
      <c r="DS60" s="27"/>
      <c r="DT60" s="27"/>
      <c r="DU60" s="27"/>
      <c r="DV60" s="27"/>
      <c r="DW60" s="27"/>
      <c r="DX60" s="27"/>
      <c r="DY60" s="27"/>
      <c r="DZ60" s="27"/>
      <c r="EA60" s="27"/>
      <c r="EB60" s="27"/>
      <c r="EC60" s="27"/>
      <c r="ED60" s="27"/>
      <c r="EE60" s="27"/>
      <c r="EF60" s="27"/>
      <c r="EG60" s="27"/>
      <c r="EH60" s="27"/>
      <c r="EI60" s="27"/>
      <c r="EJ60" s="27"/>
      <c r="EK60" s="27"/>
      <c r="EL60" s="27"/>
      <c r="EM60" s="27"/>
      <c r="EN60" s="27"/>
      <c r="EO60" s="27"/>
      <c r="EP60" s="27"/>
      <c r="EQ60" s="27"/>
      <c r="ER60" s="27"/>
      <c r="ES60" s="27"/>
      <c r="ET60" s="27"/>
      <c r="EU60" s="27"/>
      <c r="EV60" s="27"/>
      <c r="EW60" s="27"/>
      <c r="EX60" s="27"/>
      <c r="EY60" s="27"/>
      <c r="EZ60" s="27"/>
      <c r="FA60" s="27"/>
      <c r="FB60" s="27"/>
      <c r="FC60" s="27"/>
      <c r="FD60" s="27"/>
      <c r="FE60" s="27"/>
      <c r="FF60" s="27"/>
      <c r="FG60" s="27"/>
      <c r="FH60" s="27"/>
      <c r="FI60" s="27"/>
      <c r="FJ60" s="27"/>
      <c r="FK60" s="27"/>
      <c r="FL60" s="27"/>
      <c r="FM60" s="27"/>
      <c r="FN60" s="27"/>
      <c r="FO60" s="27"/>
      <c r="FP60" s="27"/>
      <c r="FQ60" s="27"/>
      <c r="FR60" s="27"/>
      <c r="FS60" s="27"/>
      <c r="FT60" s="27"/>
      <c r="FU60" s="27"/>
      <c r="FV60" s="27"/>
      <c r="FW60" s="27"/>
      <c r="FX60" s="27"/>
      <c r="FY60" s="27"/>
      <c r="FZ60" s="27"/>
      <c r="GA60" s="27"/>
      <c r="GB60" s="27"/>
      <c r="GC60" s="27"/>
      <c r="GD60" s="27"/>
      <c r="GE60" s="27"/>
      <c r="GF60" s="27"/>
      <c r="GG60" s="27"/>
      <c r="GH60" s="27"/>
      <c r="GI60" s="27"/>
      <c r="GJ60" s="27"/>
      <c r="GK60" s="27"/>
      <c r="GL60" s="27"/>
      <c r="GM60" s="27"/>
      <c r="GN60" s="27"/>
      <c r="GO60" s="27"/>
      <c r="GP60" s="27"/>
      <c r="GQ60" s="27"/>
      <c r="GR60" s="27"/>
      <c r="GS60" s="27"/>
      <c r="GT60" s="27"/>
      <c r="GU60" s="27"/>
      <c r="GV60" s="27"/>
      <c r="GW60" s="27"/>
      <c r="GX60" s="27"/>
      <c r="GY60" s="27"/>
      <c r="GZ60" s="27"/>
      <c r="HA60" s="27"/>
      <c r="HB60" s="27"/>
      <c r="HC60" s="27"/>
      <c r="HD60" s="27"/>
      <c r="HE60" s="27"/>
      <c r="HF60" s="27"/>
      <c r="HG60" s="27"/>
      <c r="HH60" s="27"/>
      <c r="HI60" s="27"/>
      <c r="HJ60" s="27"/>
      <c r="HK60" s="27"/>
      <c r="HL60" s="27"/>
      <c r="HM60" s="27"/>
      <c r="HN60" s="27"/>
      <c r="HO60" s="27"/>
      <c r="HP60" s="27"/>
      <c r="HQ60" s="27"/>
      <c r="HR60" s="27"/>
      <c r="HS60" s="27"/>
      <c r="HT60" s="27"/>
      <c r="HU60" s="27"/>
      <c r="HV60" s="27"/>
      <c r="HW60" s="27"/>
      <c r="HX60" s="27"/>
      <c r="HY60" s="27"/>
    </row>
    <row r="61" s="6" customFormat="true" ht="15" hidden="false" customHeight="false" outlineLevel="0" collapsed="false">
      <c r="A61" s="17"/>
      <c r="B61" s="18" t="s">
        <v>18</v>
      </c>
      <c r="C61" s="19"/>
      <c r="D61" s="19"/>
      <c r="E61" s="20"/>
      <c r="F61" s="19"/>
      <c r="G61" s="21"/>
      <c r="H61" s="19"/>
      <c r="I61" s="31"/>
      <c r="J61" s="19"/>
      <c r="K61" s="19"/>
      <c r="L61" s="23"/>
      <c r="M61" s="29"/>
      <c r="N61" s="24"/>
      <c r="O61" s="30" t="n">
        <f aca="false">N61*J61</f>
        <v>0</v>
      </c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  <c r="BG61" s="27"/>
      <c r="BH61" s="27"/>
      <c r="BI61" s="27"/>
      <c r="BJ61" s="27"/>
      <c r="BK61" s="27"/>
      <c r="BL61" s="27"/>
      <c r="BM61" s="27"/>
      <c r="BN61" s="27"/>
      <c r="BO61" s="27"/>
      <c r="BP61" s="27"/>
      <c r="BQ61" s="27"/>
      <c r="BR61" s="27"/>
      <c r="BS61" s="27"/>
      <c r="BT61" s="27"/>
      <c r="BU61" s="27"/>
      <c r="BV61" s="27"/>
      <c r="BW61" s="27"/>
      <c r="BX61" s="27"/>
      <c r="BY61" s="27"/>
      <c r="BZ61" s="27"/>
      <c r="CA61" s="27"/>
      <c r="CB61" s="27"/>
      <c r="CC61" s="27"/>
      <c r="CD61" s="27"/>
      <c r="CE61" s="27"/>
      <c r="CF61" s="27"/>
      <c r="CG61" s="27"/>
      <c r="CH61" s="27"/>
      <c r="CI61" s="27"/>
      <c r="CJ61" s="27"/>
      <c r="CK61" s="27"/>
      <c r="CL61" s="27"/>
      <c r="CM61" s="27"/>
      <c r="CN61" s="27"/>
      <c r="CO61" s="27"/>
      <c r="CP61" s="27"/>
      <c r="CQ61" s="27"/>
      <c r="CR61" s="27"/>
      <c r="CS61" s="27"/>
      <c r="CT61" s="27"/>
      <c r="CU61" s="27"/>
      <c r="CV61" s="27"/>
      <c r="CW61" s="27"/>
      <c r="CX61" s="27"/>
      <c r="CY61" s="27"/>
      <c r="CZ61" s="27"/>
      <c r="DA61" s="27"/>
      <c r="DB61" s="27"/>
      <c r="DC61" s="27"/>
      <c r="DD61" s="27"/>
      <c r="DE61" s="27"/>
      <c r="DF61" s="27"/>
      <c r="DG61" s="27"/>
      <c r="DH61" s="27"/>
      <c r="DI61" s="27"/>
      <c r="DJ61" s="27"/>
      <c r="DK61" s="27"/>
      <c r="DL61" s="27"/>
      <c r="DM61" s="27"/>
      <c r="DN61" s="27"/>
      <c r="DO61" s="27"/>
      <c r="DP61" s="27"/>
      <c r="DQ61" s="27"/>
      <c r="DR61" s="27"/>
      <c r="DS61" s="27"/>
      <c r="DT61" s="27"/>
      <c r="DU61" s="27"/>
      <c r="DV61" s="27"/>
      <c r="DW61" s="27"/>
      <c r="DX61" s="27"/>
      <c r="DY61" s="27"/>
      <c r="DZ61" s="27"/>
      <c r="EA61" s="27"/>
      <c r="EB61" s="27"/>
      <c r="EC61" s="27"/>
      <c r="ED61" s="27"/>
      <c r="EE61" s="27"/>
      <c r="EF61" s="27"/>
      <c r="EG61" s="27"/>
      <c r="EH61" s="27"/>
      <c r="EI61" s="27"/>
      <c r="EJ61" s="27"/>
      <c r="EK61" s="27"/>
      <c r="EL61" s="27"/>
      <c r="EM61" s="27"/>
      <c r="EN61" s="27"/>
      <c r="EO61" s="27"/>
      <c r="EP61" s="27"/>
      <c r="EQ61" s="27"/>
      <c r="ER61" s="27"/>
      <c r="ES61" s="27"/>
      <c r="ET61" s="27"/>
      <c r="EU61" s="27"/>
      <c r="EV61" s="27"/>
      <c r="EW61" s="27"/>
      <c r="EX61" s="27"/>
      <c r="EY61" s="27"/>
      <c r="EZ61" s="27"/>
      <c r="FA61" s="27"/>
      <c r="FB61" s="27"/>
      <c r="FC61" s="27"/>
      <c r="FD61" s="27"/>
      <c r="FE61" s="27"/>
      <c r="FF61" s="27"/>
      <c r="FG61" s="27"/>
      <c r="FH61" s="27"/>
      <c r="FI61" s="27"/>
      <c r="FJ61" s="27"/>
      <c r="FK61" s="27"/>
      <c r="FL61" s="27"/>
      <c r="FM61" s="27"/>
      <c r="FN61" s="27"/>
      <c r="FO61" s="27"/>
      <c r="FP61" s="27"/>
      <c r="FQ61" s="27"/>
      <c r="FR61" s="27"/>
      <c r="FS61" s="27"/>
      <c r="FT61" s="27"/>
      <c r="FU61" s="27"/>
      <c r="FV61" s="27"/>
      <c r="FW61" s="27"/>
      <c r="FX61" s="27"/>
      <c r="FY61" s="27"/>
      <c r="FZ61" s="27"/>
      <c r="GA61" s="27"/>
      <c r="GB61" s="27"/>
      <c r="GC61" s="27"/>
      <c r="GD61" s="27"/>
      <c r="GE61" s="27"/>
      <c r="GF61" s="27"/>
      <c r="GG61" s="27"/>
      <c r="GH61" s="27"/>
      <c r="GI61" s="27"/>
      <c r="GJ61" s="27"/>
      <c r="GK61" s="27"/>
      <c r="GL61" s="27"/>
      <c r="GM61" s="27"/>
      <c r="GN61" s="27"/>
      <c r="GO61" s="27"/>
      <c r="GP61" s="27"/>
      <c r="GQ61" s="27"/>
      <c r="GR61" s="27"/>
      <c r="GS61" s="27"/>
      <c r="GT61" s="27"/>
      <c r="GU61" s="27"/>
      <c r="GV61" s="27"/>
      <c r="GW61" s="27"/>
      <c r="GX61" s="27"/>
      <c r="GY61" s="27"/>
      <c r="GZ61" s="27"/>
      <c r="HA61" s="27"/>
      <c r="HB61" s="27"/>
      <c r="HC61" s="27"/>
      <c r="HD61" s="27"/>
      <c r="HE61" s="27"/>
      <c r="HF61" s="27"/>
      <c r="HG61" s="27"/>
      <c r="HH61" s="27"/>
      <c r="HI61" s="27"/>
      <c r="HJ61" s="27"/>
      <c r="HK61" s="27"/>
      <c r="HL61" s="27"/>
      <c r="HM61" s="27"/>
      <c r="HN61" s="27"/>
      <c r="HO61" s="27"/>
      <c r="HP61" s="27"/>
      <c r="HQ61" s="27"/>
      <c r="HR61" s="27"/>
      <c r="HS61" s="27"/>
      <c r="HT61" s="27"/>
      <c r="HU61" s="27"/>
      <c r="HV61" s="27"/>
      <c r="HW61" s="27"/>
      <c r="HX61" s="27"/>
      <c r="HY61" s="27"/>
    </row>
    <row r="62" customFormat="false" ht="15" hidden="false" customHeight="false" outlineLevel="0" collapsed="false">
      <c r="A62" s="17"/>
      <c r="B62" s="18" t="s">
        <v>18</v>
      </c>
      <c r="C62" s="19"/>
      <c r="D62" s="19"/>
      <c r="E62" s="20"/>
      <c r="F62" s="19"/>
      <c r="G62" s="21"/>
      <c r="H62" s="19"/>
      <c r="I62" s="31"/>
      <c r="J62" s="19"/>
      <c r="K62" s="19"/>
      <c r="L62" s="23"/>
      <c r="M62" s="29"/>
      <c r="N62" s="24"/>
      <c r="O62" s="30" t="n">
        <f aca="false">N62*J62</f>
        <v>0</v>
      </c>
    </row>
    <row r="63" customFormat="false" ht="15" hidden="false" customHeight="false" outlineLevel="0" collapsed="false">
      <c r="A63" s="17"/>
      <c r="B63" s="18" t="s">
        <v>18</v>
      </c>
      <c r="C63" s="19"/>
      <c r="D63" s="19"/>
      <c r="E63" s="20"/>
      <c r="F63" s="19"/>
      <c r="G63" s="21"/>
      <c r="H63" s="19"/>
      <c r="I63" s="31"/>
      <c r="J63" s="19"/>
      <c r="K63" s="19"/>
      <c r="L63" s="23"/>
      <c r="M63" s="29"/>
      <c r="N63" s="24"/>
      <c r="O63" s="30" t="n">
        <f aca="false">N63*J63</f>
        <v>0</v>
      </c>
    </row>
    <row r="64" customFormat="false" ht="15" hidden="false" customHeight="false" outlineLevel="0" collapsed="false">
      <c r="A64" s="17"/>
      <c r="B64" s="18" t="s">
        <v>18</v>
      </c>
      <c r="C64" s="19"/>
      <c r="D64" s="19"/>
      <c r="E64" s="20"/>
      <c r="F64" s="19"/>
      <c r="G64" s="21"/>
      <c r="H64" s="19"/>
      <c r="I64" s="31"/>
      <c r="J64" s="19"/>
      <c r="K64" s="19"/>
      <c r="L64" s="23"/>
      <c r="M64" s="29"/>
      <c r="N64" s="24"/>
      <c r="O64" s="30" t="n">
        <f aca="false">N64*J64</f>
        <v>0</v>
      </c>
    </row>
    <row r="65" customFormat="false" ht="15" hidden="false" customHeight="false" outlineLevel="0" collapsed="false">
      <c r="A65" s="17"/>
      <c r="B65" s="18" t="s">
        <v>18</v>
      </c>
      <c r="C65" s="19"/>
      <c r="D65" s="19"/>
      <c r="E65" s="20"/>
      <c r="F65" s="19"/>
      <c r="G65" s="21"/>
      <c r="H65" s="19"/>
      <c r="I65" s="31"/>
      <c r="J65" s="19"/>
      <c r="K65" s="19"/>
      <c r="L65" s="23"/>
      <c r="M65" s="29"/>
      <c r="N65" s="24"/>
      <c r="O65" s="30" t="n">
        <f aca="false">N65*J65</f>
        <v>0</v>
      </c>
    </row>
    <row r="66" customFormat="false" ht="15" hidden="false" customHeight="false" outlineLevel="0" collapsed="false">
      <c r="A66" s="17"/>
      <c r="B66" s="18" t="s">
        <v>18</v>
      </c>
      <c r="C66" s="19"/>
      <c r="D66" s="19"/>
      <c r="E66" s="20"/>
      <c r="F66" s="19"/>
      <c r="G66" s="21"/>
      <c r="H66" s="19"/>
      <c r="I66" s="31"/>
      <c r="J66" s="19"/>
      <c r="K66" s="19"/>
      <c r="L66" s="23"/>
      <c r="M66" s="29"/>
      <c r="N66" s="24"/>
      <c r="O66" s="30" t="n">
        <f aca="false">N66*J66</f>
        <v>0</v>
      </c>
    </row>
    <row r="67" customFormat="false" ht="15" hidden="false" customHeight="false" outlineLevel="0" collapsed="false">
      <c r="A67" s="17"/>
      <c r="B67" s="18" t="s">
        <v>18</v>
      </c>
      <c r="C67" s="19"/>
      <c r="D67" s="19"/>
      <c r="E67" s="20"/>
      <c r="F67" s="19"/>
      <c r="G67" s="21"/>
      <c r="H67" s="19"/>
      <c r="I67" s="31"/>
      <c r="J67" s="19"/>
      <c r="K67" s="19"/>
      <c r="L67" s="23"/>
      <c r="M67" s="29"/>
      <c r="N67" s="24"/>
      <c r="O67" s="30" t="n">
        <f aca="false">N67*J67</f>
        <v>0</v>
      </c>
    </row>
    <row r="68" customFormat="false" ht="15" hidden="false" customHeight="false" outlineLevel="0" collapsed="false">
      <c r="A68" s="17"/>
      <c r="B68" s="18" t="s">
        <v>18</v>
      </c>
      <c r="C68" s="19"/>
      <c r="D68" s="19"/>
      <c r="E68" s="20"/>
      <c r="F68" s="19"/>
      <c r="G68" s="21"/>
      <c r="H68" s="19"/>
      <c r="I68" s="31"/>
      <c r="J68" s="19"/>
      <c r="K68" s="19"/>
      <c r="L68" s="23"/>
      <c r="M68" s="29"/>
      <c r="N68" s="24"/>
      <c r="O68" s="30" t="n">
        <f aca="false">N68*J68</f>
        <v>0</v>
      </c>
    </row>
    <row r="69" customFormat="false" ht="15" hidden="false" customHeight="false" outlineLevel="0" collapsed="false">
      <c r="A69" s="17"/>
      <c r="B69" s="18" t="s">
        <v>18</v>
      </c>
      <c r="C69" s="19"/>
      <c r="D69" s="19"/>
      <c r="E69" s="20"/>
      <c r="F69" s="19"/>
      <c r="G69" s="21"/>
      <c r="H69" s="19"/>
      <c r="I69" s="31"/>
      <c r="J69" s="19"/>
      <c r="K69" s="19"/>
      <c r="L69" s="23"/>
      <c r="M69" s="29"/>
      <c r="N69" s="24"/>
      <c r="O69" s="30" t="n">
        <f aca="false">N69*J69</f>
        <v>0</v>
      </c>
    </row>
    <row r="70" customFormat="false" ht="15" hidden="false" customHeight="false" outlineLevel="0" collapsed="false">
      <c r="A70" s="17"/>
      <c r="B70" s="18" t="s">
        <v>18</v>
      </c>
      <c r="C70" s="19"/>
      <c r="D70" s="19"/>
      <c r="E70" s="20"/>
      <c r="F70" s="19"/>
      <c r="G70" s="21"/>
      <c r="H70" s="19"/>
      <c r="I70" s="31"/>
      <c r="J70" s="19"/>
      <c r="K70" s="19"/>
      <c r="L70" s="23"/>
      <c r="M70" s="29"/>
      <c r="N70" s="24"/>
      <c r="O70" s="30" t="n">
        <f aca="false">N70*J70</f>
        <v>0</v>
      </c>
    </row>
    <row r="71" customFormat="false" ht="15" hidden="false" customHeight="false" outlineLevel="0" collapsed="false">
      <c r="A71" s="17"/>
      <c r="B71" s="18" t="s">
        <v>18</v>
      </c>
      <c r="C71" s="19"/>
      <c r="D71" s="19"/>
      <c r="E71" s="20"/>
      <c r="F71" s="19"/>
      <c r="G71" s="21"/>
      <c r="H71" s="19"/>
      <c r="I71" s="31"/>
      <c r="J71" s="19"/>
      <c r="K71" s="19"/>
      <c r="L71" s="23"/>
      <c r="M71" s="29"/>
      <c r="N71" s="24"/>
      <c r="O71" s="30" t="n">
        <f aca="false">N71*J71</f>
        <v>0</v>
      </c>
    </row>
    <row r="72" customFormat="false" ht="15" hidden="false" customHeight="false" outlineLevel="0" collapsed="false">
      <c r="A72" s="17"/>
      <c r="B72" s="18" t="s">
        <v>18</v>
      </c>
      <c r="C72" s="19"/>
      <c r="D72" s="19"/>
      <c r="E72" s="20"/>
      <c r="F72" s="19"/>
      <c r="G72" s="21"/>
      <c r="H72" s="19"/>
      <c r="I72" s="31"/>
      <c r="J72" s="19"/>
      <c r="K72" s="19"/>
      <c r="L72" s="23"/>
      <c r="M72" s="29"/>
      <c r="N72" s="24"/>
      <c r="O72" s="30" t="n">
        <f aca="false">N72*J72</f>
        <v>0</v>
      </c>
    </row>
    <row r="73" customFormat="false" ht="15" hidden="false" customHeight="false" outlineLevel="0" collapsed="false">
      <c r="A73" s="17"/>
      <c r="B73" s="18" t="s">
        <v>18</v>
      </c>
      <c r="C73" s="19"/>
      <c r="D73" s="19"/>
      <c r="E73" s="20"/>
      <c r="F73" s="19"/>
      <c r="G73" s="21"/>
      <c r="H73" s="19"/>
      <c r="I73" s="31"/>
      <c r="J73" s="19"/>
      <c r="K73" s="19"/>
      <c r="L73" s="23"/>
      <c r="M73" s="29"/>
      <c r="N73" s="24"/>
      <c r="O73" s="30" t="n">
        <f aca="false">N73*J73</f>
        <v>0</v>
      </c>
    </row>
    <row r="74" customFormat="false" ht="15" hidden="false" customHeight="false" outlineLevel="0" collapsed="false">
      <c r="A74" s="17"/>
      <c r="B74" s="18" t="s">
        <v>18</v>
      </c>
      <c r="C74" s="19"/>
      <c r="D74" s="19"/>
      <c r="E74" s="20"/>
      <c r="F74" s="19"/>
      <c r="G74" s="21"/>
      <c r="H74" s="19"/>
      <c r="I74" s="31"/>
      <c r="J74" s="19"/>
      <c r="K74" s="19"/>
      <c r="L74" s="23"/>
      <c r="M74" s="29"/>
      <c r="N74" s="24"/>
      <c r="O74" s="30" t="n">
        <f aca="false">N74*J74</f>
        <v>0</v>
      </c>
    </row>
    <row r="75" customFormat="false" ht="15" hidden="false" customHeight="false" outlineLevel="0" collapsed="false">
      <c r="A75" s="17"/>
      <c r="B75" s="18" t="s">
        <v>18</v>
      </c>
      <c r="C75" s="19"/>
      <c r="D75" s="19"/>
      <c r="E75" s="20"/>
      <c r="F75" s="19"/>
      <c r="G75" s="21"/>
      <c r="H75" s="19"/>
      <c r="I75" s="31"/>
      <c r="J75" s="19"/>
      <c r="K75" s="19"/>
      <c r="L75" s="23"/>
      <c r="M75" s="29"/>
      <c r="N75" s="24"/>
      <c r="O75" s="30" t="n">
        <f aca="false">N75*J75</f>
        <v>0</v>
      </c>
    </row>
    <row r="76" customFormat="false" ht="15" hidden="false" customHeight="false" outlineLevel="0" collapsed="false">
      <c r="A76" s="17"/>
      <c r="B76" s="18" t="s">
        <v>18</v>
      </c>
      <c r="C76" s="19"/>
      <c r="D76" s="19"/>
      <c r="E76" s="20"/>
      <c r="F76" s="19"/>
      <c r="G76" s="21"/>
      <c r="H76" s="19"/>
      <c r="I76" s="31"/>
      <c r="J76" s="19"/>
      <c r="K76" s="19"/>
      <c r="L76" s="23"/>
      <c r="M76" s="29"/>
      <c r="N76" s="24"/>
      <c r="O76" s="30" t="n">
        <f aca="false">N76*J76</f>
        <v>0</v>
      </c>
    </row>
    <row r="77" customFormat="false" ht="15" hidden="false" customHeight="false" outlineLevel="0" collapsed="false">
      <c r="A77" s="17"/>
      <c r="B77" s="18" t="s">
        <v>18</v>
      </c>
      <c r="C77" s="19"/>
      <c r="D77" s="19"/>
      <c r="E77" s="20"/>
      <c r="F77" s="19"/>
      <c r="G77" s="21"/>
      <c r="H77" s="19"/>
      <c r="I77" s="31"/>
      <c r="J77" s="19"/>
      <c r="K77" s="19"/>
      <c r="L77" s="23"/>
      <c r="M77" s="29"/>
      <c r="N77" s="24"/>
      <c r="O77" s="30" t="n">
        <f aca="false">N77*J77</f>
        <v>0</v>
      </c>
    </row>
    <row r="78" customFormat="false" ht="15" hidden="false" customHeight="false" outlineLevel="0" collapsed="false">
      <c r="A78" s="17"/>
      <c r="B78" s="18" t="s">
        <v>18</v>
      </c>
      <c r="C78" s="19"/>
      <c r="D78" s="19"/>
      <c r="E78" s="20"/>
      <c r="F78" s="19"/>
      <c r="G78" s="21"/>
      <c r="H78" s="19"/>
      <c r="I78" s="31"/>
      <c r="J78" s="19"/>
      <c r="K78" s="19"/>
      <c r="L78" s="23"/>
      <c r="M78" s="29"/>
      <c r="N78" s="24"/>
      <c r="O78" s="30" t="n">
        <f aca="false">N78*J78</f>
        <v>0</v>
      </c>
    </row>
    <row r="79" customFormat="false" ht="15" hidden="false" customHeight="false" outlineLevel="0" collapsed="false">
      <c r="A79" s="17"/>
      <c r="B79" s="18" t="s">
        <v>18</v>
      </c>
      <c r="C79" s="19"/>
      <c r="D79" s="19"/>
      <c r="E79" s="20"/>
      <c r="F79" s="19"/>
      <c r="G79" s="21"/>
      <c r="H79" s="19"/>
      <c r="I79" s="31"/>
      <c r="J79" s="19"/>
      <c r="K79" s="19"/>
      <c r="L79" s="23"/>
      <c r="M79" s="29"/>
      <c r="N79" s="24"/>
      <c r="O79" s="30" t="n">
        <f aca="false">N79*J79</f>
        <v>0</v>
      </c>
    </row>
    <row r="80" customFormat="false" ht="15" hidden="false" customHeight="false" outlineLevel="0" collapsed="false">
      <c r="A80" s="17"/>
      <c r="B80" s="18" t="s">
        <v>18</v>
      </c>
      <c r="C80" s="19"/>
      <c r="D80" s="19"/>
      <c r="E80" s="20"/>
      <c r="F80" s="19"/>
      <c r="G80" s="21"/>
      <c r="H80" s="19"/>
      <c r="I80" s="31"/>
      <c r="J80" s="19"/>
      <c r="K80" s="19"/>
      <c r="L80" s="23"/>
      <c r="M80" s="29"/>
      <c r="N80" s="24"/>
      <c r="O80" s="30" t="n">
        <f aca="false">N80*J80</f>
        <v>0</v>
      </c>
    </row>
    <row r="81" customFormat="false" ht="15" hidden="false" customHeight="false" outlineLevel="0" collapsed="false">
      <c r="A81" s="17"/>
      <c r="B81" s="18" t="s">
        <v>18</v>
      </c>
      <c r="C81" s="19"/>
      <c r="D81" s="19"/>
      <c r="E81" s="20"/>
      <c r="F81" s="19"/>
      <c r="G81" s="21"/>
      <c r="H81" s="19"/>
      <c r="I81" s="31"/>
      <c r="J81" s="19"/>
      <c r="K81" s="19"/>
      <c r="L81" s="23"/>
      <c r="M81" s="29"/>
      <c r="N81" s="24"/>
      <c r="O81" s="30" t="n">
        <f aca="false">N81*J81</f>
        <v>0</v>
      </c>
    </row>
    <row r="82" customFormat="false" ht="15" hidden="false" customHeight="false" outlineLevel="0" collapsed="false">
      <c r="A82" s="17"/>
      <c r="B82" s="18" t="s">
        <v>18</v>
      </c>
      <c r="C82" s="19"/>
      <c r="D82" s="19"/>
      <c r="E82" s="20"/>
      <c r="F82" s="19"/>
      <c r="G82" s="21"/>
      <c r="H82" s="19"/>
      <c r="I82" s="31"/>
      <c r="J82" s="19"/>
      <c r="K82" s="19"/>
      <c r="L82" s="23"/>
      <c r="M82" s="29"/>
      <c r="N82" s="24"/>
      <c r="O82" s="30" t="n">
        <f aca="false">N82*J82</f>
        <v>0</v>
      </c>
    </row>
    <row r="83" customFormat="false" ht="15" hidden="false" customHeight="false" outlineLevel="0" collapsed="false">
      <c r="A83" s="17"/>
      <c r="B83" s="18" t="s">
        <v>18</v>
      </c>
      <c r="C83" s="19"/>
      <c r="D83" s="19"/>
      <c r="E83" s="20"/>
      <c r="F83" s="19"/>
      <c r="G83" s="21"/>
      <c r="H83" s="19"/>
      <c r="I83" s="31"/>
      <c r="J83" s="19"/>
      <c r="K83" s="19"/>
      <c r="L83" s="23"/>
      <c r="M83" s="29"/>
      <c r="N83" s="24"/>
      <c r="O83" s="30" t="n">
        <f aca="false">N83*J83</f>
        <v>0</v>
      </c>
    </row>
    <row r="84" customFormat="false" ht="15" hidden="false" customHeight="false" outlineLevel="0" collapsed="false">
      <c r="A84" s="17"/>
      <c r="B84" s="18" t="s">
        <v>18</v>
      </c>
      <c r="C84" s="19"/>
      <c r="D84" s="19"/>
      <c r="E84" s="20"/>
      <c r="F84" s="19"/>
      <c r="G84" s="21"/>
      <c r="H84" s="19"/>
      <c r="I84" s="31"/>
      <c r="J84" s="19"/>
      <c r="K84" s="19"/>
      <c r="L84" s="23"/>
      <c r="M84" s="29"/>
      <c r="N84" s="24"/>
      <c r="O84" s="30" t="n">
        <f aca="false">N84*J84</f>
        <v>0</v>
      </c>
    </row>
    <row r="85" customFormat="false" ht="15" hidden="false" customHeight="false" outlineLevel="0" collapsed="false">
      <c r="A85" s="17"/>
      <c r="B85" s="18" t="s">
        <v>18</v>
      </c>
      <c r="C85" s="19"/>
      <c r="D85" s="19"/>
      <c r="E85" s="20"/>
      <c r="F85" s="19"/>
      <c r="G85" s="21"/>
      <c r="H85" s="19"/>
      <c r="I85" s="31"/>
      <c r="J85" s="19"/>
      <c r="K85" s="19"/>
      <c r="L85" s="23"/>
      <c r="M85" s="29"/>
      <c r="N85" s="24"/>
      <c r="O85" s="30" t="n">
        <f aca="false">N85*J85</f>
        <v>0</v>
      </c>
    </row>
    <row r="86" customFormat="false" ht="15" hidden="false" customHeight="false" outlineLevel="0" collapsed="false">
      <c r="A86" s="17"/>
      <c r="B86" s="18" t="s">
        <v>18</v>
      </c>
      <c r="C86" s="19"/>
      <c r="D86" s="19"/>
      <c r="E86" s="20"/>
      <c r="F86" s="19"/>
      <c r="G86" s="21"/>
      <c r="H86" s="19"/>
      <c r="I86" s="31"/>
      <c r="J86" s="19"/>
      <c r="K86" s="19"/>
      <c r="L86" s="23"/>
      <c r="M86" s="29"/>
      <c r="N86" s="24"/>
      <c r="O86" s="30" t="n">
        <f aca="false">N86*J86</f>
        <v>0</v>
      </c>
    </row>
    <row r="87" customFormat="false" ht="15" hidden="false" customHeight="false" outlineLevel="0" collapsed="false">
      <c r="A87" s="17"/>
      <c r="B87" s="18" t="s">
        <v>18</v>
      </c>
      <c r="C87" s="19"/>
      <c r="D87" s="19"/>
      <c r="E87" s="20"/>
      <c r="F87" s="19"/>
      <c r="G87" s="21"/>
      <c r="H87" s="19"/>
      <c r="I87" s="31"/>
      <c r="J87" s="19"/>
      <c r="K87" s="19"/>
      <c r="L87" s="23"/>
      <c r="M87" s="29"/>
      <c r="N87" s="24"/>
      <c r="O87" s="30" t="n">
        <f aca="false">N87*J87</f>
        <v>0</v>
      </c>
    </row>
    <row r="88" customFormat="false" ht="15" hidden="false" customHeight="false" outlineLevel="0" collapsed="false">
      <c r="A88" s="17"/>
      <c r="B88" s="18" t="s">
        <v>18</v>
      </c>
      <c r="C88" s="19"/>
      <c r="D88" s="19"/>
      <c r="E88" s="20"/>
      <c r="F88" s="19"/>
      <c r="G88" s="21"/>
      <c r="H88" s="19"/>
      <c r="I88" s="31"/>
      <c r="J88" s="19"/>
      <c r="K88" s="19"/>
      <c r="L88" s="23"/>
      <c r="M88" s="29"/>
      <c r="N88" s="24"/>
      <c r="O88" s="30" t="n">
        <f aca="false">N88*J88</f>
        <v>0</v>
      </c>
    </row>
    <row r="89" customFormat="false" ht="15" hidden="false" customHeight="false" outlineLevel="0" collapsed="false">
      <c r="A89" s="17"/>
      <c r="B89" s="18" t="s">
        <v>18</v>
      </c>
      <c r="C89" s="19"/>
      <c r="D89" s="19"/>
      <c r="E89" s="20"/>
      <c r="F89" s="19"/>
      <c r="G89" s="21"/>
      <c r="H89" s="19"/>
      <c r="I89" s="31"/>
      <c r="J89" s="19"/>
      <c r="K89" s="19"/>
      <c r="L89" s="23"/>
      <c r="M89" s="29"/>
      <c r="N89" s="24"/>
      <c r="O89" s="30" t="n">
        <f aca="false">N89*J89</f>
        <v>0</v>
      </c>
    </row>
    <row r="90" customFormat="false" ht="15" hidden="false" customHeight="false" outlineLevel="0" collapsed="false">
      <c r="A90" s="17"/>
      <c r="B90" s="18" t="s">
        <v>18</v>
      </c>
      <c r="C90" s="19"/>
      <c r="D90" s="19"/>
      <c r="E90" s="20"/>
      <c r="F90" s="19"/>
      <c r="G90" s="21"/>
      <c r="H90" s="19"/>
      <c r="I90" s="31"/>
      <c r="J90" s="19"/>
      <c r="K90" s="19"/>
      <c r="L90" s="23"/>
      <c r="M90" s="29"/>
      <c r="N90" s="24"/>
      <c r="O90" s="30" t="n">
        <f aca="false">N90*J90</f>
        <v>0</v>
      </c>
    </row>
    <row r="91" customFormat="false" ht="15" hidden="false" customHeight="false" outlineLevel="0" collapsed="false">
      <c r="A91" s="17"/>
      <c r="B91" s="18" t="s">
        <v>18</v>
      </c>
      <c r="C91" s="19"/>
      <c r="D91" s="19"/>
      <c r="E91" s="20"/>
      <c r="F91" s="19"/>
      <c r="G91" s="21"/>
      <c r="H91" s="19"/>
      <c r="I91" s="31"/>
      <c r="J91" s="19"/>
      <c r="K91" s="19"/>
      <c r="L91" s="23"/>
      <c r="M91" s="29"/>
      <c r="N91" s="24"/>
      <c r="O91" s="30" t="n">
        <f aca="false">N91*J91</f>
        <v>0</v>
      </c>
    </row>
    <row r="92" customFormat="false" ht="15" hidden="false" customHeight="false" outlineLevel="0" collapsed="false">
      <c r="A92" s="17"/>
      <c r="B92" s="18" t="s">
        <v>18</v>
      </c>
      <c r="C92" s="19"/>
      <c r="D92" s="19"/>
      <c r="E92" s="20"/>
      <c r="F92" s="19"/>
      <c r="G92" s="21"/>
      <c r="H92" s="19"/>
      <c r="I92" s="31"/>
      <c r="J92" s="19"/>
      <c r="K92" s="19"/>
      <c r="L92" s="23"/>
      <c r="M92" s="29"/>
      <c r="N92" s="24"/>
      <c r="O92" s="30" t="n">
        <f aca="false">N92*J92</f>
        <v>0</v>
      </c>
    </row>
    <row r="93" customFormat="false" ht="15" hidden="false" customHeight="false" outlineLevel="0" collapsed="false">
      <c r="A93" s="17"/>
      <c r="B93" s="18" t="s">
        <v>18</v>
      </c>
      <c r="C93" s="19"/>
      <c r="D93" s="19"/>
      <c r="E93" s="20"/>
      <c r="F93" s="19"/>
      <c r="G93" s="21"/>
      <c r="H93" s="19"/>
      <c r="I93" s="31"/>
      <c r="J93" s="19"/>
      <c r="K93" s="19"/>
      <c r="L93" s="23"/>
      <c r="M93" s="29"/>
      <c r="N93" s="24"/>
      <c r="O93" s="30" t="n">
        <f aca="false">N93*J93</f>
        <v>0</v>
      </c>
    </row>
    <row r="94" customFormat="false" ht="15" hidden="false" customHeight="false" outlineLevel="0" collapsed="false">
      <c r="A94" s="17"/>
      <c r="B94" s="18" t="s">
        <v>18</v>
      </c>
      <c r="C94" s="19"/>
      <c r="D94" s="19"/>
      <c r="E94" s="20"/>
      <c r="F94" s="19"/>
      <c r="G94" s="21"/>
      <c r="H94" s="19"/>
      <c r="I94" s="31"/>
      <c r="J94" s="19"/>
      <c r="K94" s="19"/>
      <c r="L94" s="23"/>
      <c r="M94" s="29"/>
      <c r="N94" s="24"/>
      <c r="O94" s="30" t="n">
        <f aca="false">N94*J94</f>
        <v>0</v>
      </c>
    </row>
    <row r="95" customFormat="false" ht="15" hidden="false" customHeight="false" outlineLevel="0" collapsed="false">
      <c r="A95" s="17"/>
      <c r="B95" s="18" t="s">
        <v>18</v>
      </c>
      <c r="C95" s="19"/>
      <c r="D95" s="19"/>
      <c r="E95" s="20"/>
      <c r="F95" s="19"/>
      <c r="G95" s="21"/>
      <c r="H95" s="19"/>
      <c r="I95" s="31"/>
      <c r="J95" s="19"/>
      <c r="K95" s="19"/>
      <c r="L95" s="23"/>
      <c r="M95" s="29"/>
      <c r="N95" s="24"/>
      <c r="O95" s="30" t="n">
        <f aca="false">N95*J95</f>
        <v>0</v>
      </c>
    </row>
    <row r="96" customFormat="false" ht="15" hidden="false" customHeight="false" outlineLevel="0" collapsed="false">
      <c r="A96" s="17"/>
      <c r="B96" s="18" t="s">
        <v>18</v>
      </c>
      <c r="C96" s="19"/>
      <c r="D96" s="19"/>
      <c r="E96" s="20"/>
      <c r="F96" s="19"/>
      <c r="G96" s="21"/>
      <c r="H96" s="19"/>
      <c r="I96" s="31"/>
      <c r="J96" s="19"/>
      <c r="K96" s="19"/>
      <c r="L96" s="23"/>
      <c r="M96" s="29"/>
      <c r="N96" s="24"/>
      <c r="O96" s="30" t="n">
        <f aca="false">N96*J96</f>
        <v>0</v>
      </c>
    </row>
    <row r="97" customFormat="false" ht="15" hidden="false" customHeight="false" outlineLevel="0" collapsed="false">
      <c r="A97" s="33"/>
      <c r="B97" s="18" t="s">
        <v>18</v>
      </c>
      <c r="C97" s="29"/>
      <c r="D97" s="29"/>
      <c r="E97" s="20"/>
      <c r="F97" s="29"/>
      <c r="G97" s="34"/>
      <c r="H97" s="29"/>
      <c r="I97" s="35"/>
      <c r="J97" s="29"/>
      <c r="K97" s="29"/>
      <c r="L97" s="36"/>
      <c r="M97" s="29"/>
      <c r="N97" s="37"/>
      <c r="O97" s="30" t="n">
        <f aca="false">N97*J97</f>
        <v>0</v>
      </c>
    </row>
    <row r="98" customFormat="false" ht="15" hidden="false" customHeight="false" outlineLevel="0" collapsed="false">
      <c r="A98" s="33"/>
      <c r="B98" s="18" t="s">
        <v>18</v>
      </c>
      <c r="C98" s="29"/>
      <c r="D98" s="29"/>
      <c r="E98" s="20"/>
      <c r="F98" s="29"/>
      <c r="G98" s="34"/>
      <c r="H98" s="29"/>
      <c r="I98" s="35"/>
      <c r="J98" s="29"/>
      <c r="K98" s="29"/>
      <c r="L98" s="36"/>
      <c r="M98" s="29"/>
      <c r="N98" s="37"/>
      <c r="O98" s="30" t="n">
        <f aca="false">N98*J98</f>
        <v>0</v>
      </c>
    </row>
    <row r="99" customFormat="false" ht="15" hidden="false" customHeight="false" outlineLevel="0" collapsed="false">
      <c r="A99" s="33"/>
      <c r="B99" s="18" t="s">
        <v>18</v>
      </c>
      <c r="C99" s="29"/>
      <c r="D99" s="29"/>
      <c r="E99" s="38"/>
      <c r="F99" s="29"/>
      <c r="G99" s="34"/>
      <c r="H99" s="29"/>
      <c r="I99" s="35"/>
      <c r="J99" s="29"/>
      <c r="K99" s="29"/>
      <c r="L99" s="36"/>
      <c r="M99" s="29"/>
      <c r="N99" s="37"/>
      <c r="O99" s="30" t="n">
        <f aca="false">N99*J99</f>
        <v>0</v>
      </c>
    </row>
    <row r="100" customFormat="false" ht="15" hidden="false" customHeight="false" outlineLevel="0" collapsed="false">
      <c r="A100" s="33"/>
      <c r="B100" s="18" t="s">
        <v>18</v>
      </c>
      <c r="C100" s="29"/>
      <c r="D100" s="29"/>
      <c r="E100" s="38"/>
      <c r="F100" s="29"/>
      <c r="G100" s="34"/>
      <c r="H100" s="29"/>
      <c r="I100" s="35"/>
      <c r="J100" s="29"/>
      <c r="K100" s="29"/>
      <c r="L100" s="36"/>
      <c r="M100" s="29"/>
      <c r="N100" s="37"/>
      <c r="O100" s="30" t="n">
        <f aca="false">N100*J100</f>
        <v>0</v>
      </c>
    </row>
    <row r="101" customFormat="false" ht="15" hidden="false" customHeight="false" outlineLevel="0" collapsed="false">
      <c r="A101" s="33"/>
      <c r="B101" s="18" t="s">
        <v>18</v>
      </c>
      <c r="C101" s="29"/>
      <c r="D101" s="29"/>
      <c r="E101" s="38"/>
      <c r="F101" s="29"/>
      <c r="G101" s="34"/>
      <c r="H101" s="29"/>
      <c r="I101" s="35"/>
      <c r="J101" s="29"/>
      <c r="K101" s="29"/>
      <c r="L101" s="36"/>
      <c r="M101" s="29"/>
      <c r="N101" s="37"/>
      <c r="O101" s="30" t="n">
        <f aca="false">N101*J101</f>
        <v>0</v>
      </c>
    </row>
    <row r="102" customFormat="false" ht="15" hidden="false" customHeight="false" outlineLevel="0" collapsed="false">
      <c r="A102" s="33"/>
      <c r="B102" s="18" t="s">
        <v>18</v>
      </c>
      <c r="C102" s="29"/>
      <c r="D102" s="29"/>
      <c r="E102" s="38"/>
      <c r="F102" s="29"/>
      <c r="G102" s="34"/>
      <c r="H102" s="29"/>
      <c r="I102" s="35"/>
      <c r="J102" s="29"/>
      <c r="K102" s="29"/>
      <c r="L102" s="36"/>
      <c r="M102" s="29"/>
      <c r="N102" s="37"/>
      <c r="O102" s="30" t="n">
        <f aca="false">N102*J102</f>
        <v>0</v>
      </c>
    </row>
    <row r="103" customFormat="false" ht="15" hidden="false" customHeight="false" outlineLevel="0" collapsed="false">
      <c r="A103" s="33"/>
      <c r="B103" s="18" t="s">
        <v>18</v>
      </c>
      <c r="C103" s="29"/>
      <c r="D103" s="29"/>
      <c r="E103" s="38"/>
      <c r="F103" s="29"/>
      <c r="G103" s="34"/>
      <c r="H103" s="29"/>
      <c r="I103" s="35"/>
      <c r="J103" s="29"/>
      <c r="K103" s="29"/>
      <c r="L103" s="36"/>
      <c r="M103" s="29"/>
      <c r="N103" s="37"/>
      <c r="O103" s="30" t="n">
        <f aca="false">N103*J103</f>
        <v>0</v>
      </c>
    </row>
    <row r="104" customFormat="false" ht="15" hidden="false" customHeight="false" outlineLevel="0" collapsed="false">
      <c r="A104" s="33"/>
      <c r="B104" s="18" t="s">
        <v>18</v>
      </c>
      <c r="C104" s="29"/>
      <c r="D104" s="29"/>
      <c r="E104" s="38"/>
      <c r="F104" s="29"/>
      <c r="G104" s="34"/>
      <c r="H104" s="29"/>
      <c r="I104" s="35"/>
      <c r="J104" s="29"/>
      <c r="K104" s="29"/>
      <c r="L104" s="36"/>
      <c r="M104" s="29"/>
      <c r="N104" s="37"/>
      <c r="O104" s="30" t="n">
        <f aca="false">N104*J104</f>
        <v>0</v>
      </c>
    </row>
    <row r="105" customFormat="false" ht="15" hidden="false" customHeight="false" outlineLevel="0" collapsed="false">
      <c r="A105" s="33"/>
      <c r="B105" s="18" t="s">
        <v>18</v>
      </c>
      <c r="C105" s="29"/>
      <c r="D105" s="29"/>
      <c r="E105" s="38"/>
      <c r="F105" s="29"/>
      <c r="G105" s="34"/>
      <c r="H105" s="29"/>
      <c r="I105" s="35"/>
      <c r="J105" s="29"/>
      <c r="K105" s="29"/>
      <c r="L105" s="36"/>
      <c r="M105" s="29"/>
      <c r="N105" s="37"/>
      <c r="O105" s="30" t="n">
        <f aca="false">N105*J105</f>
        <v>0</v>
      </c>
    </row>
    <row r="106" customFormat="false" ht="15" hidden="false" customHeight="false" outlineLevel="0" collapsed="false">
      <c r="A106" s="33"/>
      <c r="B106" s="18" t="s">
        <v>18</v>
      </c>
      <c r="C106" s="29"/>
      <c r="D106" s="29"/>
      <c r="E106" s="38"/>
      <c r="F106" s="29"/>
      <c r="G106" s="34"/>
      <c r="H106" s="29"/>
      <c r="I106" s="35"/>
      <c r="J106" s="29"/>
      <c r="K106" s="29"/>
      <c r="L106" s="36"/>
      <c r="M106" s="29"/>
      <c r="N106" s="37"/>
      <c r="O106" s="30" t="n">
        <f aca="false">N106*J106</f>
        <v>0</v>
      </c>
    </row>
    <row r="107" customFormat="false" ht="15" hidden="false" customHeight="false" outlineLevel="0" collapsed="false">
      <c r="A107" s="33"/>
      <c r="B107" s="18" t="s">
        <v>18</v>
      </c>
      <c r="C107" s="29"/>
      <c r="D107" s="29"/>
      <c r="E107" s="38"/>
      <c r="F107" s="29"/>
      <c r="G107" s="34"/>
      <c r="H107" s="29"/>
      <c r="I107" s="35"/>
      <c r="J107" s="29"/>
      <c r="K107" s="29"/>
      <c r="L107" s="36"/>
      <c r="M107" s="29"/>
      <c r="N107" s="37"/>
      <c r="O107" s="30" t="n">
        <f aca="false">N107*J107</f>
        <v>0</v>
      </c>
    </row>
    <row r="108" customFormat="false" ht="15" hidden="false" customHeight="false" outlineLevel="0" collapsed="false">
      <c r="A108" s="33"/>
      <c r="B108" s="28"/>
      <c r="C108" s="29"/>
      <c r="D108" s="29"/>
      <c r="E108" s="38"/>
      <c r="F108" s="29"/>
      <c r="G108" s="34"/>
      <c r="H108" s="29"/>
      <c r="I108" s="35"/>
      <c r="J108" s="29"/>
      <c r="K108" s="29"/>
      <c r="L108" s="36"/>
      <c r="M108" s="29"/>
      <c r="N108" s="37"/>
      <c r="O108" s="30" t="n">
        <f aca="false">N108*J108</f>
        <v>0</v>
      </c>
    </row>
    <row r="109" customFormat="false" ht="15" hidden="false" customHeight="false" outlineLevel="0" collapsed="false">
      <c r="A109" s="33"/>
      <c r="B109" s="28"/>
      <c r="C109" s="29"/>
      <c r="D109" s="29"/>
      <c r="E109" s="29"/>
      <c r="F109" s="29"/>
      <c r="G109" s="34"/>
      <c r="H109" s="29"/>
      <c r="I109" s="35"/>
      <c r="J109" s="29"/>
      <c r="K109" s="29"/>
      <c r="L109" s="36"/>
      <c r="M109" s="29"/>
      <c r="N109" s="37"/>
      <c r="O109" s="30" t="n">
        <f aca="false">N109*J109</f>
        <v>0</v>
      </c>
    </row>
    <row r="110" customFormat="false" ht="15" hidden="false" customHeight="false" outlineLevel="0" collapsed="false">
      <c r="A110" s="33"/>
      <c r="B110" s="28"/>
      <c r="C110" s="29"/>
      <c r="D110" s="29"/>
      <c r="E110" s="29"/>
      <c r="F110" s="29"/>
      <c r="G110" s="34"/>
      <c r="H110" s="29"/>
      <c r="I110" s="35"/>
      <c r="J110" s="29"/>
      <c r="K110" s="29"/>
      <c r="L110" s="36"/>
      <c r="M110" s="29"/>
      <c r="N110" s="37"/>
      <c r="O110" s="30" t="n">
        <f aca="false">N110*J110</f>
        <v>0</v>
      </c>
    </row>
    <row r="111" customFormat="false" ht="15" hidden="false" customHeight="false" outlineLevel="0" collapsed="false">
      <c r="A111" s="33"/>
      <c r="B111" s="28"/>
      <c r="C111" s="29"/>
      <c r="D111" s="29"/>
      <c r="E111" s="38"/>
      <c r="F111" s="29"/>
      <c r="G111" s="34"/>
      <c r="H111" s="29"/>
      <c r="I111" s="35"/>
      <c r="J111" s="29"/>
      <c r="K111" s="29"/>
      <c r="L111" s="36"/>
      <c r="M111" s="29"/>
      <c r="N111" s="37"/>
      <c r="O111" s="30" t="n">
        <f aca="false">N111*J111</f>
        <v>0</v>
      </c>
    </row>
    <row r="112" customFormat="false" ht="15" hidden="false" customHeight="false" outlineLevel="0" collapsed="false">
      <c r="A112" s="33"/>
      <c r="B112" s="28"/>
      <c r="C112" s="29"/>
      <c r="D112" s="29"/>
      <c r="E112" s="38"/>
      <c r="F112" s="29"/>
      <c r="G112" s="34"/>
      <c r="H112" s="29"/>
      <c r="I112" s="35"/>
      <c r="J112" s="29"/>
      <c r="K112" s="29"/>
      <c r="L112" s="36"/>
      <c r="M112" s="29"/>
      <c r="N112" s="37"/>
      <c r="O112" s="30" t="n">
        <f aca="false">N112*J112</f>
        <v>0</v>
      </c>
    </row>
    <row r="113" customFormat="false" ht="15" hidden="false" customHeight="false" outlineLevel="0" collapsed="false">
      <c r="A113" s="33"/>
      <c r="B113" s="28"/>
      <c r="C113" s="29"/>
      <c r="D113" s="29"/>
      <c r="E113" s="38"/>
      <c r="F113" s="29"/>
      <c r="G113" s="34"/>
      <c r="H113" s="29"/>
      <c r="I113" s="35"/>
      <c r="J113" s="29"/>
      <c r="K113" s="29"/>
      <c r="L113" s="36"/>
      <c r="M113" s="29"/>
      <c r="N113" s="37"/>
      <c r="O113" s="30" t="n">
        <f aca="false">N113*J113</f>
        <v>0</v>
      </c>
    </row>
    <row r="114" customFormat="false" ht="15" hidden="false" customHeight="false" outlineLevel="0" collapsed="false">
      <c r="A114" s="33"/>
      <c r="B114" s="28"/>
      <c r="C114" s="29"/>
      <c r="D114" s="29"/>
      <c r="E114" s="38"/>
      <c r="F114" s="29"/>
      <c r="G114" s="34"/>
      <c r="H114" s="29"/>
      <c r="I114" s="35"/>
      <c r="J114" s="29"/>
      <c r="K114" s="29"/>
      <c r="L114" s="36"/>
      <c r="M114" s="29"/>
      <c r="N114" s="37"/>
      <c r="O114" s="30" t="n">
        <f aca="false">N114*J114</f>
        <v>0</v>
      </c>
    </row>
    <row r="115" customFormat="false" ht="15" hidden="false" customHeight="false" outlineLevel="0" collapsed="false">
      <c r="A115" s="33"/>
      <c r="B115" s="28"/>
      <c r="C115" s="29"/>
      <c r="D115" s="29"/>
      <c r="E115" s="38"/>
      <c r="F115" s="29"/>
      <c r="G115" s="34"/>
      <c r="H115" s="29"/>
      <c r="I115" s="35"/>
      <c r="J115" s="29"/>
      <c r="K115" s="29"/>
      <c r="L115" s="36"/>
      <c r="M115" s="29"/>
      <c r="N115" s="37"/>
      <c r="O115" s="30" t="n">
        <f aca="false">N115*J115</f>
        <v>0</v>
      </c>
    </row>
    <row r="116" customFormat="false" ht="15" hidden="false" customHeight="false" outlineLevel="0" collapsed="false">
      <c r="A116" s="33"/>
      <c r="B116" s="28"/>
      <c r="C116" s="29"/>
      <c r="D116" s="29"/>
      <c r="E116" s="38"/>
      <c r="F116" s="29"/>
      <c r="G116" s="34"/>
      <c r="H116" s="29"/>
      <c r="I116" s="35"/>
      <c r="J116" s="29"/>
      <c r="K116" s="29"/>
      <c r="L116" s="36"/>
      <c r="M116" s="29"/>
      <c r="N116" s="37"/>
      <c r="O116" s="30" t="n">
        <f aca="false">N116*J116</f>
        <v>0</v>
      </c>
    </row>
    <row r="117" customFormat="false" ht="15" hidden="false" customHeight="false" outlineLevel="0" collapsed="false">
      <c r="A117" s="33"/>
      <c r="B117" s="28"/>
      <c r="C117" s="29"/>
      <c r="D117" s="29"/>
      <c r="E117" s="38"/>
      <c r="F117" s="29"/>
      <c r="G117" s="34"/>
      <c r="H117" s="29"/>
      <c r="I117" s="35"/>
      <c r="J117" s="29"/>
      <c r="K117" s="29"/>
      <c r="L117" s="36"/>
      <c r="M117" s="29"/>
      <c r="N117" s="37"/>
      <c r="O117" s="30" t="n">
        <f aca="false">N117*J117</f>
        <v>0</v>
      </c>
    </row>
    <row r="118" customFormat="false" ht="15" hidden="false" customHeight="false" outlineLevel="0" collapsed="false">
      <c r="A118" s="33"/>
      <c r="B118" s="28"/>
      <c r="C118" s="29"/>
      <c r="D118" s="29"/>
      <c r="E118" s="38"/>
      <c r="F118" s="29"/>
      <c r="G118" s="34"/>
      <c r="H118" s="29"/>
      <c r="I118" s="35"/>
      <c r="J118" s="29"/>
      <c r="K118" s="29"/>
      <c r="L118" s="36"/>
      <c r="M118" s="29"/>
      <c r="N118" s="37"/>
      <c r="O118" s="30" t="n">
        <f aca="false">N118*J118</f>
        <v>0</v>
      </c>
    </row>
    <row r="119" customFormat="false" ht="15" hidden="false" customHeight="false" outlineLevel="0" collapsed="false">
      <c r="A119" s="33"/>
      <c r="B119" s="18"/>
      <c r="C119" s="29"/>
      <c r="D119" s="29"/>
      <c r="E119" s="38"/>
      <c r="F119" s="29"/>
      <c r="G119" s="34"/>
      <c r="H119" s="29"/>
      <c r="I119" s="35"/>
      <c r="J119" s="29"/>
      <c r="K119" s="29"/>
      <c r="L119" s="36"/>
      <c r="M119" s="29"/>
      <c r="N119" s="37"/>
      <c r="O119" s="30" t="n">
        <f aca="false">N119*J119</f>
        <v>0</v>
      </c>
    </row>
    <row r="120" customFormat="false" ht="15" hidden="false" customHeight="false" outlineLevel="0" collapsed="false">
      <c r="A120" s="33"/>
      <c r="B120" s="18"/>
      <c r="C120" s="29"/>
      <c r="D120" s="29"/>
      <c r="E120" s="38"/>
      <c r="F120" s="29"/>
      <c r="G120" s="34"/>
      <c r="H120" s="29"/>
      <c r="I120" s="35"/>
      <c r="J120" s="29"/>
      <c r="K120" s="29"/>
      <c r="L120" s="36"/>
      <c r="M120" s="29"/>
      <c r="N120" s="37"/>
      <c r="O120" s="30" t="n">
        <f aca="false">N120*J120</f>
        <v>0</v>
      </c>
    </row>
    <row r="121" customFormat="false" ht="15" hidden="false" customHeight="false" outlineLevel="0" collapsed="false">
      <c r="A121" s="33"/>
      <c r="B121" s="18"/>
      <c r="C121" s="29"/>
      <c r="D121" s="29"/>
      <c r="E121" s="38"/>
      <c r="F121" s="29"/>
      <c r="G121" s="34"/>
      <c r="H121" s="29"/>
      <c r="I121" s="35"/>
      <c r="J121" s="29"/>
      <c r="K121" s="29"/>
      <c r="L121" s="36"/>
      <c r="M121" s="29"/>
      <c r="N121" s="37"/>
      <c r="O121" s="30" t="n">
        <f aca="false">N121*J121</f>
        <v>0</v>
      </c>
    </row>
    <row r="122" customFormat="false" ht="15" hidden="false" customHeight="false" outlineLevel="0" collapsed="false">
      <c r="A122" s="33"/>
      <c r="B122" s="18" t="s">
        <v>19</v>
      </c>
      <c r="C122" s="29"/>
      <c r="D122" s="29"/>
      <c r="E122" s="29"/>
      <c r="F122" s="29"/>
      <c r="G122" s="34"/>
      <c r="H122" s="29"/>
      <c r="I122" s="35"/>
      <c r="J122" s="29"/>
      <c r="K122" s="29"/>
      <c r="L122" s="36"/>
      <c r="M122" s="29"/>
      <c r="N122" s="37"/>
      <c r="O122" s="30" t="n">
        <f aca="false">N122*J122</f>
        <v>0</v>
      </c>
    </row>
    <row r="123" customFormat="false" ht="15" hidden="false" customHeight="false" outlineLevel="0" collapsed="false">
      <c r="A123" s="33"/>
      <c r="B123" s="18" t="s">
        <v>19</v>
      </c>
      <c r="C123" s="29"/>
      <c r="D123" s="29"/>
      <c r="E123" s="29"/>
      <c r="F123" s="29"/>
      <c r="G123" s="34"/>
      <c r="H123" s="29"/>
      <c r="I123" s="35"/>
      <c r="J123" s="29"/>
      <c r="K123" s="29"/>
      <c r="L123" s="36"/>
      <c r="M123" s="29"/>
      <c r="N123" s="37"/>
      <c r="O123" s="30" t="n">
        <f aca="false">N123*J123</f>
        <v>0</v>
      </c>
    </row>
    <row r="124" customFormat="false" ht="15" hidden="false" customHeight="false" outlineLevel="0" collapsed="false">
      <c r="A124" s="33"/>
      <c r="B124" s="18" t="s">
        <v>19</v>
      </c>
      <c r="C124" s="29"/>
      <c r="D124" s="29"/>
      <c r="E124" s="29"/>
      <c r="F124" s="29"/>
      <c r="G124" s="34"/>
      <c r="H124" s="29"/>
      <c r="I124" s="35"/>
      <c r="J124" s="29"/>
      <c r="K124" s="29"/>
      <c r="L124" s="36"/>
      <c r="M124" s="29"/>
      <c r="N124" s="37"/>
      <c r="O124" s="30" t="n">
        <f aca="false">N124*J124</f>
        <v>0</v>
      </c>
    </row>
    <row r="125" customFormat="false" ht="15" hidden="false" customHeight="false" outlineLevel="0" collapsed="false">
      <c r="A125" s="33"/>
      <c r="B125" s="18" t="s">
        <v>19</v>
      </c>
      <c r="C125" s="29"/>
      <c r="D125" s="29"/>
      <c r="E125" s="29"/>
      <c r="F125" s="29"/>
      <c r="G125" s="34"/>
      <c r="H125" s="29"/>
      <c r="I125" s="35"/>
      <c r="J125" s="29"/>
      <c r="K125" s="29"/>
      <c r="L125" s="36"/>
      <c r="M125" s="29"/>
      <c r="N125" s="37"/>
      <c r="O125" s="30" t="n">
        <f aca="false">N125*J125</f>
        <v>0</v>
      </c>
    </row>
    <row r="126" customFormat="false" ht="15" hidden="false" customHeight="false" outlineLevel="0" collapsed="false">
      <c r="A126" s="33"/>
      <c r="B126" s="18" t="s">
        <v>19</v>
      </c>
      <c r="C126" s="29"/>
      <c r="D126" s="29"/>
      <c r="E126" s="29"/>
      <c r="F126" s="29"/>
      <c r="G126" s="34"/>
      <c r="H126" s="29"/>
      <c r="I126" s="35"/>
      <c r="J126" s="29"/>
      <c r="K126" s="29"/>
      <c r="L126" s="36"/>
      <c r="M126" s="29"/>
      <c r="N126" s="37"/>
      <c r="O126" s="30" t="n">
        <f aca="false">N126*J126</f>
        <v>0</v>
      </c>
    </row>
    <row r="127" customFormat="false" ht="15" hidden="false" customHeight="false" outlineLevel="0" collapsed="false">
      <c r="A127" s="33"/>
      <c r="B127" s="18" t="s">
        <v>19</v>
      </c>
      <c r="C127" s="29"/>
      <c r="D127" s="29"/>
      <c r="E127" s="29"/>
      <c r="F127" s="29"/>
      <c r="G127" s="34"/>
      <c r="H127" s="29"/>
      <c r="I127" s="35"/>
      <c r="J127" s="29"/>
      <c r="K127" s="29"/>
      <c r="L127" s="36"/>
      <c r="M127" s="29"/>
      <c r="N127" s="37"/>
      <c r="O127" s="30" t="n">
        <f aca="false">N127*J127</f>
        <v>0</v>
      </c>
    </row>
    <row r="128" customFormat="false" ht="15" hidden="false" customHeight="false" outlineLevel="0" collapsed="false">
      <c r="A128" s="33"/>
      <c r="B128" s="18" t="s">
        <v>19</v>
      </c>
      <c r="C128" s="29"/>
      <c r="D128" s="29"/>
      <c r="E128" s="29"/>
      <c r="F128" s="29"/>
      <c r="G128" s="34"/>
      <c r="H128" s="29"/>
      <c r="I128" s="35"/>
      <c r="J128" s="29"/>
      <c r="K128" s="29"/>
      <c r="L128" s="36"/>
      <c r="M128" s="29"/>
      <c r="N128" s="37"/>
      <c r="O128" s="30" t="n">
        <f aca="false">N128*J128</f>
        <v>0</v>
      </c>
    </row>
    <row r="129" customFormat="false" ht="15" hidden="false" customHeight="false" outlineLevel="0" collapsed="false">
      <c r="A129" s="33"/>
      <c r="B129" s="18" t="s">
        <v>19</v>
      </c>
      <c r="C129" s="29"/>
      <c r="D129" s="29"/>
      <c r="E129" s="29"/>
      <c r="F129" s="29"/>
      <c r="G129" s="34"/>
      <c r="H129" s="29"/>
      <c r="I129" s="35"/>
      <c r="J129" s="29"/>
      <c r="K129" s="29"/>
      <c r="L129" s="36"/>
      <c r="M129" s="29"/>
      <c r="N129" s="37"/>
      <c r="O129" s="30" t="n">
        <f aca="false">N129*J129</f>
        <v>0</v>
      </c>
    </row>
    <row r="130" customFormat="false" ht="15" hidden="false" customHeight="false" outlineLevel="0" collapsed="false">
      <c r="A130" s="33"/>
      <c r="B130" s="18" t="s">
        <v>19</v>
      </c>
      <c r="C130" s="29"/>
      <c r="D130" s="29"/>
      <c r="E130" s="29"/>
      <c r="F130" s="29"/>
      <c r="G130" s="34"/>
      <c r="H130" s="29"/>
      <c r="I130" s="35"/>
      <c r="J130" s="29"/>
      <c r="K130" s="29"/>
      <c r="L130" s="36"/>
      <c r="M130" s="29"/>
      <c r="N130" s="37"/>
      <c r="O130" s="30" t="n">
        <f aca="false">N130*J130</f>
        <v>0</v>
      </c>
    </row>
    <row r="131" customFormat="false" ht="15" hidden="false" customHeight="false" outlineLevel="0" collapsed="false">
      <c r="A131" s="33"/>
      <c r="B131" s="18" t="s">
        <v>19</v>
      </c>
      <c r="C131" s="29"/>
      <c r="D131" s="29"/>
      <c r="E131" s="29"/>
      <c r="F131" s="29"/>
      <c r="G131" s="34"/>
      <c r="H131" s="29"/>
      <c r="I131" s="35"/>
      <c r="J131" s="29"/>
      <c r="K131" s="29"/>
      <c r="L131" s="36"/>
      <c r="M131" s="29"/>
      <c r="N131" s="37"/>
      <c r="O131" s="30" t="n">
        <f aca="false">N131*J131</f>
        <v>0</v>
      </c>
    </row>
    <row r="132" customFormat="false" ht="15" hidden="false" customHeight="false" outlineLevel="0" collapsed="false">
      <c r="A132" s="33"/>
      <c r="B132" s="18"/>
      <c r="C132" s="29"/>
      <c r="D132" s="29"/>
      <c r="E132" s="29"/>
      <c r="F132" s="29"/>
      <c r="G132" s="34"/>
      <c r="H132" s="29"/>
      <c r="I132" s="35"/>
      <c r="J132" s="29"/>
      <c r="K132" s="29"/>
      <c r="L132" s="36"/>
      <c r="M132" s="29"/>
      <c r="N132" s="37"/>
      <c r="O132" s="30" t="n">
        <f aca="false">N132*J132</f>
        <v>0</v>
      </c>
    </row>
    <row r="133" customFormat="false" ht="15" hidden="false" customHeight="false" outlineLevel="0" collapsed="false">
      <c r="A133" s="33"/>
      <c r="B133" s="18"/>
      <c r="C133" s="29"/>
      <c r="D133" s="29"/>
      <c r="E133" s="29"/>
      <c r="F133" s="29"/>
      <c r="G133" s="34"/>
      <c r="H133" s="29"/>
      <c r="I133" s="35"/>
      <c r="J133" s="29"/>
      <c r="K133" s="29"/>
      <c r="L133" s="36"/>
      <c r="M133" s="29"/>
      <c r="N133" s="37"/>
      <c r="O133" s="30" t="n">
        <f aca="false">N133*J133</f>
        <v>0</v>
      </c>
    </row>
    <row r="134" customFormat="false" ht="15" hidden="false" customHeight="false" outlineLevel="0" collapsed="false">
      <c r="A134" s="33"/>
      <c r="B134" s="18"/>
      <c r="C134" s="29"/>
      <c r="D134" s="29"/>
      <c r="E134" s="29"/>
      <c r="F134" s="29"/>
      <c r="G134" s="34"/>
      <c r="H134" s="29"/>
      <c r="I134" s="35"/>
      <c r="J134" s="29"/>
      <c r="K134" s="29"/>
      <c r="L134" s="36"/>
      <c r="M134" s="29"/>
      <c r="N134" s="37"/>
      <c r="O134" s="30" t="n">
        <f aca="false">N134*J134</f>
        <v>0</v>
      </c>
    </row>
    <row r="135" customFormat="false" ht="15" hidden="false" customHeight="false" outlineLevel="0" collapsed="false">
      <c r="A135" s="33"/>
      <c r="B135" s="18"/>
      <c r="C135" s="29"/>
      <c r="D135" s="29"/>
      <c r="E135" s="29"/>
      <c r="F135" s="29"/>
      <c r="G135" s="34"/>
      <c r="H135" s="29"/>
      <c r="I135" s="35"/>
      <c r="J135" s="29"/>
      <c r="K135" s="29"/>
      <c r="L135" s="36"/>
      <c r="M135" s="29"/>
      <c r="N135" s="37"/>
      <c r="O135" s="30" t="n">
        <f aca="false">N135*J135</f>
        <v>0</v>
      </c>
    </row>
    <row r="136" customFormat="false" ht="15" hidden="false" customHeight="false" outlineLevel="0" collapsed="false">
      <c r="A136" s="33"/>
      <c r="B136" s="18"/>
      <c r="C136" s="29"/>
      <c r="D136" s="29"/>
      <c r="E136" s="29"/>
      <c r="F136" s="29"/>
      <c r="G136" s="34"/>
      <c r="H136" s="29"/>
      <c r="I136" s="35"/>
      <c r="J136" s="29"/>
      <c r="K136" s="29"/>
      <c r="L136" s="36"/>
      <c r="M136" s="29"/>
      <c r="N136" s="37"/>
      <c r="O136" s="30" t="n">
        <f aca="false">N136*J136</f>
        <v>0</v>
      </c>
    </row>
    <row r="137" customFormat="false" ht="15" hidden="false" customHeight="false" outlineLevel="0" collapsed="false">
      <c r="A137" s="33"/>
      <c r="B137" s="18"/>
      <c r="C137" s="29"/>
      <c r="D137" s="29"/>
      <c r="E137" s="29"/>
      <c r="F137" s="29"/>
      <c r="G137" s="34"/>
      <c r="H137" s="29"/>
      <c r="I137" s="35"/>
      <c r="J137" s="29"/>
      <c r="K137" s="29"/>
      <c r="L137" s="36"/>
      <c r="M137" s="29"/>
      <c r="N137" s="37"/>
      <c r="O137" s="30" t="n">
        <f aca="false">N137*J137</f>
        <v>0</v>
      </c>
    </row>
    <row r="138" customFormat="false" ht="15" hidden="false" customHeight="false" outlineLevel="0" collapsed="false">
      <c r="A138" s="33"/>
      <c r="B138" s="18"/>
      <c r="C138" s="29"/>
      <c r="D138" s="29"/>
      <c r="E138" s="29"/>
      <c r="F138" s="29"/>
      <c r="G138" s="34"/>
      <c r="H138" s="29"/>
      <c r="I138" s="35"/>
      <c r="J138" s="29"/>
      <c r="K138" s="29"/>
      <c r="L138" s="36"/>
      <c r="M138" s="29"/>
      <c r="N138" s="37"/>
      <c r="O138" s="30" t="n">
        <f aca="false">N138*J138</f>
        <v>0</v>
      </c>
    </row>
    <row r="139" customFormat="false" ht="15" hidden="false" customHeight="false" outlineLevel="0" collapsed="false">
      <c r="A139" s="33"/>
      <c r="B139" s="18"/>
      <c r="C139" s="29"/>
      <c r="D139" s="29"/>
      <c r="E139" s="29"/>
      <c r="F139" s="29"/>
      <c r="G139" s="34"/>
      <c r="H139" s="29"/>
      <c r="I139" s="35"/>
      <c r="J139" s="29"/>
      <c r="K139" s="29"/>
      <c r="L139" s="36"/>
      <c r="M139" s="29"/>
      <c r="N139" s="37"/>
      <c r="O139" s="30" t="n">
        <f aca="false">N139*J139</f>
        <v>0</v>
      </c>
    </row>
    <row r="140" customFormat="false" ht="15" hidden="false" customHeight="false" outlineLevel="0" collapsed="false">
      <c r="A140" s="33"/>
      <c r="B140" s="18"/>
      <c r="C140" s="29"/>
      <c r="D140" s="29"/>
      <c r="E140" s="29"/>
      <c r="F140" s="29"/>
      <c r="G140" s="34"/>
      <c r="H140" s="29"/>
      <c r="I140" s="35"/>
      <c r="J140" s="29"/>
      <c r="K140" s="29"/>
      <c r="L140" s="36"/>
      <c r="M140" s="29"/>
      <c r="N140" s="37"/>
      <c r="O140" s="30" t="n">
        <f aca="false">N140*J140</f>
        <v>0</v>
      </c>
    </row>
    <row r="141" customFormat="false" ht="15" hidden="false" customHeight="false" outlineLevel="0" collapsed="false">
      <c r="A141" s="33"/>
      <c r="B141" s="18"/>
      <c r="C141" s="29"/>
      <c r="D141" s="29"/>
      <c r="E141" s="29"/>
      <c r="F141" s="29"/>
      <c r="G141" s="34"/>
      <c r="H141" s="29"/>
      <c r="I141" s="35"/>
      <c r="J141" s="29"/>
      <c r="K141" s="29"/>
      <c r="L141" s="36"/>
      <c r="M141" s="29"/>
      <c r="N141" s="37"/>
      <c r="O141" s="30" t="n">
        <f aca="false">N141*J141</f>
        <v>0</v>
      </c>
    </row>
    <row r="142" customFormat="false" ht="15" hidden="false" customHeight="false" outlineLevel="0" collapsed="false">
      <c r="A142" s="33"/>
      <c r="B142" s="18"/>
      <c r="C142" s="29"/>
      <c r="D142" s="29"/>
      <c r="E142" s="29"/>
      <c r="F142" s="29"/>
      <c r="G142" s="34"/>
      <c r="H142" s="29"/>
      <c r="I142" s="35"/>
      <c r="J142" s="29"/>
      <c r="K142" s="29"/>
      <c r="L142" s="36"/>
      <c r="M142" s="29"/>
      <c r="N142" s="37"/>
      <c r="O142" s="30" t="n">
        <f aca="false">N142*J142</f>
        <v>0</v>
      </c>
    </row>
    <row r="143" customFormat="false" ht="15" hidden="false" customHeight="false" outlineLevel="0" collapsed="false">
      <c r="A143" s="33"/>
      <c r="B143" s="18"/>
      <c r="C143" s="29"/>
      <c r="D143" s="29"/>
      <c r="E143" s="29"/>
      <c r="F143" s="29"/>
      <c r="G143" s="34"/>
      <c r="H143" s="29"/>
      <c r="I143" s="35"/>
      <c r="J143" s="29"/>
      <c r="K143" s="29"/>
      <c r="L143" s="36"/>
      <c r="M143" s="29"/>
      <c r="N143" s="37"/>
      <c r="O143" s="30" t="n">
        <f aca="false">N143*J143</f>
        <v>0</v>
      </c>
    </row>
    <row r="144" customFormat="false" ht="15" hidden="false" customHeight="false" outlineLevel="0" collapsed="false">
      <c r="A144" s="33"/>
      <c r="B144" s="18"/>
      <c r="C144" s="29"/>
      <c r="D144" s="29"/>
      <c r="E144" s="29"/>
      <c r="F144" s="29"/>
      <c r="G144" s="34"/>
      <c r="H144" s="29"/>
      <c r="I144" s="35"/>
      <c r="J144" s="29"/>
      <c r="K144" s="29"/>
      <c r="L144" s="36"/>
      <c r="M144" s="29"/>
      <c r="N144" s="37"/>
      <c r="O144" s="30" t="n">
        <f aca="false">N144*J144</f>
        <v>0</v>
      </c>
    </row>
    <row r="145" customFormat="false" ht="15" hidden="false" customHeight="false" outlineLevel="0" collapsed="false">
      <c r="A145" s="33"/>
      <c r="B145" s="18"/>
      <c r="C145" s="29"/>
      <c r="D145" s="29"/>
      <c r="E145" s="29"/>
      <c r="F145" s="29"/>
      <c r="G145" s="34"/>
      <c r="H145" s="29"/>
      <c r="I145" s="35"/>
      <c r="J145" s="29"/>
      <c r="K145" s="29"/>
      <c r="L145" s="36"/>
      <c r="M145" s="29"/>
      <c r="N145" s="37"/>
      <c r="O145" s="30" t="n">
        <f aca="false">N145*J145</f>
        <v>0</v>
      </c>
    </row>
    <row r="146" customFormat="false" ht="15" hidden="false" customHeight="false" outlineLevel="0" collapsed="false">
      <c r="A146" s="33"/>
      <c r="B146" s="18"/>
      <c r="C146" s="29"/>
      <c r="D146" s="29"/>
      <c r="E146" s="29"/>
      <c r="F146" s="29"/>
      <c r="G146" s="34"/>
      <c r="H146" s="29"/>
      <c r="I146" s="35"/>
      <c r="J146" s="29"/>
      <c r="K146" s="29"/>
      <c r="L146" s="36"/>
      <c r="M146" s="29"/>
      <c r="N146" s="37"/>
      <c r="O146" s="30" t="n">
        <f aca="false">N146*J146</f>
        <v>0</v>
      </c>
    </row>
    <row r="147" customFormat="false" ht="15" hidden="false" customHeight="false" outlineLevel="0" collapsed="false">
      <c r="A147" s="33"/>
      <c r="B147" s="18"/>
      <c r="C147" s="29"/>
      <c r="D147" s="29"/>
      <c r="E147" s="29"/>
      <c r="F147" s="29"/>
      <c r="G147" s="34"/>
      <c r="H147" s="29"/>
      <c r="I147" s="35"/>
      <c r="J147" s="29"/>
      <c r="K147" s="29"/>
      <c r="L147" s="36"/>
      <c r="M147" s="29"/>
      <c r="N147" s="37"/>
      <c r="O147" s="30" t="n">
        <f aca="false">N147*J147</f>
        <v>0</v>
      </c>
    </row>
    <row r="148" customFormat="false" ht="15" hidden="false" customHeight="false" outlineLevel="0" collapsed="false">
      <c r="A148" s="33"/>
      <c r="B148" s="18"/>
      <c r="C148" s="29"/>
      <c r="D148" s="29"/>
      <c r="E148" s="29"/>
      <c r="F148" s="29"/>
      <c r="G148" s="34"/>
      <c r="H148" s="29"/>
      <c r="I148" s="35"/>
      <c r="J148" s="29"/>
      <c r="K148" s="29"/>
      <c r="L148" s="36"/>
      <c r="M148" s="29"/>
      <c r="N148" s="37"/>
      <c r="O148" s="30" t="n">
        <f aca="false">N148*J148</f>
        <v>0</v>
      </c>
    </row>
    <row r="149" customFormat="false" ht="15" hidden="false" customHeight="false" outlineLevel="0" collapsed="false">
      <c r="A149" s="33"/>
      <c r="B149" s="18"/>
      <c r="C149" s="29"/>
      <c r="D149" s="29"/>
      <c r="E149" s="29"/>
      <c r="F149" s="29"/>
      <c r="G149" s="34"/>
      <c r="H149" s="29"/>
      <c r="I149" s="35"/>
      <c r="J149" s="29"/>
      <c r="K149" s="29"/>
      <c r="L149" s="36"/>
      <c r="M149" s="29"/>
      <c r="N149" s="37"/>
      <c r="O149" s="30" t="n">
        <f aca="false">N149*J149</f>
        <v>0</v>
      </c>
    </row>
    <row r="150" customFormat="false" ht="15" hidden="false" customHeight="false" outlineLevel="0" collapsed="false">
      <c r="A150" s="33"/>
      <c r="B150" s="18"/>
      <c r="C150" s="29"/>
      <c r="D150" s="29"/>
      <c r="E150" s="29"/>
      <c r="F150" s="29"/>
      <c r="G150" s="34"/>
      <c r="H150" s="29"/>
      <c r="I150" s="35"/>
      <c r="J150" s="29"/>
      <c r="K150" s="29"/>
      <c r="L150" s="36"/>
      <c r="M150" s="29"/>
      <c r="N150" s="37"/>
      <c r="O150" s="30" t="n">
        <f aca="false">N150*J150</f>
        <v>0</v>
      </c>
    </row>
    <row r="151" customFormat="false" ht="15" hidden="false" customHeight="false" outlineLevel="0" collapsed="false">
      <c r="A151" s="33"/>
      <c r="B151" s="18"/>
      <c r="C151" s="29"/>
      <c r="D151" s="29"/>
      <c r="E151" s="29"/>
      <c r="F151" s="29"/>
      <c r="G151" s="34"/>
      <c r="H151" s="29"/>
      <c r="I151" s="35"/>
      <c r="J151" s="29"/>
      <c r="K151" s="29"/>
      <c r="L151" s="36"/>
      <c r="M151" s="29"/>
      <c r="N151" s="37"/>
      <c r="O151" s="30" t="n">
        <f aca="false">N151*J151</f>
        <v>0</v>
      </c>
    </row>
    <row r="152" customFormat="false" ht="15" hidden="false" customHeight="false" outlineLevel="0" collapsed="false">
      <c r="A152" s="33"/>
      <c r="B152" s="18"/>
      <c r="C152" s="29"/>
      <c r="D152" s="29"/>
      <c r="E152" s="29"/>
      <c r="F152" s="29"/>
      <c r="G152" s="34"/>
      <c r="H152" s="29"/>
      <c r="I152" s="35"/>
      <c r="J152" s="29"/>
      <c r="K152" s="29"/>
      <c r="L152" s="36"/>
      <c r="M152" s="29"/>
      <c r="N152" s="37"/>
      <c r="O152" s="30" t="n">
        <f aca="false">N152*J152</f>
        <v>0</v>
      </c>
    </row>
    <row r="153" customFormat="false" ht="15" hidden="false" customHeight="false" outlineLevel="0" collapsed="false">
      <c r="A153" s="33"/>
      <c r="B153" s="18"/>
      <c r="C153" s="29"/>
      <c r="D153" s="29"/>
      <c r="E153" s="29"/>
      <c r="F153" s="29"/>
      <c r="G153" s="34"/>
      <c r="H153" s="29"/>
      <c r="I153" s="35"/>
      <c r="J153" s="29"/>
      <c r="K153" s="29"/>
      <c r="L153" s="36"/>
      <c r="M153" s="29"/>
      <c r="N153" s="37"/>
      <c r="O153" s="30" t="n">
        <f aca="false">N153*J153</f>
        <v>0</v>
      </c>
    </row>
    <row r="154" customFormat="false" ht="15" hidden="false" customHeight="false" outlineLevel="0" collapsed="false">
      <c r="A154" s="33"/>
      <c r="B154" s="18"/>
      <c r="C154" s="29"/>
      <c r="D154" s="29"/>
      <c r="E154" s="29"/>
      <c r="F154" s="29"/>
      <c r="G154" s="34"/>
      <c r="H154" s="29"/>
      <c r="I154" s="35"/>
      <c r="J154" s="29"/>
      <c r="K154" s="29"/>
      <c r="L154" s="36"/>
      <c r="M154" s="29"/>
      <c r="N154" s="37"/>
      <c r="O154" s="30" t="n">
        <f aca="false">N154*J154</f>
        <v>0</v>
      </c>
    </row>
    <row r="155" customFormat="false" ht="15" hidden="false" customHeight="false" outlineLevel="0" collapsed="false">
      <c r="A155" s="33"/>
      <c r="B155" s="18"/>
      <c r="C155" s="29"/>
      <c r="D155" s="29"/>
      <c r="E155" s="29"/>
      <c r="F155" s="29"/>
      <c r="G155" s="34"/>
      <c r="H155" s="29"/>
      <c r="I155" s="35"/>
      <c r="J155" s="29"/>
      <c r="K155" s="29"/>
      <c r="L155" s="36"/>
      <c r="M155" s="29"/>
      <c r="N155" s="37"/>
      <c r="O155" s="30" t="n">
        <f aca="false">N155*J155</f>
        <v>0</v>
      </c>
    </row>
    <row r="156" customFormat="false" ht="15" hidden="false" customHeight="false" outlineLevel="0" collapsed="false">
      <c r="A156" s="33"/>
      <c r="B156" s="18"/>
      <c r="C156" s="29"/>
      <c r="D156" s="29"/>
      <c r="E156" s="29"/>
      <c r="F156" s="29"/>
      <c r="G156" s="34"/>
      <c r="H156" s="29"/>
      <c r="I156" s="35"/>
      <c r="J156" s="29"/>
      <c r="K156" s="29"/>
      <c r="L156" s="36"/>
      <c r="M156" s="29"/>
      <c r="N156" s="37"/>
      <c r="O156" s="30" t="n">
        <f aca="false">N156*J156</f>
        <v>0</v>
      </c>
    </row>
    <row r="157" customFormat="false" ht="15" hidden="false" customHeight="false" outlineLevel="0" collapsed="false">
      <c r="A157" s="33"/>
      <c r="B157" s="18"/>
      <c r="C157" s="29"/>
      <c r="D157" s="29"/>
      <c r="E157" s="29"/>
      <c r="F157" s="29"/>
      <c r="G157" s="36"/>
      <c r="H157" s="29"/>
      <c r="I157" s="35"/>
      <c r="J157" s="29"/>
      <c r="K157" s="29"/>
      <c r="L157" s="36"/>
      <c r="M157" s="29"/>
      <c r="N157" s="37"/>
      <c r="O157" s="30" t="n">
        <f aca="false">N157*J157</f>
        <v>0</v>
      </c>
    </row>
    <row r="158" customFormat="false" ht="15" hidden="false" customHeight="false" outlineLevel="0" collapsed="false">
      <c r="A158" s="33"/>
      <c r="B158" s="18"/>
      <c r="C158" s="29"/>
      <c r="D158" s="29"/>
      <c r="E158" s="29"/>
      <c r="F158" s="29"/>
      <c r="G158" s="34"/>
      <c r="H158" s="29"/>
      <c r="I158" s="35"/>
      <c r="J158" s="29"/>
      <c r="K158" s="29"/>
      <c r="L158" s="36"/>
      <c r="M158" s="29"/>
      <c r="N158" s="37"/>
      <c r="O158" s="30" t="n">
        <f aca="false">N158*J158</f>
        <v>0</v>
      </c>
    </row>
    <row r="159" customFormat="false" ht="15" hidden="false" customHeight="false" outlineLevel="0" collapsed="false">
      <c r="A159" s="33"/>
      <c r="B159" s="18"/>
      <c r="C159" s="29"/>
      <c r="D159" s="29"/>
      <c r="E159" s="29"/>
      <c r="F159" s="29"/>
      <c r="G159" s="34"/>
      <c r="H159" s="29"/>
      <c r="I159" s="35"/>
      <c r="J159" s="29"/>
      <c r="K159" s="29"/>
      <c r="L159" s="36"/>
      <c r="M159" s="29"/>
      <c r="N159" s="37"/>
      <c r="O159" s="30" t="n">
        <f aca="false">N159*J159</f>
        <v>0</v>
      </c>
    </row>
    <row r="160" customFormat="false" ht="15" hidden="false" customHeight="false" outlineLevel="0" collapsed="false">
      <c r="A160" s="33"/>
      <c r="B160" s="18"/>
      <c r="C160" s="29"/>
      <c r="D160" s="29"/>
      <c r="E160" s="29"/>
      <c r="F160" s="29"/>
      <c r="G160" s="34"/>
      <c r="H160" s="29"/>
      <c r="I160" s="35"/>
      <c r="J160" s="29"/>
      <c r="K160" s="29"/>
      <c r="L160" s="36"/>
      <c r="M160" s="29"/>
      <c r="N160" s="37"/>
      <c r="O160" s="30" t="n">
        <f aca="false">N160*J160</f>
        <v>0</v>
      </c>
    </row>
    <row r="161" customFormat="false" ht="15" hidden="false" customHeight="false" outlineLevel="0" collapsed="false">
      <c r="A161" s="33"/>
      <c r="B161" s="18" t="s">
        <v>20</v>
      </c>
      <c r="C161" s="29"/>
      <c r="D161" s="29"/>
      <c r="E161" s="29"/>
      <c r="F161" s="29"/>
      <c r="G161" s="34"/>
      <c r="H161" s="29"/>
      <c r="I161" s="35"/>
      <c r="J161" s="29"/>
      <c r="K161" s="29"/>
      <c r="L161" s="36"/>
      <c r="M161" s="29"/>
      <c r="N161" s="37"/>
      <c r="O161" s="30" t="n">
        <f aca="false">N161*J161</f>
        <v>0</v>
      </c>
    </row>
    <row r="162" customFormat="false" ht="15" hidden="false" customHeight="false" outlineLevel="0" collapsed="false">
      <c r="A162" s="33"/>
      <c r="B162" s="18" t="s">
        <v>20</v>
      </c>
      <c r="C162" s="29"/>
      <c r="D162" s="29"/>
      <c r="E162" s="29"/>
      <c r="F162" s="29"/>
      <c r="G162" s="34"/>
      <c r="H162" s="29"/>
      <c r="I162" s="35"/>
      <c r="J162" s="29"/>
      <c r="K162" s="29"/>
      <c r="L162" s="36"/>
      <c r="M162" s="29"/>
      <c r="N162" s="37"/>
      <c r="O162" s="30" t="n">
        <f aca="false">N162*J162</f>
        <v>0</v>
      </c>
    </row>
    <row r="163" customFormat="false" ht="15" hidden="false" customHeight="false" outlineLevel="0" collapsed="false">
      <c r="A163" s="33"/>
      <c r="B163" s="18" t="s">
        <v>20</v>
      </c>
      <c r="C163" s="29"/>
      <c r="D163" s="29"/>
      <c r="E163" s="29"/>
      <c r="F163" s="29"/>
      <c r="G163" s="34"/>
      <c r="H163" s="29"/>
      <c r="I163" s="35"/>
      <c r="J163" s="29"/>
      <c r="K163" s="29"/>
      <c r="L163" s="36"/>
      <c r="M163" s="29"/>
      <c r="N163" s="37"/>
      <c r="O163" s="30" t="n">
        <f aca="false">N163*J163</f>
        <v>0</v>
      </c>
    </row>
    <row r="164" customFormat="false" ht="15" hidden="false" customHeight="false" outlineLevel="0" collapsed="false">
      <c r="A164" s="33"/>
      <c r="B164" s="18" t="s">
        <v>20</v>
      </c>
      <c r="C164" s="29"/>
      <c r="D164" s="29"/>
      <c r="E164" s="29"/>
      <c r="F164" s="29"/>
      <c r="G164" s="34"/>
      <c r="H164" s="29"/>
      <c r="I164" s="35"/>
      <c r="J164" s="29"/>
      <c r="K164" s="29"/>
      <c r="L164" s="36"/>
      <c r="M164" s="29"/>
      <c r="N164" s="37"/>
      <c r="O164" s="30" t="n">
        <f aca="false">N164*J164</f>
        <v>0</v>
      </c>
    </row>
    <row r="165" customFormat="false" ht="15" hidden="false" customHeight="false" outlineLevel="0" collapsed="false">
      <c r="A165" s="33"/>
      <c r="B165" s="18" t="s">
        <v>20</v>
      </c>
      <c r="C165" s="29"/>
      <c r="D165" s="29"/>
      <c r="E165" s="29"/>
      <c r="F165" s="29"/>
      <c r="G165" s="34"/>
      <c r="H165" s="29"/>
      <c r="I165" s="35"/>
      <c r="J165" s="29"/>
      <c r="K165" s="29"/>
      <c r="L165" s="36"/>
      <c r="M165" s="29"/>
      <c r="N165" s="37"/>
      <c r="O165" s="30" t="n">
        <f aca="false">N165*J165</f>
        <v>0</v>
      </c>
    </row>
    <row r="166" customFormat="false" ht="15" hidden="false" customHeight="false" outlineLevel="0" collapsed="false">
      <c r="A166" s="33"/>
      <c r="B166" s="18" t="s">
        <v>20</v>
      </c>
      <c r="C166" s="29"/>
      <c r="D166" s="29"/>
      <c r="E166" s="29"/>
      <c r="F166" s="29"/>
      <c r="G166" s="34"/>
      <c r="H166" s="29"/>
      <c r="I166" s="35"/>
      <c r="J166" s="29"/>
      <c r="K166" s="29"/>
      <c r="L166" s="36"/>
      <c r="M166" s="29"/>
      <c r="N166" s="37"/>
      <c r="O166" s="30" t="n">
        <f aca="false">N166*J166</f>
        <v>0</v>
      </c>
    </row>
    <row r="167" customFormat="false" ht="15" hidden="false" customHeight="false" outlineLevel="0" collapsed="false">
      <c r="A167" s="33"/>
      <c r="B167" s="18" t="s">
        <v>20</v>
      </c>
      <c r="C167" s="29"/>
      <c r="D167" s="29"/>
      <c r="E167" s="29"/>
      <c r="F167" s="29"/>
      <c r="G167" s="34"/>
      <c r="H167" s="29"/>
      <c r="I167" s="35"/>
      <c r="J167" s="29"/>
      <c r="K167" s="29"/>
      <c r="L167" s="36"/>
      <c r="M167" s="29"/>
      <c r="N167" s="37"/>
      <c r="O167" s="30" t="n">
        <f aca="false">N167*J167</f>
        <v>0</v>
      </c>
    </row>
    <row r="168" customFormat="false" ht="15" hidden="false" customHeight="false" outlineLevel="0" collapsed="false">
      <c r="A168" s="33"/>
      <c r="B168" s="18" t="s">
        <v>20</v>
      </c>
      <c r="C168" s="29"/>
      <c r="D168" s="29"/>
      <c r="E168" s="29"/>
      <c r="F168" s="29"/>
      <c r="G168" s="34"/>
      <c r="H168" s="29"/>
      <c r="I168" s="35"/>
      <c r="J168" s="29"/>
      <c r="K168" s="29"/>
      <c r="L168" s="36"/>
      <c r="M168" s="29"/>
      <c r="N168" s="37"/>
      <c r="O168" s="30" t="n">
        <f aca="false">N168*J168</f>
        <v>0</v>
      </c>
    </row>
    <row r="169" customFormat="false" ht="15" hidden="false" customHeight="false" outlineLevel="0" collapsed="false">
      <c r="A169" s="33"/>
      <c r="B169" s="18" t="s">
        <v>20</v>
      </c>
      <c r="C169" s="29"/>
      <c r="D169" s="29"/>
      <c r="E169" s="29"/>
      <c r="F169" s="29"/>
      <c r="G169" s="34"/>
      <c r="H169" s="29"/>
      <c r="I169" s="35"/>
      <c r="J169" s="29"/>
      <c r="K169" s="29"/>
      <c r="L169" s="36"/>
      <c r="M169" s="29"/>
      <c r="N169" s="37"/>
      <c r="O169" s="30" t="n">
        <f aca="false">N169*J169</f>
        <v>0</v>
      </c>
    </row>
    <row r="170" customFormat="false" ht="15" hidden="false" customHeight="false" outlineLevel="0" collapsed="false">
      <c r="A170" s="33"/>
      <c r="B170" s="18" t="s">
        <v>20</v>
      </c>
      <c r="C170" s="29"/>
      <c r="D170" s="29"/>
      <c r="E170" s="29"/>
      <c r="F170" s="29"/>
      <c r="G170" s="34"/>
      <c r="H170" s="29"/>
      <c r="I170" s="35"/>
      <c r="J170" s="29"/>
      <c r="K170" s="29"/>
      <c r="L170" s="36"/>
      <c r="M170" s="29"/>
      <c r="N170" s="37"/>
      <c r="O170" s="30" t="n">
        <f aca="false">N170*J170</f>
        <v>0</v>
      </c>
    </row>
    <row r="171" customFormat="false" ht="15" hidden="false" customHeight="false" outlineLevel="0" collapsed="false">
      <c r="A171" s="33"/>
      <c r="B171" s="18" t="s">
        <v>20</v>
      </c>
      <c r="C171" s="29"/>
      <c r="D171" s="29"/>
      <c r="E171" s="29"/>
      <c r="F171" s="29"/>
      <c r="G171" s="34"/>
      <c r="H171" s="29"/>
      <c r="I171" s="35"/>
      <c r="J171" s="29"/>
      <c r="K171" s="29"/>
      <c r="L171" s="36"/>
      <c r="M171" s="29"/>
      <c r="N171" s="37"/>
      <c r="O171" s="30" t="n">
        <f aca="false">N171*J171</f>
        <v>0</v>
      </c>
    </row>
    <row r="172" customFormat="false" ht="15" hidden="false" customHeight="false" outlineLevel="0" collapsed="false">
      <c r="A172" s="33"/>
      <c r="B172" s="18" t="s">
        <v>20</v>
      </c>
      <c r="C172" s="29"/>
      <c r="D172" s="29"/>
      <c r="E172" s="29"/>
      <c r="F172" s="29"/>
      <c r="G172" s="34"/>
      <c r="H172" s="29"/>
      <c r="I172" s="35"/>
      <c r="J172" s="29"/>
      <c r="K172" s="29"/>
      <c r="L172" s="36"/>
      <c r="M172" s="29"/>
      <c r="N172" s="37"/>
      <c r="O172" s="30" t="n">
        <f aca="false">N172*J172</f>
        <v>0</v>
      </c>
    </row>
    <row r="173" customFormat="false" ht="15" hidden="false" customHeight="false" outlineLevel="0" collapsed="false">
      <c r="A173" s="33"/>
      <c r="B173" s="18" t="s">
        <v>20</v>
      </c>
      <c r="C173" s="29"/>
      <c r="D173" s="29"/>
      <c r="E173" s="29"/>
      <c r="F173" s="29"/>
      <c r="G173" s="34"/>
      <c r="H173" s="29"/>
      <c r="I173" s="35"/>
      <c r="J173" s="29"/>
      <c r="K173" s="29"/>
      <c r="L173" s="36"/>
      <c r="M173" s="29"/>
      <c r="N173" s="37"/>
      <c r="O173" s="30" t="n">
        <f aca="false">N173*J173</f>
        <v>0</v>
      </c>
    </row>
    <row r="174" customFormat="false" ht="15" hidden="false" customHeight="false" outlineLevel="0" collapsed="false">
      <c r="A174" s="33"/>
      <c r="B174" s="18" t="s">
        <v>20</v>
      </c>
      <c r="C174" s="29"/>
      <c r="D174" s="29"/>
      <c r="E174" s="29"/>
      <c r="F174" s="29"/>
      <c r="G174" s="34"/>
      <c r="H174" s="29"/>
      <c r="I174" s="35"/>
      <c r="J174" s="29"/>
      <c r="K174" s="29"/>
      <c r="L174" s="36"/>
      <c r="M174" s="29"/>
      <c r="N174" s="37"/>
      <c r="O174" s="30" t="n">
        <f aca="false">N174*J174</f>
        <v>0</v>
      </c>
    </row>
    <row r="175" customFormat="false" ht="15" hidden="false" customHeight="false" outlineLevel="0" collapsed="false">
      <c r="A175" s="33"/>
      <c r="B175" s="18" t="s">
        <v>20</v>
      </c>
      <c r="C175" s="29"/>
      <c r="D175" s="29"/>
      <c r="E175" s="29"/>
      <c r="F175" s="29"/>
      <c r="G175" s="34"/>
      <c r="H175" s="29"/>
      <c r="I175" s="35"/>
      <c r="J175" s="29"/>
      <c r="K175" s="29"/>
      <c r="L175" s="36"/>
      <c r="M175" s="29"/>
      <c r="N175" s="37"/>
      <c r="O175" s="30" t="n">
        <f aca="false">N175*J175</f>
        <v>0</v>
      </c>
    </row>
    <row r="176" customFormat="false" ht="15" hidden="false" customHeight="false" outlineLevel="0" collapsed="false">
      <c r="A176" s="33"/>
      <c r="B176" s="18" t="s">
        <v>20</v>
      </c>
      <c r="C176" s="29"/>
      <c r="D176" s="29"/>
      <c r="E176" s="29"/>
      <c r="F176" s="29"/>
      <c r="G176" s="34"/>
      <c r="H176" s="29"/>
      <c r="I176" s="35"/>
      <c r="J176" s="29"/>
      <c r="K176" s="29"/>
      <c r="L176" s="36"/>
      <c r="M176" s="29"/>
      <c r="N176" s="37"/>
      <c r="O176" s="30" t="n">
        <f aca="false">N176*J176</f>
        <v>0</v>
      </c>
    </row>
    <row r="177" customFormat="false" ht="15" hidden="false" customHeight="false" outlineLevel="0" collapsed="false">
      <c r="A177" s="33"/>
      <c r="B177" s="18" t="s">
        <v>20</v>
      </c>
      <c r="C177" s="29"/>
      <c r="D177" s="29"/>
      <c r="E177" s="29"/>
      <c r="F177" s="29"/>
      <c r="G177" s="34"/>
      <c r="H177" s="29"/>
      <c r="I177" s="35"/>
      <c r="J177" s="29"/>
      <c r="K177" s="29"/>
      <c r="L177" s="36"/>
      <c r="M177" s="29"/>
      <c r="N177" s="37"/>
      <c r="O177" s="30" t="n">
        <f aca="false">N177*J177</f>
        <v>0</v>
      </c>
    </row>
    <row r="178" customFormat="false" ht="15" hidden="false" customHeight="false" outlineLevel="0" collapsed="false">
      <c r="A178" s="33"/>
      <c r="B178" s="18" t="s">
        <v>20</v>
      </c>
      <c r="C178" s="29"/>
      <c r="D178" s="29"/>
      <c r="E178" s="29"/>
      <c r="F178" s="29"/>
      <c r="G178" s="34"/>
      <c r="H178" s="29"/>
      <c r="I178" s="35"/>
      <c r="J178" s="29"/>
      <c r="K178" s="29"/>
      <c r="L178" s="36"/>
      <c r="M178" s="29"/>
      <c r="N178" s="39"/>
      <c r="O178" s="40" t="n">
        <f aca="false">N178*J178</f>
        <v>0</v>
      </c>
      <c r="P178" s="39"/>
    </row>
    <row r="179" customFormat="false" ht="15" hidden="false" customHeight="false" outlineLevel="0" collapsed="false">
      <c r="A179" s="33"/>
      <c r="B179" s="18" t="s">
        <v>20</v>
      </c>
      <c r="C179" s="29"/>
      <c r="D179" s="29"/>
      <c r="E179" s="29"/>
      <c r="F179" s="29"/>
      <c r="G179" s="34"/>
      <c r="H179" s="29"/>
      <c r="I179" s="35"/>
      <c r="J179" s="29"/>
      <c r="K179" s="29"/>
      <c r="L179" s="36"/>
      <c r="M179" s="29"/>
      <c r="N179" s="39"/>
      <c r="O179" s="40" t="n">
        <f aca="false">N179*J179</f>
        <v>0</v>
      </c>
      <c r="P179" s="39"/>
    </row>
    <row r="180" customFormat="false" ht="15" hidden="false" customHeight="false" outlineLevel="0" collapsed="false">
      <c r="A180" s="33"/>
      <c r="B180" s="18" t="s">
        <v>20</v>
      </c>
      <c r="C180" s="29"/>
      <c r="D180" s="29"/>
      <c r="E180" s="29"/>
      <c r="F180" s="29"/>
      <c r="G180" s="34"/>
      <c r="H180" s="29"/>
      <c r="I180" s="35"/>
      <c r="J180" s="29"/>
      <c r="K180" s="29"/>
      <c r="L180" s="36"/>
      <c r="M180" s="29"/>
      <c r="N180" s="39"/>
      <c r="O180" s="40" t="n">
        <f aca="false">N180*J180</f>
        <v>0</v>
      </c>
      <c r="P180" s="39"/>
    </row>
    <row r="181" customFormat="false" ht="15" hidden="false" customHeight="false" outlineLevel="0" collapsed="false">
      <c r="A181" s="33"/>
      <c r="B181" s="18" t="s">
        <v>20</v>
      </c>
      <c r="C181" s="29"/>
      <c r="D181" s="29"/>
      <c r="E181" s="29"/>
      <c r="F181" s="29"/>
      <c r="G181" s="34"/>
      <c r="H181" s="29"/>
      <c r="I181" s="35"/>
      <c r="J181" s="29"/>
      <c r="K181" s="29"/>
      <c r="L181" s="36"/>
      <c r="M181" s="29"/>
      <c r="N181" s="37"/>
      <c r="O181" s="30" t="n">
        <f aca="false">N181*J181</f>
        <v>0</v>
      </c>
    </row>
    <row r="182" customFormat="false" ht="15" hidden="false" customHeight="false" outlineLevel="0" collapsed="false">
      <c r="A182" s="33"/>
      <c r="B182" s="18" t="s">
        <v>20</v>
      </c>
      <c r="C182" s="29"/>
      <c r="D182" s="29"/>
      <c r="E182" s="29"/>
      <c r="F182" s="29"/>
      <c r="G182" s="34"/>
      <c r="H182" s="29"/>
      <c r="I182" s="35"/>
      <c r="J182" s="29"/>
      <c r="K182" s="29"/>
      <c r="L182" s="36"/>
      <c r="M182" s="29"/>
      <c r="N182" s="37"/>
      <c r="O182" s="30" t="n">
        <f aca="false">N182*J182</f>
        <v>0</v>
      </c>
    </row>
    <row r="183" customFormat="false" ht="15" hidden="false" customHeight="false" outlineLevel="0" collapsed="false">
      <c r="A183" s="33"/>
      <c r="B183" s="18" t="s">
        <v>20</v>
      </c>
      <c r="C183" s="29"/>
      <c r="D183" s="29"/>
      <c r="E183" s="29"/>
      <c r="F183" s="29"/>
      <c r="G183" s="34"/>
      <c r="H183" s="29"/>
      <c r="I183" s="35"/>
      <c r="J183" s="29"/>
      <c r="K183" s="29"/>
      <c r="L183" s="36"/>
      <c r="M183" s="29"/>
      <c r="N183" s="37"/>
      <c r="O183" s="30" t="n">
        <f aca="false">N183*J183</f>
        <v>0</v>
      </c>
    </row>
    <row r="184" customFormat="false" ht="15" hidden="false" customHeight="false" outlineLevel="0" collapsed="false">
      <c r="A184" s="33"/>
      <c r="B184" s="18" t="s">
        <v>20</v>
      </c>
      <c r="C184" s="29"/>
      <c r="D184" s="29"/>
      <c r="E184" s="29"/>
      <c r="F184" s="29"/>
      <c r="G184" s="34"/>
      <c r="H184" s="29"/>
      <c r="I184" s="35"/>
      <c r="J184" s="29"/>
      <c r="K184" s="29"/>
      <c r="L184" s="36"/>
      <c r="M184" s="29"/>
      <c r="N184" s="37"/>
      <c r="O184" s="30" t="n">
        <f aca="false">N184*J184</f>
        <v>0</v>
      </c>
    </row>
    <row r="185" customFormat="false" ht="15" hidden="false" customHeight="false" outlineLevel="0" collapsed="false">
      <c r="A185" s="33"/>
      <c r="B185" s="18" t="s">
        <v>20</v>
      </c>
      <c r="C185" s="29"/>
      <c r="D185" s="29"/>
      <c r="E185" s="29"/>
      <c r="F185" s="29"/>
      <c r="G185" s="34"/>
      <c r="H185" s="29"/>
      <c r="I185" s="35"/>
      <c r="J185" s="29"/>
      <c r="K185" s="29"/>
      <c r="L185" s="36"/>
      <c r="M185" s="29"/>
      <c r="N185" s="37"/>
      <c r="O185" s="30" t="n">
        <f aca="false">N185*J185</f>
        <v>0</v>
      </c>
    </row>
    <row r="186" customFormat="false" ht="15" hidden="false" customHeight="false" outlineLevel="0" collapsed="false">
      <c r="A186" s="33"/>
      <c r="B186" s="18" t="s">
        <v>20</v>
      </c>
      <c r="C186" s="29"/>
      <c r="D186" s="29"/>
      <c r="E186" s="29"/>
      <c r="F186" s="29"/>
      <c r="G186" s="34"/>
      <c r="H186" s="29"/>
      <c r="I186" s="35"/>
      <c r="J186" s="29"/>
      <c r="K186" s="29"/>
      <c r="L186" s="36"/>
      <c r="M186" s="29"/>
      <c r="N186" s="37"/>
      <c r="O186" s="30" t="n">
        <f aca="false">N186*J186</f>
        <v>0</v>
      </c>
    </row>
    <row r="187" customFormat="false" ht="15" hidden="false" customHeight="false" outlineLevel="0" collapsed="false">
      <c r="A187" s="33"/>
      <c r="B187" s="18" t="s">
        <v>20</v>
      </c>
      <c r="C187" s="29"/>
      <c r="D187" s="29"/>
      <c r="E187" s="29"/>
      <c r="F187" s="29"/>
      <c r="G187" s="34"/>
      <c r="H187" s="29"/>
      <c r="I187" s="35"/>
      <c r="J187" s="29"/>
      <c r="K187" s="29"/>
      <c r="L187" s="36"/>
      <c r="M187" s="29"/>
      <c r="N187" s="37"/>
      <c r="O187" s="30" t="n">
        <f aca="false">N187*J187</f>
        <v>0</v>
      </c>
    </row>
    <row r="188" customFormat="false" ht="15" hidden="false" customHeight="false" outlineLevel="0" collapsed="false">
      <c r="A188" s="33"/>
      <c r="B188" s="18" t="s">
        <v>20</v>
      </c>
      <c r="C188" s="29"/>
      <c r="D188" s="29"/>
      <c r="E188" s="29"/>
      <c r="F188" s="29"/>
      <c r="G188" s="34"/>
      <c r="H188" s="29"/>
      <c r="I188" s="35"/>
      <c r="J188" s="29"/>
      <c r="K188" s="29"/>
      <c r="L188" s="36"/>
      <c r="M188" s="29"/>
      <c r="N188" s="37"/>
      <c r="O188" s="30" t="n">
        <f aca="false">N188*J188</f>
        <v>0</v>
      </c>
    </row>
    <row r="189" customFormat="false" ht="15" hidden="false" customHeight="false" outlineLevel="0" collapsed="false">
      <c r="A189" s="33"/>
      <c r="B189" s="18" t="s">
        <v>20</v>
      </c>
      <c r="C189" s="29"/>
      <c r="D189" s="29"/>
      <c r="E189" s="29"/>
      <c r="F189" s="29"/>
      <c r="G189" s="34"/>
      <c r="H189" s="29"/>
      <c r="I189" s="35"/>
      <c r="J189" s="29"/>
      <c r="K189" s="29"/>
      <c r="L189" s="36"/>
      <c r="M189" s="29"/>
      <c r="N189" s="39"/>
      <c r="O189" s="40" t="n">
        <f aca="false">N189*J189</f>
        <v>0</v>
      </c>
      <c r="P189" s="39"/>
    </row>
    <row r="190" customFormat="false" ht="15" hidden="false" customHeight="false" outlineLevel="0" collapsed="false">
      <c r="A190" s="33"/>
      <c r="B190" s="18" t="s">
        <v>20</v>
      </c>
      <c r="C190" s="29"/>
      <c r="D190" s="29"/>
      <c r="E190" s="29"/>
      <c r="F190" s="29"/>
      <c r="G190" s="34"/>
      <c r="H190" s="29"/>
      <c r="I190" s="35"/>
      <c r="J190" s="29"/>
      <c r="K190" s="29"/>
      <c r="L190" s="36"/>
      <c r="M190" s="29"/>
      <c r="N190" s="39"/>
      <c r="O190" s="40" t="n">
        <f aca="false">N190*J190</f>
        <v>0</v>
      </c>
      <c r="P190" s="39"/>
    </row>
    <row r="191" customFormat="false" ht="15" hidden="false" customHeight="false" outlineLevel="0" collapsed="false">
      <c r="A191" s="33"/>
      <c r="B191" s="18" t="s">
        <v>20</v>
      </c>
      <c r="C191" s="29"/>
      <c r="D191" s="29"/>
      <c r="E191" s="29"/>
      <c r="F191" s="29"/>
      <c r="G191" s="34"/>
      <c r="H191" s="29"/>
      <c r="I191" s="35"/>
      <c r="J191" s="29"/>
      <c r="K191" s="29"/>
      <c r="L191" s="36"/>
      <c r="M191" s="29"/>
      <c r="N191" s="39"/>
      <c r="O191" s="40" t="n">
        <f aca="false">N191*J191</f>
        <v>0</v>
      </c>
      <c r="P191" s="39"/>
    </row>
    <row r="192" customFormat="false" ht="15" hidden="false" customHeight="false" outlineLevel="0" collapsed="false">
      <c r="A192" s="33"/>
      <c r="B192" s="18" t="s">
        <v>20</v>
      </c>
      <c r="C192" s="33"/>
      <c r="D192" s="29"/>
      <c r="E192" s="29"/>
      <c r="F192" s="29"/>
      <c r="G192" s="34"/>
      <c r="H192" s="29"/>
      <c r="I192" s="35"/>
      <c r="J192" s="29"/>
      <c r="K192" s="29"/>
      <c r="L192" s="36"/>
      <c r="M192" s="29"/>
      <c r="N192" s="39"/>
      <c r="O192" s="40" t="n">
        <f aca="false">N192*J192</f>
        <v>0</v>
      </c>
      <c r="P192" s="39"/>
    </row>
    <row r="193" customFormat="false" ht="15" hidden="false" customHeight="false" outlineLevel="0" collapsed="false">
      <c r="A193" s="33"/>
      <c r="B193" s="18" t="s">
        <v>20</v>
      </c>
      <c r="C193" s="29"/>
      <c r="D193" s="29"/>
      <c r="E193" s="29"/>
      <c r="F193" s="29"/>
      <c r="G193" s="34"/>
      <c r="H193" s="29"/>
      <c r="I193" s="35"/>
      <c r="J193" s="29"/>
      <c r="K193" s="29"/>
      <c r="L193" s="36"/>
      <c r="M193" s="29"/>
      <c r="N193" s="37"/>
      <c r="O193" s="30" t="n">
        <f aca="false">N193*J193</f>
        <v>0</v>
      </c>
    </row>
    <row r="194" customFormat="false" ht="15" hidden="false" customHeight="false" outlineLevel="0" collapsed="false">
      <c r="A194" s="33"/>
      <c r="B194" s="18" t="s">
        <v>20</v>
      </c>
      <c r="C194" s="29"/>
      <c r="D194" s="29"/>
      <c r="E194" s="29"/>
      <c r="F194" s="29"/>
      <c r="G194" s="34"/>
      <c r="H194" s="29"/>
      <c r="I194" s="35"/>
      <c r="J194" s="29"/>
      <c r="K194" s="29"/>
      <c r="L194" s="36"/>
      <c r="M194" s="29"/>
      <c r="N194" s="37"/>
      <c r="O194" s="30" t="n">
        <f aca="false">N194*J194</f>
        <v>0</v>
      </c>
    </row>
    <row r="195" customFormat="false" ht="15" hidden="false" customHeight="false" outlineLevel="0" collapsed="false">
      <c r="A195" s="33"/>
      <c r="B195" s="18" t="s">
        <v>20</v>
      </c>
      <c r="C195" s="29"/>
      <c r="D195" s="29"/>
      <c r="E195" s="29"/>
      <c r="F195" s="29"/>
      <c r="G195" s="34"/>
      <c r="H195" s="29"/>
      <c r="I195" s="35"/>
      <c r="J195" s="29"/>
      <c r="K195" s="29"/>
      <c r="L195" s="36"/>
      <c r="M195" s="29"/>
      <c r="N195" s="37"/>
      <c r="O195" s="30" t="n">
        <f aca="false">N195*J195</f>
        <v>0</v>
      </c>
    </row>
    <row r="196" customFormat="false" ht="15" hidden="false" customHeight="false" outlineLevel="0" collapsed="false">
      <c r="A196" s="33"/>
      <c r="B196" s="18" t="s">
        <v>20</v>
      </c>
      <c r="C196" s="29"/>
      <c r="D196" s="29"/>
      <c r="E196" s="29"/>
      <c r="F196" s="29"/>
      <c r="G196" s="34"/>
      <c r="H196" s="29"/>
      <c r="I196" s="35"/>
      <c r="J196" s="29"/>
      <c r="K196" s="29"/>
      <c r="L196" s="36"/>
      <c r="M196" s="29"/>
      <c r="N196" s="39"/>
      <c r="O196" s="40" t="n">
        <f aca="false">N196*J196</f>
        <v>0</v>
      </c>
      <c r="P196" s="39"/>
    </row>
    <row r="197" customFormat="false" ht="15" hidden="false" customHeight="false" outlineLevel="0" collapsed="false">
      <c r="A197" s="33"/>
      <c r="B197" s="18" t="s">
        <v>20</v>
      </c>
      <c r="C197" s="29"/>
      <c r="D197" s="29"/>
      <c r="E197" s="29"/>
      <c r="F197" s="29"/>
      <c r="G197" s="34"/>
      <c r="H197" s="29"/>
      <c r="I197" s="35"/>
      <c r="J197" s="29"/>
      <c r="K197" s="29"/>
      <c r="L197" s="36"/>
      <c r="M197" s="29"/>
      <c r="N197" s="39"/>
      <c r="O197" s="40" t="n">
        <f aca="false">N197*J197</f>
        <v>0</v>
      </c>
      <c r="P197" s="39"/>
    </row>
    <row r="198" customFormat="false" ht="15" hidden="false" customHeight="false" outlineLevel="0" collapsed="false">
      <c r="A198" s="33"/>
      <c r="B198" s="18" t="s">
        <v>20</v>
      </c>
      <c r="C198" s="33"/>
      <c r="D198" s="29"/>
      <c r="E198" s="29"/>
      <c r="F198" s="29"/>
      <c r="G198" s="34"/>
      <c r="H198" s="29"/>
      <c r="I198" s="35"/>
      <c r="J198" s="29"/>
      <c r="K198" s="29"/>
      <c r="L198" s="36"/>
      <c r="M198" s="29"/>
      <c r="N198" s="39"/>
      <c r="O198" s="40" t="n">
        <f aca="false">N198*J198</f>
        <v>0</v>
      </c>
      <c r="P198" s="39"/>
    </row>
    <row r="199" customFormat="false" ht="15" hidden="false" customHeight="false" outlineLevel="0" collapsed="false">
      <c r="A199" s="33"/>
      <c r="B199" s="18" t="s">
        <v>20</v>
      </c>
      <c r="C199" s="29"/>
      <c r="D199" s="29"/>
      <c r="E199" s="29"/>
      <c r="F199" s="29"/>
      <c r="G199" s="34"/>
      <c r="H199" s="29"/>
      <c r="I199" s="35"/>
      <c r="J199" s="29"/>
      <c r="K199" s="29"/>
      <c r="L199" s="36"/>
      <c r="M199" s="29"/>
      <c r="N199" s="37"/>
      <c r="O199" s="30" t="n">
        <f aca="false">N199*J199</f>
        <v>0</v>
      </c>
    </row>
    <row r="200" customFormat="false" ht="15" hidden="false" customHeight="false" outlineLevel="0" collapsed="false">
      <c r="A200" s="33"/>
      <c r="B200" s="18" t="s">
        <v>20</v>
      </c>
      <c r="C200" s="41"/>
      <c r="D200" s="41"/>
      <c r="E200" s="41"/>
      <c r="F200" s="34"/>
      <c r="G200" s="34"/>
      <c r="H200" s="29"/>
      <c r="I200" s="35"/>
      <c r="J200" s="29"/>
      <c r="K200" s="29"/>
      <c r="L200" s="36"/>
      <c r="M200" s="29"/>
      <c r="N200" s="37"/>
      <c r="O200" s="30" t="n">
        <f aca="false">N200*J200</f>
        <v>0</v>
      </c>
    </row>
    <row r="201" customFormat="false" ht="15" hidden="false" customHeight="false" outlineLevel="0" collapsed="false">
      <c r="A201" s="33"/>
      <c r="B201" s="18" t="s">
        <v>20</v>
      </c>
      <c r="C201" s="29"/>
      <c r="D201" s="29"/>
      <c r="E201" s="29"/>
      <c r="F201" s="29"/>
      <c r="G201" s="34"/>
      <c r="H201" s="29"/>
      <c r="I201" s="35"/>
      <c r="J201" s="29"/>
      <c r="K201" s="29"/>
      <c r="L201" s="36"/>
      <c r="M201" s="29"/>
      <c r="N201" s="37"/>
      <c r="O201" s="30" t="n">
        <f aca="false">N201*J201</f>
        <v>0</v>
      </c>
    </row>
    <row r="202" customFormat="false" ht="15" hidden="false" customHeight="false" outlineLevel="0" collapsed="false">
      <c r="A202" s="33"/>
      <c r="B202" s="18" t="s">
        <v>20</v>
      </c>
      <c r="C202" s="29"/>
      <c r="D202" s="29"/>
      <c r="E202" s="29"/>
      <c r="F202" s="29"/>
      <c r="G202" s="34"/>
      <c r="H202" s="29"/>
      <c r="I202" s="35"/>
      <c r="J202" s="29"/>
      <c r="K202" s="29"/>
      <c r="L202" s="36"/>
      <c r="M202" s="29"/>
      <c r="N202" s="37"/>
      <c r="O202" s="30" t="n">
        <f aca="false">N202*J202</f>
        <v>0</v>
      </c>
    </row>
    <row r="203" customFormat="false" ht="15" hidden="false" customHeight="false" outlineLevel="0" collapsed="false">
      <c r="A203" s="33"/>
      <c r="B203" s="18" t="s">
        <v>20</v>
      </c>
      <c r="C203" s="29"/>
      <c r="D203" s="29"/>
      <c r="E203" s="29"/>
      <c r="F203" s="29"/>
      <c r="G203" s="34"/>
      <c r="H203" s="29"/>
      <c r="I203" s="35"/>
      <c r="J203" s="29"/>
      <c r="K203" s="29"/>
      <c r="L203" s="36"/>
      <c r="M203" s="29"/>
      <c r="N203" s="37"/>
      <c r="O203" s="30" t="n">
        <f aca="false">N203*J203</f>
        <v>0</v>
      </c>
    </row>
    <row r="204" customFormat="false" ht="15" hidden="false" customHeight="false" outlineLevel="0" collapsed="false">
      <c r="A204" s="33"/>
      <c r="B204" s="18" t="s">
        <v>20</v>
      </c>
      <c r="C204" s="29"/>
      <c r="D204" s="29"/>
      <c r="E204" s="29"/>
      <c r="F204" s="29"/>
      <c r="G204" s="34"/>
      <c r="H204" s="29"/>
      <c r="I204" s="35"/>
      <c r="J204" s="29"/>
      <c r="K204" s="29"/>
      <c r="L204" s="36"/>
      <c r="M204" s="29"/>
      <c r="N204" s="39"/>
      <c r="O204" s="40" t="n">
        <f aca="false">N204*J204</f>
        <v>0</v>
      </c>
      <c r="P204" s="39"/>
    </row>
    <row r="205" customFormat="false" ht="15" hidden="false" customHeight="false" outlineLevel="0" collapsed="false">
      <c r="A205" s="33"/>
      <c r="B205" s="18" t="s">
        <v>20</v>
      </c>
      <c r="C205" s="29"/>
      <c r="D205" s="29"/>
      <c r="E205" s="29"/>
      <c r="F205" s="29"/>
      <c r="G205" s="34"/>
      <c r="H205" s="29"/>
      <c r="I205" s="35"/>
      <c r="J205" s="29"/>
      <c r="K205" s="29"/>
      <c r="L205" s="36"/>
      <c r="M205" s="29"/>
      <c r="N205" s="39"/>
      <c r="O205" s="40" t="n">
        <f aca="false">N205*J205</f>
        <v>0</v>
      </c>
      <c r="P205" s="39"/>
    </row>
    <row r="206" customFormat="false" ht="15" hidden="false" customHeight="false" outlineLevel="0" collapsed="false">
      <c r="A206" s="33"/>
      <c r="B206" s="18" t="s">
        <v>20</v>
      </c>
      <c r="C206" s="29"/>
      <c r="D206" s="29"/>
      <c r="E206" s="29"/>
      <c r="F206" s="29"/>
      <c r="G206" s="34"/>
      <c r="H206" s="29"/>
      <c r="I206" s="35"/>
      <c r="J206" s="29"/>
      <c r="K206" s="29"/>
      <c r="L206" s="36"/>
      <c r="M206" s="29"/>
      <c r="N206" s="39"/>
      <c r="O206" s="40" t="n">
        <f aca="false">N206*J206</f>
        <v>0</v>
      </c>
      <c r="P206" s="39"/>
    </row>
    <row r="207" customFormat="false" ht="15" hidden="false" customHeight="false" outlineLevel="0" collapsed="false">
      <c r="A207" s="33"/>
      <c r="B207" s="18" t="s">
        <v>20</v>
      </c>
      <c r="C207" s="29"/>
      <c r="D207" s="29"/>
      <c r="E207" s="29"/>
      <c r="F207" s="29"/>
      <c r="G207" s="34"/>
      <c r="H207" s="29"/>
      <c r="I207" s="35"/>
      <c r="J207" s="29"/>
      <c r="K207" s="29"/>
      <c r="L207" s="36"/>
      <c r="M207" s="29"/>
      <c r="N207" s="37"/>
      <c r="O207" s="30" t="n">
        <f aca="false">N207*J207</f>
        <v>0</v>
      </c>
    </row>
    <row r="208" customFormat="false" ht="15" hidden="false" customHeight="false" outlineLevel="0" collapsed="false">
      <c r="A208" s="33"/>
      <c r="B208" s="18" t="s">
        <v>20</v>
      </c>
      <c r="C208" s="29"/>
      <c r="D208" s="29"/>
      <c r="E208" s="29"/>
      <c r="F208" s="29"/>
      <c r="G208" s="34"/>
      <c r="H208" s="29"/>
      <c r="I208" s="35"/>
      <c r="J208" s="29"/>
      <c r="K208" s="29"/>
      <c r="L208" s="36"/>
      <c r="M208" s="29"/>
      <c r="N208" s="37"/>
      <c r="O208" s="30" t="n">
        <f aca="false">N208*J208</f>
        <v>0</v>
      </c>
    </row>
    <row r="209" customFormat="false" ht="15" hidden="false" customHeight="false" outlineLevel="0" collapsed="false">
      <c r="A209" s="33"/>
      <c r="B209" s="18" t="s">
        <v>20</v>
      </c>
      <c r="C209" s="29"/>
      <c r="D209" s="29"/>
      <c r="E209" s="29"/>
      <c r="F209" s="29"/>
      <c r="G209" s="34"/>
      <c r="H209" s="29"/>
      <c r="I209" s="35"/>
      <c r="J209" s="29"/>
      <c r="K209" s="29"/>
      <c r="L209" s="36"/>
      <c r="M209" s="29"/>
      <c r="N209" s="37"/>
      <c r="O209" s="30" t="n">
        <f aca="false">N209*J209</f>
        <v>0</v>
      </c>
    </row>
    <row r="210" customFormat="false" ht="15" hidden="false" customHeight="false" outlineLevel="0" collapsed="false">
      <c r="A210" s="33"/>
      <c r="B210" s="18" t="s">
        <v>20</v>
      </c>
      <c r="C210" s="29"/>
      <c r="D210" s="29"/>
      <c r="E210" s="29"/>
      <c r="F210" s="29"/>
      <c r="G210" s="34"/>
      <c r="H210" s="29"/>
      <c r="I210" s="35"/>
      <c r="J210" s="29"/>
      <c r="K210" s="29"/>
      <c r="L210" s="36"/>
      <c r="M210" s="29"/>
      <c r="N210" s="37"/>
      <c r="O210" s="30" t="n">
        <f aca="false">N210*J210</f>
        <v>0</v>
      </c>
    </row>
    <row r="211" customFormat="false" ht="15" hidden="false" customHeight="false" outlineLevel="0" collapsed="false">
      <c r="A211" s="33"/>
      <c r="B211" s="18" t="s">
        <v>20</v>
      </c>
      <c r="C211" s="29"/>
      <c r="D211" s="29"/>
      <c r="E211" s="29"/>
      <c r="F211" s="29"/>
      <c r="G211" s="34"/>
      <c r="H211" s="29"/>
      <c r="I211" s="35"/>
      <c r="J211" s="29"/>
      <c r="K211" s="29"/>
      <c r="L211" s="36"/>
      <c r="M211" s="29"/>
      <c r="N211" s="37"/>
      <c r="O211" s="30" t="n">
        <f aca="false">N211*J211</f>
        <v>0</v>
      </c>
    </row>
    <row r="212" customFormat="false" ht="15" hidden="false" customHeight="false" outlineLevel="0" collapsed="false">
      <c r="A212" s="33"/>
      <c r="B212" s="18" t="s">
        <v>20</v>
      </c>
      <c r="C212" s="29"/>
      <c r="D212" s="29"/>
      <c r="E212" s="29"/>
      <c r="F212" s="29"/>
      <c r="G212" s="34"/>
      <c r="H212" s="29"/>
      <c r="I212" s="35"/>
      <c r="J212" s="29"/>
      <c r="K212" s="29"/>
      <c r="L212" s="36"/>
      <c r="M212" s="29"/>
      <c r="N212" s="39"/>
      <c r="O212" s="40" t="n">
        <f aca="false">N212*J212</f>
        <v>0</v>
      </c>
      <c r="P212" s="39"/>
    </row>
    <row r="213" customFormat="false" ht="15" hidden="false" customHeight="false" outlineLevel="0" collapsed="false">
      <c r="A213" s="33"/>
      <c r="B213" s="18" t="s">
        <v>20</v>
      </c>
      <c r="C213" s="29"/>
      <c r="D213" s="29"/>
      <c r="E213" s="29"/>
      <c r="F213" s="29"/>
      <c r="G213" s="34"/>
      <c r="H213" s="29"/>
      <c r="I213" s="35"/>
      <c r="J213" s="29"/>
      <c r="K213" s="29"/>
      <c r="L213" s="36"/>
      <c r="M213" s="29"/>
      <c r="N213" s="39"/>
      <c r="O213" s="40" t="n">
        <f aca="false">N213*J213</f>
        <v>0</v>
      </c>
      <c r="P213" s="39"/>
    </row>
    <row r="214" customFormat="false" ht="15" hidden="false" customHeight="false" outlineLevel="0" collapsed="false">
      <c r="A214" s="33"/>
      <c r="B214" s="18" t="s">
        <v>20</v>
      </c>
      <c r="C214" s="29"/>
      <c r="D214" s="29"/>
      <c r="E214" s="29"/>
      <c r="F214" s="29"/>
      <c r="G214" s="34"/>
      <c r="H214" s="29"/>
      <c r="I214" s="35"/>
      <c r="J214" s="29"/>
      <c r="K214" s="29"/>
      <c r="L214" s="36"/>
      <c r="M214" s="29"/>
      <c r="N214" s="39"/>
      <c r="O214" s="40" t="n">
        <f aca="false">N214*J214</f>
        <v>0</v>
      </c>
      <c r="P214" s="39"/>
    </row>
    <row r="215" customFormat="false" ht="15" hidden="false" customHeight="false" outlineLevel="0" collapsed="false">
      <c r="A215" s="33"/>
      <c r="B215" s="18" t="s">
        <v>20</v>
      </c>
      <c r="C215" s="29"/>
      <c r="D215" s="29"/>
      <c r="E215" s="29"/>
      <c r="F215" s="29"/>
      <c r="G215" s="34"/>
      <c r="H215" s="29"/>
      <c r="I215" s="35"/>
      <c r="J215" s="29"/>
      <c r="K215" s="29"/>
      <c r="L215" s="36"/>
      <c r="M215" s="29"/>
      <c r="N215" s="37"/>
      <c r="O215" s="30" t="n">
        <f aca="false">N215*J215</f>
        <v>0</v>
      </c>
    </row>
    <row r="216" customFormat="false" ht="15" hidden="false" customHeight="false" outlineLevel="0" collapsed="false">
      <c r="A216" s="33"/>
      <c r="B216" s="18" t="s">
        <v>20</v>
      </c>
      <c r="C216" s="29"/>
      <c r="D216" s="29"/>
      <c r="E216" s="29"/>
      <c r="F216" s="29"/>
      <c r="G216" s="34"/>
      <c r="H216" s="29"/>
      <c r="I216" s="35"/>
      <c r="J216" s="29"/>
      <c r="K216" s="29"/>
      <c r="L216" s="36"/>
      <c r="M216" s="29"/>
      <c r="N216" s="37"/>
      <c r="O216" s="30" t="n">
        <f aca="false">N216*J216</f>
        <v>0</v>
      </c>
    </row>
    <row r="217" customFormat="false" ht="15" hidden="false" customHeight="false" outlineLevel="0" collapsed="false">
      <c r="A217" s="33"/>
      <c r="B217" s="18" t="s">
        <v>20</v>
      </c>
      <c r="C217" s="29"/>
      <c r="D217" s="29"/>
      <c r="E217" s="29"/>
      <c r="F217" s="29"/>
      <c r="G217" s="34"/>
      <c r="H217" s="29"/>
      <c r="I217" s="35"/>
      <c r="J217" s="29"/>
      <c r="K217" s="29"/>
      <c r="L217" s="36"/>
      <c r="M217" s="29"/>
      <c r="N217" s="37"/>
      <c r="O217" s="30" t="n">
        <f aca="false">N217*J217</f>
        <v>0</v>
      </c>
    </row>
    <row r="218" customFormat="false" ht="15" hidden="false" customHeight="false" outlineLevel="0" collapsed="false">
      <c r="A218" s="33"/>
      <c r="B218" s="18" t="s">
        <v>20</v>
      </c>
      <c r="C218" s="29"/>
      <c r="D218" s="29"/>
      <c r="E218" s="29"/>
      <c r="F218" s="29"/>
      <c r="G218" s="34"/>
      <c r="H218" s="29"/>
      <c r="I218" s="35"/>
      <c r="J218" s="29"/>
      <c r="K218" s="29"/>
      <c r="L218" s="36"/>
      <c r="M218" s="29"/>
      <c r="N218" s="37"/>
      <c r="O218" s="30" t="n">
        <f aca="false">N218*J218</f>
        <v>0</v>
      </c>
    </row>
    <row r="219" customFormat="false" ht="15" hidden="false" customHeight="false" outlineLevel="0" collapsed="false">
      <c r="A219" s="33"/>
      <c r="B219" s="18" t="s">
        <v>20</v>
      </c>
      <c r="C219" s="29"/>
      <c r="D219" s="29"/>
      <c r="E219" s="29"/>
      <c r="F219" s="29"/>
      <c r="G219" s="34"/>
      <c r="H219" s="29"/>
      <c r="I219" s="35"/>
      <c r="J219" s="29"/>
      <c r="K219" s="29"/>
      <c r="L219" s="36"/>
      <c r="M219" s="29"/>
      <c r="N219" s="37"/>
      <c r="O219" s="30" t="n">
        <f aca="false">N219*J219</f>
        <v>0</v>
      </c>
    </row>
    <row r="220" customFormat="false" ht="15" hidden="false" customHeight="false" outlineLevel="0" collapsed="false">
      <c r="A220" s="33"/>
      <c r="B220" s="18" t="s">
        <v>20</v>
      </c>
      <c r="C220" s="29"/>
      <c r="D220" s="29"/>
      <c r="E220" s="29"/>
      <c r="F220" s="29"/>
      <c r="G220" s="34"/>
      <c r="H220" s="29"/>
      <c r="I220" s="35"/>
      <c r="J220" s="29"/>
      <c r="K220" s="29"/>
      <c r="L220" s="36"/>
      <c r="M220" s="29"/>
      <c r="N220" s="37"/>
      <c r="O220" s="30" t="n">
        <f aca="false">N220*J220</f>
        <v>0</v>
      </c>
    </row>
    <row r="221" customFormat="false" ht="15" hidden="false" customHeight="false" outlineLevel="0" collapsed="false">
      <c r="A221" s="33"/>
      <c r="B221" s="18" t="s">
        <v>20</v>
      </c>
      <c r="C221" s="29"/>
      <c r="D221" s="29"/>
      <c r="E221" s="29"/>
      <c r="F221" s="29"/>
      <c r="G221" s="34"/>
      <c r="H221" s="29"/>
      <c r="I221" s="35"/>
      <c r="J221" s="29"/>
      <c r="K221" s="29"/>
      <c r="L221" s="36"/>
      <c r="M221" s="29"/>
      <c r="N221" s="37"/>
      <c r="O221" s="30" t="n">
        <f aca="false">N221*J221</f>
        <v>0</v>
      </c>
    </row>
    <row r="222" customFormat="false" ht="15" hidden="false" customHeight="false" outlineLevel="0" collapsed="false">
      <c r="A222" s="33"/>
      <c r="B222" s="18" t="s">
        <v>20</v>
      </c>
      <c r="C222" s="29"/>
      <c r="D222" s="29"/>
      <c r="E222" s="29"/>
      <c r="F222" s="29"/>
      <c r="G222" s="34"/>
      <c r="H222" s="29"/>
      <c r="I222" s="35"/>
      <c r="J222" s="29"/>
      <c r="K222" s="29"/>
      <c r="L222" s="36"/>
      <c r="M222" s="29"/>
      <c r="N222" s="39"/>
      <c r="O222" s="40" t="n">
        <f aca="false">N222*J222</f>
        <v>0</v>
      </c>
      <c r="P222" s="39"/>
    </row>
    <row r="223" customFormat="false" ht="15" hidden="false" customHeight="false" outlineLevel="0" collapsed="false">
      <c r="A223" s="33"/>
      <c r="B223" s="18" t="s">
        <v>20</v>
      </c>
      <c r="C223" s="29"/>
      <c r="D223" s="29"/>
      <c r="E223" s="29"/>
      <c r="F223" s="29"/>
      <c r="G223" s="34"/>
      <c r="H223" s="29"/>
      <c r="I223" s="35"/>
      <c r="J223" s="29"/>
      <c r="K223" s="29"/>
      <c r="L223" s="36"/>
      <c r="M223" s="29"/>
      <c r="N223" s="39"/>
      <c r="O223" s="40" t="n">
        <f aca="false">N223*J223</f>
        <v>0</v>
      </c>
      <c r="P223" s="39"/>
    </row>
    <row r="224" customFormat="false" ht="15" hidden="false" customHeight="false" outlineLevel="0" collapsed="false">
      <c r="A224" s="33"/>
      <c r="B224" s="18" t="s">
        <v>20</v>
      </c>
      <c r="C224" s="29"/>
      <c r="D224" s="29"/>
      <c r="E224" s="29"/>
      <c r="F224" s="29"/>
      <c r="G224" s="34"/>
      <c r="H224" s="29"/>
      <c r="I224" s="35"/>
      <c r="J224" s="29"/>
      <c r="K224" s="29"/>
      <c r="L224" s="36"/>
      <c r="M224" s="29"/>
      <c r="N224" s="39"/>
      <c r="O224" s="40" t="n">
        <f aca="false">N224*J224</f>
        <v>0</v>
      </c>
      <c r="P224" s="39"/>
    </row>
    <row r="225" customFormat="false" ht="15" hidden="false" customHeight="false" outlineLevel="0" collapsed="false">
      <c r="A225" s="33"/>
      <c r="B225" s="18" t="s">
        <v>20</v>
      </c>
      <c r="C225" s="29"/>
      <c r="D225" s="29"/>
      <c r="E225" s="29"/>
      <c r="F225" s="29"/>
      <c r="G225" s="34"/>
      <c r="H225" s="29"/>
      <c r="I225" s="35"/>
      <c r="J225" s="29"/>
      <c r="K225" s="29"/>
      <c r="L225" s="36"/>
      <c r="M225" s="29"/>
      <c r="N225" s="37"/>
      <c r="O225" s="30" t="n">
        <f aca="false">N225*J225</f>
        <v>0</v>
      </c>
    </row>
    <row r="226" customFormat="false" ht="15" hidden="false" customHeight="false" outlineLevel="0" collapsed="false">
      <c r="A226" s="33"/>
      <c r="B226" s="18" t="s">
        <v>20</v>
      </c>
      <c r="C226" s="29"/>
      <c r="D226" s="29"/>
      <c r="E226" s="29"/>
      <c r="F226" s="29"/>
      <c r="G226" s="34"/>
      <c r="H226" s="29"/>
      <c r="I226" s="35"/>
      <c r="J226" s="29"/>
      <c r="K226" s="29"/>
      <c r="L226" s="36"/>
      <c r="M226" s="29"/>
      <c r="N226" s="37"/>
      <c r="O226" s="30" t="n">
        <f aca="false">N226*J226</f>
        <v>0</v>
      </c>
    </row>
    <row r="227" customFormat="false" ht="15" hidden="false" customHeight="false" outlineLevel="0" collapsed="false">
      <c r="A227" s="33"/>
      <c r="B227" s="18" t="s">
        <v>20</v>
      </c>
      <c r="C227" s="29"/>
      <c r="D227" s="29"/>
      <c r="E227" s="29"/>
      <c r="F227" s="29"/>
      <c r="G227" s="34"/>
      <c r="H227" s="29"/>
      <c r="I227" s="35"/>
      <c r="J227" s="29"/>
      <c r="K227" s="29"/>
      <c r="L227" s="36"/>
      <c r="M227" s="29"/>
      <c r="N227" s="37"/>
      <c r="O227" s="30" t="n">
        <f aca="false">N227*J227</f>
        <v>0</v>
      </c>
    </row>
    <row r="228" customFormat="false" ht="15" hidden="false" customHeight="false" outlineLevel="0" collapsed="false">
      <c r="A228" s="33"/>
      <c r="B228" s="18" t="s">
        <v>20</v>
      </c>
      <c r="C228" s="29"/>
      <c r="D228" s="29"/>
      <c r="E228" s="29"/>
      <c r="F228" s="29"/>
      <c r="G228" s="34"/>
      <c r="H228" s="29"/>
      <c r="I228" s="35"/>
      <c r="J228" s="29"/>
      <c r="K228" s="29"/>
      <c r="L228" s="36"/>
      <c r="M228" s="29"/>
      <c r="N228" s="37"/>
      <c r="O228" s="30" t="n">
        <f aca="false">N228*J228</f>
        <v>0</v>
      </c>
    </row>
    <row r="229" customFormat="false" ht="15" hidden="false" customHeight="false" outlineLevel="0" collapsed="false">
      <c r="A229" s="33"/>
      <c r="B229" s="18" t="s">
        <v>20</v>
      </c>
      <c r="C229" s="29"/>
      <c r="D229" s="29"/>
      <c r="E229" s="29"/>
      <c r="F229" s="29"/>
      <c r="G229" s="34"/>
      <c r="H229" s="29"/>
      <c r="I229" s="35"/>
      <c r="J229" s="29"/>
      <c r="K229" s="29"/>
      <c r="L229" s="36"/>
      <c r="M229" s="29"/>
      <c r="N229" s="37"/>
      <c r="O229" s="30" t="n">
        <f aca="false">N229*J229</f>
        <v>0</v>
      </c>
    </row>
    <row r="230" customFormat="false" ht="15" hidden="false" customHeight="false" outlineLevel="0" collapsed="false">
      <c r="A230" s="33"/>
      <c r="B230" s="18" t="s">
        <v>20</v>
      </c>
      <c r="C230" s="29"/>
      <c r="D230" s="29"/>
      <c r="E230" s="29"/>
      <c r="F230" s="29"/>
      <c r="G230" s="34"/>
      <c r="H230" s="29"/>
      <c r="I230" s="35"/>
      <c r="J230" s="29"/>
      <c r="K230" s="29"/>
      <c r="L230" s="36"/>
      <c r="M230" s="29"/>
      <c r="N230" s="37"/>
      <c r="O230" s="30" t="n">
        <f aca="false">N230*J230</f>
        <v>0</v>
      </c>
    </row>
    <row r="231" customFormat="false" ht="15" hidden="false" customHeight="false" outlineLevel="0" collapsed="false">
      <c r="A231" s="33"/>
      <c r="B231" s="18" t="s">
        <v>20</v>
      </c>
      <c r="C231" s="29"/>
      <c r="D231" s="29"/>
      <c r="E231" s="29"/>
      <c r="F231" s="29"/>
      <c r="G231" s="34"/>
      <c r="H231" s="29"/>
      <c r="I231" s="35"/>
      <c r="J231" s="29"/>
      <c r="K231" s="29"/>
      <c r="L231" s="36"/>
      <c r="M231" s="29"/>
      <c r="N231" s="37"/>
      <c r="O231" s="30" t="n">
        <f aca="false">N231*J231</f>
        <v>0</v>
      </c>
    </row>
    <row r="232" customFormat="false" ht="15" hidden="false" customHeight="false" outlineLevel="0" collapsed="false">
      <c r="A232" s="33"/>
      <c r="B232" s="18" t="s">
        <v>20</v>
      </c>
      <c r="C232" s="29"/>
      <c r="D232" s="29"/>
      <c r="E232" s="29"/>
      <c r="F232" s="29"/>
      <c r="G232" s="34"/>
      <c r="H232" s="29"/>
      <c r="I232" s="35"/>
      <c r="J232" s="29"/>
      <c r="K232" s="29"/>
      <c r="L232" s="36"/>
      <c r="M232" s="29"/>
      <c r="N232" s="37"/>
      <c r="O232" s="30" t="n">
        <f aca="false">N232*J232</f>
        <v>0</v>
      </c>
    </row>
    <row r="233" customFormat="false" ht="15" hidden="false" customHeight="false" outlineLevel="0" collapsed="false">
      <c r="A233" s="33"/>
      <c r="B233" s="18" t="s">
        <v>20</v>
      </c>
      <c r="C233" s="29"/>
      <c r="D233" s="29"/>
      <c r="E233" s="29"/>
      <c r="F233" s="29"/>
      <c r="G233" s="34"/>
      <c r="H233" s="29"/>
      <c r="I233" s="35"/>
      <c r="J233" s="29"/>
      <c r="K233" s="29"/>
      <c r="L233" s="36"/>
      <c r="M233" s="29"/>
      <c r="N233" s="37"/>
      <c r="O233" s="30" t="n">
        <f aca="false">N233*J233</f>
        <v>0</v>
      </c>
    </row>
    <row r="234" customFormat="false" ht="15" hidden="false" customHeight="false" outlineLevel="0" collapsed="false">
      <c r="A234" s="33"/>
      <c r="B234" s="18" t="s">
        <v>20</v>
      </c>
      <c r="C234" s="29"/>
      <c r="D234" s="29"/>
      <c r="E234" s="29"/>
      <c r="F234" s="29"/>
      <c r="G234" s="34"/>
      <c r="H234" s="29"/>
      <c r="I234" s="35"/>
      <c r="J234" s="29"/>
      <c r="K234" s="29"/>
      <c r="L234" s="36"/>
      <c r="M234" s="29"/>
      <c r="N234" s="37"/>
      <c r="O234" s="30" t="n">
        <f aca="false">N234*J234</f>
        <v>0</v>
      </c>
    </row>
    <row r="235" customFormat="false" ht="15" hidden="false" customHeight="false" outlineLevel="0" collapsed="false">
      <c r="A235" s="33"/>
      <c r="B235" s="18" t="s">
        <v>20</v>
      </c>
      <c r="C235" s="29"/>
      <c r="D235" s="29"/>
      <c r="E235" s="29"/>
      <c r="F235" s="29"/>
      <c r="G235" s="34"/>
      <c r="H235" s="29"/>
      <c r="I235" s="35"/>
      <c r="J235" s="29"/>
      <c r="K235" s="29"/>
      <c r="L235" s="36"/>
      <c r="M235" s="29"/>
      <c r="N235" s="37"/>
      <c r="O235" s="30" t="n">
        <f aca="false">N235*J235</f>
        <v>0</v>
      </c>
    </row>
    <row r="236" customFormat="false" ht="15" hidden="false" customHeight="false" outlineLevel="0" collapsed="false">
      <c r="A236" s="33"/>
      <c r="B236" s="18" t="s">
        <v>20</v>
      </c>
      <c r="C236" s="29"/>
      <c r="D236" s="29"/>
      <c r="E236" s="29"/>
      <c r="F236" s="29"/>
      <c r="G236" s="34"/>
      <c r="H236" s="29"/>
      <c r="I236" s="35"/>
      <c r="J236" s="29"/>
      <c r="K236" s="29"/>
      <c r="L236" s="36"/>
      <c r="M236" s="29"/>
      <c r="N236" s="37"/>
      <c r="O236" s="30" t="n">
        <f aca="false">N236*J236</f>
        <v>0</v>
      </c>
    </row>
    <row r="237" customFormat="false" ht="15" hidden="false" customHeight="false" outlineLevel="0" collapsed="false">
      <c r="A237" s="33"/>
      <c r="B237" s="18" t="s">
        <v>20</v>
      </c>
      <c r="C237" s="29"/>
      <c r="D237" s="29"/>
      <c r="E237" s="29"/>
      <c r="F237" s="29"/>
      <c r="G237" s="34"/>
      <c r="H237" s="29"/>
      <c r="I237" s="35"/>
      <c r="J237" s="29"/>
      <c r="K237" s="29"/>
      <c r="L237" s="36"/>
      <c r="M237" s="29"/>
      <c r="N237" s="37"/>
      <c r="O237" s="30" t="n">
        <f aca="false">N237*J237</f>
        <v>0</v>
      </c>
    </row>
    <row r="238" customFormat="false" ht="15" hidden="false" customHeight="false" outlineLevel="0" collapsed="false">
      <c r="A238" s="33"/>
      <c r="B238" s="18" t="s">
        <v>20</v>
      </c>
      <c r="C238" s="29"/>
      <c r="D238" s="29"/>
      <c r="E238" s="29"/>
      <c r="F238" s="29"/>
      <c r="G238" s="34"/>
      <c r="H238" s="29"/>
      <c r="I238" s="35"/>
      <c r="J238" s="29"/>
      <c r="K238" s="29"/>
      <c r="L238" s="36"/>
      <c r="M238" s="29"/>
      <c r="N238" s="37"/>
      <c r="O238" s="30" t="n">
        <f aca="false">N238*J238</f>
        <v>0</v>
      </c>
    </row>
    <row r="239" customFormat="false" ht="15" hidden="false" customHeight="false" outlineLevel="0" collapsed="false">
      <c r="A239" s="33"/>
      <c r="B239" s="18" t="s">
        <v>20</v>
      </c>
      <c r="C239" s="29"/>
      <c r="D239" s="29"/>
      <c r="E239" s="29"/>
      <c r="F239" s="29"/>
      <c r="G239" s="34"/>
      <c r="H239" s="29"/>
      <c r="I239" s="35"/>
      <c r="J239" s="29"/>
      <c r="K239" s="29"/>
      <c r="L239" s="36"/>
      <c r="M239" s="29"/>
      <c r="N239" s="37"/>
      <c r="O239" s="30" t="n">
        <f aca="false">N239*J239</f>
        <v>0</v>
      </c>
    </row>
    <row r="240" customFormat="false" ht="15" hidden="false" customHeight="false" outlineLevel="0" collapsed="false">
      <c r="A240" s="33"/>
      <c r="B240" s="18" t="s">
        <v>20</v>
      </c>
      <c r="C240" s="29"/>
      <c r="D240" s="29"/>
      <c r="E240" s="29"/>
      <c r="F240" s="29"/>
      <c r="G240" s="34"/>
      <c r="H240" s="29"/>
      <c r="I240" s="35"/>
      <c r="J240" s="29"/>
      <c r="K240" s="29"/>
      <c r="L240" s="36"/>
      <c r="M240" s="29"/>
      <c r="N240" s="37"/>
      <c r="O240" s="30" t="n">
        <f aca="false">N240*J240</f>
        <v>0</v>
      </c>
    </row>
    <row r="241" customFormat="false" ht="15" hidden="false" customHeight="false" outlineLevel="0" collapsed="false">
      <c r="A241" s="33"/>
      <c r="B241" s="18" t="s">
        <v>20</v>
      </c>
      <c r="C241" s="29"/>
      <c r="D241" s="29"/>
      <c r="E241" s="29"/>
      <c r="F241" s="29"/>
      <c r="G241" s="34"/>
      <c r="H241" s="29"/>
      <c r="I241" s="35"/>
      <c r="J241" s="29"/>
      <c r="K241" s="29"/>
      <c r="L241" s="36"/>
      <c r="M241" s="29"/>
      <c r="N241" s="37"/>
      <c r="O241" s="30" t="n">
        <f aca="false">N241*J241</f>
        <v>0</v>
      </c>
    </row>
    <row r="242" customFormat="false" ht="15" hidden="false" customHeight="false" outlineLevel="0" collapsed="false">
      <c r="A242" s="33"/>
      <c r="B242" s="18" t="s">
        <v>20</v>
      </c>
      <c r="C242" s="29"/>
      <c r="D242" s="29"/>
      <c r="E242" s="29"/>
      <c r="F242" s="29"/>
      <c r="G242" s="34"/>
      <c r="H242" s="29"/>
      <c r="I242" s="35"/>
      <c r="J242" s="29"/>
      <c r="K242" s="29"/>
      <c r="L242" s="36"/>
      <c r="M242" s="29"/>
      <c r="N242" s="37"/>
      <c r="O242" s="30" t="n">
        <f aca="false">N242*J242</f>
        <v>0</v>
      </c>
    </row>
    <row r="243" customFormat="false" ht="15" hidden="false" customHeight="false" outlineLevel="0" collapsed="false">
      <c r="A243" s="33"/>
      <c r="B243" s="18" t="s">
        <v>20</v>
      </c>
      <c r="C243" s="29"/>
      <c r="D243" s="29"/>
      <c r="E243" s="29"/>
      <c r="F243" s="29"/>
      <c r="G243" s="34"/>
      <c r="H243" s="29"/>
      <c r="I243" s="35"/>
      <c r="J243" s="29"/>
      <c r="K243" s="29"/>
      <c r="L243" s="36"/>
      <c r="M243" s="29"/>
      <c r="N243" s="37"/>
      <c r="O243" s="30" t="n">
        <f aca="false">N243*J243</f>
        <v>0</v>
      </c>
    </row>
    <row r="244" customFormat="false" ht="15" hidden="false" customHeight="false" outlineLevel="0" collapsed="false">
      <c r="A244" s="33"/>
      <c r="B244" s="18" t="s">
        <v>20</v>
      </c>
      <c r="C244" s="29"/>
      <c r="D244" s="29"/>
      <c r="E244" s="29"/>
      <c r="F244" s="29"/>
      <c r="G244" s="34"/>
      <c r="H244" s="29"/>
      <c r="I244" s="35"/>
      <c r="J244" s="29"/>
      <c r="K244" s="29"/>
      <c r="L244" s="36"/>
      <c r="M244" s="29"/>
      <c r="N244" s="37"/>
      <c r="O244" s="30" t="n">
        <f aca="false">N244*J244</f>
        <v>0</v>
      </c>
    </row>
    <row r="245" customFormat="false" ht="15" hidden="false" customHeight="false" outlineLevel="0" collapsed="false">
      <c r="A245" s="33"/>
      <c r="B245" s="18" t="s">
        <v>20</v>
      </c>
      <c r="C245" s="29"/>
      <c r="D245" s="29"/>
      <c r="E245" s="29"/>
      <c r="F245" s="29"/>
      <c r="G245" s="34"/>
      <c r="H245" s="29"/>
      <c r="I245" s="35"/>
      <c r="J245" s="29"/>
      <c r="K245" s="29"/>
      <c r="L245" s="36"/>
      <c r="M245" s="29"/>
      <c r="N245" s="37"/>
      <c r="O245" s="30" t="n">
        <f aca="false">N245*J245</f>
        <v>0</v>
      </c>
    </row>
    <row r="246" customFormat="false" ht="15" hidden="false" customHeight="false" outlineLevel="0" collapsed="false">
      <c r="A246" s="33"/>
      <c r="B246" s="18" t="s">
        <v>20</v>
      </c>
      <c r="C246" s="29"/>
      <c r="D246" s="29"/>
      <c r="E246" s="29"/>
      <c r="F246" s="29"/>
      <c r="G246" s="34"/>
      <c r="H246" s="29"/>
      <c r="I246" s="35"/>
      <c r="J246" s="29"/>
      <c r="K246" s="29"/>
      <c r="L246" s="36"/>
      <c r="M246" s="29"/>
      <c r="N246" s="37"/>
      <c r="O246" s="30" t="n">
        <f aca="false">N246*J246</f>
        <v>0</v>
      </c>
    </row>
    <row r="247" customFormat="false" ht="15" hidden="false" customHeight="false" outlineLevel="0" collapsed="false">
      <c r="A247" s="33"/>
      <c r="B247" s="18" t="s">
        <v>20</v>
      </c>
      <c r="C247" s="29"/>
      <c r="D247" s="29"/>
      <c r="E247" s="29"/>
      <c r="F247" s="29"/>
      <c r="G247" s="34"/>
      <c r="H247" s="29"/>
      <c r="I247" s="35"/>
      <c r="J247" s="29"/>
      <c r="K247" s="29"/>
      <c r="L247" s="36"/>
      <c r="M247" s="29"/>
      <c r="N247" s="37"/>
      <c r="O247" s="30" t="n">
        <f aca="false">N247*J247</f>
        <v>0</v>
      </c>
    </row>
    <row r="248" customFormat="false" ht="15" hidden="false" customHeight="false" outlineLevel="0" collapsed="false">
      <c r="A248" s="33"/>
      <c r="B248" s="18" t="s">
        <v>20</v>
      </c>
      <c r="C248" s="29"/>
      <c r="D248" s="29"/>
      <c r="E248" s="29"/>
      <c r="F248" s="29"/>
      <c r="G248" s="34"/>
      <c r="H248" s="29"/>
      <c r="I248" s="35"/>
      <c r="J248" s="29"/>
      <c r="K248" s="29"/>
      <c r="L248" s="36"/>
      <c r="M248" s="29"/>
      <c r="N248" s="37"/>
      <c r="O248" s="30" t="n">
        <f aca="false">N248*J248</f>
        <v>0</v>
      </c>
    </row>
    <row r="249" customFormat="false" ht="15" hidden="false" customHeight="false" outlineLevel="0" collapsed="false">
      <c r="A249" s="33"/>
      <c r="B249" s="18" t="s">
        <v>20</v>
      </c>
      <c r="C249" s="29"/>
      <c r="D249" s="29"/>
      <c r="E249" s="29"/>
      <c r="F249" s="29"/>
      <c r="G249" s="34"/>
      <c r="H249" s="29"/>
      <c r="I249" s="35"/>
      <c r="J249" s="29"/>
      <c r="K249" s="29"/>
      <c r="L249" s="36"/>
      <c r="M249" s="29"/>
      <c r="N249" s="37"/>
      <c r="O249" s="30" t="n">
        <f aca="false">N249*J249</f>
        <v>0</v>
      </c>
    </row>
    <row r="250" customFormat="false" ht="15" hidden="false" customHeight="false" outlineLevel="0" collapsed="false">
      <c r="A250" s="33"/>
      <c r="B250" s="18" t="s">
        <v>20</v>
      </c>
      <c r="C250" s="29"/>
      <c r="D250" s="29"/>
      <c r="E250" s="29"/>
      <c r="F250" s="29"/>
      <c r="G250" s="34"/>
      <c r="H250" s="29"/>
      <c r="I250" s="35"/>
      <c r="J250" s="29"/>
      <c r="K250" s="29"/>
      <c r="L250" s="36"/>
      <c r="M250" s="29"/>
      <c r="N250" s="37"/>
      <c r="O250" s="30" t="n">
        <f aca="false">N250*J250</f>
        <v>0</v>
      </c>
    </row>
    <row r="251" customFormat="false" ht="15" hidden="false" customHeight="false" outlineLevel="0" collapsed="false">
      <c r="A251" s="33"/>
      <c r="B251" s="18" t="s">
        <v>20</v>
      </c>
      <c r="C251" s="29"/>
      <c r="D251" s="29"/>
      <c r="E251" s="29"/>
      <c r="F251" s="29"/>
      <c r="G251" s="34"/>
      <c r="H251" s="29"/>
      <c r="I251" s="35"/>
      <c r="J251" s="29"/>
      <c r="K251" s="29"/>
      <c r="L251" s="36"/>
      <c r="M251" s="29"/>
      <c r="N251" s="37"/>
      <c r="O251" s="30" t="n">
        <f aca="false">N251*J251</f>
        <v>0</v>
      </c>
    </row>
    <row r="252" customFormat="false" ht="15" hidden="false" customHeight="false" outlineLevel="0" collapsed="false">
      <c r="A252" s="33"/>
      <c r="B252" s="18" t="s">
        <v>20</v>
      </c>
      <c r="C252" s="29"/>
      <c r="D252" s="29"/>
      <c r="E252" s="29"/>
      <c r="F252" s="29"/>
      <c r="G252" s="34"/>
      <c r="H252" s="29"/>
      <c r="I252" s="35"/>
      <c r="J252" s="29"/>
      <c r="K252" s="29"/>
      <c r="L252" s="36"/>
      <c r="M252" s="29"/>
      <c r="N252" s="37"/>
      <c r="O252" s="30" t="n">
        <f aca="false">N252*J252</f>
        <v>0</v>
      </c>
    </row>
    <row r="253" customFormat="false" ht="15" hidden="false" customHeight="false" outlineLevel="0" collapsed="false">
      <c r="A253" s="33"/>
      <c r="B253" s="18" t="s">
        <v>20</v>
      </c>
      <c r="C253" s="29"/>
      <c r="D253" s="29"/>
      <c r="E253" s="29"/>
      <c r="F253" s="29"/>
      <c r="G253" s="34"/>
      <c r="H253" s="29"/>
      <c r="I253" s="35"/>
      <c r="J253" s="29"/>
      <c r="K253" s="29"/>
      <c r="L253" s="36"/>
      <c r="M253" s="29"/>
      <c r="N253" s="37"/>
      <c r="O253" s="30" t="n">
        <f aca="false">N253*J253</f>
        <v>0</v>
      </c>
    </row>
    <row r="254" customFormat="false" ht="15" hidden="false" customHeight="false" outlineLevel="0" collapsed="false">
      <c r="A254" s="33"/>
      <c r="B254" s="18" t="s">
        <v>20</v>
      </c>
      <c r="C254" s="29"/>
      <c r="D254" s="29"/>
      <c r="E254" s="29"/>
      <c r="F254" s="29"/>
      <c r="G254" s="34"/>
      <c r="H254" s="29"/>
      <c r="I254" s="35"/>
      <c r="J254" s="29"/>
      <c r="K254" s="29"/>
      <c r="L254" s="36"/>
      <c r="M254" s="29"/>
      <c r="N254" s="37"/>
      <c r="O254" s="30" t="n">
        <f aca="false">N254*J254</f>
        <v>0</v>
      </c>
    </row>
    <row r="255" customFormat="false" ht="15" hidden="false" customHeight="false" outlineLevel="0" collapsed="false">
      <c r="A255" s="33"/>
      <c r="B255" s="18" t="s">
        <v>20</v>
      </c>
      <c r="C255" s="29"/>
      <c r="D255" s="29"/>
      <c r="E255" s="29"/>
      <c r="F255" s="29"/>
      <c r="G255" s="34"/>
      <c r="H255" s="29"/>
      <c r="I255" s="35"/>
      <c r="J255" s="29"/>
      <c r="K255" s="29"/>
      <c r="L255" s="36"/>
      <c r="M255" s="29"/>
      <c r="N255" s="37"/>
      <c r="O255" s="30" t="n">
        <f aca="false">N255*J255</f>
        <v>0</v>
      </c>
    </row>
    <row r="256" customFormat="false" ht="15" hidden="false" customHeight="false" outlineLevel="0" collapsed="false">
      <c r="A256" s="33"/>
      <c r="B256" s="18" t="s">
        <v>20</v>
      </c>
      <c r="C256" s="29"/>
      <c r="D256" s="29"/>
      <c r="E256" s="29"/>
      <c r="F256" s="29"/>
      <c r="G256" s="34"/>
      <c r="H256" s="29"/>
      <c r="I256" s="35"/>
      <c r="J256" s="29"/>
      <c r="K256" s="29"/>
      <c r="L256" s="36"/>
      <c r="M256" s="29"/>
      <c r="N256" s="37"/>
      <c r="O256" s="30" t="n">
        <f aca="false">N256*J256</f>
        <v>0</v>
      </c>
    </row>
    <row r="257" customFormat="false" ht="15" hidden="false" customHeight="false" outlineLevel="0" collapsed="false">
      <c r="A257" s="33"/>
      <c r="B257" s="18" t="s">
        <v>20</v>
      </c>
      <c r="C257" s="29"/>
      <c r="D257" s="29"/>
      <c r="E257" s="29"/>
      <c r="F257" s="29"/>
      <c r="G257" s="34"/>
      <c r="H257" s="29"/>
      <c r="I257" s="35"/>
      <c r="J257" s="29"/>
      <c r="K257" s="29"/>
      <c r="L257" s="36"/>
      <c r="M257" s="29"/>
      <c r="N257" s="37"/>
      <c r="O257" s="30" t="n">
        <f aca="false">N257*J257</f>
        <v>0</v>
      </c>
    </row>
    <row r="258" customFormat="false" ht="15" hidden="false" customHeight="false" outlineLevel="0" collapsed="false">
      <c r="A258" s="33"/>
      <c r="B258" s="18" t="s">
        <v>20</v>
      </c>
      <c r="C258" s="29"/>
      <c r="D258" s="29"/>
      <c r="E258" s="29"/>
      <c r="F258" s="29"/>
      <c r="G258" s="34"/>
      <c r="H258" s="29"/>
      <c r="I258" s="35"/>
      <c r="J258" s="29"/>
      <c r="K258" s="29"/>
      <c r="L258" s="36"/>
      <c r="M258" s="29"/>
      <c r="N258" s="37"/>
      <c r="O258" s="30" t="n">
        <f aca="false">N258*J258</f>
        <v>0</v>
      </c>
    </row>
    <row r="259" customFormat="false" ht="15" hidden="false" customHeight="false" outlineLevel="0" collapsed="false">
      <c r="A259" s="33"/>
      <c r="B259" s="18" t="s">
        <v>20</v>
      </c>
      <c r="C259" s="29"/>
      <c r="D259" s="29"/>
      <c r="E259" s="29"/>
      <c r="F259" s="29"/>
      <c r="G259" s="34"/>
      <c r="H259" s="29"/>
      <c r="I259" s="35"/>
      <c r="J259" s="29"/>
      <c r="K259" s="29"/>
      <c r="L259" s="36"/>
      <c r="M259" s="29"/>
      <c r="N259" s="37"/>
      <c r="O259" s="30" t="n">
        <f aca="false">N259*J259</f>
        <v>0</v>
      </c>
    </row>
    <row r="260" customFormat="false" ht="15" hidden="false" customHeight="false" outlineLevel="0" collapsed="false">
      <c r="A260" s="33"/>
      <c r="B260" s="18" t="s">
        <v>20</v>
      </c>
      <c r="C260" s="29"/>
      <c r="D260" s="29"/>
      <c r="E260" s="29"/>
      <c r="F260" s="29"/>
      <c r="G260" s="34"/>
      <c r="H260" s="29"/>
      <c r="I260" s="35"/>
      <c r="J260" s="29"/>
      <c r="K260" s="29"/>
      <c r="L260" s="36"/>
      <c r="M260" s="29"/>
      <c r="N260" s="37"/>
      <c r="O260" s="30" t="n">
        <f aca="false">N260*J260</f>
        <v>0</v>
      </c>
    </row>
    <row r="261" customFormat="false" ht="15" hidden="false" customHeight="false" outlineLevel="0" collapsed="false">
      <c r="A261" s="33"/>
      <c r="B261" s="18" t="s">
        <v>20</v>
      </c>
      <c r="C261" s="29"/>
      <c r="D261" s="29"/>
      <c r="E261" s="29"/>
      <c r="F261" s="29"/>
      <c r="G261" s="34"/>
      <c r="H261" s="29"/>
      <c r="I261" s="35"/>
      <c r="J261" s="29"/>
      <c r="K261" s="29"/>
      <c r="L261" s="36"/>
      <c r="M261" s="29"/>
      <c r="N261" s="37"/>
      <c r="O261" s="30" t="n">
        <f aca="false">N261*J261</f>
        <v>0</v>
      </c>
    </row>
    <row r="262" customFormat="false" ht="15" hidden="false" customHeight="false" outlineLevel="0" collapsed="false">
      <c r="A262" s="33"/>
      <c r="B262" s="18" t="s">
        <v>20</v>
      </c>
      <c r="C262" s="29"/>
      <c r="D262" s="29"/>
      <c r="E262" s="29"/>
      <c r="F262" s="29"/>
      <c r="G262" s="34"/>
      <c r="H262" s="29"/>
      <c r="I262" s="35"/>
      <c r="J262" s="29"/>
      <c r="K262" s="29"/>
      <c r="L262" s="36"/>
      <c r="M262" s="29"/>
      <c r="N262" s="37"/>
      <c r="O262" s="30" t="n">
        <f aca="false">N262*J262</f>
        <v>0</v>
      </c>
    </row>
    <row r="263" customFormat="false" ht="15" hidden="false" customHeight="false" outlineLevel="0" collapsed="false">
      <c r="A263" s="33"/>
      <c r="B263" s="18" t="s">
        <v>20</v>
      </c>
      <c r="C263" s="29"/>
      <c r="D263" s="29"/>
      <c r="E263" s="29"/>
      <c r="F263" s="29"/>
      <c r="G263" s="34"/>
      <c r="H263" s="29"/>
      <c r="I263" s="35"/>
      <c r="J263" s="29"/>
      <c r="K263" s="29"/>
      <c r="L263" s="36"/>
      <c r="M263" s="29"/>
      <c r="N263" s="37"/>
      <c r="O263" s="30" t="n">
        <f aca="false">N263*J263</f>
        <v>0</v>
      </c>
    </row>
    <row r="264" customFormat="false" ht="15" hidden="false" customHeight="false" outlineLevel="0" collapsed="false">
      <c r="A264" s="33"/>
      <c r="B264" s="18" t="s">
        <v>20</v>
      </c>
      <c r="C264" s="29"/>
      <c r="D264" s="29"/>
      <c r="E264" s="29"/>
      <c r="F264" s="29"/>
      <c r="G264" s="34"/>
      <c r="H264" s="29"/>
      <c r="I264" s="35"/>
      <c r="J264" s="29"/>
      <c r="K264" s="29"/>
      <c r="L264" s="36"/>
      <c r="M264" s="29"/>
      <c r="N264" s="37"/>
      <c r="O264" s="30" t="n">
        <f aca="false">N264*J264</f>
        <v>0</v>
      </c>
    </row>
    <row r="265" customFormat="false" ht="15" hidden="false" customHeight="false" outlineLevel="0" collapsed="false">
      <c r="A265" s="33"/>
      <c r="B265" s="18" t="s">
        <v>20</v>
      </c>
      <c r="C265" s="29"/>
      <c r="D265" s="29"/>
      <c r="E265" s="29"/>
      <c r="F265" s="29"/>
      <c r="G265" s="34"/>
      <c r="H265" s="29"/>
      <c r="I265" s="35"/>
      <c r="J265" s="29"/>
      <c r="K265" s="29"/>
      <c r="L265" s="36"/>
      <c r="M265" s="29"/>
      <c r="N265" s="37"/>
      <c r="O265" s="30" t="n">
        <f aca="false">N265*J265</f>
        <v>0</v>
      </c>
    </row>
    <row r="266" customFormat="false" ht="15" hidden="false" customHeight="false" outlineLevel="0" collapsed="false">
      <c r="A266" s="33"/>
      <c r="B266" s="18" t="s">
        <v>20</v>
      </c>
      <c r="C266" s="29"/>
      <c r="D266" s="29"/>
      <c r="E266" s="29"/>
      <c r="F266" s="29"/>
      <c r="G266" s="34"/>
      <c r="H266" s="29"/>
      <c r="I266" s="35"/>
      <c r="J266" s="29"/>
      <c r="K266" s="29"/>
      <c r="L266" s="36"/>
      <c r="M266" s="29"/>
      <c r="N266" s="37"/>
      <c r="O266" s="30" t="n">
        <f aca="false">N266*J266</f>
        <v>0</v>
      </c>
    </row>
    <row r="267" customFormat="false" ht="15" hidden="false" customHeight="false" outlineLevel="0" collapsed="false">
      <c r="A267" s="33"/>
      <c r="B267" s="18" t="s">
        <v>20</v>
      </c>
      <c r="C267" s="29"/>
      <c r="D267" s="29"/>
      <c r="E267" s="29"/>
      <c r="F267" s="29"/>
      <c r="G267" s="34"/>
      <c r="H267" s="29"/>
      <c r="I267" s="35"/>
      <c r="J267" s="29"/>
      <c r="K267" s="29"/>
      <c r="L267" s="36"/>
      <c r="M267" s="29"/>
      <c r="N267" s="37"/>
      <c r="O267" s="30" t="n">
        <f aca="false">N267*J267</f>
        <v>0</v>
      </c>
    </row>
    <row r="268" customFormat="false" ht="15" hidden="false" customHeight="false" outlineLevel="0" collapsed="false">
      <c r="A268" s="33"/>
      <c r="B268" s="18" t="s">
        <v>20</v>
      </c>
      <c r="C268" s="29"/>
      <c r="D268" s="29"/>
      <c r="E268" s="29"/>
      <c r="F268" s="29"/>
      <c r="G268" s="34"/>
      <c r="H268" s="29"/>
      <c r="I268" s="35"/>
      <c r="J268" s="29"/>
      <c r="K268" s="29"/>
      <c r="L268" s="36"/>
      <c r="M268" s="29"/>
      <c r="N268" s="37"/>
      <c r="O268" s="30" t="n">
        <f aca="false">N268*J268</f>
        <v>0</v>
      </c>
    </row>
    <row r="269" customFormat="false" ht="15" hidden="false" customHeight="false" outlineLevel="0" collapsed="false">
      <c r="A269" s="33"/>
      <c r="B269" s="18" t="s">
        <v>20</v>
      </c>
      <c r="C269" s="29"/>
      <c r="D269" s="29"/>
      <c r="E269" s="29"/>
      <c r="F269" s="29"/>
      <c r="G269" s="34"/>
      <c r="H269" s="29"/>
      <c r="I269" s="35"/>
      <c r="J269" s="29"/>
      <c r="K269" s="29"/>
      <c r="L269" s="36"/>
      <c r="M269" s="29"/>
      <c r="N269" s="37"/>
      <c r="O269" s="30" t="n">
        <f aca="false">N269*J269</f>
        <v>0</v>
      </c>
    </row>
    <row r="270" customFormat="false" ht="15" hidden="false" customHeight="false" outlineLevel="0" collapsed="false">
      <c r="A270" s="33"/>
      <c r="B270" s="18" t="s">
        <v>20</v>
      </c>
      <c r="C270" s="29"/>
      <c r="D270" s="29"/>
      <c r="E270" s="29"/>
      <c r="F270" s="29"/>
      <c r="G270" s="34"/>
      <c r="H270" s="29"/>
      <c r="I270" s="35"/>
      <c r="J270" s="29"/>
      <c r="K270" s="29"/>
      <c r="L270" s="36"/>
      <c r="M270" s="29"/>
      <c r="N270" s="37"/>
      <c r="O270" s="30" t="n">
        <f aca="false">N270*J270</f>
        <v>0</v>
      </c>
    </row>
    <row r="271" customFormat="false" ht="15" hidden="false" customHeight="false" outlineLevel="0" collapsed="false">
      <c r="A271" s="33"/>
      <c r="B271" s="18" t="s">
        <v>20</v>
      </c>
      <c r="C271" s="29"/>
      <c r="D271" s="29"/>
      <c r="E271" s="29"/>
      <c r="F271" s="29"/>
      <c r="G271" s="34"/>
      <c r="H271" s="29"/>
      <c r="I271" s="35"/>
      <c r="J271" s="29"/>
      <c r="K271" s="29"/>
      <c r="L271" s="36"/>
      <c r="M271" s="29"/>
      <c r="N271" s="37"/>
      <c r="O271" s="30" t="n">
        <f aca="false">N271*J271</f>
        <v>0</v>
      </c>
    </row>
    <row r="272" customFormat="false" ht="15" hidden="false" customHeight="false" outlineLevel="0" collapsed="false">
      <c r="A272" s="33"/>
      <c r="B272" s="18" t="s">
        <v>20</v>
      </c>
      <c r="C272" s="29"/>
      <c r="D272" s="29"/>
      <c r="E272" s="29"/>
      <c r="F272" s="29"/>
      <c r="G272" s="34"/>
      <c r="H272" s="29"/>
      <c r="I272" s="35"/>
      <c r="J272" s="29"/>
      <c r="K272" s="29"/>
      <c r="L272" s="36"/>
      <c r="M272" s="29"/>
      <c r="N272" s="37"/>
      <c r="O272" s="30" t="n">
        <f aca="false">N272*J272</f>
        <v>0</v>
      </c>
    </row>
    <row r="273" customFormat="false" ht="15" hidden="false" customHeight="false" outlineLevel="0" collapsed="false">
      <c r="A273" s="33"/>
      <c r="B273" s="18" t="s">
        <v>20</v>
      </c>
      <c r="C273" s="29"/>
      <c r="D273" s="29"/>
      <c r="E273" s="29"/>
      <c r="F273" s="29"/>
      <c r="G273" s="34"/>
      <c r="H273" s="29"/>
      <c r="I273" s="35"/>
      <c r="J273" s="29"/>
      <c r="K273" s="29"/>
      <c r="L273" s="36"/>
      <c r="M273" s="29"/>
      <c r="N273" s="37"/>
      <c r="O273" s="30" t="n">
        <f aca="false">N273*J273</f>
        <v>0</v>
      </c>
    </row>
    <row r="274" customFormat="false" ht="15" hidden="false" customHeight="false" outlineLevel="0" collapsed="false">
      <c r="A274" s="33"/>
      <c r="B274" s="18" t="s">
        <v>20</v>
      </c>
      <c r="C274" s="29"/>
      <c r="D274" s="29"/>
      <c r="E274" s="29"/>
      <c r="F274" s="29"/>
      <c r="G274" s="34"/>
      <c r="H274" s="29"/>
      <c r="I274" s="35"/>
      <c r="J274" s="29"/>
      <c r="K274" s="29"/>
      <c r="L274" s="36"/>
      <c r="M274" s="29"/>
      <c r="N274" s="37"/>
      <c r="O274" s="30" t="n">
        <f aca="false">N274*J274</f>
        <v>0</v>
      </c>
    </row>
    <row r="275" customFormat="false" ht="15" hidden="false" customHeight="false" outlineLevel="0" collapsed="false">
      <c r="A275" s="33"/>
      <c r="B275" s="18" t="s">
        <v>20</v>
      </c>
      <c r="C275" s="29"/>
      <c r="D275" s="29"/>
      <c r="E275" s="29"/>
      <c r="F275" s="29"/>
      <c r="G275" s="34"/>
      <c r="H275" s="29"/>
      <c r="I275" s="35"/>
      <c r="J275" s="29"/>
      <c r="K275" s="29"/>
      <c r="L275" s="36"/>
      <c r="M275" s="29"/>
      <c r="N275" s="37"/>
      <c r="O275" s="30" t="n">
        <f aca="false">N275*J275</f>
        <v>0</v>
      </c>
    </row>
    <row r="276" customFormat="false" ht="15" hidden="false" customHeight="false" outlineLevel="0" collapsed="false">
      <c r="A276" s="33"/>
      <c r="B276" s="18" t="s">
        <v>20</v>
      </c>
      <c r="C276" s="29"/>
      <c r="D276" s="29"/>
      <c r="E276" s="29"/>
      <c r="F276" s="29"/>
      <c r="G276" s="34"/>
      <c r="H276" s="29"/>
      <c r="I276" s="35"/>
      <c r="J276" s="29"/>
      <c r="K276" s="29"/>
      <c r="L276" s="36"/>
      <c r="M276" s="29"/>
      <c r="N276" s="37"/>
      <c r="O276" s="30" t="n">
        <f aca="false">N276*J276</f>
        <v>0</v>
      </c>
    </row>
    <row r="277" customFormat="false" ht="15" hidden="false" customHeight="false" outlineLevel="0" collapsed="false">
      <c r="A277" s="33"/>
      <c r="B277" s="18" t="s">
        <v>20</v>
      </c>
      <c r="C277" s="29"/>
      <c r="D277" s="29"/>
      <c r="E277" s="29"/>
      <c r="F277" s="29"/>
      <c r="G277" s="34"/>
      <c r="H277" s="29"/>
      <c r="I277" s="35"/>
      <c r="J277" s="29"/>
      <c r="K277" s="29"/>
      <c r="L277" s="36"/>
      <c r="M277" s="29"/>
      <c r="N277" s="37"/>
      <c r="O277" s="30" t="n">
        <f aca="false">N277*J277</f>
        <v>0</v>
      </c>
    </row>
    <row r="278" customFormat="false" ht="15" hidden="false" customHeight="false" outlineLevel="0" collapsed="false">
      <c r="A278" s="33"/>
      <c r="B278" s="18" t="s">
        <v>20</v>
      </c>
      <c r="C278" s="29"/>
      <c r="D278" s="29"/>
      <c r="E278" s="29"/>
      <c r="F278" s="29"/>
      <c r="G278" s="34"/>
      <c r="H278" s="29"/>
      <c r="I278" s="35"/>
      <c r="J278" s="29"/>
      <c r="K278" s="29"/>
      <c r="L278" s="36"/>
      <c r="M278" s="29"/>
      <c r="N278" s="37"/>
      <c r="O278" s="30" t="n">
        <f aca="false">N278*J278</f>
        <v>0</v>
      </c>
    </row>
    <row r="279" customFormat="false" ht="15" hidden="false" customHeight="false" outlineLevel="0" collapsed="false">
      <c r="A279" s="33"/>
      <c r="B279" s="18" t="s">
        <v>20</v>
      </c>
      <c r="C279" s="29"/>
      <c r="D279" s="29"/>
      <c r="E279" s="29"/>
      <c r="F279" s="29"/>
      <c r="G279" s="34"/>
      <c r="H279" s="29"/>
      <c r="I279" s="35"/>
      <c r="J279" s="29"/>
      <c r="K279" s="29"/>
      <c r="L279" s="36"/>
      <c r="M279" s="29"/>
      <c r="N279" s="37"/>
      <c r="O279" s="30" t="n">
        <f aca="false">N279*J279</f>
        <v>0</v>
      </c>
    </row>
    <row r="280" customFormat="false" ht="15" hidden="false" customHeight="false" outlineLevel="0" collapsed="false">
      <c r="A280" s="33"/>
      <c r="B280" s="18" t="s">
        <v>20</v>
      </c>
      <c r="C280" s="29"/>
      <c r="D280" s="29"/>
      <c r="E280" s="29"/>
      <c r="F280" s="29"/>
      <c r="G280" s="34"/>
      <c r="H280" s="29"/>
      <c r="I280" s="35"/>
      <c r="J280" s="29"/>
      <c r="K280" s="29"/>
      <c r="L280" s="36"/>
      <c r="M280" s="29"/>
      <c r="N280" s="37"/>
      <c r="O280" s="30" t="n">
        <f aca="false">N280*J280</f>
        <v>0</v>
      </c>
    </row>
    <row r="281" customFormat="false" ht="15" hidden="false" customHeight="false" outlineLevel="0" collapsed="false">
      <c r="A281" s="33"/>
      <c r="B281" s="18" t="s">
        <v>20</v>
      </c>
      <c r="C281" s="29"/>
      <c r="D281" s="29"/>
      <c r="E281" s="29"/>
      <c r="F281" s="29"/>
      <c r="G281" s="34"/>
      <c r="H281" s="29"/>
      <c r="I281" s="35"/>
      <c r="J281" s="29"/>
      <c r="K281" s="29"/>
      <c r="L281" s="36"/>
      <c r="M281" s="29"/>
      <c r="N281" s="37"/>
      <c r="O281" s="30" t="n">
        <f aca="false">N281*J281</f>
        <v>0</v>
      </c>
    </row>
    <row r="282" customFormat="false" ht="15" hidden="false" customHeight="false" outlineLevel="0" collapsed="false">
      <c r="A282" s="33"/>
      <c r="B282" s="18" t="s">
        <v>20</v>
      </c>
      <c r="C282" s="29"/>
      <c r="D282" s="29"/>
      <c r="E282" s="29"/>
      <c r="F282" s="29"/>
      <c r="G282" s="34"/>
      <c r="H282" s="29"/>
      <c r="I282" s="35"/>
      <c r="J282" s="29"/>
      <c r="K282" s="29"/>
      <c r="L282" s="36"/>
      <c r="M282" s="29"/>
      <c r="N282" s="37"/>
      <c r="O282" s="30" t="n">
        <f aca="false">N282*J282</f>
        <v>0</v>
      </c>
    </row>
    <row r="283" customFormat="false" ht="15" hidden="false" customHeight="false" outlineLevel="0" collapsed="false">
      <c r="A283" s="33"/>
      <c r="B283" s="18" t="s">
        <v>20</v>
      </c>
      <c r="C283" s="29"/>
      <c r="D283" s="29"/>
      <c r="E283" s="29"/>
      <c r="F283" s="29"/>
      <c r="G283" s="34"/>
      <c r="H283" s="29"/>
      <c r="I283" s="35"/>
      <c r="J283" s="29"/>
      <c r="K283" s="29"/>
      <c r="L283" s="36"/>
      <c r="M283" s="29"/>
      <c r="N283" s="37"/>
      <c r="O283" s="30" t="n">
        <f aca="false">N283*J283</f>
        <v>0</v>
      </c>
    </row>
    <row r="284" customFormat="false" ht="15" hidden="false" customHeight="false" outlineLevel="0" collapsed="false">
      <c r="A284" s="33"/>
      <c r="B284" s="18" t="s">
        <v>20</v>
      </c>
      <c r="C284" s="29"/>
      <c r="D284" s="29"/>
      <c r="E284" s="29"/>
      <c r="F284" s="29"/>
      <c r="G284" s="34"/>
      <c r="H284" s="29"/>
      <c r="I284" s="35"/>
      <c r="J284" s="29"/>
      <c r="K284" s="29"/>
      <c r="L284" s="36"/>
      <c r="M284" s="29"/>
      <c r="N284" s="37"/>
      <c r="O284" s="30" t="n">
        <f aca="false">N284*J284</f>
        <v>0</v>
      </c>
    </row>
    <row r="285" customFormat="false" ht="15" hidden="false" customHeight="false" outlineLevel="0" collapsed="false">
      <c r="A285" s="33"/>
      <c r="B285" s="18" t="s">
        <v>20</v>
      </c>
      <c r="C285" s="29"/>
      <c r="D285" s="29"/>
      <c r="E285" s="29"/>
      <c r="F285" s="29"/>
      <c r="G285" s="34"/>
      <c r="H285" s="29"/>
      <c r="I285" s="35"/>
      <c r="J285" s="29"/>
      <c r="K285" s="29"/>
      <c r="L285" s="36"/>
      <c r="M285" s="29"/>
      <c r="N285" s="37"/>
      <c r="O285" s="30" t="n">
        <f aca="false">N285*J285</f>
        <v>0</v>
      </c>
    </row>
    <row r="286" customFormat="false" ht="15" hidden="false" customHeight="false" outlineLevel="0" collapsed="false">
      <c r="A286" s="33"/>
      <c r="B286" s="18" t="s">
        <v>20</v>
      </c>
      <c r="C286" s="29"/>
      <c r="D286" s="29"/>
      <c r="E286" s="29"/>
      <c r="F286" s="29"/>
      <c r="G286" s="34"/>
      <c r="H286" s="29"/>
      <c r="I286" s="35"/>
      <c r="J286" s="29"/>
      <c r="K286" s="29"/>
      <c r="L286" s="36"/>
      <c r="M286" s="29"/>
      <c r="N286" s="37"/>
      <c r="O286" s="30" t="n">
        <f aca="false">N286*J286</f>
        <v>0</v>
      </c>
    </row>
    <row r="287" customFormat="false" ht="15" hidden="false" customHeight="false" outlineLevel="0" collapsed="false">
      <c r="A287" s="33"/>
      <c r="B287" s="18" t="s">
        <v>20</v>
      </c>
      <c r="C287" s="29"/>
      <c r="D287" s="29"/>
      <c r="E287" s="29"/>
      <c r="F287" s="29"/>
      <c r="G287" s="34"/>
      <c r="H287" s="29"/>
      <c r="I287" s="35"/>
      <c r="J287" s="29"/>
      <c r="K287" s="29"/>
      <c r="L287" s="36"/>
      <c r="M287" s="29"/>
      <c r="N287" s="37"/>
      <c r="O287" s="30" t="n">
        <f aca="false">N287*J287</f>
        <v>0</v>
      </c>
    </row>
    <row r="288" customFormat="false" ht="15" hidden="false" customHeight="false" outlineLevel="0" collapsed="false">
      <c r="A288" s="33"/>
      <c r="B288" s="18" t="s">
        <v>20</v>
      </c>
      <c r="C288" s="29"/>
      <c r="D288" s="29"/>
      <c r="E288" s="29"/>
      <c r="F288" s="29"/>
      <c r="G288" s="34"/>
      <c r="H288" s="29"/>
      <c r="I288" s="35"/>
      <c r="J288" s="29"/>
      <c r="K288" s="29"/>
      <c r="L288" s="36"/>
      <c r="M288" s="29"/>
      <c r="N288" s="37"/>
      <c r="O288" s="30" t="n">
        <f aca="false">N288*J288</f>
        <v>0</v>
      </c>
    </row>
    <row r="289" customFormat="false" ht="15" hidden="false" customHeight="false" outlineLevel="0" collapsed="false">
      <c r="A289" s="33"/>
      <c r="B289" s="18" t="s">
        <v>20</v>
      </c>
      <c r="C289" s="29"/>
      <c r="D289" s="29"/>
      <c r="E289" s="29"/>
      <c r="F289" s="29"/>
      <c r="G289" s="34"/>
      <c r="H289" s="29"/>
      <c r="I289" s="35"/>
      <c r="J289" s="29"/>
      <c r="K289" s="29"/>
      <c r="L289" s="36"/>
      <c r="M289" s="29"/>
      <c r="N289" s="37"/>
      <c r="O289" s="30" t="n">
        <f aca="false">N289*J289</f>
        <v>0</v>
      </c>
    </row>
    <row r="290" customFormat="false" ht="15" hidden="false" customHeight="false" outlineLevel="0" collapsed="false">
      <c r="A290" s="33"/>
      <c r="B290" s="18" t="s">
        <v>20</v>
      </c>
      <c r="C290" s="29"/>
      <c r="D290" s="29"/>
      <c r="E290" s="29"/>
      <c r="F290" s="29"/>
      <c r="G290" s="34"/>
      <c r="H290" s="29"/>
      <c r="I290" s="35"/>
      <c r="J290" s="29"/>
      <c r="K290" s="29"/>
      <c r="L290" s="36"/>
      <c r="M290" s="29"/>
      <c r="N290" s="37"/>
      <c r="O290" s="30" t="n">
        <f aca="false">N290*J290</f>
        <v>0</v>
      </c>
    </row>
    <row r="291" customFormat="false" ht="15" hidden="false" customHeight="false" outlineLevel="0" collapsed="false">
      <c r="A291" s="33"/>
      <c r="B291" s="18" t="s">
        <v>20</v>
      </c>
      <c r="C291" s="29"/>
      <c r="D291" s="29"/>
      <c r="E291" s="29"/>
      <c r="F291" s="29"/>
      <c r="G291" s="34"/>
      <c r="H291" s="29"/>
      <c r="I291" s="35"/>
      <c r="J291" s="29"/>
      <c r="K291" s="29"/>
      <c r="L291" s="36"/>
      <c r="M291" s="29"/>
      <c r="N291" s="37"/>
      <c r="O291" s="30" t="n">
        <f aca="false">N291*J291</f>
        <v>0</v>
      </c>
    </row>
    <row r="292" customFormat="false" ht="15" hidden="false" customHeight="false" outlineLevel="0" collapsed="false">
      <c r="A292" s="33"/>
      <c r="B292" s="18" t="s">
        <v>20</v>
      </c>
      <c r="C292" s="29"/>
      <c r="D292" s="29"/>
      <c r="E292" s="29"/>
      <c r="F292" s="29"/>
      <c r="G292" s="34"/>
      <c r="H292" s="29"/>
      <c r="I292" s="35"/>
      <c r="J292" s="29"/>
      <c r="K292" s="29"/>
      <c r="L292" s="36"/>
      <c r="M292" s="29"/>
      <c r="N292" s="37"/>
      <c r="O292" s="30" t="n">
        <f aca="false">N292*J292</f>
        <v>0</v>
      </c>
    </row>
    <row r="293" customFormat="false" ht="15" hidden="false" customHeight="false" outlineLevel="0" collapsed="false">
      <c r="A293" s="33"/>
      <c r="B293" s="18" t="s">
        <v>20</v>
      </c>
      <c r="C293" s="29"/>
      <c r="D293" s="29"/>
      <c r="E293" s="29"/>
      <c r="F293" s="29"/>
      <c r="G293" s="34"/>
      <c r="H293" s="29"/>
      <c r="I293" s="35"/>
      <c r="J293" s="29"/>
      <c r="K293" s="29"/>
      <c r="L293" s="36"/>
      <c r="M293" s="29"/>
      <c r="N293" s="37"/>
      <c r="O293" s="30" t="n">
        <f aca="false">N293*J293</f>
        <v>0</v>
      </c>
    </row>
    <row r="294" customFormat="false" ht="15" hidden="false" customHeight="false" outlineLevel="0" collapsed="false">
      <c r="A294" s="33"/>
      <c r="B294" s="18" t="s">
        <v>20</v>
      </c>
      <c r="C294" s="29"/>
      <c r="D294" s="29"/>
      <c r="E294" s="29"/>
      <c r="F294" s="29"/>
      <c r="G294" s="34"/>
      <c r="H294" s="29"/>
      <c r="I294" s="35"/>
      <c r="J294" s="29"/>
      <c r="K294" s="29"/>
      <c r="L294" s="36"/>
      <c r="M294" s="29"/>
      <c r="N294" s="37"/>
      <c r="O294" s="30" t="n">
        <f aca="false">N294*J294</f>
        <v>0</v>
      </c>
    </row>
    <row r="295" customFormat="false" ht="15" hidden="false" customHeight="false" outlineLevel="0" collapsed="false">
      <c r="A295" s="33"/>
      <c r="B295" s="18" t="s">
        <v>20</v>
      </c>
      <c r="C295" s="29"/>
      <c r="D295" s="29"/>
      <c r="E295" s="29"/>
      <c r="F295" s="29"/>
      <c r="G295" s="34"/>
      <c r="H295" s="29"/>
      <c r="I295" s="35"/>
      <c r="J295" s="29"/>
      <c r="K295" s="29"/>
      <c r="L295" s="36"/>
      <c r="M295" s="29"/>
      <c r="N295" s="37"/>
      <c r="O295" s="30" t="n">
        <f aca="false">N295*J295</f>
        <v>0</v>
      </c>
    </row>
    <row r="296" customFormat="false" ht="15" hidden="false" customHeight="false" outlineLevel="0" collapsed="false">
      <c r="A296" s="33"/>
      <c r="B296" s="18" t="s">
        <v>20</v>
      </c>
      <c r="C296" s="29"/>
      <c r="D296" s="29"/>
      <c r="E296" s="29"/>
      <c r="F296" s="29"/>
      <c r="G296" s="34"/>
      <c r="H296" s="29"/>
      <c r="I296" s="35"/>
      <c r="J296" s="29"/>
      <c r="K296" s="29"/>
      <c r="L296" s="36"/>
      <c r="M296" s="29"/>
      <c r="N296" s="37"/>
      <c r="O296" s="30" t="n">
        <f aca="false">N296*J296</f>
        <v>0</v>
      </c>
    </row>
    <row r="297" customFormat="false" ht="15" hidden="false" customHeight="false" outlineLevel="0" collapsed="false">
      <c r="A297" s="33"/>
      <c r="B297" s="18" t="s">
        <v>20</v>
      </c>
      <c r="C297" s="29"/>
      <c r="D297" s="29"/>
      <c r="E297" s="29"/>
      <c r="F297" s="29"/>
      <c r="G297" s="34"/>
      <c r="H297" s="29"/>
      <c r="I297" s="35"/>
      <c r="J297" s="29"/>
      <c r="K297" s="29"/>
      <c r="L297" s="36"/>
      <c r="M297" s="29"/>
      <c r="N297" s="37"/>
      <c r="O297" s="30" t="n">
        <f aca="false">N297*J297</f>
        <v>0</v>
      </c>
    </row>
    <row r="298" customFormat="false" ht="15" hidden="false" customHeight="false" outlineLevel="0" collapsed="false">
      <c r="A298" s="33"/>
      <c r="B298" s="18" t="s">
        <v>20</v>
      </c>
      <c r="C298" s="29"/>
      <c r="D298" s="29"/>
      <c r="E298" s="29"/>
      <c r="F298" s="29"/>
      <c r="G298" s="36"/>
      <c r="H298" s="29"/>
      <c r="I298" s="35"/>
      <c r="J298" s="29"/>
      <c r="K298" s="29"/>
      <c r="L298" s="36"/>
      <c r="M298" s="29"/>
      <c r="N298" s="37"/>
      <c r="O298" s="30" t="n">
        <f aca="false">N298*J298</f>
        <v>0</v>
      </c>
    </row>
    <row r="299" customFormat="false" ht="15" hidden="false" customHeight="false" outlineLevel="0" collapsed="false">
      <c r="A299" s="33"/>
      <c r="B299" s="18" t="s">
        <v>20</v>
      </c>
      <c r="C299" s="29"/>
      <c r="D299" s="29"/>
      <c r="E299" s="29"/>
      <c r="F299" s="29"/>
      <c r="G299" s="36"/>
      <c r="H299" s="29"/>
      <c r="I299" s="35"/>
      <c r="J299" s="29"/>
      <c r="K299" s="29"/>
      <c r="L299" s="36"/>
      <c r="M299" s="29"/>
      <c r="N299" s="37"/>
      <c r="O299" s="30" t="n">
        <f aca="false">N299*J299</f>
        <v>0</v>
      </c>
    </row>
    <row r="300" customFormat="false" ht="15" hidden="false" customHeight="false" outlineLevel="0" collapsed="false">
      <c r="A300" s="33"/>
      <c r="B300" s="18" t="s">
        <v>20</v>
      </c>
      <c r="C300" s="29"/>
      <c r="D300" s="29"/>
      <c r="E300" s="29"/>
      <c r="F300" s="29"/>
      <c r="G300" s="36"/>
      <c r="H300" s="29"/>
      <c r="I300" s="35"/>
      <c r="J300" s="29"/>
      <c r="K300" s="29"/>
      <c r="L300" s="36"/>
      <c r="M300" s="29"/>
      <c r="N300" s="37"/>
      <c r="O300" s="30" t="n">
        <f aca="false">N300*J300</f>
        <v>0</v>
      </c>
    </row>
    <row r="301" customFormat="false" ht="15" hidden="false" customHeight="false" outlineLevel="0" collapsed="false">
      <c r="A301" s="33"/>
      <c r="B301" s="18" t="s">
        <v>20</v>
      </c>
      <c r="C301" s="29"/>
      <c r="D301" s="29"/>
      <c r="E301" s="29"/>
      <c r="F301" s="29"/>
      <c r="G301" s="36"/>
      <c r="H301" s="29"/>
      <c r="I301" s="35"/>
      <c r="J301" s="29"/>
      <c r="K301" s="29"/>
      <c r="L301" s="36"/>
      <c r="M301" s="29"/>
      <c r="N301" s="37"/>
      <c r="O301" s="30" t="n">
        <f aca="false">N301*J301</f>
        <v>0</v>
      </c>
    </row>
    <row r="302" customFormat="false" ht="15" hidden="false" customHeight="false" outlineLevel="0" collapsed="false">
      <c r="A302" s="33"/>
      <c r="B302" s="18" t="s">
        <v>20</v>
      </c>
      <c r="C302" s="29"/>
      <c r="D302" s="29"/>
      <c r="E302" s="29"/>
      <c r="F302" s="29"/>
      <c r="G302" s="36"/>
      <c r="H302" s="29"/>
      <c r="I302" s="35"/>
      <c r="J302" s="29"/>
      <c r="K302" s="29"/>
      <c r="L302" s="36"/>
      <c r="M302" s="29"/>
      <c r="N302" s="37"/>
      <c r="O302" s="30" t="n">
        <f aca="false">N302*J302</f>
        <v>0</v>
      </c>
    </row>
    <row r="303" customFormat="false" ht="15" hidden="false" customHeight="false" outlineLevel="0" collapsed="false">
      <c r="A303" s="33"/>
      <c r="B303" s="18" t="s">
        <v>20</v>
      </c>
      <c r="C303" s="29"/>
      <c r="D303" s="29"/>
      <c r="E303" s="29"/>
      <c r="F303" s="29"/>
      <c r="G303" s="36"/>
      <c r="H303" s="29"/>
      <c r="I303" s="35"/>
      <c r="J303" s="29"/>
      <c r="K303" s="29"/>
      <c r="L303" s="36"/>
      <c r="M303" s="29"/>
      <c r="N303" s="37"/>
      <c r="O303" s="30" t="n">
        <f aca="false">N303*J303</f>
        <v>0</v>
      </c>
    </row>
    <row r="304" customFormat="false" ht="15" hidden="false" customHeight="false" outlineLevel="0" collapsed="false">
      <c r="A304" s="33"/>
      <c r="B304" s="18" t="s">
        <v>20</v>
      </c>
      <c r="C304" s="29"/>
      <c r="D304" s="29"/>
      <c r="E304" s="29"/>
      <c r="F304" s="29"/>
      <c r="G304" s="36"/>
      <c r="H304" s="29"/>
      <c r="I304" s="35"/>
      <c r="J304" s="29"/>
      <c r="K304" s="29"/>
      <c r="L304" s="36"/>
      <c r="M304" s="29"/>
      <c r="N304" s="37"/>
      <c r="O304" s="30" t="n">
        <f aca="false">N304*J304</f>
        <v>0</v>
      </c>
    </row>
    <row r="305" customFormat="false" ht="15" hidden="false" customHeight="false" outlineLevel="0" collapsed="false">
      <c r="A305" s="33"/>
      <c r="B305" s="18" t="s">
        <v>20</v>
      </c>
      <c r="C305" s="29"/>
      <c r="D305" s="29"/>
      <c r="E305" s="29"/>
      <c r="F305" s="29"/>
      <c r="G305" s="36"/>
      <c r="H305" s="29"/>
      <c r="I305" s="35"/>
      <c r="J305" s="29"/>
      <c r="K305" s="29"/>
      <c r="L305" s="36"/>
      <c r="M305" s="29"/>
      <c r="N305" s="37"/>
      <c r="O305" s="30" t="n">
        <f aca="false">N305*J305</f>
        <v>0</v>
      </c>
    </row>
    <row r="306" customFormat="false" ht="15" hidden="false" customHeight="false" outlineLevel="0" collapsed="false">
      <c r="A306" s="33"/>
      <c r="B306" s="18" t="s">
        <v>20</v>
      </c>
      <c r="C306" s="29"/>
      <c r="D306" s="29"/>
      <c r="E306" s="29"/>
      <c r="F306" s="29"/>
      <c r="G306" s="36"/>
      <c r="H306" s="29"/>
      <c r="I306" s="35"/>
      <c r="J306" s="29"/>
      <c r="K306" s="29"/>
      <c r="L306" s="36"/>
      <c r="M306" s="29"/>
      <c r="N306" s="37"/>
      <c r="O306" s="30" t="n">
        <f aca="false">N306*J306</f>
        <v>0</v>
      </c>
    </row>
    <row r="307" customFormat="false" ht="15" hidden="false" customHeight="false" outlineLevel="0" collapsed="false">
      <c r="A307" s="33"/>
      <c r="B307" s="18" t="s">
        <v>20</v>
      </c>
      <c r="C307" s="29"/>
      <c r="D307" s="29"/>
      <c r="E307" s="29"/>
      <c r="F307" s="29"/>
      <c r="G307" s="36"/>
      <c r="H307" s="29"/>
      <c r="I307" s="35"/>
      <c r="J307" s="29"/>
      <c r="K307" s="29"/>
      <c r="L307" s="36"/>
      <c r="M307" s="29"/>
      <c r="N307" s="37"/>
      <c r="O307" s="30" t="n">
        <f aca="false">N307*J307</f>
        <v>0</v>
      </c>
    </row>
    <row r="308" customFormat="false" ht="15" hidden="false" customHeight="false" outlineLevel="0" collapsed="false">
      <c r="A308" s="33"/>
      <c r="B308" s="18" t="s">
        <v>20</v>
      </c>
      <c r="C308" s="29"/>
      <c r="D308" s="29"/>
      <c r="E308" s="29"/>
      <c r="F308" s="29"/>
      <c r="G308" s="36"/>
      <c r="H308" s="29"/>
      <c r="I308" s="35"/>
      <c r="J308" s="29"/>
      <c r="K308" s="29"/>
      <c r="L308" s="36"/>
      <c r="M308" s="29"/>
      <c r="N308" s="37"/>
      <c r="O308" s="30" t="n">
        <f aca="false">N308*J308</f>
        <v>0</v>
      </c>
    </row>
    <row r="309" customFormat="false" ht="15" hidden="false" customHeight="false" outlineLevel="0" collapsed="false">
      <c r="A309" s="33"/>
      <c r="B309" s="18" t="s">
        <v>20</v>
      </c>
      <c r="C309" s="29"/>
      <c r="D309" s="29"/>
      <c r="E309" s="29"/>
      <c r="F309" s="29"/>
      <c r="G309" s="36"/>
      <c r="H309" s="29"/>
      <c r="I309" s="35"/>
      <c r="J309" s="29"/>
      <c r="K309" s="29"/>
      <c r="L309" s="36"/>
      <c r="M309" s="29"/>
      <c r="N309" s="37"/>
      <c r="O309" s="30" t="n">
        <f aca="false">N309*J309</f>
        <v>0</v>
      </c>
    </row>
    <row r="310" customFormat="false" ht="15" hidden="false" customHeight="false" outlineLevel="0" collapsed="false">
      <c r="A310" s="33"/>
      <c r="B310" s="28" t="s">
        <v>21</v>
      </c>
      <c r="C310" s="29"/>
      <c r="D310" s="29"/>
      <c r="E310" s="29"/>
      <c r="F310" s="29"/>
      <c r="G310" s="36"/>
      <c r="H310" s="29"/>
      <c r="I310" s="35"/>
      <c r="J310" s="29"/>
      <c r="K310" s="29"/>
      <c r="L310" s="36"/>
      <c r="M310" s="29"/>
      <c r="N310" s="37"/>
      <c r="O310" s="30" t="n">
        <f aca="false">N310*J310</f>
        <v>0</v>
      </c>
    </row>
    <row r="311" customFormat="false" ht="15" hidden="false" customHeight="false" outlineLevel="0" collapsed="false">
      <c r="A311" s="33"/>
      <c r="B311" s="28" t="s">
        <v>21</v>
      </c>
      <c r="C311" s="29"/>
      <c r="D311" s="29"/>
      <c r="E311" s="29"/>
      <c r="F311" s="29"/>
      <c r="G311" s="36"/>
      <c r="H311" s="29"/>
      <c r="I311" s="35"/>
      <c r="J311" s="29"/>
      <c r="K311" s="29"/>
      <c r="L311" s="36"/>
      <c r="M311" s="29"/>
      <c r="N311" s="37"/>
      <c r="O311" s="30" t="n">
        <f aca="false">N311*J311</f>
        <v>0</v>
      </c>
    </row>
    <row r="312" customFormat="false" ht="15" hidden="false" customHeight="false" outlineLevel="0" collapsed="false">
      <c r="A312" s="42"/>
      <c r="B312" s="28" t="s">
        <v>21</v>
      </c>
      <c r="C312" s="41"/>
      <c r="D312" s="41"/>
      <c r="E312" s="41"/>
      <c r="F312" s="41"/>
      <c r="G312" s="34"/>
      <c r="H312" s="41"/>
      <c r="I312" s="43"/>
      <c r="J312" s="41"/>
      <c r="K312" s="41"/>
      <c r="L312" s="36"/>
      <c r="M312" s="29"/>
      <c r="N312" s="37"/>
      <c r="O312" s="30" t="n">
        <f aca="false">N312*J312</f>
        <v>0</v>
      </c>
    </row>
    <row r="313" customFormat="false" ht="15" hidden="false" customHeight="false" outlineLevel="0" collapsed="false">
      <c r="A313" s="33"/>
      <c r="B313" s="28" t="s">
        <v>21</v>
      </c>
      <c r="C313" s="29"/>
      <c r="D313" s="29"/>
      <c r="E313" s="29"/>
      <c r="F313" s="29"/>
      <c r="G313" s="36"/>
      <c r="H313" s="29"/>
      <c r="I313" s="35"/>
      <c r="J313" s="29"/>
      <c r="K313" s="29"/>
      <c r="L313" s="36"/>
      <c r="M313" s="29"/>
      <c r="N313" s="37"/>
      <c r="O313" s="30" t="n">
        <f aca="false">N313*J313</f>
        <v>0</v>
      </c>
    </row>
    <row r="314" customFormat="false" ht="15" hidden="false" customHeight="false" outlineLevel="0" collapsed="false">
      <c r="A314" s="33"/>
      <c r="B314" s="28" t="s">
        <v>21</v>
      </c>
      <c r="C314" s="29"/>
      <c r="D314" s="29"/>
      <c r="E314" s="29"/>
      <c r="F314" s="29"/>
      <c r="G314" s="36"/>
      <c r="H314" s="29"/>
      <c r="I314" s="35"/>
      <c r="J314" s="29"/>
      <c r="K314" s="29"/>
      <c r="L314" s="36"/>
      <c r="M314" s="29"/>
      <c r="N314" s="37"/>
      <c r="O314" s="30" t="n">
        <f aca="false">N314*J314</f>
        <v>0</v>
      </c>
    </row>
    <row r="315" customFormat="false" ht="15" hidden="false" customHeight="false" outlineLevel="0" collapsed="false">
      <c r="A315" s="33"/>
      <c r="B315" s="28" t="s">
        <v>21</v>
      </c>
      <c r="C315" s="29"/>
      <c r="D315" s="29"/>
      <c r="E315" s="29"/>
      <c r="F315" s="29"/>
      <c r="G315" s="36"/>
      <c r="H315" s="29"/>
      <c r="I315" s="35"/>
      <c r="J315" s="29"/>
      <c r="K315" s="29"/>
      <c r="L315" s="36"/>
      <c r="M315" s="29"/>
      <c r="N315" s="37"/>
      <c r="O315" s="30" t="n">
        <f aca="false">N315*J315</f>
        <v>0</v>
      </c>
    </row>
    <row r="316" customFormat="false" ht="15" hidden="false" customHeight="false" outlineLevel="0" collapsed="false">
      <c r="A316" s="33"/>
      <c r="B316" s="28" t="s">
        <v>21</v>
      </c>
      <c r="C316" s="29"/>
      <c r="D316" s="29"/>
      <c r="E316" s="29"/>
      <c r="F316" s="29"/>
      <c r="G316" s="36"/>
      <c r="H316" s="29"/>
      <c r="I316" s="35"/>
      <c r="J316" s="29"/>
      <c r="K316" s="29"/>
      <c r="L316" s="36"/>
      <c r="M316" s="29"/>
      <c r="N316" s="37"/>
      <c r="O316" s="30" t="n">
        <f aca="false">N316*J316</f>
        <v>0</v>
      </c>
    </row>
    <row r="317" customFormat="false" ht="15" hidden="false" customHeight="false" outlineLevel="0" collapsed="false">
      <c r="A317" s="33"/>
      <c r="B317" s="28" t="s">
        <v>21</v>
      </c>
      <c r="C317" s="29"/>
      <c r="D317" s="29"/>
      <c r="E317" s="29"/>
      <c r="F317" s="29"/>
      <c r="G317" s="36"/>
      <c r="H317" s="29"/>
      <c r="I317" s="35"/>
      <c r="J317" s="29"/>
      <c r="K317" s="29"/>
      <c r="L317" s="36"/>
      <c r="M317" s="29"/>
      <c r="N317" s="37"/>
      <c r="O317" s="30" t="n">
        <f aca="false">N317*J317</f>
        <v>0</v>
      </c>
    </row>
    <row r="318" customFormat="false" ht="15" hidden="false" customHeight="false" outlineLevel="0" collapsed="false">
      <c r="A318" s="33"/>
      <c r="B318" s="28" t="s">
        <v>21</v>
      </c>
      <c r="C318" s="29"/>
      <c r="D318" s="29"/>
      <c r="E318" s="29"/>
      <c r="F318" s="29"/>
      <c r="G318" s="36"/>
      <c r="H318" s="29"/>
      <c r="I318" s="35"/>
      <c r="J318" s="29"/>
      <c r="K318" s="29"/>
      <c r="L318" s="36"/>
      <c r="M318" s="29"/>
      <c r="N318" s="37"/>
      <c r="O318" s="30" t="n">
        <f aca="false">N318*J318</f>
        <v>0</v>
      </c>
    </row>
    <row r="319" customFormat="false" ht="15" hidden="false" customHeight="false" outlineLevel="0" collapsed="false">
      <c r="A319" s="33"/>
      <c r="B319" s="28" t="s">
        <v>21</v>
      </c>
      <c r="C319" s="29"/>
      <c r="D319" s="29"/>
      <c r="E319" s="29"/>
      <c r="F319" s="29"/>
      <c r="G319" s="36"/>
      <c r="H319" s="29"/>
      <c r="I319" s="35"/>
      <c r="J319" s="29"/>
      <c r="K319" s="29"/>
      <c r="L319" s="36"/>
      <c r="M319" s="29"/>
      <c r="N319" s="37"/>
      <c r="O319" s="30" t="n">
        <f aca="false">N319*J319</f>
        <v>0</v>
      </c>
    </row>
    <row r="320" customFormat="false" ht="15" hidden="false" customHeight="false" outlineLevel="0" collapsed="false">
      <c r="A320" s="33"/>
      <c r="B320" s="28" t="s">
        <v>21</v>
      </c>
      <c r="C320" s="29"/>
      <c r="D320" s="29"/>
      <c r="E320" s="29"/>
      <c r="F320" s="29"/>
      <c r="G320" s="36"/>
      <c r="H320" s="29"/>
      <c r="I320" s="35"/>
      <c r="J320" s="29"/>
      <c r="K320" s="29"/>
      <c r="L320" s="36"/>
      <c r="M320" s="29"/>
      <c r="N320" s="37"/>
      <c r="O320" s="30" t="n">
        <f aca="false">N320*J320</f>
        <v>0</v>
      </c>
    </row>
    <row r="321" customFormat="false" ht="15" hidden="false" customHeight="false" outlineLevel="0" collapsed="false">
      <c r="A321" s="33"/>
      <c r="B321" s="28" t="s">
        <v>21</v>
      </c>
      <c r="C321" s="29"/>
      <c r="D321" s="29"/>
      <c r="E321" s="29"/>
      <c r="F321" s="29"/>
      <c r="G321" s="36"/>
      <c r="H321" s="29"/>
      <c r="I321" s="35"/>
      <c r="J321" s="29"/>
      <c r="K321" s="29"/>
      <c r="L321" s="36"/>
      <c r="M321" s="29"/>
      <c r="N321" s="37"/>
      <c r="O321" s="30" t="n">
        <f aca="false">N321*J321</f>
        <v>0</v>
      </c>
    </row>
    <row r="322" customFormat="false" ht="15" hidden="false" customHeight="false" outlineLevel="0" collapsed="false">
      <c r="A322" s="33"/>
      <c r="B322" s="28" t="s">
        <v>21</v>
      </c>
      <c r="C322" s="29"/>
      <c r="D322" s="29"/>
      <c r="E322" s="29"/>
      <c r="F322" s="29"/>
      <c r="G322" s="36"/>
      <c r="H322" s="29"/>
      <c r="I322" s="35"/>
      <c r="J322" s="29"/>
      <c r="K322" s="29"/>
      <c r="L322" s="36"/>
      <c r="M322" s="29"/>
      <c r="N322" s="37"/>
      <c r="O322" s="30" t="n">
        <f aca="false">N322*J322</f>
        <v>0</v>
      </c>
    </row>
    <row r="323" customFormat="false" ht="15" hidden="false" customHeight="false" outlineLevel="0" collapsed="false">
      <c r="A323" s="33"/>
      <c r="B323" s="28" t="s">
        <v>21</v>
      </c>
      <c r="C323" s="29"/>
      <c r="D323" s="29"/>
      <c r="E323" s="29"/>
      <c r="F323" s="29"/>
      <c r="G323" s="36"/>
      <c r="H323" s="29"/>
      <c r="I323" s="35"/>
      <c r="J323" s="29"/>
      <c r="K323" s="29"/>
      <c r="L323" s="36"/>
      <c r="M323" s="29"/>
      <c r="N323" s="37"/>
      <c r="O323" s="30" t="n">
        <f aca="false">N323*J323</f>
        <v>0</v>
      </c>
    </row>
    <row r="324" customFormat="false" ht="15" hidden="false" customHeight="false" outlineLevel="0" collapsed="false">
      <c r="A324" s="33"/>
      <c r="B324" s="28" t="s">
        <v>21</v>
      </c>
      <c r="C324" s="29"/>
      <c r="D324" s="29"/>
      <c r="E324" s="29"/>
      <c r="F324" s="29"/>
      <c r="G324" s="36"/>
      <c r="H324" s="29"/>
      <c r="I324" s="35"/>
      <c r="J324" s="29"/>
      <c r="K324" s="29"/>
      <c r="L324" s="36"/>
      <c r="M324" s="29"/>
      <c r="N324" s="37"/>
      <c r="O324" s="30" t="n">
        <f aca="false">N324*J324</f>
        <v>0</v>
      </c>
    </row>
    <row r="325" customFormat="false" ht="15" hidden="false" customHeight="false" outlineLevel="0" collapsed="false">
      <c r="A325" s="33"/>
      <c r="B325" s="28" t="s">
        <v>21</v>
      </c>
      <c r="C325" s="29"/>
      <c r="D325" s="29"/>
      <c r="E325" s="29"/>
      <c r="F325" s="29"/>
      <c r="G325" s="36"/>
      <c r="H325" s="29"/>
      <c r="I325" s="35"/>
      <c r="J325" s="29"/>
      <c r="K325" s="29"/>
      <c r="L325" s="36"/>
      <c r="M325" s="29"/>
      <c r="N325" s="37"/>
      <c r="O325" s="30" t="n">
        <f aca="false">N325*J325</f>
        <v>0</v>
      </c>
    </row>
    <row r="326" customFormat="false" ht="15" hidden="false" customHeight="false" outlineLevel="0" collapsed="false">
      <c r="A326" s="33"/>
      <c r="B326" s="28" t="s">
        <v>21</v>
      </c>
      <c r="C326" s="29"/>
      <c r="D326" s="29"/>
      <c r="E326" s="29"/>
      <c r="F326" s="29"/>
      <c r="G326" s="36"/>
      <c r="H326" s="29"/>
      <c r="I326" s="35"/>
      <c r="J326" s="29"/>
      <c r="K326" s="29"/>
      <c r="L326" s="36"/>
      <c r="M326" s="29"/>
      <c r="N326" s="37"/>
      <c r="O326" s="30" t="n">
        <f aca="false">N326*J326</f>
        <v>0</v>
      </c>
    </row>
    <row r="327" customFormat="false" ht="15" hidden="false" customHeight="false" outlineLevel="0" collapsed="false">
      <c r="A327" s="33"/>
      <c r="B327" s="28" t="s">
        <v>21</v>
      </c>
      <c r="C327" s="29"/>
      <c r="D327" s="29"/>
      <c r="E327" s="29"/>
      <c r="F327" s="29"/>
      <c r="G327" s="36"/>
      <c r="H327" s="29"/>
      <c r="I327" s="35"/>
      <c r="J327" s="29"/>
      <c r="K327" s="29"/>
      <c r="L327" s="36"/>
      <c r="M327" s="29"/>
      <c r="N327" s="37"/>
      <c r="O327" s="30" t="n">
        <f aca="false">N327*J327</f>
        <v>0</v>
      </c>
    </row>
    <row r="328" customFormat="false" ht="15" hidden="false" customHeight="false" outlineLevel="0" collapsed="false">
      <c r="A328" s="33"/>
      <c r="B328" s="28" t="s">
        <v>21</v>
      </c>
      <c r="C328" s="29"/>
      <c r="D328" s="29"/>
      <c r="E328" s="29"/>
      <c r="F328" s="29"/>
      <c r="G328" s="36"/>
      <c r="H328" s="29"/>
      <c r="I328" s="35"/>
      <c r="J328" s="29"/>
      <c r="K328" s="29"/>
      <c r="L328" s="36"/>
      <c r="M328" s="29"/>
      <c r="N328" s="37"/>
      <c r="O328" s="30" t="n">
        <f aca="false">N328*J328</f>
        <v>0</v>
      </c>
    </row>
    <row r="329" customFormat="false" ht="15" hidden="false" customHeight="false" outlineLevel="0" collapsed="false">
      <c r="A329" s="33"/>
      <c r="B329" s="28" t="s">
        <v>21</v>
      </c>
      <c r="C329" s="29"/>
      <c r="D329" s="29"/>
      <c r="E329" s="29"/>
      <c r="F329" s="29"/>
      <c r="G329" s="36"/>
      <c r="H329" s="29"/>
      <c r="I329" s="35"/>
      <c r="J329" s="29"/>
      <c r="K329" s="29"/>
      <c r="L329" s="36"/>
      <c r="M329" s="29"/>
      <c r="N329" s="37"/>
      <c r="O329" s="30" t="n">
        <f aca="false">N329*J329</f>
        <v>0</v>
      </c>
    </row>
    <row r="330" customFormat="false" ht="15" hidden="false" customHeight="false" outlineLevel="0" collapsed="false">
      <c r="A330" s="33"/>
      <c r="B330" s="28" t="s">
        <v>21</v>
      </c>
      <c r="C330" s="29"/>
      <c r="D330" s="29"/>
      <c r="E330" s="29"/>
      <c r="F330" s="29"/>
      <c r="G330" s="36"/>
      <c r="H330" s="29"/>
      <c r="I330" s="35"/>
      <c r="J330" s="29"/>
      <c r="K330" s="29"/>
      <c r="L330" s="36"/>
      <c r="M330" s="29"/>
      <c r="N330" s="37"/>
      <c r="O330" s="30" t="n">
        <f aca="false">N330*J330</f>
        <v>0</v>
      </c>
    </row>
    <row r="331" customFormat="false" ht="15" hidden="false" customHeight="false" outlineLevel="0" collapsed="false">
      <c r="A331" s="33"/>
      <c r="B331" s="28" t="s">
        <v>21</v>
      </c>
      <c r="C331" s="29"/>
      <c r="D331" s="29"/>
      <c r="E331" s="29"/>
      <c r="F331" s="29"/>
      <c r="G331" s="36"/>
      <c r="H331" s="29"/>
      <c r="I331" s="35"/>
      <c r="J331" s="29"/>
      <c r="K331" s="29"/>
      <c r="L331" s="36"/>
      <c r="M331" s="29"/>
      <c r="N331" s="37"/>
      <c r="O331" s="30" t="n">
        <f aca="false">N331*J331</f>
        <v>0</v>
      </c>
    </row>
    <row r="332" customFormat="false" ht="15" hidden="false" customHeight="false" outlineLevel="0" collapsed="false">
      <c r="A332" s="33"/>
      <c r="B332" s="28" t="s">
        <v>21</v>
      </c>
      <c r="C332" s="29"/>
      <c r="D332" s="29"/>
      <c r="E332" s="29"/>
      <c r="F332" s="29"/>
      <c r="G332" s="36"/>
      <c r="H332" s="29"/>
      <c r="I332" s="35"/>
      <c r="J332" s="29"/>
      <c r="K332" s="29"/>
      <c r="L332" s="36"/>
      <c r="M332" s="29"/>
      <c r="N332" s="37"/>
      <c r="O332" s="30" t="n">
        <f aca="false">N332*J332</f>
        <v>0</v>
      </c>
    </row>
    <row r="333" customFormat="false" ht="15" hidden="false" customHeight="false" outlineLevel="0" collapsed="false">
      <c r="A333" s="33"/>
      <c r="B333" s="28" t="s">
        <v>21</v>
      </c>
      <c r="C333" s="29"/>
      <c r="D333" s="29"/>
      <c r="E333" s="29"/>
      <c r="F333" s="29"/>
      <c r="G333" s="36"/>
      <c r="H333" s="29"/>
      <c r="I333" s="35"/>
      <c r="J333" s="29"/>
      <c r="K333" s="29"/>
      <c r="L333" s="36"/>
      <c r="M333" s="29"/>
      <c r="N333" s="37"/>
      <c r="O333" s="30" t="n">
        <f aca="false">N333*J333</f>
        <v>0</v>
      </c>
    </row>
    <row r="334" customFormat="false" ht="15" hidden="false" customHeight="false" outlineLevel="0" collapsed="false">
      <c r="A334" s="33"/>
      <c r="B334" s="28" t="s">
        <v>21</v>
      </c>
      <c r="C334" s="29"/>
      <c r="D334" s="29"/>
      <c r="E334" s="29"/>
      <c r="F334" s="29"/>
      <c r="G334" s="36"/>
      <c r="H334" s="29"/>
      <c r="I334" s="35"/>
      <c r="J334" s="29"/>
      <c r="K334" s="29"/>
      <c r="L334" s="36"/>
      <c r="M334" s="29"/>
      <c r="N334" s="37"/>
      <c r="O334" s="30" t="n">
        <f aca="false">N334*J334</f>
        <v>0</v>
      </c>
    </row>
    <row r="335" customFormat="false" ht="15" hidden="false" customHeight="false" outlineLevel="0" collapsed="false">
      <c r="A335" s="33"/>
      <c r="B335" s="28" t="s">
        <v>21</v>
      </c>
      <c r="C335" s="29"/>
      <c r="D335" s="29"/>
      <c r="E335" s="29"/>
      <c r="F335" s="29"/>
      <c r="G335" s="36"/>
      <c r="H335" s="29"/>
      <c r="I335" s="35"/>
      <c r="J335" s="29"/>
      <c r="K335" s="29"/>
      <c r="L335" s="36"/>
      <c r="M335" s="29"/>
      <c r="N335" s="37"/>
      <c r="O335" s="30" t="n">
        <f aca="false">N335*J335</f>
        <v>0</v>
      </c>
    </row>
    <row r="336" customFormat="false" ht="15" hidden="false" customHeight="false" outlineLevel="0" collapsed="false">
      <c r="A336" s="33"/>
      <c r="B336" s="28" t="s">
        <v>21</v>
      </c>
      <c r="C336" s="29"/>
      <c r="D336" s="29"/>
      <c r="E336" s="29"/>
      <c r="F336" s="29"/>
      <c r="G336" s="36"/>
      <c r="H336" s="29"/>
      <c r="I336" s="35"/>
      <c r="J336" s="29"/>
      <c r="K336" s="29"/>
      <c r="L336" s="36"/>
      <c r="M336" s="29"/>
      <c r="N336" s="37"/>
      <c r="O336" s="30" t="n">
        <f aca="false">N336*J336</f>
        <v>0</v>
      </c>
    </row>
    <row r="337" customFormat="false" ht="15" hidden="false" customHeight="false" outlineLevel="0" collapsed="false">
      <c r="A337" s="33"/>
      <c r="B337" s="28" t="s">
        <v>21</v>
      </c>
      <c r="C337" s="29"/>
      <c r="D337" s="29"/>
      <c r="E337" s="29"/>
      <c r="F337" s="29"/>
      <c r="G337" s="36"/>
      <c r="H337" s="29"/>
      <c r="I337" s="35"/>
      <c r="J337" s="29"/>
      <c r="K337" s="29"/>
      <c r="L337" s="36"/>
      <c r="M337" s="29"/>
      <c r="N337" s="37"/>
      <c r="O337" s="30" t="n">
        <f aca="false">N337*J337</f>
        <v>0</v>
      </c>
    </row>
    <row r="338" customFormat="false" ht="15" hidden="false" customHeight="false" outlineLevel="0" collapsed="false">
      <c r="A338" s="33"/>
      <c r="B338" s="28" t="s">
        <v>21</v>
      </c>
      <c r="C338" s="29"/>
      <c r="D338" s="29"/>
      <c r="E338" s="29"/>
      <c r="F338" s="29"/>
      <c r="G338" s="36"/>
      <c r="H338" s="29"/>
      <c r="I338" s="35"/>
      <c r="J338" s="29"/>
      <c r="K338" s="29"/>
      <c r="L338" s="36"/>
      <c r="M338" s="29"/>
      <c r="N338" s="37"/>
      <c r="O338" s="30" t="n">
        <f aca="false">N338*J338</f>
        <v>0</v>
      </c>
    </row>
    <row r="339" customFormat="false" ht="15" hidden="false" customHeight="false" outlineLevel="0" collapsed="false">
      <c r="A339" s="33"/>
      <c r="B339" s="28" t="s">
        <v>21</v>
      </c>
      <c r="C339" s="29"/>
      <c r="D339" s="29"/>
      <c r="E339" s="29"/>
      <c r="F339" s="29"/>
      <c r="G339" s="36"/>
      <c r="H339" s="29"/>
      <c r="I339" s="35"/>
      <c r="J339" s="29"/>
      <c r="K339" s="29"/>
      <c r="L339" s="36"/>
      <c r="M339" s="29"/>
      <c r="N339" s="37"/>
      <c r="O339" s="30" t="n">
        <f aca="false">N339*J339</f>
        <v>0</v>
      </c>
    </row>
    <row r="340" customFormat="false" ht="15" hidden="false" customHeight="false" outlineLevel="0" collapsed="false">
      <c r="A340" s="33"/>
      <c r="B340" s="28" t="s">
        <v>21</v>
      </c>
      <c r="C340" s="29"/>
      <c r="D340" s="29"/>
      <c r="E340" s="29"/>
      <c r="F340" s="29"/>
      <c r="G340" s="36"/>
      <c r="H340" s="29"/>
      <c r="I340" s="35"/>
      <c r="J340" s="29"/>
      <c r="K340" s="29"/>
      <c r="L340" s="36"/>
      <c r="M340" s="29"/>
      <c r="N340" s="37"/>
      <c r="O340" s="30" t="n">
        <f aca="false">N340*J340</f>
        <v>0</v>
      </c>
    </row>
    <row r="341" customFormat="false" ht="15" hidden="false" customHeight="false" outlineLevel="0" collapsed="false">
      <c r="A341" s="33"/>
      <c r="B341" s="28" t="s">
        <v>21</v>
      </c>
      <c r="C341" s="29"/>
      <c r="D341" s="29"/>
      <c r="E341" s="29"/>
      <c r="F341" s="29"/>
      <c r="G341" s="36"/>
      <c r="H341" s="29"/>
      <c r="I341" s="35"/>
      <c r="J341" s="29"/>
      <c r="K341" s="29"/>
      <c r="L341" s="36"/>
      <c r="M341" s="29"/>
      <c r="N341" s="37"/>
      <c r="O341" s="30" t="n">
        <f aca="false">N341*J341</f>
        <v>0</v>
      </c>
    </row>
    <row r="342" customFormat="false" ht="15" hidden="false" customHeight="false" outlineLevel="0" collapsed="false">
      <c r="A342" s="33"/>
      <c r="B342" s="28" t="s">
        <v>21</v>
      </c>
      <c r="C342" s="29"/>
      <c r="D342" s="29"/>
      <c r="E342" s="29"/>
      <c r="F342" s="29"/>
      <c r="G342" s="36"/>
      <c r="H342" s="29"/>
      <c r="I342" s="35"/>
      <c r="J342" s="29"/>
      <c r="K342" s="29"/>
      <c r="L342" s="36"/>
      <c r="M342" s="29"/>
      <c r="N342" s="37"/>
      <c r="O342" s="30" t="n">
        <f aca="false">N342*J342</f>
        <v>0</v>
      </c>
    </row>
    <row r="343" customFormat="false" ht="15" hidden="false" customHeight="false" outlineLevel="0" collapsed="false">
      <c r="A343" s="33"/>
      <c r="B343" s="28" t="s">
        <v>21</v>
      </c>
      <c r="C343" s="29"/>
      <c r="D343" s="29"/>
      <c r="E343" s="29"/>
      <c r="F343" s="29"/>
      <c r="G343" s="36"/>
      <c r="H343" s="29"/>
      <c r="I343" s="35"/>
      <c r="J343" s="29"/>
      <c r="K343" s="29"/>
      <c r="L343" s="36"/>
      <c r="M343" s="29"/>
      <c r="N343" s="37"/>
      <c r="O343" s="30" t="n">
        <f aca="false">N343*J343</f>
        <v>0</v>
      </c>
    </row>
    <row r="344" customFormat="false" ht="15" hidden="false" customHeight="false" outlineLevel="0" collapsed="false">
      <c r="A344" s="33"/>
      <c r="B344" s="28" t="s">
        <v>21</v>
      </c>
      <c r="C344" s="29"/>
      <c r="D344" s="29"/>
      <c r="E344" s="29"/>
      <c r="F344" s="29"/>
      <c r="G344" s="36"/>
      <c r="H344" s="29"/>
      <c r="I344" s="35"/>
      <c r="J344" s="29"/>
      <c r="K344" s="29"/>
      <c r="L344" s="36"/>
      <c r="M344" s="29"/>
      <c r="N344" s="37"/>
      <c r="O344" s="30" t="n">
        <f aca="false">N344*J344</f>
        <v>0</v>
      </c>
    </row>
    <row r="345" customFormat="false" ht="15" hidden="false" customHeight="false" outlineLevel="0" collapsed="false">
      <c r="A345" s="33"/>
      <c r="B345" s="28" t="s">
        <v>21</v>
      </c>
      <c r="C345" s="29"/>
      <c r="D345" s="29"/>
      <c r="E345" s="29"/>
      <c r="F345" s="29"/>
      <c r="G345" s="36"/>
      <c r="H345" s="29"/>
      <c r="I345" s="35"/>
      <c r="J345" s="29"/>
      <c r="K345" s="29"/>
      <c r="L345" s="36"/>
      <c r="M345" s="29"/>
      <c r="N345" s="37"/>
      <c r="O345" s="30" t="n">
        <f aca="false">N345*J345</f>
        <v>0</v>
      </c>
    </row>
    <row r="346" customFormat="false" ht="15" hidden="false" customHeight="false" outlineLevel="0" collapsed="false">
      <c r="A346" s="33"/>
      <c r="B346" s="28" t="s">
        <v>21</v>
      </c>
      <c r="C346" s="29"/>
      <c r="D346" s="29"/>
      <c r="E346" s="29"/>
      <c r="F346" s="29"/>
      <c r="G346" s="36"/>
      <c r="H346" s="29"/>
      <c r="I346" s="35"/>
      <c r="J346" s="29"/>
      <c r="K346" s="29"/>
      <c r="L346" s="36"/>
      <c r="M346" s="29"/>
      <c r="N346" s="37"/>
      <c r="O346" s="30" t="n">
        <f aca="false">N346*J346</f>
        <v>0</v>
      </c>
    </row>
    <row r="347" customFormat="false" ht="15" hidden="false" customHeight="false" outlineLevel="0" collapsed="false">
      <c r="A347" s="42"/>
      <c r="B347" s="28" t="s">
        <v>21</v>
      </c>
      <c r="C347" s="41"/>
      <c r="D347" s="41"/>
      <c r="E347" s="41"/>
      <c r="F347" s="41"/>
      <c r="G347" s="34"/>
      <c r="H347" s="41"/>
      <c r="I347" s="43"/>
      <c r="J347" s="41"/>
      <c r="K347" s="41"/>
      <c r="L347" s="36"/>
      <c r="M347" s="29"/>
      <c r="N347" s="37"/>
      <c r="O347" s="30" t="n">
        <f aca="false">N347*J347</f>
        <v>0</v>
      </c>
    </row>
    <row r="348" customFormat="false" ht="15" hidden="false" customHeight="false" outlineLevel="0" collapsed="false">
      <c r="A348" s="33"/>
      <c r="B348" s="28" t="s">
        <v>21</v>
      </c>
      <c r="C348" s="29"/>
      <c r="D348" s="29"/>
      <c r="E348" s="29"/>
      <c r="F348" s="29"/>
      <c r="G348" s="36"/>
      <c r="H348" s="29"/>
      <c r="I348" s="35"/>
      <c r="J348" s="29"/>
      <c r="K348" s="29"/>
      <c r="L348" s="36"/>
      <c r="M348" s="29"/>
      <c r="N348" s="37"/>
      <c r="O348" s="30" t="n">
        <f aca="false">N348*J348</f>
        <v>0</v>
      </c>
    </row>
    <row r="349" customFormat="false" ht="15" hidden="false" customHeight="false" outlineLevel="0" collapsed="false">
      <c r="A349" s="33"/>
      <c r="B349" s="28" t="s">
        <v>21</v>
      </c>
      <c r="C349" s="29"/>
      <c r="D349" s="29"/>
      <c r="E349" s="29"/>
      <c r="F349" s="29"/>
      <c r="G349" s="36"/>
      <c r="H349" s="29"/>
      <c r="I349" s="35"/>
      <c r="J349" s="29"/>
      <c r="K349" s="29"/>
      <c r="L349" s="36"/>
      <c r="M349" s="29"/>
      <c r="N349" s="37"/>
      <c r="O349" s="30" t="n">
        <f aca="false">N349*J349</f>
        <v>0</v>
      </c>
    </row>
    <row r="350" customFormat="false" ht="15" hidden="false" customHeight="false" outlineLevel="0" collapsed="false">
      <c r="A350" s="33"/>
      <c r="B350" s="28" t="s">
        <v>21</v>
      </c>
      <c r="C350" s="29"/>
      <c r="D350" s="29"/>
      <c r="E350" s="29"/>
      <c r="F350" s="29"/>
      <c r="G350" s="36"/>
      <c r="H350" s="29"/>
      <c r="I350" s="35"/>
      <c r="J350" s="29"/>
      <c r="K350" s="29"/>
      <c r="L350" s="36"/>
      <c r="M350" s="29"/>
      <c r="N350" s="37"/>
      <c r="O350" s="30" t="n">
        <f aca="false">N350*J350</f>
        <v>0</v>
      </c>
    </row>
    <row r="351" customFormat="false" ht="15" hidden="false" customHeight="false" outlineLevel="0" collapsed="false">
      <c r="A351" s="33"/>
      <c r="B351" s="28" t="s">
        <v>21</v>
      </c>
      <c r="C351" s="29"/>
      <c r="D351" s="29"/>
      <c r="E351" s="29"/>
      <c r="F351" s="29"/>
      <c r="G351" s="36"/>
      <c r="H351" s="29"/>
      <c r="I351" s="35"/>
      <c r="J351" s="29"/>
      <c r="K351" s="29"/>
      <c r="L351" s="36"/>
      <c r="M351" s="29"/>
      <c r="N351" s="37"/>
      <c r="O351" s="30" t="n">
        <f aca="false">N351*J351</f>
        <v>0</v>
      </c>
    </row>
    <row r="352" customFormat="false" ht="15" hidden="false" customHeight="false" outlineLevel="0" collapsed="false">
      <c r="A352" s="33"/>
      <c r="B352" s="28" t="s">
        <v>21</v>
      </c>
      <c r="C352" s="29"/>
      <c r="D352" s="29"/>
      <c r="E352" s="29"/>
      <c r="F352" s="29"/>
      <c r="G352" s="36"/>
      <c r="H352" s="29"/>
      <c r="I352" s="35"/>
      <c r="J352" s="29"/>
      <c r="K352" s="29"/>
      <c r="L352" s="36"/>
      <c r="M352" s="29"/>
      <c r="N352" s="37"/>
      <c r="O352" s="30" t="n">
        <f aca="false">N352*J352</f>
        <v>0</v>
      </c>
    </row>
    <row r="353" customFormat="false" ht="15" hidden="false" customHeight="false" outlineLevel="0" collapsed="false">
      <c r="A353" s="33"/>
      <c r="B353" s="28" t="s">
        <v>21</v>
      </c>
      <c r="C353" s="29"/>
      <c r="D353" s="29"/>
      <c r="E353" s="29"/>
      <c r="F353" s="29"/>
      <c r="G353" s="36"/>
      <c r="H353" s="29"/>
      <c r="I353" s="35"/>
      <c r="J353" s="29"/>
      <c r="K353" s="29"/>
      <c r="L353" s="36"/>
      <c r="M353" s="29"/>
      <c r="N353" s="37"/>
      <c r="O353" s="30" t="n">
        <f aca="false">N353*J353</f>
        <v>0</v>
      </c>
    </row>
    <row r="354" customFormat="false" ht="15" hidden="false" customHeight="false" outlineLevel="0" collapsed="false">
      <c r="A354" s="33"/>
      <c r="B354" s="28" t="s">
        <v>21</v>
      </c>
      <c r="C354" s="29"/>
      <c r="D354" s="29"/>
      <c r="E354" s="29"/>
      <c r="F354" s="29"/>
      <c r="G354" s="36"/>
      <c r="H354" s="29"/>
      <c r="I354" s="35"/>
      <c r="J354" s="29"/>
      <c r="K354" s="29"/>
      <c r="L354" s="36"/>
      <c r="M354" s="29"/>
      <c r="N354" s="37"/>
      <c r="O354" s="30" t="n">
        <f aca="false">N354*J354</f>
        <v>0</v>
      </c>
    </row>
    <row r="355" customFormat="false" ht="15" hidden="false" customHeight="false" outlineLevel="0" collapsed="false">
      <c r="A355" s="33"/>
      <c r="B355" s="28" t="s">
        <v>21</v>
      </c>
      <c r="C355" s="29"/>
      <c r="D355" s="29"/>
      <c r="E355" s="29"/>
      <c r="F355" s="29"/>
      <c r="G355" s="36"/>
      <c r="H355" s="29"/>
      <c r="I355" s="35"/>
      <c r="J355" s="29"/>
      <c r="K355" s="29"/>
      <c r="L355" s="36"/>
      <c r="M355" s="29"/>
      <c r="N355" s="37"/>
      <c r="O355" s="30" t="n">
        <f aca="false">N355*J355</f>
        <v>0</v>
      </c>
    </row>
    <row r="356" customFormat="false" ht="15" hidden="false" customHeight="false" outlineLevel="0" collapsed="false">
      <c r="A356" s="33"/>
      <c r="B356" s="28" t="s">
        <v>21</v>
      </c>
      <c r="C356" s="29"/>
      <c r="D356" s="29"/>
      <c r="E356" s="29"/>
      <c r="F356" s="29"/>
      <c r="G356" s="36"/>
      <c r="H356" s="29"/>
      <c r="I356" s="35"/>
      <c r="J356" s="29"/>
      <c r="K356" s="29"/>
      <c r="L356" s="36"/>
      <c r="M356" s="29"/>
      <c r="N356" s="37"/>
      <c r="O356" s="30" t="n">
        <f aca="false">N356*J356</f>
        <v>0</v>
      </c>
    </row>
    <row r="357" customFormat="false" ht="15" hidden="false" customHeight="false" outlineLevel="0" collapsed="false">
      <c r="A357" s="33"/>
      <c r="B357" s="28" t="s">
        <v>21</v>
      </c>
      <c r="C357" s="29"/>
      <c r="D357" s="29"/>
      <c r="E357" s="29"/>
      <c r="F357" s="29"/>
      <c r="G357" s="36"/>
      <c r="H357" s="29"/>
      <c r="I357" s="35"/>
      <c r="J357" s="29"/>
      <c r="K357" s="29"/>
      <c r="L357" s="36"/>
      <c r="M357" s="29"/>
      <c r="N357" s="37"/>
      <c r="O357" s="30" t="n">
        <f aca="false">N357*J357</f>
        <v>0</v>
      </c>
    </row>
    <row r="358" customFormat="false" ht="15" hidden="false" customHeight="false" outlineLevel="0" collapsed="false">
      <c r="A358" s="33"/>
      <c r="B358" s="28" t="s">
        <v>21</v>
      </c>
      <c r="C358" s="29"/>
      <c r="D358" s="29"/>
      <c r="E358" s="29"/>
      <c r="F358" s="29"/>
      <c r="G358" s="36"/>
      <c r="H358" s="29"/>
      <c r="I358" s="35"/>
      <c r="J358" s="29"/>
      <c r="K358" s="29"/>
      <c r="L358" s="36"/>
      <c r="M358" s="29"/>
      <c r="N358" s="37"/>
      <c r="O358" s="30" t="n">
        <f aca="false">N358*J358</f>
        <v>0</v>
      </c>
    </row>
    <row r="359" customFormat="false" ht="15" hidden="false" customHeight="false" outlineLevel="0" collapsed="false">
      <c r="A359" s="33"/>
      <c r="B359" s="28" t="s">
        <v>21</v>
      </c>
      <c r="C359" s="29"/>
      <c r="D359" s="29"/>
      <c r="E359" s="29"/>
      <c r="F359" s="29"/>
      <c r="G359" s="36"/>
      <c r="H359" s="29"/>
      <c r="I359" s="35"/>
      <c r="J359" s="29"/>
      <c r="K359" s="29"/>
      <c r="L359" s="36"/>
      <c r="M359" s="29"/>
      <c r="N359" s="37"/>
      <c r="O359" s="30" t="n">
        <f aca="false">N359*J359</f>
        <v>0</v>
      </c>
    </row>
    <row r="360" customFormat="false" ht="15" hidden="false" customHeight="false" outlineLevel="0" collapsed="false">
      <c r="A360" s="33"/>
      <c r="B360" s="28" t="s">
        <v>21</v>
      </c>
      <c r="C360" s="29"/>
      <c r="D360" s="29"/>
      <c r="E360" s="29"/>
      <c r="F360" s="29"/>
      <c r="G360" s="36"/>
      <c r="H360" s="29"/>
      <c r="I360" s="35"/>
      <c r="J360" s="29"/>
      <c r="K360" s="29"/>
      <c r="L360" s="36"/>
      <c r="M360" s="29"/>
      <c r="N360" s="37"/>
      <c r="O360" s="30" t="n">
        <f aca="false">N360*J360</f>
        <v>0</v>
      </c>
    </row>
    <row r="361" customFormat="false" ht="15" hidden="false" customHeight="false" outlineLevel="0" collapsed="false">
      <c r="A361" s="33"/>
      <c r="B361" s="28" t="s">
        <v>21</v>
      </c>
      <c r="C361" s="29"/>
      <c r="D361" s="29"/>
      <c r="E361" s="29"/>
      <c r="F361" s="29"/>
      <c r="G361" s="36"/>
      <c r="H361" s="29"/>
      <c r="I361" s="35"/>
      <c r="J361" s="29"/>
      <c r="K361" s="29"/>
      <c r="L361" s="36"/>
      <c r="M361" s="29"/>
      <c r="N361" s="37"/>
      <c r="O361" s="30" t="n">
        <f aca="false">N361*J361</f>
        <v>0</v>
      </c>
    </row>
    <row r="362" customFormat="false" ht="15" hidden="false" customHeight="false" outlineLevel="0" collapsed="false">
      <c r="A362" s="33"/>
      <c r="B362" s="28" t="s">
        <v>21</v>
      </c>
      <c r="C362" s="29"/>
      <c r="D362" s="29"/>
      <c r="E362" s="29"/>
      <c r="F362" s="29"/>
      <c r="G362" s="36"/>
      <c r="H362" s="29"/>
      <c r="I362" s="35"/>
      <c r="J362" s="29"/>
      <c r="K362" s="29"/>
      <c r="L362" s="36"/>
      <c r="M362" s="29"/>
      <c r="N362" s="37"/>
      <c r="O362" s="30" t="n">
        <f aca="false">N362*J362</f>
        <v>0</v>
      </c>
    </row>
    <row r="363" customFormat="false" ht="15" hidden="false" customHeight="false" outlineLevel="0" collapsed="false">
      <c r="A363" s="33"/>
      <c r="B363" s="28" t="s">
        <v>21</v>
      </c>
      <c r="C363" s="29"/>
      <c r="D363" s="29"/>
      <c r="E363" s="29"/>
      <c r="F363" s="29"/>
      <c r="G363" s="36"/>
      <c r="H363" s="29"/>
      <c r="I363" s="35"/>
      <c r="J363" s="29"/>
      <c r="K363" s="29"/>
      <c r="L363" s="36"/>
      <c r="M363" s="29"/>
      <c r="N363" s="37"/>
      <c r="O363" s="30" t="n">
        <f aca="false">N363*J363</f>
        <v>0</v>
      </c>
    </row>
    <row r="364" customFormat="false" ht="15" hidden="false" customHeight="false" outlineLevel="0" collapsed="false">
      <c r="A364" s="33"/>
      <c r="B364" s="28" t="s">
        <v>21</v>
      </c>
      <c r="C364" s="29"/>
      <c r="D364" s="29"/>
      <c r="E364" s="29"/>
      <c r="F364" s="29"/>
      <c r="G364" s="36"/>
      <c r="H364" s="29"/>
      <c r="I364" s="35"/>
      <c r="J364" s="29"/>
      <c r="K364" s="29"/>
      <c r="L364" s="36"/>
      <c r="M364" s="29"/>
      <c r="N364" s="37"/>
      <c r="O364" s="30" t="n">
        <f aca="false">N364*J364</f>
        <v>0</v>
      </c>
    </row>
    <row r="365" customFormat="false" ht="15" hidden="false" customHeight="false" outlineLevel="0" collapsed="false">
      <c r="A365" s="33"/>
      <c r="B365" s="28" t="s">
        <v>21</v>
      </c>
      <c r="C365" s="29"/>
      <c r="D365" s="29"/>
      <c r="E365" s="29"/>
      <c r="F365" s="29"/>
      <c r="G365" s="36"/>
      <c r="H365" s="29"/>
      <c r="I365" s="35"/>
      <c r="J365" s="29"/>
      <c r="K365" s="29"/>
      <c r="L365" s="36"/>
      <c r="M365" s="29"/>
      <c r="N365" s="37"/>
      <c r="O365" s="30" t="n">
        <f aca="false">N365*J365</f>
        <v>0</v>
      </c>
    </row>
    <row r="366" customFormat="false" ht="15" hidden="false" customHeight="false" outlineLevel="0" collapsed="false">
      <c r="A366" s="33"/>
      <c r="B366" s="28" t="s">
        <v>21</v>
      </c>
      <c r="C366" s="29"/>
      <c r="D366" s="29"/>
      <c r="E366" s="29"/>
      <c r="F366" s="29"/>
      <c r="G366" s="36"/>
      <c r="H366" s="29"/>
      <c r="I366" s="35"/>
      <c r="J366" s="29"/>
      <c r="K366" s="29"/>
      <c r="L366" s="36"/>
      <c r="M366" s="29"/>
      <c r="N366" s="37"/>
      <c r="O366" s="30" t="n">
        <f aca="false">N366*J366</f>
        <v>0</v>
      </c>
    </row>
    <row r="367" customFormat="false" ht="15" hidden="false" customHeight="false" outlineLevel="0" collapsed="false">
      <c r="A367" s="33"/>
      <c r="B367" s="28" t="s">
        <v>21</v>
      </c>
      <c r="C367" s="29"/>
      <c r="D367" s="29"/>
      <c r="E367" s="29"/>
      <c r="F367" s="29"/>
      <c r="G367" s="36"/>
      <c r="H367" s="29"/>
      <c r="I367" s="35"/>
      <c r="J367" s="29"/>
      <c r="K367" s="29"/>
      <c r="L367" s="36"/>
      <c r="M367" s="29"/>
      <c r="N367" s="37"/>
      <c r="O367" s="30" t="n">
        <f aca="false">N367*J367</f>
        <v>0</v>
      </c>
    </row>
    <row r="368" customFormat="false" ht="15" hidden="false" customHeight="false" outlineLevel="0" collapsed="false">
      <c r="A368" s="33"/>
      <c r="B368" s="28" t="s">
        <v>21</v>
      </c>
      <c r="C368" s="29"/>
      <c r="D368" s="29"/>
      <c r="E368" s="29"/>
      <c r="F368" s="29"/>
      <c r="G368" s="36"/>
      <c r="H368" s="29"/>
      <c r="I368" s="35"/>
      <c r="J368" s="29"/>
      <c r="K368" s="29"/>
      <c r="L368" s="36"/>
      <c r="M368" s="29"/>
      <c r="N368" s="37"/>
      <c r="O368" s="30" t="n">
        <f aca="false">N368*J368</f>
        <v>0</v>
      </c>
    </row>
    <row r="369" customFormat="false" ht="15" hidden="false" customHeight="false" outlineLevel="0" collapsed="false">
      <c r="A369" s="33"/>
      <c r="B369" s="28" t="s">
        <v>21</v>
      </c>
      <c r="C369" s="29"/>
      <c r="D369" s="29"/>
      <c r="E369" s="29"/>
      <c r="F369" s="29"/>
      <c r="G369" s="36"/>
      <c r="H369" s="29"/>
      <c r="I369" s="35"/>
      <c r="J369" s="29"/>
      <c r="K369" s="29"/>
      <c r="L369" s="36"/>
      <c r="M369" s="29"/>
      <c r="N369" s="37"/>
      <c r="O369" s="30" t="n">
        <f aca="false">N369*J369</f>
        <v>0</v>
      </c>
    </row>
    <row r="370" customFormat="false" ht="15" hidden="false" customHeight="false" outlineLevel="0" collapsed="false">
      <c r="A370" s="33"/>
      <c r="B370" s="28" t="s">
        <v>21</v>
      </c>
      <c r="C370" s="29"/>
      <c r="D370" s="29"/>
      <c r="E370" s="29"/>
      <c r="F370" s="29"/>
      <c r="G370" s="36"/>
      <c r="H370" s="29"/>
      <c r="I370" s="35"/>
      <c r="J370" s="29"/>
      <c r="K370" s="29"/>
      <c r="L370" s="36"/>
      <c r="M370" s="29"/>
      <c r="N370" s="37"/>
      <c r="O370" s="30" t="n">
        <f aca="false">N370*J370</f>
        <v>0</v>
      </c>
    </row>
    <row r="371" customFormat="false" ht="15" hidden="false" customHeight="false" outlineLevel="0" collapsed="false">
      <c r="A371" s="33"/>
      <c r="B371" s="28" t="s">
        <v>21</v>
      </c>
      <c r="C371" s="29"/>
      <c r="D371" s="29"/>
      <c r="E371" s="29"/>
      <c r="F371" s="29"/>
      <c r="G371" s="36"/>
      <c r="H371" s="29"/>
      <c r="I371" s="35"/>
      <c r="J371" s="29"/>
      <c r="K371" s="29"/>
      <c r="L371" s="36"/>
      <c r="M371" s="29"/>
      <c r="N371" s="37"/>
      <c r="O371" s="30" t="n">
        <f aca="false">N371*J371</f>
        <v>0</v>
      </c>
    </row>
    <row r="372" customFormat="false" ht="15" hidden="false" customHeight="false" outlineLevel="0" collapsed="false">
      <c r="A372" s="33"/>
      <c r="B372" s="28" t="s">
        <v>21</v>
      </c>
      <c r="C372" s="29"/>
      <c r="D372" s="29"/>
      <c r="E372" s="29"/>
      <c r="F372" s="29"/>
      <c r="G372" s="36"/>
      <c r="H372" s="29"/>
      <c r="I372" s="35"/>
      <c r="J372" s="29"/>
      <c r="K372" s="29"/>
      <c r="L372" s="36"/>
      <c r="M372" s="29"/>
      <c r="N372" s="37"/>
      <c r="O372" s="30" t="n">
        <f aca="false">N372*J372</f>
        <v>0</v>
      </c>
    </row>
    <row r="373" customFormat="false" ht="15" hidden="false" customHeight="false" outlineLevel="0" collapsed="false">
      <c r="A373" s="33"/>
      <c r="B373" s="28" t="s">
        <v>21</v>
      </c>
      <c r="C373" s="29"/>
      <c r="D373" s="29"/>
      <c r="E373" s="29"/>
      <c r="F373" s="29"/>
      <c r="G373" s="36"/>
      <c r="H373" s="29"/>
      <c r="I373" s="35"/>
      <c r="J373" s="29"/>
      <c r="K373" s="29"/>
      <c r="L373" s="36"/>
      <c r="M373" s="29"/>
      <c r="N373" s="37"/>
      <c r="O373" s="30" t="n">
        <f aca="false">N373*J373</f>
        <v>0</v>
      </c>
    </row>
    <row r="374" customFormat="false" ht="15" hidden="false" customHeight="false" outlineLevel="0" collapsed="false">
      <c r="A374" s="33"/>
      <c r="B374" s="28" t="s">
        <v>21</v>
      </c>
      <c r="C374" s="29"/>
      <c r="D374" s="29"/>
      <c r="E374" s="29"/>
      <c r="F374" s="29"/>
      <c r="G374" s="36"/>
      <c r="H374" s="29"/>
      <c r="I374" s="35"/>
      <c r="J374" s="29"/>
      <c r="K374" s="29"/>
      <c r="L374" s="36"/>
      <c r="M374" s="29"/>
      <c r="N374" s="37"/>
      <c r="O374" s="30" t="n">
        <f aca="false">N374*J374</f>
        <v>0</v>
      </c>
    </row>
    <row r="375" customFormat="false" ht="15" hidden="false" customHeight="false" outlineLevel="0" collapsed="false">
      <c r="A375" s="33"/>
      <c r="B375" s="28" t="s">
        <v>21</v>
      </c>
      <c r="C375" s="29"/>
      <c r="D375" s="29"/>
      <c r="E375" s="29"/>
      <c r="F375" s="29"/>
      <c r="G375" s="36"/>
      <c r="H375" s="29"/>
      <c r="I375" s="35"/>
      <c r="J375" s="29"/>
      <c r="K375" s="29"/>
      <c r="L375" s="36"/>
      <c r="M375" s="29"/>
      <c r="N375" s="37"/>
      <c r="O375" s="30" t="n">
        <f aca="false">N375*J375</f>
        <v>0</v>
      </c>
    </row>
    <row r="376" customFormat="false" ht="15" hidden="false" customHeight="false" outlineLevel="0" collapsed="false">
      <c r="A376" s="33"/>
      <c r="B376" s="28" t="s">
        <v>21</v>
      </c>
      <c r="C376" s="29"/>
      <c r="D376" s="29"/>
      <c r="E376" s="29"/>
      <c r="F376" s="29"/>
      <c r="G376" s="36"/>
      <c r="H376" s="29"/>
      <c r="I376" s="35"/>
      <c r="J376" s="29"/>
      <c r="K376" s="29"/>
      <c r="L376" s="36"/>
      <c r="M376" s="29"/>
      <c r="N376" s="37"/>
      <c r="O376" s="30" t="n">
        <f aca="false">N376*J376</f>
        <v>0</v>
      </c>
    </row>
    <row r="377" customFormat="false" ht="15" hidden="false" customHeight="false" outlineLevel="0" collapsed="false">
      <c r="A377" s="33"/>
      <c r="B377" s="28" t="s">
        <v>21</v>
      </c>
      <c r="C377" s="29"/>
      <c r="D377" s="29"/>
      <c r="E377" s="29"/>
      <c r="F377" s="29"/>
      <c r="G377" s="36"/>
      <c r="H377" s="29"/>
      <c r="I377" s="35"/>
      <c r="J377" s="29"/>
      <c r="K377" s="29"/>
      <c r="L377" s="36"/>
      <c r="M377" s="29"/>
      <c r="N377" s="37"/>
      <c r="O377" s="30" t="n">
        <f aca="false">N377*J377</f>
        <v>0</v>
      </c>
    </row>
    <row r="378" customFormat="false" ht="15" hidden="false" customHeight="false" outlineLevel="0" collapsed="false">
      <c r="A378" s="33"/>
      <c r="B378" s="28" t="s">
        <v>21</v>
      </c>
      <c r="C378" s="29"/>
      <c r="D378" s="29"/>
      <c r="E378" s="29"/>
      <c r="F378" s="29"/>
      <c r="G378" s="36"/>
      <c r="H378" s="29"/>
      <c r="I378" s="35"/>
      <c r="J378" s="29"/>
      <c r="K378" s="29"/>
      <c r="L378" s="36"/>
      <c r="M378" s="29"/>
      <c r="N378" s="37"/>
      <c r="O378" s="30" t="n">
        <f aca="false">N378*J378</f>
        <v>0</v>
      </c>
    </row>
    <row r="379" customFormat="false" ht="15" hidden="false" customHeight="false" outlineLevel="0" collapsed="false">
      <c r="A379" s="33"/>
      <c r="B379" s="28" t="s">
        <v>21</v>
      </c>
      <c r="C379" s="29"/>
      <c r="D379" s="29"/>
      <c r="E379" s="29"/>
      <c r="F379" s="29"/>
      <c r="G379" s="36"/>
      <c r="H379" s="29"/>
      <c r="I379" s="35"/>
      <c r="J379" s="29"/>
      <c r="K379" s="29"/>
      <c r="L379" s="36"/>
      <c r="M379" s="29"/>
      <c r="N379" s="37"/>
      <c r="O379" s="30" t="n">
        <f aca="false">N379*J379</f>
        <v>0</v>
      </c>
    </row>
    <row r="380" customFormat="false" ht="15" hidden="false" customHeight="false" outlineLevel="0" collapsed="false">
      <c r="A380" s="33"/>
      <c r="B380" s="28" t="s">
        <v>21</v>
      </c>
      <c r="C380" s="29"/>
      <c r="D380" s="29"/>
      <c r="E380" s="29"/>
      <c r="F380" s="29"/>
      <c r="G380" s="36"/>
      <c r="H380" s="29"/>
      <c r="I380" s="35"/>
      <c r="J380" s="29"/>
      <c r="K380" s="29"/>
      <c r="L380" s="36"/>
      <c r="M380" s="29"/>
      <c r="N380" s="37"/>
      <c r="O380" s="30" t="n">
        <f aca="false">N380*J380</f>
        <v>0</v>
      </c>
    </row>
    <row r="381" customFormat="false" ht="15" hidden="false" customHeight="false" outlineLevel="0" collapsed="false">
      <c r="A381" s="33"/>
      <c r="B381" s="28" t="s">
        <v>21</v>
      </c>
      <c r="C381" s="29"/>
      <c r="D381" s="29"/>
      <c r="E381" s="29"/>
      <c r="F381" s="29"/>
      <c r="G381" s="36"/>
      <c r="H381" s="29"/>
      <c r="I381" s="35"/>
      <c r="J381" s="29"/>
      <c r="K381" s="29"/>
      <c r="L381" s="36"/>
      <c r="M381" s="29"/>
      <c r="N381" s="37"/>
      <c r="O381" s="30" t="n">
        <f aca="false">N381*J381</f>
        <v>0</v>
      </c>
    </row>
    <row r="382" customFormat="false" ht="15" hidden="false" customHeight="false" outlineLevel="0" collapsed="false">
      <c r="A382" s="33"/>
      <c r="B382" s="28" t="s">
        <v>21</v>
      </c>
      <c r="C382" s="29"/>
      <c r="D382" s="29"/>
      <c r="E382" s="29"/>
      <c r="F382" s="29"/>
      <c r="G382" s="36"/>
      <c r="H382" s="29"/>
      <c r="I382" s="35"/>
      <c r="J382" s="29"/>
      <c r="K382" s="29"/>
      <c r="L382" s="36"/>
      <c r="M382" s="29"/>
      <c r="N382" s="37"/>
      <c r="O382" s="30" t="n">
        <f aca="false">N382*J382</f>
        <v>0</v>
      </c>
    </row>
    <row r="383" customFormat="false" ht="15" hidden="false" customHeight="false" outlineLevel="0" collapsed="false">
      <c r="A383" s="33"/>
      <c r="B383" s="28" t="s">
        <v>21</v>
      </c>
      <c r="C383" s="29"/>
      <c r="D383" s="29"/>
      <c r="E383" s="29"/>
      <c r="F383" s="29"/>
      <c r="G383" s="36"/>
      <c r="H383" s="29"/>
      <c r="I383" s="35"/>
      <c r="J383" s="29"/>
      <c r="K383" s="29"/>
      <c r="L383" s="36"/>
      <c r="M383" s="29"/>
      <c r="N383" s="37"/>
      <c r="O383" s="30" t="n">
        <f aca="false">N383*J383</f>
        <v>0</v>
      </c>
    </row>
    <row r="384" customFormat="false" ht="15" hidden="false" customHeight="false" outlineLevel="0" collapsed="false">
      <c r="A384" s="33"/>
      <c r="B384" s="28" t="s">
        <v>21</v>
      </c>
      <c r="C384" s="29"/>
      <c r="D384" s="29"/>
      <c r="E384" s="29"/>
      <c r="F384" s="29"/>
      <c r="G384" s="36"/>
      <c r="H384" s="29"/>
      <c r="I384" s="35"/>
      <c r="J384" s="29"/>
      <c r="K384" s="29"/>
      <c r="L384" s="36"/>
      <c r="M384" s="29"/>
      <c r="N384" s="37"/>
      <c r="O384" s="30" t="n">
        <f aca="false">N384*J384</f>
        <v>0</v>
      </c>
    </row>
    <row r="385" customFormat="false" ht="15" hidden="false" customHeight="false" outlineLevel="0" collapsed="false">
      <c r="A385" s="33"/>
      <c r="B385" s="28" t="s">
        <v>21</v>
      </c>
      <c r="C385" s="29"/>
      <c r="D385" s="29"/>
      <c r="E385" s="29"/>
      <c r="F385" s="29"/>
      <c r="G385" s="36"/>
      <c r="H385" s="29"/>
      <c r="I385" s="35"/>
      <c r="J385" s="29"/>
      <c r="K385" s="29"/>
      <c r="L385" s="36"/>
      <c r="M385" s="29"/>
      <c r="N385" s="37"/>
      <c r="O385" s="30" t="n">
        <f aca="false">N385*J385</f>
        <v>0</v>
      </c>
    </row>
    <row r="386" customFormat="false" ht="15" hidden="false" customHeight="false" outlineLevel="0" collapsed="false">
      <c r="A386" s="33"/>
      <c r="B386" s="28" t="s">
        <v>21</v>
      </c>
      <c r="C386" s="29"/>
      <c r="D386" s="29"/>
      <c r="E386" s="29"/>
      <c r="F386" s="29"/>
      <c r="G386" s="36"/>
      <c r="H386" s="29"/>
      <c r="I386" s="35"/>
      <c r="J386" s="29"/>
      <c r="K386" s="29"/>
      <c r="L386" s="36"/>
      <c r="M386" s="29"/>
      <c r="N386" s="37"/>
      <c r="O386" s="30" t="n">
        <f aca="false">N386*J386</f>
        <v>0</v>
      </c>
    </row>
    <row r="387" customFormat="false" ht="15" hidden="false" customHeight="false" outlineLevel="0" collapsed="false">
      <c r="A387" s="33"/>
      <c r="B387" s="28" t="s">
        <v>21</v>
      </c>
      <c r="C387" s="29"/>
      <c r="D387" s="29"/>
      <c r="E387" s="29"/>
      <c r="F387" s="29"/>
      <c r="G387" s="36"/>
      <c r="H387" s="29"/>
      <c r="I387" s="35"/>
      <c r="J387" s="29"/>
      <c r="K387" s="29"/>
      <c r="L387" s="36"/>
      <c r="M387" s="29"/>
      <c r="N387" s="37"/>
      <c r="O387" s="30" t="n">
        <f aca="false">N387*J387</f>
        <v>0</v>
      </c>
    </row>
    <row r="388" customFormat="false" ht="15" hidden="false" customHeight="false" outlineLevel="0" collapsed="false">
      <c r="A388" s="33"/>
      <c r="B388" s="28" t="s">
        <v>21</v>
      </c>
      <c r="C388" s="29"/>
      <c r="D388" s="29"/>
      <c r="E388" s="29"/>
      <c r="F388" s="29"/>
      <c r="G388" s="36"/>
      <c r="H388" s="29"/>
      <c r="I388" s="35"/>
      <c r="J388" s="29"/>
      <c r="K388" s="29"/>
      <c r="L388" s="36"/>
      <c r="M388" s="29"/>
      <c r="N388" s="37"/>
      <c r="O388" s="30" t="n">
        <f aca="false">N388*J388</f>
        <v>0</v>
      </c>
    </row>
    <row r="389" customFormat="false" ht="15" hidden="false" customHeight="false" outlineLevel="0" collapsed="false">
      <c r="A389" s="33"/>
      <c r="B389" s="28" t="s">
        <v>21</v>
      </c>
      <c r="C389" s="29"/>
      <c r="D389" s="29"/>
      <c r="E389" s="29"/>
      <c r="F389" s="29"/>
      <c r="G389" s="36"/>
      <c r="H389" s="29"/>
      <c r="I389" s="35"/>
      <c r="J389" s="29"/>
      <c r="K389" s="29"/>
      <c r="L389" s="36"/>
      <c r="M389" s="29"/>
      <c r="N389" s="37"/>
      <c r="O389" s="30" t="n">
        <f aca="false">N389*J389</f>
        <v>0</v>
      </c>
    </row>
    <row r="390" customFormat="false" ht="15" hidden="false" customHeight="false" outlineLevel="0" collapsed="false">
      <c r="A390" s="33"/>
      <c r="B390" s="28" t="s">
        <v>21</v>
      </c>
      <c r="C390" s="29"/>
      <c r="D390" s="29"/>
      <c r="E390" s="29"/>
      <c r="F390" s="29"/>
      <c r="G390" s="36"/>
      <c r="H390" s="29"/>
      <c r="I390" s="35"/>
      <c r="J390" s="29"/>
      <c r="K390" s="29"/>
      <c r="L390" s="36"/>
      <c r="M390" s="29"/>
      <c r="N390" s="37"/>
      <c r="O390" s="30" t="n">
        <f aca="false">N390*J390</f>
        <v>0</v>
      </c>
    </row>
    <row r="391" customFormat="false" ht="15" hidden="false" customHeight="false" outlineLevel="0" collapsed="false">
      <c r="A391" s="33"/>
      <c r="B391" s="28" t="s">
        <v>21</v>
      </c>
      <c r="C391" s="29"/>
      <c r="D391" s="29"/>
      <c r="E391" s="29"/>
      <c r="F391" s="29"/>
      <c r="G391" s="36"/>
      <c r="H391" s="29"/>
      <c r="I391" s="35"/>
      <c r="J391" s="29"/>
      <c r="K391" s="29"/>
      <c r="L391" s="36"/>
      <c r="M391" s="29"/>
      <c r="N391" s="37"/>
      <c r="O391" s="30" t="n">
        <f aca="false">N391*J391</f>
        <v>0</v>
      </c>
    </row>
    <row r="392" customFormat="false" ht="15" hidden="false" customHeight="false" outlineLevel="0" collapsed="false">
      <c r="A392" s="33"/>
      <c r="B392" s="28" t="s">
        <v>21</v>
      </c>
      <c r="C392" s="29"/>
      <c r="D392" s="29"/>
      <c r="E392" s="29"/>
      <c r="F392" s="29"/>
      <c r="G392" s="36"/>
      <c r="H392" s="29"/>
      <c r="I392" s="35"/>
      <c r="J392" s="29"/>
      <c r="K392" s="29"/>
      <c r="L392" s="36"/>
      <c r="M392" s="29"/>
      <c r="N392" s="37"/>
      <c r="O392" s="30" t="n">
        <f aca="false">N392*J392</f>
        <v>0</v>
      </c>
    </row>
    <row r="393" customFormat="false" ht="15" hidden="false" customHeight="false" outlineLevel="0" collapsed="false">
      <c r="A393" s="33"/>
      <c r="B393" s="28" t="s">
        <v>21</v>
      </c>
      <c r="C393" s="29"/>
      <c r="D393" s="29"/>
      <c r="E393" s="29"/>
      <c r="F393" s="29"/>
      <c r="G393" s="36"/>
      <c r="H393" s="29"/>
      <c r="I393" s="35"/>
      <c r="J393" s="29"/>
      <c r="K393" s="29"/>
      <c r="L393" s="36"/>
      <c r="M393" s="29"/>
      <c r="N393" s="37"/>
      <c r="O393" s="30" t="n">
        <f aca="false">N393*J393</f>
        <v>0</v>
      </c>
    </row>
    <row r="394" customFormat="false" ht="15" hidden="false" customHeight="false" outlineLevel="0" collapsed="false">
      <c r="A394" s="33"/>
      <c r="B394" s="28" t="s">
        <v>21</v>
      </c>
      <c r="C394" s="29"/>
      <c r="D394" s="29"/>
      <c r="E394" s="29"/>
      <c r="F394" s="29"/>
      <c r="G394" s="36"/>
      <c r="H394" s="29"/>
      <c r="I394" s="35"/>
      <c r="J394" s="29"/>
      <c r="K394" s="29"/>
      <c r="L394" s="36"/>
      <c r="M394" s="29"/>
      <c r="N394" s="37"/>
      <c r="O394" s="30" t="n">
        <f aca="false">N394*J394</f>
        <v>0</v>
      </c>
    </row>
    <row r="395" customFormat="false" ht="15" hidden="false" customHeight="false" outlineLevel="0" collapsed="false">
      <c r="A395" s="33"/>
      <c r="B395" s="28" t="s">
        <v>21</v>
      </c>
      <c r="C395" s="29"/>
      <c r="D395" s="29"/>
      <c r="E395" s="29"/>
      <c r="F395" s="29"/>
      <c r="G395" s="36"/>
      <c r="H395" s="29"/>
      <c r="I395" s="35"/>
      <c r="J395" s="29"/>
      <c r="K395" s="29"/>
      <c r="L395" s="36"/>
      <c r="M395" s="29"/>
      <c r="N395" s="37"/>
      <c r="O395" s="30" t="n">
        <f aca="false">N395*J395</f>
        <v>0</v>
      </c>
    </row>
    <row r="396" customFormat="false" ht="15" hidden="false" customHeight="false" outlineLevel="0" collapsed="false">
      <c r="A396" s="33"/>
      <c r="B396" s="28" t="s">
        <v>21</v>
      </c>
      <c r="C396" s="29"/>
      <c r="D396" s="29"/>
      <c r="E396" s="29"/>
      <c r="F396" s="29"/>
      <c r="G396" s="36"/>
      <c r="H396" s="29"/>
      <c r="I396" s="35"/>
      <c r="J396" s="29"/>
      <c r="K396" s="29"/>
      <c r="L396" s="36"/>
      <c r="M396" s="29"/>
      <c r="N396" s="37"/>
      <c r="O396" s="30" t="n">
        <f aca="false">N396*J396</f>
        <v>0</v>
      </c>
    </row>
    <row r="397" customFormat="false" ht="15" hidden="false" customHeight="false" outlineLevel="0" collapsed="false">
      <c r="A397" s="33"/>
      <c r="B397" s="28" t="s">
        <v>21</v>
      </c>
      <c r="C397" s="29"/>
      <c r="D397" s="29"/>
      <c r="E397" s="29"/>
      <c r="F397" s="29"/>
      <c r="G397" s="36"/>
      <c r="H397" s="29"/>
      <c r="I397" s="35"/>
      <c r="J397" s="29"/>
      <c r="K397" s="29"/>
      <c r="L397" s="36"/>
      <c r="M397" s="29"/>
      <c r="N397" s="37"/>
      <c r="O397" s="30" t="n">
        <f aca="false">N397*J397</f>
        <v>0</v>
      </c>
    </row>
    <row r="398" customFormat="false" ht="15" hidden="false" customHeight="false" outlineLevel="0" collapsed="false">
      <c r="A398" s="33"/>
      <c r="B398" s="28" t="s">
        <v>21</v>
      </c>
      <c r="C398" s="29"/>
      <c r="D398" s="29"/>
      <c r="E398" s="29"/>
      <c r="F398" s="29"/>
      <c r="G398" s="36"/>
      <c r="H398" s="29"/>
      <c r="I398" s="35"/>
      <c r="J398" s="29"/>
      <c r="K398" s="29"/>
      <c r="L398" s="36"/>
      <c r="M398" s="29"/>
      <c r="N398" s="37"/>
      <c r="O398" s="30" t="n">
        <f aca="false">N398*J398</f>
        <v>0</v>
      </c>
    </row>
    <row r="399" customFormat="false" ht="15" hidden="false" customHeight="false" outlineLevel="0" collapsed="false">
      <c r="A399" s="33"/>
      <c r="B399" s="28" t="s">
        <v>21</v>
      </c>
      <c r="C399" s="29"/>
      <c r="D399" s="29"/>
      <c r="E399" s="29"/>
      <c r="F399" s="29"/>
      <c r="G399" s="36"/>
      <c r="H399" s="29"/>
      <c r="I399" s="35"/>
      <c r="J399" s="29"/>
      <c r="K399" s="29"/>
      <c r="L399" s="36"/>
      <c r="M399" s="29"/>
      <c r="N399" s="37"/>
      <c r="O399" s="30" t="n">
        <f aca="false">N399*J399</f>
        <v>0</v>
      </c>
    </row>
    <row r="400" customFormat="false" ht="15" hidden="false" customHeight="false" outlineLevel="0" collapsed="false">
      <c r="A400" s="33"/>
      <c r="B400" s="28" t="s">
        <v>21</v>
      </c>
      <c r="C400" s="29"/>
      <c r="D400" s="29"/>
      <c r="E400" s="29"/>
      <c r="F400" s="29"/>
      <c r="G400" s="36"/>
      <c r="H400" s="29"/>
      <c r="I400" s="35"/>
      <c r="J400" s="29"/>
      <c r="K400" s="29"/>
      <c r="L400" s="36"/>
      <c r="M400" s="29"/>
      <c r="N400" s="37"/>
      <c r="O400" s="30" t="n">
        <f aca="false">N400*J400</f>
        <v>0</v>
      </c>
    </row>
    <row r="401" customFormat="false" ht="15" hidden="false" customHeight="false" outlineLevel="0" collapsed="false">
      <c r="A401" s="33"/>
      <c r="B401" s="28" t="s">
        <v>21</v>
      </c>
      <c r="C401" s="29"/>
      <c r="D401" s="29"/>
      <c r="E401" s="29"/>
      <c r="F401" s="29"/>
      <c r="G401" s="36"/>
      <c r="H401" s="29"/>
      <c r="I401" s="35"/>
      <c r="J401" s="29"/>
      <c r="K401" s="29"/>
      <c r="L401" s="36"/>
      <c r="M401" s="29"/>
      <c r="N401" s="37"/>
      <c r="O401" s="30" t="n">
        <f aca="false">N401*J401</f>
        <v>0</v>
      </c>
    </row>
    <row r="402" customFormat="false" ht="15" hidden="false" customHeight="false" outlineLevel="0" collapsed="false">
      <c r="A402" s="33"/>
      <c r="B402" s="28" t="s">
        <v>21</v>
      </c>
      <c r="C402" s="29"/>
      <c r="D402" s="29"/>
      <c r="E402" s="29"/>
      <c r="F402" s="29"/>
      <c r="G402" s="36"/>
      <c r="H402" s="29"/>
      <c r="I402" s="35"/>
      <c r="J402" s="29"/>
      <c r="K402" s="29"/>
      <c r="L402" s="36"/>
      <c r="M402" s="29"/>
      <c r="N402" s="37"/>
      <c r="O402" s="30" t="n">
        <f aca="false">N402*J402</f>
        <v>0</v>
      </c>
    </row>
    <row r="403" customFormat="false" ht="15" hidden="false" customHeight="false" outlineLevel="0" collapsed="false">
      <c r="A403" s="33"/>
      <c r="B403" s="28" t="s">
        <v>21</v>
      </c>
      <c r="C403" s="29"/>
      <c r="D403" s="29"/>
      <c r="E403" s="29"/>
      <c r="F403" s="29"/>
      <c r="G403" s="36"/>
      <c r="H403" s="29"/>
      <c r="I403" s="35"/>
      <c r="J403" s="29"/>
      <c r="K403" s="29"/>
      <c r="L403" s="36"/>
      <c r="M403" s="29"/>
      <c r="N403" s="37"/>
      <c r="O403" s="30" t="n">
        <f aca="false">N403*J403</f>
        <v>0</v>
      </c>
    </row>
    <row r="404" customFormat="false" ht="15" hidden="false" customHeight="false" outlineLevel="0" collapsed="false">
      <c r="A404" s="33"/>
      <c r="B404" s="28" t="s">
        <v>21</v>
      </c>
      <c r="C404" s="29"/>
      <c r="D404" s="29"/>
      <c r="E404" s="29"/>
      <c r="F404" s="29"/>
      <c r="G404" s="36"/>
      <c r="H404" s="29"/>
      <c r="I404" s="35"/>
      <c r="J404" s="29"/>
      <c r="K404" s="29"/>
      <c r="L404" s="36"/>
      <c r="M404" s="29"/>
      <c r="N404" s="37"/>
      <c r="O404" s="30" t="n">
        <f aca="false">N404*J404</f>
        <v>0</v>
      </c>
    </row>
    <row r="405" customFormat="false" ht="15" hidden="false" customHeight="false" outlineLevel="0" collapsed="false">
      <c r="A405" s="33"/>
      <c r="B405" s="28" t="s">
        <v>21</v>
      </c>
      <c r="C405" s="29"/>
      <c r="D405" s="29"/>
      <c r="E405" s="29"/>
      <c r="F405" s="29"/>
      <c r="G405" s="36"/>
      <c r="H405" s="29"/>
      <c r="I405" s="35"/>
      <c r="J405" s="29"/>
      <c r="K405" s="29"/>
      <c r="L405" s="36"/>
      <c r="M405" s="29"/>
      <c r="N405" s="37"/>
      <c r="O405" s="30" t="n">
        <f aca="false">N405*J405</f>
        <v>0</v>
      </c>
    </row>
    <row r="406" customFormat="false" ht="15" hidden="false" customHeight="false" outlineLevel="0" collapsed="false">
      <c r="A406" s="33"/>
      <c r="B406" s="28" t="s">
        <v>21</v>
      </c>
      <c r="C406" s="29"/>
      <c r="D406" s="29"/>
      <c r="E406" s="29"/>
      <c r="F406" s="29"/>
      <c r="G406" s="36"/>
      <c r="H406" s="29"/>
      <c r="I406" s="35"/>
      <c r="J406" s="29"/>
      <c r="K406" s="29"/>
      <c r="L406" s="36"/>
      <c r="M406" s="29"/>
      <c r="N406" s="37"/>
      <c r="O406" s="30" t="n">
        <f aca="false">N406*J406</f>
        <v>0</v>
      </c>
    </row>
    <row r="407" customFormat="false" ht="15" hidden="false" customHeight="false" outlineLevel="0" collapsed="false">
      <c r="A407" s="33"/>
      <c r="B407" s="28" t="s">
        <v>21</v>
      </c>
      <c r="C407" s="29"/>
      <c r="D407" s="29"/>
      <c r="E407" s="29"/>
      <c r="F407" s="29"/>
      <c r="G407" s="36"/>
      <c r="H407" s="29"/>
      <c r="I407" s="35"/>
      <c r="J407" s="29"/>
      <c r="K407" s="29"/>
      <c r="L407" s="36"/>
      <c r="M407" s="29"/>
      <c r="N407" s="37"/>
      <c r="O407" s="30" t="n">
        <f aca="false">N407*J407</f>
        <v>0</v>
      </c>
    </row>
    <row r="408" customFormat="false" ht="15" hidden="false" customHeight="false" outlineLevel="0" collapsed="false">
      <c r="A408" s="33"/>
      <c r="B408" s="28" t="s">
        <v>21</v>
      </c>
      <c r="C408" s="29"/>
      <c r="D408" s="29"/>
      <c r="E408" s="29"/>
      <c r="F408" s="29"/>
      <c r="G408" s="36"/>
      <c r="H408" s="29"/>
      <c r="I408" s="35"/>
      <c r="J408" s="29"/>
      <c r="K408" s="29"/>
      <c r="L408" s="36"/>
      <c r="M408" s="29"/>
      <c r="N408" s="37"/>
      <c r="O408" s="30" t="n">
        <f aca="false">N408*J408</f>
        <v>0</v>
      </c>
    </row>
    <row r="409" customFormat="false" ht="15" hidden="false" customHeight="false" outlineLevel="0" collapsed="false">
      <c r="A409" s="33"/>
      <c r="B409" s="28" t="s">
        <v>21</v>
      </c>
      <c r="C409" s="29"/>
      <c r="D409" s="29"/>
      <c r="E409" s="29"/>
      <c r="F409" s="29"/>
      <c r="G409" s="36"/>
      <c r="H409" s="29"/>
      <c r="I409" s="35"/>
      <c r="J409" s="29"/>
      <c r="K409" s="29"/>
      <c r="L409" s="36"/>
      <c r="M409" s="29"/>
      <c r="N409" s="37"/>
      <c r="O409" s="30" t="n">
        <f aca="false">N409*J409</f>
        <v>0</v>
      </c>
    </row>
    <row r="410" customFormat="false" ht="15" hidden="false" customHeight="false" outlineLevel="0" collapsed="false">
      <c r="A410" s="33"/>
      <c r="B410" s="28" t="s">
        <v>21</v>
      </c>
      <c r="C410" s="29"/>
      <c r="D410" s="29"/>
      <c r="E410" s="29"/>
      <c r="F410" s="29"/>
      <c r="G410" s="36"/>
      <c r="H410" s="29"/>
      <c r="I410" s="35"/>
      <c r="J410" s="29"/>
      <c r="K410" s="29"/>
      <c r="L410" s="36"/>
      <c r="M410" s="29"/>
      <c r="N410" s="37"/>
      <c r="O410" s="30" t="n">
        <f aca="false">N410*J410</f>
        <v>0</v>
      </c>
    </row>
    <row r="411" customFormat="false" ht="15" hidden="false" customHeight="false" outlineLevel="0" collapsed="false">
      <c r="A411" s="33"/>
      <c r="B411" s="28" t="s">
        <v>21</v>
      </c>
      <c r="C411" s="29"/>
      <c r="D411" s="29"/>
      <c r="E411" s="29"/>
      <c r="F411" s="29"/>
      <c r="G411" s="36"/>
      <c r="H411" s="29"/>
      <c r="I411" s="35"/>
      <c r="J411" s="29"/>
      <c r="K411" s="29"/>
      <c r="L411" s="36"/>
      <c r="M411" s="29"/>
      <c r="N411" s="37"/>
      <c r="O411" s="30" t="n">
        <f aca="false">N411*J411</f>
        <v>0</v>
      </c>
    </row>
    <row r="412" customFormat="false" ht="15" hidden="false" customHeight="false" outlineLevel="0" collapsed="false">
      <c r="A412" s="33"/>
      <c r="B412" s="28" t="s">
        <v>21</v>
      </c>
      <c r="C412" s="29"/>
      <c r="D412" s="29"/>
      <c r="E412" s="29"/>
      <c r="F412" s="29"/>
      <c r="G412" s="36"/>
      <c r="H412" s="29"/>
      <c r="I412" s="35"/>
      <c r="J412" s="29"/>
      <c r="K412" s="29"/>
      <c r="L412" s="36"/>
      <c r="M412" s="29"/>
      <c r="N412" s="37"/>
      <c r="O412" s="30" t="n">
        <f aca="false">N412*J412</f>
        <v>0</v>
      </c>
    </row>
    <row r="413" customFormat="false" ht="15" hidden="false" customHeight="false" outlineLevel="0" collapsed="false">
      <c r="A413" s="33"/>
      <c r="B413" s="28" t="s">
        <v>21</v>
      </c>
      <c r="C413" s="29"/>
      <c r="D413" s="29"/>
      <c r="E413" s="29"/>
      <c r="F413" s="29"/>
      <c r="G413" s="36"/>
      <c r="H413" s="29"/>
      <c r="I413" s="35"/>
      <c r="J413" s="29"/>
      <c r="K413" s="29"/>
      <c r="L413" s="36"/>
      <c r="M413" s="29"/>
      <c r="N413" s="37"/>
      <c r="O413" s="30" t="n">
        <f aca="false">N413*J413</f>
        <v>0</v>
      </c>
    </row>
    <row r="414" customFormat="false" ht="15" hidden="false" customHeight="false" outlineLevel="0" collapsed="false">
      <c r="A414" s="33"/>
      <c r="B414" s="28" t="s">
        <v>21</v>
      </c>
      <c r="C414" s="29"/>
      <c r="D414" s="29"/>
      <c r="E414" s="29"/>
      <c r="F414" s="29"/>
      <c r="G414" s="36"/>
      <c r="H414" s="29"/>
      <c r="I414" s="35"/>
      <c r="J414" s="29"/>
      <c r="K414" s="29"/>
      <c r="L414" s="36"/>
      <c r="M414" s="29"/>
      <c r="N414" s="37"/>
      <c r="O414" s="30" t="n">
        <f aca="false">N414*J414</f>
        <v>0</v>
      </c>
    </row>
    <row r="415" customFormat="false" ht="15" hidden="false" customHeight="false" outlineLevel="0" collapsed="false">
      <c r="A415" s="33"/>
      <c r="B415" s="28" t="s">
        <v>21</v>
      </c>
      <c r="C415" s="29"/>
      <c r="D415" s="29"/>
      <c r="E415" s="29"/>
      <c r="F415" s="29"/>
      <c r="G415" s="36"/>
      <c r="H415" s="29"/>
      <c r="I415" s="35"/>
      <c r="J415" s="29"/>
      <c r="K415" s="29"/>
      <c r="L415" s="36"/>
      <c r="M415" s="29"/>
      <c r="N415" s="37"/>
      <c r="O415" s="30" t="n">
        <f aca="false">N415*J415</f>
        <v>0</v>
      </c>
    </row>
    <row r="416" customFormat="false" ht="15" hidden="false" customHeight="false" outlineLevel="0" collapsed="false">
      <c r="A416" s="33"/>
      <c r="B416" s="28" t="s">
        <v>21</v>
      </c>
      <c r="C416" s="29"/>
      <c r="D416" s="29"/>
      <c r="E416" s="29"/>
      <c r="F416" s="29"/>
      <c r="G416" s="36"/>
      <c r="H416" s="29"/>
      <c r="I416" s="35"/>
      <c r="J416" s="29"/>
      <c r="K416" s="29"/>
      <c r="L416" s="36"/>
      <c r="M416" s="29"/>
      <c r="N416" s="37"/>
      <c r="O416" s="30" t="n">
        <f aca="false">N416*J416</f>
        <v>0</v>
      </c>
    </row>
    <row r="417" customFormat="false" ht="15" hidden="false" customHeight="false" outlineLevel="0" collapsed="false">
      <c r="A417" s="33"/>
      <c r="B417" s="28" t="s">
        <v>21</v>
      </c>
      <c r="C417" s="29"/>
      <c r="D417" s="29"/>
      <c r="E417" s="29"/>
      <c r="F417" s="29"/>
      <c r="G417" s="36"/>
      <c r="H417" s="29"/>
      <c r="I417" s="35"/>
      <c r="J417" s="29"/>
      <c r="K417" s="29"/>
      <c r="L417" s="36"/>
      <c r="M417" s="29"/>
      <c r="N417" s="37"/>
      <c r="O417" s="30" t="n">
        <f aca="false">N417*J417</f>
        <v>0</v>
      </c>
    </row>
    <row r="418" customFormat="false" ht="15" hidden="false" customHeight="false" outlineLevel="0" collapsed="false">
      <c r="A418" s="33"/>
      <c r="B418" s="28" t="s">
        <v>21</v>
      </c>
      <c r="C418" s="29"/>
      <c r="D418" s="29"/>
      <c r="E418" s="29"/>
      <c r="F418" s="29"/>
      <c r="G418" s="36"/>
      <c r="H418" s="29"/>
      <c r="I418" s="35"/>
      <c r="J418" s="29"/>
      <c r="K418" s="29"/>
      <c r="L418" s="36"/>
      <c r="M418" s="29"/>
      <c r="N418" s="37"/>
      <c r="O418" s="30" t="n">
        <f aca="false">N418*J418</f>
        <v>0</v>
      </c>
    </row>
    <row r="419" customFormat="false" ht="15" hidden="false" customHeight="false" outlineLevel="0" collapsed="false">
      <c r="A419" s="33"/>
      <c r="B419" s="28" t="s">
        <v>21</v>
      </c>
      <c r="C419" s="29"/>
      <c r="D419" s="29"/>
      <c r="E419" s="29"/>
      <c r="F419" s="29"/>
      <c r="G419" s="36"/>
      <c r="H419" s="29"/>
      <c r="I419" s="35"/>
      <c r="J419" s="29"/>
      <c r="K419" s="29"/>
      <c r="L419" s="36"/>
      <c r="M419" s="29"/>
      <c r="N419" s="37"/>
      <c r="O419" s="30" t="n">
        <f aca="false">N419*J419</f>
        <v>0</v>
      </c>
    </row>
    <row r="420" customFormat="false" ht="15" hidden="false" customHeight="false" outlineLevel="0" collapsed="false">
      <c r="A420" s="33"/>
      <c r="B420" s="28" t="s">
        <v>21</v>
      </c>
      <c r="C420" s="29"/>
      <c r="D420" s="29"/>
      <c r="E420" s="29"/>
      <c r="F420" s="29"/>
      <c r="G420" s="36"/>
      <c r="H420" s="29"/>
      <c r="I420" s="35"/>
      <c r="J420" s="29"/>
      <c r="K420" s="29"/>
      <c r="L420" s="36"/>
      <c r="M420" s="29"/>
      <c r="N420" s="37"/>
      <c r="O420" s="30" t="n">
        <f aca="false">N420*J420</f>
        <v>0</v>
      </c>
    </row>
    <row r="421" customFormat="false" ht="15" hidden="false" customHeight="false" outlineLevel="0" collapsed="false">
      <c r="A421" s="33"/>
      <c r="B421" s="28" t="s">
        <v>21</v>
      </c>
      <c r="C421" s="29"/>
      <c r="D421" s="29"/>
      <c r="E421" s="29"/>
      <c r="F421" s="29"/>
      <c r="G421" s="36"/>
      <c r="H421" s="29"/>
      <c r="I421" s="35"/>
      <c r="J421" s="29"/>
      <c r="K421" s="29"/>
      <c r="L421" s="36"/>
      <c r="M421" s="29"/>
      <c r="N421" s="37"/>
      <c r="O421" s="30" t="n">
        <f aca="false">N421*J421</f>
        <v>0</v>
      </c>
    </row>
    <row r="422" customFormat="false" ht="15" hidden="false" customHeight="false" outlineLevel="0" collapsed="false">
      <c r="A422" s="33"/>
      <c r="B422" s="28" t="s">
        <v>21</v>
      </c>
      <c r="C422" s="29"/>
      <c r="D422" s="29"/>
      <c r="E422" s="29"/>
      <c r="F422" s="29"/>
      <c r="G422" s="36"/>
      <c r="H422" s="29"/>
      <c r="I422" s="35"/>
      <c r="J422" s="29"/>
      <c r="K422" s="29"/>
      <c r="L422" s="36"/>
      <c r="M422" s="29"/>
      <c r="N422" s="37"/>
      <c r="O422" s="30" t="n">
        <f aca="false">N422*J422</f>
        <v>0</v>
      </c>
    </row>
    <row r="423" customFormat="false" ht="15" hidden="false" customHeight="false" outlineLevel="0" collapsed="false">
      <c r="A423" s="33"/>
      <c r="B423" s="28" t="s">
        <v>21</v>
      </c>
      <c r="C423" s="29"/>
      <c r="D423" s="29"/>
      <c r="E423" s="29"/>
      <c r="F423" s="29"/>
      <c r="G423" s="36"/>
      <c r="H423" s="29"/>
      <c r="I423" s="35"/>
      <c r="J423" s="29"/>
      <c r="K423" s="29"/>
      <c r="L423" s="36"/>
      <c r="M423" s="29"/>
      <c r="N423" s="37"/>
      <c r="O423" s="30" t="n">
        <f aca="false">N423*J423</f>
        <v>0</v>
      </c>
    </row>
    <row r="424" customFormat="false" ht="15" hidden="false" customHeight="false" outlineLevel="0" collapsed="false">
      <c r="A424" s="33"/>
      <c r="B424" s="28" t="s">
        <v>21</v>
      </c>
      <c r="C424" s="29"/>
      <c r="D424" s="29"/>
      <c r="E424" s="29"/>
      <c r="F424" s="29"/>
      <c r="G424" s="36"/>
      <c r="H424" s="29"/>
      <c r="I424" s="35"/>
      <c r="J424" s="29"/>
      <c r="K424" s="29"/>
      <c r="L424" s="36"/>
      <c r="M424" s="29"/>
      <c r="N424" s="37"/>
      <c r="O424" s="30" t="n">
        <f aca="false">N424*J424</f>
        <v>0</v>
      </c>
    </row>
    <row r="425" customFormat="false" ht="15" hidden="false" customHeight="false" outlineLevel="0" collapsed="false">
      <c r="A425" s="33"/>
      <c r="B425" s="28"/>
      <c r="C425" s="29"/>
      <c r="D425" s="29"/>
      <c r="E425" s="29"/>
      <c r="F425" s="29"/>
      <c r="G425" s="36"/>
      <c r="H425" s="29"/>
      <c r="I425" s="35"/>
      <c r="J425" s="29"/>
      <c r="K425" s="29"/>
      <c r="L425" s="36"/>
      <c r="M425" s="29"/>
      <c r="N425" s="37"/>
      <c r="O425" s="30" t="n">
        <f aca="false">N425*J425</f>
        <v>0</v>
      </c>
    </row>
    <row r="426" customFormat="false" ht="15" hidden="false" customHeight="false" outlineLevel="0" collapsed="false">
      <c r="A426" s="33"/>
      <c r="B426" s="28"/>
      <c r="C426" s="29"/>
      <c r="D426" s="29"/>
      <c r="E426" s="29"/>
      <c r="F426" s="29"/>
      <c r="G426" s="36"/>
      <c r="H426" s="29"/>
      <c r="I426" s="35"/>
      <c r="J426" s="29"/>
      <c r="K426" s="29"/>
      <c r="L426" s="36"/>
      <c r="M426" s="29"/>
      <c r="N426" s="37"/>
      <c r="O426" s="30" t="n">
        <f aca="false">N426*J426</f>
        <v>0</v>
      </c>
    </row>
    <row r="427" customFormat="false" ht="15" hidden="false" customHeight="false" outlineLevel="0" collapsed="false">
      <c r="A427" s="33"/>
      <c r="B427" s="28"/>
      <c r="C427" s="29"/>
      <c r="D427" s="29"/>
      <c r="E427" s="29"/>
      <c r="F427" s="29"/>
      <c r="G427" s="36"/>
      <c r="H427" s="29"/>
      <c r="I427" s="35"/>
      <c r="J427" s="29"/>
      <c r="K427" s="29"/>
      <c r="L427" s="36"/>
      <c r="M427" s="29"/>
      <c r="N427" s="37"/>
      <c r="O427" s="30" t="n">
        <f aca="false">N427*J427</f>
        <v>0</v>
      </c>
    </row>
    <row r="428" customFormat="false" ht="15" hidden="false" customHeight="false" outlineLevel="0" collapsed="false">
      <c r="A428" s="33"/>
      <c r="B428" s="28"/>
      <c r="C428" s="29"/>
      <c r="D428" s="29"/>
      <c r="E428" s="29"/>
      <c r="F428" s="29"/>
      <c r="G428" s="36"/>
      <c r="H428" s="29"/>
      <c r="I428" s="35"/>
      <c r="J428" s="29"/>
      <c r="K428" s="29"/>
      <c r="L428" s="36"/>
      <c r="M428" s="29"/>
      <c r="N428" s="37"/>
      <c r="O428" s="30" t="n">
        <f aca="false">N428*J428</f>
        <v>0</v>
      </c>
    </row>
    <row r="429" customFormat="false" ht="15" hidden="false" customHeight="false" outlineLevel="0" collapsed="false">
      <c r="A429" s="33"/>
      <c r="B429" s="28"/>
      <c r="C429" s="29"/>
      <c r="D429" s="29"/>
      <c r="E429" s="29"/>
      <c r="F429" s="29"/>
      <c r="G429" s="36"/>
      <c r="H429" s="29"/>
      <c r="I429" s="35"/>
      <c r="J429" s="29"/>
      <c r="K429" s="29"/>
      <c r="L429" s="36"/>
      <c r="M429" s="29"/>
      <c r="N429" s="37"/>
      <c r="O429" s="30" t="n">
        <f aca="false">N429*J429</f>
        <v>0</v>
      </c>
    </row>
    <row r="430" customFormat="false" ht="15" hidden="false" customHeight="false" outlineLevel="0" collapsed="false">
      <c r="A430" s="33"/>
      <c r="B430" s="28"/>
      <c r="C430" s="29"/>
      <c r="D430" s="29"/>
      <c r="E430" s="29"/>
      <c r="F430" s="29"/>
      <c r="G430" s="36"/>
      <c r="H430" s="29"/>
      <c r="I430" s="35"/>
      <c r="J430" s="29"/>
      <c r="K430" s="29"/>
      <c r="L430" s="36"/>
      <c r="M430" s="29"/>
      <c r="N430" s="37"/>
      <c r="O430" s="30" t="n">
        <f aca="false">N430*J430</f>
        <v>0</v>
      </c>
    </row>
    <row r="431" customFormat="false" ht="15" hidden="false" customHeight="false" outlineLevel="0" collapsed="false">
      <c r="A431" s="33"/>
      <c r="B431" s="28"/>
      <c r="C431" s="29"/>
      <c r="D431" s="29"/>
      <c r="E431" s="29"/>
      <c r="F431" s="29"/>
      <c r="G431" s="36"/>
      <c r="H431" s="29"/>
      <c r="I431" s="35"/>
      <c r="J431" s="29"/>
      <c r="K431" s="29"/>
      <c r="L431" s="36"/>
      <c r="M431" s="29"/>
      <c r="N431" s="37"/>
      <c r="O431" s="30" t="n">
        <f aca="false">N431*J431</f>
        <v>0</v>
      </c>
    </row>
    <row r="432" customFormat="false" ht="15" hidden="false" customHeight="false" outlineLevel="0" collapsed="false">
      <c r="A432" s="33"/>
      <c r="B432" s="28"/>
      <c r="C432" s="29"/>
      <c r="D432" s="29"/>
      <c r="E432" s="29"/>
      <c r="F432" s="29"/>
      <c r="G432" s="36"/>
      <c r="H432" s="29"/>
      <c r="I432" s="35"/>
      <c r="J432" s="29"/>
      <c r="K432" s="29"/>
      <c r="L432" s="36"/>
      <c r="M432" s="29"/>
      <c r="N432" s="37"/>
      <c r="O432" s="30" t="n">
        <f aca="false">N432*J432</f>
        <v>0</v>
      </c>
    </row>
    <row r="433" customFormat="false" ht="15" hidden="false" customHeight="false" outlineLevel="0" collapsed="false">
      <c r="A433" s="33"/>
      <c r="B433" s="28"/>
      <c r="C433" s="29"/>
      <c r="D433" s="29"/>
      <c r="E433" s="29"/>
      <c r="F433" s="29"/>
      <c r="G433" s="36"/>
      <c r="H433" s="29"/>
      <c r="I433" s="35"/>
      <c r="J433" s="29"/>
      <c r="K433" s="29"/>
      <c r="L433" s="36"/>
      <c r="M433" s="29"/>
      <c r="N433" s="37"/>
      <c r="O433" s="30" t="n">
        <f aca="false">N433*J433</f>
        <v>0</v>
      </c>
    </row>
    <row r="434" customFormat="false" ht="15" hidden="false" customHeight="false" outlineLevel="0" collapsed="false">
      <c r="A434" s="33"/>
      <c r="B434" s="28"/>
      <c r="C434" s="29"/>
      <c r="D434" s="29"/>
      <c r="E434" s="29"/>
      <c r="F434" s="29"/>
      <c r="G434" s="36"/>
      <c r="H434" s="29"/>
      <c r="I434" s="35"/>
      <c r="J434" s="29"/>
      <c r="K434" s="29"/>
      <c r="L434" s="36"/>
      <c r="M434" s="29"/>
      <c r="N434" s="37"/>
      <c r="O434" s="30" t="n">
        <f aca="false">N434*J434</f>
        <v>0</v>
      </c>
    </row>
    <row r="435" customFormat="false" ht="15" hidden="false" customHeight="false" outlineLevel="0" collapsed="false">
      <c r="A435" s="33"/>
      <c r="B435" s="28"/>
      <c r="C435" s="29"/>
      <c r="D435" s="29"/>
      <c r="E435" s="29"/>
      <c r="F435" s="29"/>
      <c r="G435" s="36"/>
      <c r="H435" s="29"/>
      <c r="I435" s="35"/>
      <c r="J435" s="29"/>
      <c r="K435" s="29"/>
      <c r="L435" s="36"/>
      <c r="M435" s="29"/>
      <c r="N435" s="37"/>
      <c r="O435" s="30" t="n">
        <f aca="false">N435*J435</f>
        <v>0</v>
      </c>
    </row>
    <row r="436" customFormat="false" ht="15" hidden="false" customHeight="false" outlineLevel="0" collapsed="false">
      <c r="A436" s="33"/>
      <c r="B436" s="28"/>
      <c r="C436" s="29"/>
      <c r="D436" s="29"/>
      <c r="E436" s="29"/>
      <c r="F436" s="29"/>
      <c r="G436" s="36"/>
      <c r="H436" s="29"/>
      <c r="I436" s="35"/>
      <c r="J436" s="29"/>
      <c r="K436" s="29"/>
      <c r="L436" s="36"/>
      <c r="M436" s="29"/>
      <c r="N436" s="37"/>
      <c r="O436" s="30" t="n">
        <f aca="false">N436*J436</f>
        <v>0</v>
      </c>
    </row>
    <row r="437" customFormat="false" ht="15" hidden="false" customHeight="false" outlineLevel="0" collapsed="false">
      <c r="A437" s="33"/>
      <c r="B437" s="28"/>
      <c r="C437" s="29"/>
      <c r="D437" s="29"/>
      <c r="E437" s="29"/>
      <c r="F437" s="29"/>
      <c r="G437" s="36"/>
      <c r="H437" s="29"/>
      <c r="I437" s="35"/>
      <c r="J437" s="29"/>
      <c r="K437" s="29"/>
      <c r="L437" s="36"/>
      <c r="M437" s="29"/>
      <c r="N437" s="37"/>
      <c r="O437" s="30" t="n">
        <f aca="false">N437*J437</f>
        <v>0</v>
      </c>
    </row>
    <row r="438" customFormat="false" ht="15" hidden="false" customHeight="false" outlineLevel="0" collapsed="false">
      <c r="A438" s="33"/>
      <c r="B438" s="28"/>
      <c r="C438" s="29"/>
      <c r="D438" s="29"/>
      <c r="E438" s="29"/>
      <c r="F438" s="29"/>
      <c r="G438" s="36"/>
      <c r="H438" s="29"/>
      <c r="I438" s="35"/>
      <c r="J438" s="29"/>
      <c r="K438" s="29"/>
      <c r="L438" s="36"/>
      <c r="M438" s="29"/>
      <c r="N438" s="37"/>
      <c r="O438" s="30" t="n">
        <f aca="false">N438*J438</f>
        <v>0</v>
      </c>
    </row>
    <row r="439" customFormat="false" ht="15" hidden="false" customHeight="false" outlineLevel="0" collapsed="false">
      <c r="A439" s="33"/>
      <c r="B439" s="28"/>
      <c r="C439" s="29"/>
      <c r="D439" s="29"/>
      <c r="E439" s="29"/>
      <c r="F439" s="29"/>
      <c r="G439" s="36"/>
      <c r="H439" s="29"/>
      <c r="I439" s="35"/>
      <c r="J439" s="29"/>
      <c r="K439" s="29"/>
      <c r="L439" s="36"/>
      <c r="M439" s="29"/>
      <c r="N439" s="37"/>
      <c r="O439" s="30" t="n">
        <f aca="false">N439*J439</f>
        <v>0</v>
      </c>
    </row>
    <row r="440" customFormat="false" ht="15" hidden="false" customHeight="false" outlineLevel="0" collapsed="false">
      <c r="A440" s="33"/>
      <c r="B440" s="28"/>
      <c r="C440" s="29"/>
      <c r="D440" s="29"/>
      <c r="E440" s="29"/>
      <c r="F440" s="29"/>
      <c r="G440" s="36"/>
      <c r="H440" s="29"/>
      <c r="I440" s="35"/>
      <c r="J440" s="29"/>
      <c r="K440" s="29"/>
      <c r="L440" s="36"/>
      <c r="M440" s="29"/>
      <c r="N440" s="37"/>
      <c r="O440" s="30" t="n">
        <f aca="false">N440*J440</f>
        <v>0</v>
      </c>
    </row>
    <row r="441" customFormat="false" ht="15" hidden="false" customHeight="false" outlineLevel="0" collapsed="false">
      <c r="A441" s="33"/>
      <c r="B441" s="28"/>
      <c r="C441" s="29"/>
      <c r="D441" s="29"/>
      <c r="E441" s="29"/>
      <c r="F441" s="29"/>
      <c r="G441" s="36"/>
      <c r="H441" s="29"/>
      <c r="I441" s="35"/>
      <c r="J441" s="29"/>
      <c r="K441" s="29"/>
      <c r="L441" s="36"/>
      <c r="M441" s="29"/>
      <c r="N441" s="37"/>
      <c r="O441" s="30" t="n">
        <f aca="false">N441*J441</f>
        <v>0</v>
      </c>
    </row>
    <row r="442" customFormat="false" ht="15" hidden="false" customHeight="false" outlineLevel="0" collapsed="false">
      <c r="A442" s="33"/>
      <c r="B442" s="28"/>
      <c r="C442" s="29"/>
      <c r="D442" s="29"/>
      <c r="E442" s="29"/>
      <c r="F442" s="29"/>
      <c r="G442" s="36"/>
      <c r="H442" s="29"/>
      <c r="I442" s="35"/>
      <c r="J442" s="29"/>
      <c r="K442" s="29"/>
      <c r="L442" s="36"/>
      <c r="M442" s="29"/>
      <c r="N442" s="37"/>
      <c r="O442" s="30" t="n">
        <f aca="false">N442*J442</f>
        <v>0</v>
      </c>
    </row>
    <row r="443" customFormat="false" ht="15" hidden="false" customHeight="false" outlineLevel="0" collapsed="false">
      <c r="A443" s="33"/>
      <c r="B443" s="28"/>
      <c r="C443" s="29"/>
      <c r="D443" s="29"/>
      <c r="E443" s="29"/>
      <c r="F443" s="29"/>
      <c r="G443" s="36"/>
      <c r="H443" s="29"/>
      <c r="I443" s="35"/>
      <c r="J443" s="29"/>
      <c r="K443" s="29"/>
      <c r="L443" s="36"/>
      <c r="M443" s="29"/>
      <c r="N443" s="37"/>
      <c r="O443" s="30" t="n">
        <f aca="false">N443*J443</f>
        <v>0</v>
      </c>
    </row>
    <row r="444" customFormat="false" ht="15" hidden="false" customHeight="false" outlineLevel="0" collapsed="false">
      <c r="A444" s="33"/>
      <c r="B444" s="28"/>
      <c r="C444" s="29"/>
      <c r="D444" s="29"/>
      <c r="E444" s="29"/>
      <c r="F444" s="29"/>
      <c r="G444" s="36"/>
      <c r="H444" s="29"/>
      <c r="I444" s="35"/>
      <c r="J444" s="29"/>
      <c r="K444" s="29"/>
      <c r="L444" s="36"/>
      <c r="M444" s="29"/>
      <c r="N444" s="37"/>
      <c r="O444" s="30" t="n">
        <f aca="false">N444*J444</f>
        <v>0</v>
      </c>
    </row>
    <row r="445" customFormat="false" ht="15" hidden="false" customHeight="false" outlineLevel="0" collapsed="false">
      <c r="A445" s="33"/>
      <c r="B445" s="28"/>
      <c r="C445" s="29"/>
      <c r="D445" s="29"/>
      <c r="E445" s="29"/>
      <c r="F445" s="29"/>
      <c r="G445" s="36"/>
      <c r="H445" s="29"/>
      <c r="I445" s="35"/>
      <c r="J445" s="29"/>
      <c r="K445" s="29"/>
      <c r="L445" s="36"/>
      <c r="M445" s="29"/>
      <c r="N445" s="37"/>
      <c r="O445" s="30" t="n">
        <f aca="false">N445*J445</f>
        <v>0</v>
      </c>
    </row>
    <row r="446" customFormat="false" ht="15" hidden="false" customHeight="false" outlineLevel="0" collapsed="false">
      <c r="A446" s="33"/>
      <c r="B446" s="28"/>
      <c r="C446" s="29"/>
      <c r="D446" s="29"/>
      <c r="E446" s="29"/>
      <c r="F446" s="29"/>
      <c r="G446" s="36"/>
      <c r="H446" s="29"/>
      <c r="I446" s="35"/>
      <c r="J446" s="29"/>
      <c r="K446" s="29"/>
      <c r="L446" s="36"/>
      <c r="M446" s="29"/>
      <c r="N446" s="37"/>
      <c r="O446" s="30" t="n">
        <f aca="false">N446*J446</f>
        <v>0</v>
      </c>
    </row>
    <row r="447" customFormat="false" ht="15" hidden="false" customHeight="false" outlineLevel="0" collapsed="false">
      <c r="A447" s="33"/>
      <c r="B447" s="28"/>
      <c r="C447" s="29"/>
      <c r="D447" s="29"/>
      <c r="E447" s="29"/>
      <c r="F447" s="29"/>
      <c r="G447" s="36"/>
      <c r="H447" s="29"/>
      <c r="I447" s="35"/>
      <c r="J447" s="29"/>
      <c r="K447" s="29"/>
      <c r="L447" s="36"/>
      <c r="M447" s="29"/>
      <c r="N447" s="37"/>
      <c r="O447" s="30" t="n">
        <f aca="false">N447*J447</f>
        <v>0</v>
      </c>
    </row>
    <row r="448" customFormat="false" ht="15" hidden="false" customHeight="false" outlineLevel="0" collapsed="false">
      <c r="A448" s="33"/>
      <c r="B448" s="28"/>
      <c r="C448" s="29"/>
      <c r="D448" s="29"/>
      <c r="E448" s="29"/>
      <c r="F448" s="29"/>
      <c r="G448" s="36"/>
      <c r="H448" s="29"/>
      <c r="I448" s="35"/>
      <c r="J448" s="29"/>
      <c r="K448" s="29"/>
      <c r="L448" s="36"/>
      <c r="M448" s="29"/>
      <c r="N448" s="37"/>
      <c r="O448" s="30" t="n">
        <f aca="false">N448*J448</f>
        <v>0</v>
      </c>
    </row>
    <row r="449" customFormat="false" ht="15" hidden="false" customHeight="false" outlineLevel="0" collapsed="false">
      <c r="A449" s="33"/>
      <c r="B449" s="28"/>
      <c r="C449" s="29"/>
      <c r="D449" s="29"/>
      <c r="E449" s="29"/>
      <c r="F449" s="29"/>
      <c r="G449" s="36"/>
      <c r="H449" s="29"/>
      <c r="I449" s="35"/>
      <c r="J449" s="29"/>
      <c r="K449" s="29"/>
      <c r="L449" s="36"/>
      <c r="M449" s="29"/>
      <c r="N449" s="37"/>
      <c r="O449" s="30" t="n">
        <f aca="false">N449*J449</f>
        <v>0</v>
      </c>
    </row>
    <row r="450" customFormat="false" ht="15" hidden="false" customHeight="false" outlineLevel="0" collapsed="false">
      <c r="A450" s="33"/>
      <c r="B450" s="28"/>
      <c r="C450" s="29"/>
      <c r="D450" s="29"/>
      <c r="E450" s="29"/>
      <c r="F450" s="29"/>
      <c r="G450" s="36"/>
      <c r="H450" s="29"/>
      <c r="I450" s="35"/>
      <c r="J450" s="29"/>
      <c r="K450" s="29"/>
      <c r="L450" s="36"/>
      <c r="M450" s="29"/>
      <c r="N450" s="37"/>
      <c r="O450" s="30" t="n">
        <f aca="false">N450*J450</f>
        <v>0</v>
      </c>
    </row>
    <row r="451" customFormat="false" ht="15" hidden="false" customHeight="false" outlineLevel="0" collapsed="false">
      <c r="A451" s="33"/>
      <c r="B451" s="28"/>
      <c r="C451" s="29"/>
      <c r="D451" s="29"/>
      <c r="E451" s="29"/>
      <c r="F451" s="29"/>
      <c r="G451" s="36"/>
      <c r="H451" s="29"/>
      <c r="I451" s="35"/>
      <c r="J451" s="29"/>
      <c r="K451" s="29"/>
      <c r="L451" s="36"/>
      <c r="M451" s="29"/>
      <c r="N451" s="37"/>
      <c r="O451" s="30" t="n">
        <f aca="false">N451*J451</f>
        <v>0</v>
      </c>
    </row>
    <row r="452" customFormat="false" ht="15" hidden="false" customHeight="false" outlineLevel="0" collapsed="false">
      <c r="A452" s="33"/>
      <c r="B452" s="28"/>
      <c r="C452" s="29"/>
      <c r="D452" s="29"/>
      <c r="E452" s="29"/>
      <c r="F452" s="29"/>
      <c r="G452" s="36"/>
      <c r="H452" s="29"/>
      <c r="I452" s="35"/>
      <c r="J452" s="29"/>
      <c r="K452" s="29"/>
      <c r="L452" s="36"/>
      <c r="M452" s="29"/>
      <c r="N452" s="37"/>
      <c r="O452" s="30" t="n">
        <f aca="false">N452*J452</f>
        <v>0</v>
      </c>
    </row>
    <row r="453" customFormat="false" ht="15" hidden="false" customHeight="false" outlineLevel="0" collapsed="false">
      <c r="A453" s="33"/>
      <c r="B453" s="28"/>
      <c r="C453" s="29"/>
      <c r="D453" s="29"/>
      <c r="E453" s="29"/>
      <c r="F453" s="29"/>
      <c r="G453" s="36"/>
      <c r="H453" s="29"/>
      <c r="I453" s="35"/>
      <c r="J453" s="29"/>
      <c r="K453" s="29"/>
      <c r="L453" s="36"/>
      <c r="M453" s="29"/>
      <c r="N453" s="37"/>
      <c r="O453" s="30" t="n">
        <f aca="false">N453*J453</f>
        <v>0</v>
      </c>
    </row>
    <row r="454" customFormat="false" ht="15" hidden="false" customHeight="false" outlineLevel="0" collapsed="false">
      <c r="A454" s="33"/>
      <c r="B454" s="28"/>
      <c r="C454" s="29"/>
      <c r="D454" s="29"/>
      <c r="E454" s="29"/>
      <c r="F454" s="29"/>
      <c r="G454" s="36"/>
      <c r="H454" s="29"/>
      <c r="I454" s="35"/>
      <c r="J454" s="29"/>
      <c r="K454" s="29"/>
      <c r="L454" s="36"/>
      <c r="M454" s="29"/>
      <c r="N454" s="37"/>
      <c r="O454" s="30" t="n">
        <f aca="false">N454*J454</f>
        <v>0</v>
      </c>
    </row>
    <row r="455" customFormat="false" ht="15" hidden="false" customHeight="false" outlineLevel="0" collapsed="false">
      <c r="A455" s="33"/>
      <c r="B455" s="28"/>
      <c r="C455" s="29"/>
      <c r="D455" s="29"/>
      <c r="E455" s="29"/>
      <c r="F455" s="29"/>
      <c r="G455" s="36"/>
      <c r="H455" s="29"/>
      <c r="I455" s="35"/>
      <c r="J455" s="29"/>
      <c r="K455" s="29"/>
      <c r="L455" s="36"/>
      <c r="M455" s="29"/>
      <c r="N455" s="37"/>
      <c r="O455" s="30" t="n">
        <f aca="false">N455*J455</f>
        <v>0</v>
      </c>
    </row>
    <row r="456" customFormat="false" ht="15" hidden="false" customHeight="false" outlineLevel="0" collapsed="false">
      <c r="A456" s="33"/>
      <c r="B456" s="28"/>
      <c r="C456" s="29"/>
      <c r="D456" s="29"/>
      <c r="E456" s="29"/>
      <c r="F456" s="29"/>
      <c r="G456" s="36"/>
      <c r="H456" s="29"/>
      <c r="I456" s="35"/>
      <c r="J456" s="29"/>
      <c r="K456" s="29"/>
      <c r="L456" s="36"/>
      <c r="M456" s="29"/>
      <c r="N456" s="37"/>
      <c r="O456" s="30" t="n">
        <f aca="false">N456*J456</f>
        <v>0</v>
      </c>
    </row>
    <row r="457" customFormat="false" ht="15" hidden="false" customHeight="false" outlineLevel="0" collapsed="false">
      <c r="A457" s="33"/>
      <c r="B457" s="28"/>
      <c r="C457" s="29"/>
      <c r="D457" s="29"/>
      <c r="E457" s="29"/>
      <c r="F457" s="29"/>
      <c r="G457" s="36"/>
      <c r="H457" s="29"/>
      <c r="I457" s="35"/>
      <c r="J457" s="29"/>
      <c r="K457" s="29"/>
      <c r="L457" s="36"/>
      <c r="M457" s="29"/>
      <c r="N457" s="37"/>
      <c r="O457" s="30" t="n">
        <f aca="false">N457*J457</f>
        <v>0</v>
      </c>
    </row>
    <row r="458" customFormat="false" ht="15" hidden="false" customHeight="false" outlineLevel="0" collapsed="false">
      <c r="A458" s="33"/>
      <c r="B458" s="28"/>
      <c r="C458" s="29"/>
      <c r="D458" s="29"/>
      <c r="E458" s="29"/>
      <c r="F458" s="29"/>
      <c r="G458" s="36"/>
      <c r="H458" s="29"/>
      <c r="I458" s="35"/>
      <c r="J458" s="29"/>
      <c r="K458" s="29"/>
      <c r="L458" s="36"/>
      <c r="M458" s="29"/>
      <c r="N458" s="37"/>
      <c r="O458" s="30" t="n">
        <f aca="false">N458*J458</f>
        <v>0</v>
      </c>
    </row>
    <row r="459" customFormat="false" ht="15" hidden="false" customHeight="false" outlineLevel="0" collapsed="false">
      <c r="A459" s="33"/>
      <c r="B459" s="28"/>
      <c r="C459" s="29"/>
      <c r="D459" s="29"/>
      <c r="E459" s="29"/>
      <c r="F459" s="29"/>
      <c r="G459" s="36"/>
      <c r="H459" s="29"/>
      <c r="I459" s="35"/>
      <c r="J459" s="29"/>
      <c r="K459" s="29"/>
      <c r="L459" s="36"/>
      <c r="M459" s="29"/>
      <c r="N459" s="37"/>
      <c r="O459" s="30" t="n">
        <f aca="false">N459*J459</f>
        <v>0</v>
      </c>
    </row>
    <row r="460" customFormat="false" ht="15" hidden="false" customHeight="false" outlineLevel="0" collapsed="false">
      <c r="A460" s="33"/>
      <c r="B460" s="28"/>
      <c r="C460" s="29"/>
      <c r="D460" s="29"/>
      <c r="E460" s="29"/>
      <c r="F460" s="29"/>
      <c r="G460" s="36"/>
      <c r="H460" s="29"/>
      <c r="I460" s="35"/>
      <c r="J460" s="29"/>
      <c r="K460" s="29"/>
      <c r="L460" s="36"/>
      <c r="M460" s="29"/>
      <c r="N460" s="37"/>
      <c r="O460" s="30" t="n">
        <f aca="false">N460*J460</f>
        <v>0</v>
      </c>
    </row>
    <row r="461" customFormat="false" ht="15" hidden="false" customHeight="false" outlineLevel="0" collapsed="false">
      <c r="A461" s="33"/>
      <c r="B461" s="28"/>
      <c r="C461" s="29"/>
      <c r="D461" s="29"/>
      <c r="E461" s="29"/>
      <c r="F461" s="29"/>
      <c r="G461" s="36"/>
      <c r="H461" s="29"/>
      <c r="I461" s="35"/>
      <c r="J461" s="29"/>
      <c r="K461" s="29"/>
      <c r="L461" s="36"/>
      <c r="M461" s="29"/>
      <c r="N461" s="37"/>
      <c r="O461" s="30" t="n">
        <f aca="false">N461*J461</f>
        <v>0</v>
      </c>
    </row>
    <row r="462" customFormat="false" ht="15" hidden="false" customHeight="false" outlineLevel="0" collapsed="false">
      <c r="A462" s="33"/>
      <c r="B462" s="28"/>
      <c r="C462" s="29"/>
      <c r="D462" s="29"/>
      <c r="E462" s="29"/>
      <c r="F462" s="29"/>
      <c r="G462" s="36"/>
      <c r="H462" s="29"/>
      <c r="I462" s="35"/>
      <c r="J462" s="29"/>
      <c r="K462" s="29"/>
      <c r="L462" s="36"/>
      <c r="M462" s="29"/>
      <c r="N462" s="37"/>
      <c r="O462" s="30" t="n">
        <f aca="false">N462*J462</f>
        <v>0</v>
      </c>
    </row>
    <row r="463" customFormat="false" ht="15" hidden="false" customHeight="false" outlineLevel="0" collapsed="false">
      <c r="A463" s="33"/>
      <c r="B463" s="28"/>
      <c r="C463" s="29"/>
      <c r="D463" s="29"/>
      <c r="E463" s="29"/>
      <c r="F463" s="29"/>
      <c r="G463" s="36"/>
      <c r="H463" s="29"/>
      <c r="I463" s="35"/>
      <c r="J463" s="29"/>
      <c r="K463" s="29"/>
      <c r="L463" s="36"/>
      <c r="M463" s="29"/>
      <c r="N463" s="37"/>
      <c r="O463" s="30" t="n">
        <f aca="false">N463*J463</f>
        <v>0</v>
      </c>
    </row>
    <row r="464" customFormat="false" ht="15" hidden="false" customHeight="false" outlineLevel="0" collapsed="false">
      <c r="A464" s="33"/>
      <c r="B464" s="28"/>
      <c r="C464" s="29"/>
      <c r="D464" s="29"/>
      <c r="E464" s="29"/>
      <c r="F464" s="29"/>
      <c r="G464" s="36"/>
      <c r="H464" s="29"/>
      <c r="I464" s="35"/>
      <c r="J464" s="29"/>
      <c r="K464" s="29"/>
      <c r="L464" s="36"/>
      <c r="M464" s="29"/>
      <c r="N464" s="37"/>
      <c r="O464" s="30" t="n">
        <f aca="false">N464*J464</f>
        <v>0</v>
      </c>
    </row>
    <row r="465" customFormat="false" ht="15" hidden="false" customHeight="false" outlineLevel="0" collapsed="false">
      <c r="A465" s="33"/>
      <c r="B465" s="28"/>
      <c r="C465" s="29"/>
      <c r="D465" s="29"/>
      <c r="E465" s="29"/>
      <c r="F465" s="29"/>
      <c r="G465" s="36"/>
      <c r="H465" s="29"/>
      <c r="I465" s="35"/>
      <c r="J465" s="29"/>
      <c r="K465" s="29"/>
      <c r="L465" s="36"/>
      <c r="M465" s="29"/>
      <c r="N465" s="37"/>
      <c r="O465" s="30" t="n">
        <f aca="false">N465*J465</f>
        <v>0</v>
      </c>
    </row>
    <row r="466" customFormat="false" ht="15" hidden="false" customHeight="false" outlineLevel="0" collapsed="false">
      <c r="A466" s="33"/>
      <c r="B466" s="28"/>
      <c r="C466" s="29"/>
      <c r="D466" s="29"/>
      <c r="E466" s="29"/>
      <c r="F466" s="29"/>
      <c r="G466" s="36"/>
      <c r="H466" s="29"/>
      <c r="I466" s="35"/>
      <c r="J466" s="29"/>
      <c r="K466" s="29"/>
      <c r="L466" s="36"/>
      <c r="M466" s="29"/>
      <c r="N466" s="37"/>
      <c r="O466" s="30" t="n">
        <f aca="false">N466*J466</f>
        <v>0</v>
      </c>
    </row>
    <row r="467" customFormat="false" ht="15" hidden="false" customHeight="false" outlineLevel="0" collapsed="false">
      <c r="A467" s="33"/>
      <c r="B467" s="28"/>
      <c r="C467" s="29"/>
      <c r="D467" s="29"/>
      <c r="E467" s="29"/>
      <c r="F467" s="29"/>
      <c r="G467" s="36"/>
      <c r="H467" s="29"/>
      <c r="I467" s="35"/>
      <c r="J467" s="29"/>
      <c r="K467" s="29"/>
      <c r="L467" s="36"/>
      <c r="M467" s="29"/>
      <c r="N467" s="37"/>
      <c r="O467" s="30" t="n">
        <f aca="false">N467*J467</f>
        <v>0</v>
      </c>
    </row>
    <row r="468" customFormat="false" ht="15" hidden="false" customHeight="false" outlineLevel="0" collapsed="false">
      <c r="A468" s="33"/>
      <c r="B468" s="28"/>
      <c r="C468" s="29"/>
      <c r="D468" s="29"/>
      <c r="E468" s="29"/>
      <c r="F468" s="29"/>
      <c r="G468" s="36"/>
      <c r="H468" s="29"/>
      <c r="I468" s="35"/>
      <c r="J468" s="29"/>
      <c r="K468" s="29"/>
      <c r="L468" s="36"/>
      <c r="M468" s="29"/>
      <c r="N468" s="37"/>
      <c r="O468" s="30" t="n">
        <f aca="false">N468*J468</f>
        <v>0</v>
      </c>
    </row>
    <row r="469" customFormat="false" ht="15" hidden="false" customHeight="false" outlineLevel="0" collapsed="false">
      <c r="A469" s="33"/>
      <c r="B469" s="28"/>
      <c r="C469" s="29"/>
      <c r="D469" s="29"/>
      <c r="E469" s="29"/>
      <c r="F469" s="29"/>
      <c r="G469" s="36"/>
      <c r="H469" s="29"/>
      <c r="I469" s="35"/>
      <c r="J469" s="29"/>
      <c r="K469" s="29"/>
      <c r="L469" s="36"/>
      <c r="M469" s="29"/>
      <c r="N469" s="37"/>
      <c r="O469" s="30" t="n">
        <f aca="false">N469*J469</f>
        <v>0</v>
      </c>
    </row>
    <row r="470" customFormat="false" ht="15" hidden="false" customHeight="false" outlineLevel="0" collapsed="false">
      <c r="A470" s="33"/>
      <c r="B470" s="28"/>
      <c r="C470" s="29"/>
      <c r="D470" s="29"/>
      <c r="E470" s="29"/>
      <c r="F470" s="29"/>
      <c r="G470" s="36"/>
      <c r="H470" s="29"/>
      <c r="I470" s="35"/>
      <c r="J470" s="29"/>
      <c r="K470" s="29"/>
      <c r="L470" s="36"/>
      <c r="M470" s="29"/>
      <c r="N470" s="37"/>
      <c r="O470" s="30" t="n">
        <f aca="false">N470*J470</f>
        <v>0</v>
      </c>
    </row>
    <row r="471" customFormat="false" ht="15" hidden="false" customHeight="false" outlineLevel="0" collapsed="false">
      <c r="A471" s="33"/>
      <c r="B471" s="28"/>
      <c r="C471" s="29"/>
      <c r="D471" s="29"/>
      <c r="E471" s="29"/>
      <c r="F471" s="29"/>
      <c r="G471" s="36"/>
      <c r="H471" s="29"/>
      <c r="I471" s="35"/>
      <c r="J471" s="29"/>
      <c r="K471" s="29"/>
      <c r="L471" s="36"/>
      <c r="M471" s="29"/>
      <c r="N471" s="37"/>
      <c r="O471" s="30" t="n">
        <f aca="false">N471*J471</f>
        <v>0</v>
      </c>
    </row>
    <row r="472" customFormat="false" ht="15" hidden="false" customHeight="false" outlineLevel="0" collapsed="false">
      <c r="A472" s="33"/>
      <c r="B472" s="28"/>
      <c r="C472" s="29"/>
      <c r="D472" s="29"/>
      <c r="E472" s="29"/>
      <c r="F472" s="29"/>
      <c r="G472" s="36"/>
      <c r="H472" s="29"/>
      <c r="I472" s="35"/>
      <c r="J472" s="29"/>
      <c r="K472" s="29"/>
      <c r="L472" s="36"/>
      <c r="M472" s="29"/>
      <c r="N472" s="37"/>
      <c r="O472" s="30" t="n">
        <f aca="false">N472*J472</f>
        <v>0</v>
      </c>
    </row>
    <row r="473" customFormat="false" ht="15" hidden="false" customHeight="false" outlineLevel="0" collapsed="false">
      <c r="A473" s="33"/>
      <c r="B473" s="28"/>
      <c r="C473" s="29"/>
      <c r="D473" s="29"/>
      <c r="E473" s="29"/>
      <c r="F473" s="29"/>
      <c r="G473" s="36"/>
      <c r="H473" s="29"/>
      <c r="I473" s="35"/>
      <c r="J473" s="29"/>
      <c r="K473" s="29"/>
      <c r="L473" s="36"/>
      <c r="M473" s="29"/>
      <c r="N473" s="37"/>
      <c r="O473" s="30" t="n">
        <f aca="false">N473*J473</f>
        <v>0</v>
      </c>
    </row>
    <row r="474" customFormat="false" ht="15" hidden="false" customHeight="false" outlineLevel="0" collapsed="false">
      <c r="A474" s="33"/>
      <c r="B474" s="28"/>
      <c r="C474" s="29"/>
      <c r="D474" s="29"/>
      <c r="E474" s="29"/>
      <c r="F474" s="29"/>
      <c r="G474" s="36"/>
      <c r="H474" s="29"/>
      <c r="I474" s="35"/>
      <c r="J474" s="29"/>
      <c r="K474" s="29"/>
      <c r="L474" s="36"/>
      <c r="M474" s="29"/>
      <c r="N474" s="37"/>
      <c r="O474" s="30" t="n">
        <f aca="false">N474*J474</f>
        <v>0</v>
      </c>
    </row>
    <row r="475" customFormat="false" ht="15" hidden="false" customHeight="false" outlineLevel="0" collapsed="false">
      <c r="A475" s="33"/>
      <c r="B475" s="28"/>
      <c r="C475" s="29"/>
      <c r="D475" s="29"/>
      <c r="E475" s="29"/>
      <c r="F475" s="29"/>
      <c r="G475" s="36"/>
      <c r="H475" s="29"/>
      <c r="I475" s="35"/>
      <c r="J475" s="29"/>
      <c r="K475" s="29"/>
      <c r="L475" s="36"/>
      <c r="M475" s="29"/>
      <c r="N475" s="37"/>
      <c r="O475" s="30" t="n">
        <f aca="false">N475*J475</f>
        <v>0</v>
      </c>
    </row>
    <row r="476" customFormat="false" ht="15" hidden="false" customHeight="false" outlineLevel="0" collapsed="false">
      <c r="A476" s="33"/>
      <c r="B476" s="28"/>
      <c r="C476" s="29"/>
      <c r="D476" s="29"/>
      <c r="E476" s="29"/>
      <c r="F476" s="29"/>
      <c r="G476" s="36"/>
      <c r="H476" s="29"/>
      <c r="I476" s="35"/>
      <c r="J476" s="29"/>
      <c r="K476" s="29"/>
      <c r="L476" s="36"/>
      <c r="M476" s="29"/>
      <c r="N476" s="37"/>
      <c r="O476" s="30" t="n">
        <f aca="false">N476*J476</f>
        <v>0</v>
      </c>
    </row>
    <row r="477" customFormat="false" ht="15" hidden="false" customHeight="false" outlineLevel="0" collapsed="false">
      <c r="A477" s="33"/>
      <c r="B477" s="28"/>
      <c r="C477" s="29"/>
      <c r="D477" s="29"/>
      <c r="E477" s="29"/>
      <c r="F477" s="29"/>
      <c r="G477" s="36"/>
      <c r="H477" s="29"/>
      <c r="I477" s="35"/>
      <c r="J477" s="29"/>
      <c r="K477" s="29"/>
      <c r="L477" s="36"/>
      <c r="M477" s="29"/>
      <c r="N477" s="37"/>
      <c r="O477" s="30" t="n">
        <f aca="false">N477*J477</f>
        <v>0</v>
      </c>
    </row>
    <row r="478" customFormat="false" ht="15" hidden="false" customHeight="false" outlineLevel="0" collapsed="false">
      <c r="A478" s="33"/>
      <c r="B478" s="28"/>
      <c r="C478" s="29"/>
      <c r="D478" s="29"/>
      <c r="E478" s="29"/>
      <c r="F478" s="29"/>
      <c r="G478" s="36"/>
      <c r="H478" s="29"/>
      <c r="I478" s="35"/>
      <c r="J478" s="29"/>
      <c r="K478" s="29"/>
      <c r="L478" s="36"/>
      <c r="M478" s="29"/>
      <c r="N478" s="37"/>
      <c r="O478" s="30" t="n">
        <f aca="false">N478*J478</f>
        <v>0</v>
      </c>
    </row>
    <row r="479" customFormat="false" ht="15" hidden="false" customHeight="false" outlineLevel="0" collapsed="false">
      <c r="A479" s="33"/>
      <c r="B479" s="28"/>
      <c r="C479" s="29"/>
      <c r="D479" s="29"/>
      <c r="E479" s="29"/>
      <c r="F479" s="29"/>
      <c r="G479" s="36"/>
      <c r="H479" s="29"/>
      <c r="I479" s="35"/>
      <c r="J479" s="29"/>
      <c r="K479" s="29"/>
      <c r="L479" s="36"/>
      <c r="M479" s="29"/>
      <c r="N479" s="37"/>
      <c r="O479" s="30" t="n">
        <f aca="false">N479*J479</f>
        <v>0</v>
      </c>
    </row>
    <row r="480" customFormat="false" ht="15" hidden="false" customHeight="false" outlineLevel="0" collapsed="false">
      <c r="A480" s="33"/>
      <c r="B480" s="28"/>
      <c r="C480" s="29"/>
      <c r="D480" s="29"/>
      <c r="E480" s="29"/>
      <c r="F480" s="29"/>
      <c r="G480" s="36"/>
      <c r="H480" s="29"/>
      <c r="I480" s="35"/>
      <c r="J480" s="29"/>
      <c r="K480" s="29"/>
      <c r="L480" s="36"/>
      <c r="M480" s="29"/>
      <c r="N480" s="37"/>
      <c r="O480" s="30" t="n">
        <f aca="false">N480*J480</f>
        <v>0</v>
      </c>
    </row>
    <row r="481" customFormat="false" ht="15" hidden="false" customHeight="false" outlineLevel="0" collapsed="false">
      <c r="A481" s="33"/>
      <c r="B481" s="28"/>
      <c r="C481" s="29"/>
      <c r="D481" s="29"/>
      <c r="E481" s="29"/>
      <c r="F481" s="29"/>
      <c r="G481" s="36"/>
      <c r="H481" s="29"/>
      <c r="I481" s="35"/>
      <c r="J481" s="29"/>
      <c r="K481" s="29"/>
      <c r="L481" s="36"/>
      <c r="M481" s="29"/>
      <c r="N481" s="37"/>
      <c r="O481" s="30" t="n">
        <f aca="false">N481*J481</f>
        <v>0</v>
      </c>
    </row>
    <row r="482" customFormat="false" ht="15" hidden="false" customHeight="false" outlineLevel="0" collapsed="false">
      <c r="A482" s="33"/>
      <c r="B482" s="28"/>
      <c r="C482" s="29"/>
      <c r="D482" s="29"/>
      <c r="E482" s="29"/>
      <c r="F482" s="29"/>
      <c r="G482" s="36"/>
      <c r="H482" s="29"/>
      <c r="I482" s="35"/>
      <c r="J482" s="29"/>
      <c r="K482" s="29"/>
      <c r="L482" s="36"/>
      <c r="M482" s="29"/>
      <c r="N482" s="37"/>
      <c r="O482" s="30" t="n">
        <f aca="false">N482*J482</f>
        <v>0</v>
      </c>
    </row>
    <row r="483" customFormat="false" ht="15" hidden="false" customHeight="false" outlineLevel="0" collapsed="false">
      <c r="A483" s="33"/>
      <c r="B483" s="28"/>
      <c r="C483" s="29"/>
      <c r="D483" s="29"/>
      <c r="E483" s="29"/>
      <c r="F483" s="29"/>
      <c r="G483" s="36"/>
      <c r="H483" s="29"/>
      <c r="I483" s="35"/>
      <c r="J483" s="29"/>
      <c r="K483" s="29"/>
      <c r="L483" s="36"/>
      <c r="M483" s="29"/>
      <c r="N483" s="37"/>
      <c r="O483" s="30" t="n">
        <f aca="false">N483*J483</f>
        <v>0</v>
      </c>
    </row>
    <row r="484" customFormat="false" ht="15" hidden="false" customHeight="false" outlineLevel="0" collapsed="false">
      <c r="A484" s="33"/>
      <c r="B484" s="28"/>
      <c r="C484" s="29"/>
      <c r="D484" s="29"/>
      <c r="E484" s="29"/>
      <c r="F484" s="29"/>
      <c r="G484" s="36"/>
      <c r="H484" s="29"/>
      <c r="I484" s="35"/>
      <c r="J484" s="29"/>
      <c r="K484" s="29"/>
      <c r="L484" s="36"/>
      <c r="M484" s="29"/>
      <c r="N484" s="37"/>
      <c r="O484" s="30" t="n">
        <f aca="false">N484*J484</f>
        <v>0</v>
      </c>
    </row>
    <row r="485" customFormat="false" ht="15" hidden="false" customHeight="false" outlineLevel="0" collapsed="false">
      <c r="A485" s="33"/>
      <c r="B485" s="28"/>
      <c r="C485" s="29"/>
      <c r="D485" s="29"/>
      <c r="E485" s="29"/>
      <c r="F485" s="29"/>
      <c r="G485" s="36"/>
      <c r="H485" s="29"/>
      <c r="I485" s="35"/>
      <c r="J485" s="29"/>
      <c r="K485" s="29"/>
      <c r="L485" s="36"/>
      <c r="M485" s="29"/>
      <c r="N485" s="37"/>
      <c r="O485" s="30" t="n">
        <f aca="false">N485*J485</f>
        <v>0</v>
      </c>
    </row>
    <row r="486" customFormat="false" ht="15" hidden="false" customHeight="false" outlineLevel="0" collapsed="false">
      <c r="A486" s="33"/>
      <c r="B486" s="28"/>
      <c r="C486" s="29"/>
      <c r="D486" s="29"/>
      <c r="E486" s="29"/>
      <c r="F486" s="29"/>
      <c r="G486" s="36"/>
      <c r="H486" s="29"/>
      <c r="I486" s="35"/>
      <c r="J486" s="29"/>
      <c r="K486" s="29"/>
      <c r="L486" s="36"/>
      <c r="M486" s="29"/>
      <c r="N486" s="37"/>
      <c r="O486" s="30" t="n">
        <f aca="false">N486*J486</f>
        <v>0</v>
      </c>
    </row>
    <row r="487" customFormat="false" ht="15" hidden="false" customHeight="false" outlineLevel="0" collapsed="false">
      <c r="A487" s="33"/>
      <c r="B487" s="28"/>
      <c r="C487" s="29"/>
      <c r="D487" s="29"/>
      <c r="E487" s="29"/>
      <c r="F487" s="29"/>
      <c r="G487" s="36"/>
      <c r="H487" s="29"/>
      <c r="I487" s="35"/>
      <c r="J487" s="29"/>
      <c r="K487" s="29"/>
      <c r="L487" s="36"/>
      <c r="M487" s="29"/>
      <c r="N487" s="37"/>
      <c r="O487" s="30" t="n">
        <f aca="false">N487*J487</f>
        <v>0</v>
      </c>
    </row>
    <row r="488" customFormat="false" ht="15" hidden="false" customHeight="false" outlineLevel="0" collapsed="false">
      <c r="A488" s="33"/>
      <c r="B488" s="28"/>
      <c r="C488" s="29"/>
      <c r="D488" s="29"/>
      <c r="E488" s="29"/>
      <c r="F488" s="29"/>
      <c r="G488" s="36"/>
      <c r="H488" s="29"/>
      <c r="I488" s="35"/>
      <c r="J488" s="29"/>
      <c r="K488" s="29"/>
      <c r="L488" s="36"/>
      <c r="M488" s="29"/>
      <c r="N488" s="37"/>
      <c r="O488" s="30" t="n">
        <f aca="false">N488*J488</f>
        <v>0</v>
      </c>
    </row>
    <row r="489" customFormat="false" ht="15" hidden="false" customHeight="false" outlineLevel="0" collapsed="false">
      <c r="A489" s="33"/>
      <c r="B489" s="28"/>
      <c r="C489" s="29"/>
      <c r="D489" s="29"/>
      <c r="E489" s="29"/>
      <c r="F489" s="29"/>
      <c r="G489" s="36"/>
      <c r="H489" s="29"/>
      <c r="I489" s="35"/>
      <c r="J489" s="29"/>
      <c r="K489" s="29"/>
      <c r="L489" s="36"/>
      <c r="M489" s="29"/>
      <c r="N489" s="37"/>
      <c r="O489" s="30" t="n">
        <f aca="false">N489*J489</f>
        <v>0</v>
      </c>
    </row>
    <row r="490" customFormat="false" ht="15" hidden="false" customHeight="false" outlineLevel="0" collapsed="false">
      <c r="A490" s="33"/>
      <c r="B490" s="28"/>
      <c r="C490" s="29"/>
      <c r="D490" s="29"/>
      <c r="E490" s="29"/>
      <c r="F490" s="29"/>
      <c r="G490" s="36"/>
      <c r="H490" s="29"/>
      <c r="I490" s="35"/>
      <c r="J490" s="29"/>
      <c r="K490" s="29"/>
      <c r="L490" s="36"/>
      <c r="M490" s="29"/>
      <c r="N490" s="37"/>
      <c r="O490" s="30" t="n">
        <f aca="false">N490*J490</f>
        <v>0</v>
      </c>
    </row>
    <row r="491" customFormat="false" ht="15" hidden="false" customHeight="false" outlineLevel="0" collapsed="false">
      <c r="A491" s="33"/>
      <c r="B491" s="28"/>
      <c r="C491" s="29"/>
      <c r="D491" s="29"/>
      <c r="E491" s="29"/>
      <c r="F491" s="29"/>
      <c r="G491" s="36"/>
      <c r="H491" s="29"/>
      <c r="I491" s="35"/>
      <c r="J491" s="29"/>
      <c r="K491" s="29"/>
      <c r="L491" s="36"/>
      <c r="M491" s="29"/>
      <c r="N491" s="37"/>
      <c r="O491" s="30" t="n">
        <f aca="false">N491*J491</f>
        <v>0</v>
      </c>
    </row>
    <row r="492" customFormat="false" ht="15" hidden="false" customHeight="false" outlineLevel="0" collapsed="false">
      <c r="A492" s="33"/>
      <c r="B492" s="28"/>
      <c r="C492" s="29"/>
      <c r="D492" s="29"/>
      <c r="E492" s="29"/>
      <c r="F492" s="29"/>
      <c r="G492" s="36"/>
      <c r="H492" s="29"/>
      <c r="I492" s="35"/>
      <c r="J492" s="29"/>
      <c r="K492" s="29"/>
      <c r="L492" s="36"/>
      <c r="M492" s="29"/>
      <c r="N492" s="37"/>
      <c r="O492" s="30" t="n">
        <f aca="false">N492*J492</f>
        <v>0</v>
      </c>
    </row>
    <row r="493" customFormat="false" ht="15" hidden="false" customHeight="false" outlineLevel="0" collapsed="false">
      <c r="A493" s="33"/>
      <c r="B493" s="28"/>
      <c r="C493" s="29"/>
      <c r="D493" s="29"/>
      <c r="E493" s="29"/>
      <c r="F493" s="29"/>
      <c r="G493" s="36"/>
      <c r="H493" s="29"/>
      <c r="I493" s="35"/>
      <c r="J493" s="29"/>
      <c r="K493" s="29"/>
      <c r="L493" s="36"/>
      <c r="M493" s="29"/>
      <c r="N493" s="37"/>
      <c r="O493" s="30" t="n">
        <f aca="false">N493*J493</f>
        <v>0</v>
      </c>
    </row>
    <row r="494" customFormat="false" ht="15" hidden="false" customHeight="false" outlineLevel="0" collapsed="false">
      <c r="A494" s="33"/>
      <c r="B494" s="28"/>
      <c r="C494" s="29"/>
      <c r="D494" s="29"/>
      <c r="E494" s="29"/>
      <c r="F494" s="29"/>
      <c r="G494" s="36"/>
      <c r="H494" s="29"/>
      <c r="I494" s="35"/>
      <c r="J494" s="29"/>
      <c r="K494" s="29"/>
      <c r="L494" s="36"/>
      <c r="M494" s="29"/>
      <c r="N494" s="37"/>
      <c r="O494" s="30" t="n">
        <f aca="false">N494*J494</f>
        <v>0</v>
      </c>
    </row>
    <row r="495" customFormat="false" ht="15" hidden="false" customHeight="false" outlineLevel="0" collapsed="false">
      <c r="A495" s="33"/>
      <c r="B495" s="28"/>
      <c r="C495" s="29"/>
      <c r="D495" s="29"/>
      <c r="E495" s="29"/>
      <c r="F495" s="29"/>
      <c r="G495" s="36"/>
      <c r="H495" s="29"/>
      <c r="I495" s="35"/>
      <c r="J495" s="29"/>
      <c r="K495" s="29"/>
      <c r="L495" s="36"/>
      <c r="M495" s="29"/>
      <c r="N495" s="37"/>
      <c r="O495" s="30" t="n">
        <f aca="false">N495*J495</f>
        <v>0</v>
      </c>
    </row>
    <row r="496" customFormat="false" ht="15" hidden="false" customHeight="false" outlineLevel="0" collapsed="false">
      <c r="A496" s="33"/>
      <c r="B496" s="28"/>
      <c r="C496" s="29"/>
      <c r="D496" s="29"/>
      <c r="E496" s="29"/>
      <c r="F496" s="29"/>
      <c r="G496" s="36"/>
      <c r="H496" s="29"/>
      <c r="I496" s="35"/>
      <c r="J496" s="29"/>
      <c r="K496" s="29"/>
      <c r="L496" s="29"/>
      <c r="M496" s="29"/>
      <c r="N496" s="37"/>
      <c r="O496" s="30" t="n">
        <f aca="false">N496*J496</f>
        <v>0</v>
      </c>
    </row>
    <row r="497" customFormat="false" ht="15" hidden="false" customHeight="false" outlineLevel="0" collapsed="false">
      <c r="A497" s="29"/>
      <c r="B497" s="28"/>
      <c r="C497" s="29"/>
      <c r="D497" s="29"/>
      <c r="E497" s="29"/>
      <c r="F497" s="29"/>
      <c r="G497" s="36"/>
      <c r="H497" s="29"/>
      <c r="I497" s="35"/>
      <c r="J497" s="29"/>
      <c r="K497" s="29"/>
      <c r="L497" s="29"/>
      <c r="M497" s="29"/>
      <c r="N497" s="37"/>
      <c r="O497" s="30" t="n">
        <f aca="false">N497*J497</f>
        <v>0</v>
      </c>
    </row>
    <row r="498" customFormat="false" ht="15" hidden="false" customHeight="false" outlineLevel="0" collapsed="false">
      <c r="A498" s="29"/>
      <c r="B498" s="28"/>
      <c r="C498" s="29"/>
      <c r="D498" s="29"/>
      <c r="E498" s="29"/>
      <c r="F498" s="29"/>
      <c r="G498" s="36"/>
      <c r="H498" s="29"/>
      <c r="I498" s="35"/>
      <c r="J498" s="29"/>
      <c r="K498" s="29"/>
      <c r="L498" s="29"/>
      <c r="M498" s="29"/>
      <c r="N498" s="37"/>
      <c r="O498" s="30" t="n">
        <f aca="false">N498*J498</f>
        <v>0</v>
      </c>
    </row>
    <row r="499" customFormat="false" ht="15" hidden="false" customHeight="false" outlineLevel="0" collapsed="false">
      <c r="A499" s="29"/>
      <c r="B499" s="28"/>
      <c r="C499" s="29"/>
      <c r="D499" s="29"/>
      <c r="E499" s="29"/>
      <c r="F499" s="29"/>
      <c r="G499" s="36"/>
      <c r="H499" s="29"/>
      <c r="I499" s="35"/>
      <c r="J499" s="29"/>
      <c r="K499" s="29"/>
      <c r="L499" s="29"/>
      <c r="M499" s="29"/>
      <c r="N499" s="37"/>
      <c r="O499" s="30" t="n">
        <f aca="false">N499*J499</f>
        <v>0</v>
      </c>
    </row>
    <row r="500" customFormat="false" ht="15" hidden="false" customHeight="false" outlineLevel="0" collapsed="false">
      <c r="A500" s="29"/>
      <c r="B500" s="28"/>
      <c r="C500" s="29"/>
      <c r="D500" s="29"/>
      <c r="E500" s="29"/>
      <c r="F500" s="29"/>
      <c r="G500" s="36"/>
      <c r="H500" s="29"/>
      <c r="I500" s="35"/>
      <c r="J500" s="29"/>
      <c r="K500" s="29"/>
      <c r="L500" s="29"/>
      <c r="M500" s="29"/>
      <c r="N500" s="37"/>
      <c r="O500" s="30" t="n">
        <f aca="false">N500*J500</f>
        <v>0</v>
      </c>
    </row>
    <row r="501" customFormat="false" ht="15" hidden="false" customHeight="false" outlineLevel="0" collapsed="false">
      <c r="A501" s="29"/>
      <c r="B501" s="28"/>
      <c r="C501" s="29"/>
      <c r="D501" s="29"/>
      <c r="E501" s="29"/>
      <c r="F501" s="29"/>
      <c r="G501" s="36"/>
      <c r="H501" s="29"/>
      <c r="I501" s="35"/>
      <c r="J501" s="29"/>
      <c r="K501" s="29"/>
      <c r="L501" s="29"/>
      <c r="M501" s="29"/>
      <c r="N501" s="37"/>
      <c r="O501" s="30" t="n">
        <f aca="false">N501*J501</f>
        <v>0</v>
      </c>
    </row>
    <row r="502" customFormat="false" ht="15" hidden="false" customHeight="false" outlineLevel="0" collapsed="false">
      <c r="A502" s="29"/>
      <c r="B502" s="28"/>
      <c r="C502" s="29"/>
      <c r="D502" s="29"/>
      <c r="E502" s="29"/>
      <c r="F502" s="29"/>
      <c r="G502" s="36"/>
      <c r="H502" s="29"/>
      <c r="I502" s="35"/>
      <c r="J502" s="29"/>
      <c r="K502" s="29"/>
      <c r="L502" s="29"/>
      <c r="M502" s="29"/>
      <c r="N502" s="37"/>
      <c r="O502" s="30" t="n">
        <f aca="false">N502*J502</f>
        <v>0</v>
      </c>
    </row>
    <row r="503" customFormat="false" ht="15" hidden="false" customHeight="false" outlineLevel="0" collapsed="false">
      <c r="A503" s="29"/>
      <c r="B503" s="28"/>
      <c r="C503" s="29"/>
      <c r="D503" s="29"/>
      <c r="E503" s="29"/>
      <c r="F503" s="29"/>
      <c r="G503" s="36"/>
      <c r="H503" s="29"/>
      <c r="I503" s="35"/>
      <c r="J503" s="29"/>
      <c r="K503" s="29"/>
      <c r="L503" s="29"/>
      <c r="M503" s="29"/>
      <c r="N503" s="37"/>
      <c r="O503" s="30" t="n">
        <f aca="false">N503*J503</f>
        <v>0</v>
      </c>
    </row>
    <row r="504" customFormat="false" ht="15" hidden="false" customHeight="false" outlineLevel="0" collapsed="false">
      <c r="A504" s="29"/>
      <c r="B504" s="28"/>
      <c r="C504" s="29"/>
      <c r="D504" s="29"/>
      <c r="E504" s="29"/>
      <c r="F504" s="29"/>
      <c r="G504" s="36"/>
      <c r="H504" s="29"/>
      <c r="I504" s="35"/>
      <c r="J504" s="29"/>
      <c r="K504" s="29"/>
      <c r="L504" s="29"/>
      <c r="M504" s="29"/>
      <c r="N504" s="37"/>
      <c r="O504" s="30" t="n">
        <f aca="false">N504*J504</f>
        <v>0</v>
      </c>
    </row>
    <row r="505" customFormat="false" ht="15" hidden="false" customHeight="false" outlineLevel="0" collapsed="false">
      <c r="A505" s="29"/>
      <c r="B505" s="28"/>
      <c r="C505" s="29"/>
      <c r="D505" s="29"/>
      <c r="E505" s="29"/>
      <c r="F505" s="29"/>
      <c r="G505" s="36"/>
      <c r="H505" s="29"/>
      <c r="I505" s="35"/>
      <c r="J505" s="29"/>
      <c r="K505" s="29"/>
      <c r="L505" s="29"/>
      <c r="M505" s="29"/>
      <c r="N505" s="37"/>
      <c r="O505" s="30" t="n">
        <f aca="false">N505*J505</f>
        <v>0</v>
      </c>
    </row>
    <row r="506" customFormat="false" ht="15" hidden="false" customHeight="false" outlineLevel="0" collapsed="false">
      <c r="A506" s="29"/>
      <c r="B506" s="28"/>
      <c r="C506" s="29"/>
      <c r="D506" s="29"/>
      <c r="E506" s="29"/>
      <c r="F506" s="29"/>
      <c r="G506" s="36"/>
      <c r="H506" s="29"/>
      <c r="I506" s="35"/>
      <c r="J506" s="29"/>
      <c r="K506" s="29"/>
      <c r="L506" s="29"/>
      <c r="M506" s="29"/>
      <c r="N506" s="37"/>
      <c r="O506" s="30" t="n">
        <f aca="false">N506*J506</f>
        <v>0</v>
      </c>
    </row>
    <row r="507" customFormat="false" ht="15" hidden="false" customHeight="false" outlineLevel="0" collapsed="false">
      <c r="A507" s="29"/>
      <c r="B507" s="28"/>
      <c r="C507" s="29"/>
      <c r="D507" s="29"/>
      <c r="E507" s="29"/>
      <c r="F507" s="29"/>
      <c r="G507" s="36"/>
      <c r="H507" s="29"/>
      <c r="I507" s="35"/>
      <c r="J507" s="29"/>
      <c r="K507" s="29"/>
      <c r="L507" s="29"/>
      <c r="M507" s="29"/>
      <c r="N507" s="37"/>
      <c r="O507" s="30" t="n">
        <f aca="false">N507*J507</f>
        <v>0</v>
      </c>
    </row>
    <row r="508" customFormat="false" ht="15" hidden="false" customHeight="false" outlineLevel="0" collapsed="false">
      <c r="A508" s="29"/>
      <c r="B508" s="28"/>
      <c r="C508" s="29"/>
      <c r="D508" s="29"/>
      <c r="E508" s="29"/>
      <c r="F508" s="29"/>
      <c r="G508" s="36"/>
      <c r="H508" s="29"/>
      <c r="I508" s="35"/>
      <c r="J508" s="29"/>
      <c r="K508" s="29"/>
      <c r="L508" s="29"/>
      <c r="M508" s="29"/>
      <c r="N508" s="37"/>
      <c r="O508" s="30" t="n">
        <f aca="false">N508*J508</f>
        <v>0</v>
      </c>
    </row>
    <row r="509" customFormat="false" ht="15" hidden="false" customHeight="false" outlineLevel="0" collapsed="false">
      <c r="A509" s="29"/>
      <c r="B509" s="28"/>
      <c r="C509" s="29"/>
      <c r="D509" s="29"/>
      <c r="E509" s="29"/>
      <c r="F509" s="29"/>
      <c r="G509" s="36"/>
      <c r="H509" s="29"/>
      <c r="I509" s="35"/>
      <c r="J509" s="29"/>
      <c r="K509" s="29"/>
      <c r="L509" s="29"/>
      <c r="M509" s="29"/>
      <c r="N509" s="37"/>
      <c r="O509" s="30" t="n">
        <f aca="false">N509*J509</f>
        <v>0</v>
      </c>
    </row>
    <row r="510" customFormat="false" ht="15" hidden="false" customHeight="false" outlineLevel="0" collapsed="false">
      <c r="A510" s="29"/>
      <c r="B510" s="28"/>
      <c r="C510" s="29"/>
      <c r="D510" s="29"/>
      <c r="E510" s="29"/>
      <c r="F510" s="29"/>
      <c r="G510" s="36"/>
      <c r="H510" s="29"/>
      <c r="I510" s="35"/>
      <c r="J510" s="29"/>
      <c r="K510" s="29"/>
      <c r="L510" s="29"/>
      <c r="M510" s="29"/>
      <c r="N510" s="37"/>
      <c r="O510" s="30" t="n">
        <f aca="false">N510*J510</f>
        <v>0</v>
      </c>
    </row>
    <row r="511" customFormat="false" ht="15" hidden="false" customHeight="false" outlineLevel="0" collapsed="false">
      <c r="A511" s="29"/>
      <c r="B511" s="28"/>
      <c r="C511" s="29"/>
      <c r="D511" s="29"/>
      <c r="E511" s="29"/>
      <c r="F511" s="29"/>
      <c r="G511" s="36"/>
      <c r="H511" s="29"/>
      <c r="I511" s="35"/>
      <c r="J511" s="29"/>
      <c r="K511" s="29"/>
      <c r="L511" s="29"/>
      <c r="M511" s="29"/>
      <c r="N511" s="37"/>
      <c r="O511" s="30" t="n">
        <f aca="false">N511*J511</f>
        <v>0</v>
      </c>
    </row>
    <row r="512" customFormat="false" ht="15" hidden="false" customHeight="false" outlineLevel="0" collapsed="false">
      <c r="A512" s="29"/>
      <c r="B512" s="28"/>
      <c r="C512" s="29"/>
      <c r="D512" s="29"/>
      <c r="E512" s="29"/>
      <c r="F512" s="29"/>
      <c r="G512" s="36"/>
      <c r="H512" s="29"/>
      <c r="I512" s="35"/>
      <c r="J512" s="29"/>
      <c r="K512" s="29"/>
      <c r="L512" s="29"/>
      <c r="M512" s="29"/>
      <c r="N512" s="37"/>
      <c r="O512" s="30" t="n">
        <f aca="false">N512*J512</f>
        <v>0</v>
      </c>
    </row>
    <row r="513" customFormat="false" ht="15" hidden="false" customHeight="false" outlineLevel="0" collapsed="false">
      <c r="A513" s="29"/>
      <c r="B513" s="28"/>
      <c r="C513" s="29"/>
      <c r="D513" s="29"/>
      <c r="E513" s="29"/>
      <c r="F513" s="29"/>
      <c r="G513" s="36"/>
      <c r="H513" s="29"/>
      <c r="I513" s="35"/>
      <c r="J513" s="29"/>
      <c r="K513" s="29"/>
      <c r="L513" s="29"/>
      <c r="M513" s="29"/>
      <c r="N513" s="37"/>
      <c r="O513" s="30" t="n">
        <f aca="false">N513*J513</f>
        <v>0</v>
      </c>
    </row>
    <row r="514" customFormat="false" ht="15" hidden="false" customHeight="false" outlineLevel="0" collapsed="false">
      <c r="A514" s="29"/>
      <c r="B514" s="28"/>
      <c r="C514" s="29"/>
      <c r="D514" s="29"/>
      <c r="E514" s="29"/>
      <c r="F514" s="29"/>
      <c r="G514" s="36"/>
      <c r="H514" s="29"/>
      <c r="I514" s="35"/>
      <c r="J514" s="29"/>
      <c r="K514" s="29"/>
      <c r="L514" s="29"/>
      <c r="M514" s="29"/>
      <c r="N514" s="37"/>
      <c r="O514" s="30" t="n">
        <f aca="false">N514*J514</f>
        <v>0</v>
      </c>
    </row>
    <row r="515" customFormat="false" ht="15" hidden="false" customHeight="false" outlineLevel="0" collapsed="false">
      <c r="A515" s="29"/>
      <c r="B515" s="28"/>
      <c r="C515" s="29"/>
      <c r="D515" s="29"/>
      <c r="E515" s="29"/>
      <c r="F515" s="29"/>
      <c r="G515" s="36"/>
      <c r="H515" s="29"/>
      <c r="I515" s="35"/>
      <c r="J515" s="29"/>
      <c r="K515" s="29"/>
      <c r="L515" s="29"/>
      <c r="M515" s="29"/>
      <c r="N515" s="37"/>
      <c r="O515" s="30" t="n">
        <f aca="false">N515*J515</f>
        <v>0</v>
      </c>
    </row>
    <row r="516" customFormat="false" ht="15" hidden="false" customHeight="false" outlineLevel="0" collapsed="false">
      <c r="A516" s="29"/>
      <c r="B516" s="28"/>
      <c r="C516" s="29"/>
      <c r="D516" s="29"/>
      <c r="E516" s="29"/>
      <c r="F516" s="29"/>
      <c r="G516" s="36"/>
      <c r="H516" s="29"/>
      <c r="I516" s="35"/>
      <c r="J516" s="29"/>
      <c r="K516" s="29"/>
      <c r="L516" s="29"/>
      <c r="M516" s="29"/>
      <c r="N516" s="37"/>
      <c r="O516" s="30" t="n">
        <f aca="false">N516*J516</f>
        <v>0</v>
      </c>
    </row>
    <row r="517" customFormat="false" ht="15" hidden="false" customHeight="false" outlineLevel="0" collapsed="false">
      <c r="A517" s="29"/>
      <c r="B517" s="28"/>
      <c r="C517" s="29"/>
      <c r="D517" s="29"/>
      <c r="E517" s="29"/>
      <c r="F517" s="29"/>
      <c r="G517" s="36"/>
      <c r="H517" s="29"/>
      <c r="I517" s="35"/>
      <c r="J517" s="29"/>
      <c r="K517" s="29"/>
      <c r="L517" s="29"/>
      <c r="M517" s="29"/>
      <c r="N517" s="37"/>
      <c r="O517" s="30" t="n">
        <f aca="false">N517*J517</f>
        <v>0</v>
      </c>
    </row>
    <row r="518" customFormat="false" ht="15" hidden="false" customHeight="false" outlineLevel="0" collapsed="false">
      <c r="A518" s="29"/>
      <c r="B518" s="28"/>
      <c r="C518" s="29"/>
      <c r="D518" s="29"/>
      <c r="E518" s="29"/>
      <c r="F518" s="29"/>
      <c r="G518" s="36"/>
      <c r="H518" s="29"/>
      <c r="I518" s="35"/>
      <c r="J518" s="29"/>
      <c r="K518" s="29"/>
      <c r="L518" s="29"/>
      <c r="M518" s="29"/>
      <c r="N518" s="37"/>
      <c r="O518" s="30" t="n">
        <f aca="false">N518*J518</f>
        <v>0</v>
      </c>
    </row>
    <row r="519" customFormat="false" ht="15" hidden="false" customHeight="false" outlineLevel="0" collapsed="false">
      <c r="A519" s="29"/>
      <c r="B519" s="28"/>
      <c r="C519" s="29"/>
      <c r="D519" s="29"/>
      <c r="E519" s="29"/>
      <c r="F519" s="29"/>
      <c r="G519" s="36"/>
      <c r="H519" s="29"/>
      <c r="I519" s="35"/>
      <c r="J519" s="29"/>
      <c r="K519" s="29"/>
      <c r="L519" s="29"/>
      <c r="M519" s="29"/>
      <c r="N519" s="37"/>
      <c r="O519" s="30" t="n">
        <f aca="false">N519*J519</f>
        <v>0</v>
      </c>
    </row>
    <row r="520" customFormat="false" ht="15" hidden="false" customHeight="false" outlineLevel="0" collapsed="false">
      <c r="A520" s="29"/>
      <c r="B520" s="28"/>
      <c r="C520" s="29"/>
      <c r="D520" s="29"/>
      <c r="E520" s="29"/>
      <c r="F520" s="29"/>
      <c r="G520" s="36"/>
      <c r="H520" s="29"/>
      <c r="I520" s="35"/>
      <c r="J520" s="29"/>
      <c r="K520" s="29"/>
      <c r="L520" s="29"/>
      <c r="M520" s="29"/>
      <c r="N520" s="37"/>
      <c r="O520" s="30" t="n">
        <f aca="false">N520*J520</f>
        <v>0</v>
      </c>
    </row>
    <row r="521" customFormat="false" ht="15" hidden="false" customHeight="false" outlineLevel="0" collapsed="false">
      <c r="A521" s="29"/>
      <c r="B521" s="28"/>
      <c r="C521" s="29"/>
      <c r="D521" s="29"/>
      <c r="E521" s="29"/>
      <c r="F521" s="29"/>
      <c r="G521" s="36"/>
      <c r="H521" s="29"/>
      <c r="I521" s="35"/>
      <c r="J521" s="29"/>
      <c r="K521" s="29"/>
      <c r="L521" s="29"/>
      <c r="M521" s="29"/>
      <c r="N521" s="37"/>
      <c r="O521" s="30" t="n">
        <f aca="false">N521*J521</f>
        <v>0</v>
      </c>
    </row>
    <row r="522" customFormat="false" ht="15" hidden="false" customHeight="false" outlineLevel="0" collapsed="false">
      <c r="A522" s="29"/>
      <c r="B522" s="28"/>
      <c r="C522" s="29"/>
      <c r="D522" s="29"/>
      <c r="E522" s="29"/>
      <c r="F522" s="29"/>
      <c r="G522" s="36"/>
      <c r="H522" s="29"/>
      <c r="I522" s="35"/>
      <c r="J522" s="29"/>
      <c r="K522" s="29"/>
      <c r="L522" s="29"/>
      <c r="M522" s="29"/>
      <c r="N522" s="37"/>
      <c r="O522" s="30" t="n">
        <f aca="false">N522*J522</f>
        <v>0</v>
      </c>
    </row>
    <row r="523" customFormat="false" ht="15" hidden="false" customHeight="false" outlineLevel="0" collapsed="false">
      <c r="A523" s="29"/>
      <c r="B523" s="28"/>
      <c r="C523" s="29"/>
      <c r="D523" s="29"/>
      <c r="E523" s="29"/>
      <c r="F523" s="29"/>
      <c r="G523" s="36"/>
      <c r="H523" s="29"/>
      <c r="I523" s="35"/>
      <c r="J523" s="29"/>
      <c r="K523" s="29"/>
      <c r="L523" s="29"/>
      <c r="M523" s="29"/>
      <c r="N523" s="37"/>
      <c r="O523" s="30" t="n">
        <f aca="false">N523*J523</f>
        <v>0</v>
      </c>
    </row>
    <row r="524" customFormat="false" ht="15" hidden="false" customHeight="false" outlineLevel="0" collapsed="false">
      <c r="A524" s="29"/>
      <c r="B524" s="28"/>
      <c r="C524" s="29"/>
      <c r="D524" s="29"/>
      <c r="E524" s="29"/>
      <c r="F524" s="29"/>
      <c r="G524" s="36"/>
      <c r="H524" s="29"/>
      <c r="I524" s="35"/>
      <c r="J524" s="29"/>
      <c r="K524" s="29"/>
      <c r="L524" s="29"/>
      <c r="M524" s="29"/>
      <c r="N524" s="37"/>
      <c r="O524" s="30" t="n">
        <f aca="false">N524*J524</f>
        <v>0</v>
      </c>
    </row>
    <row r="525" customFormat="false" ht="15" hidden="false" customHeight="false" outlineLevel="0" collapsed="false">
      <c r="A525" s="29"/>
      <c r="B525" s="28"/>
      <c r="C525" s="29"/>
      <c r="D525" s="29"/>
      <c r="E525" s="29"/>
      <c r="F525" s="29"/>
      <c r="G525" s="36"/>
      <c r="H525" s="29"/>
      <c r="I525" s="35"/>
      <c r="J525" s="29"/>
      <c r="K525" s="29"/>
      <c r="L525" s="29"/>
      <c r="M525" s="29"/>
      <c r="N525" s="37"/>
      <c r="O525" s="30" t="n">
        <f aca="false">N525*J525</f>
        <v>0</v>
      </c>
    </row>
    <row r="526" customFormat="false" ht="15" hidden="false" customHeight="false" outlineLevel="0" collapsed="false">
      <c r="A526" s="29"/>
      <c r="B526" s="28"/>
      <c r="C526" s="29"/>
      <c r="D526" s="29"/>
      <c r="E526" s="29"/>
      <c r="F526" s="29"/>
      <c r="G526" s="36"/>
      <c r="H526" s="29"/>
      <c r="I526" s="35"/>
      <c r="J526" s="29"/>
      <c r="K526" s="29"/>
      <c r="L526" s="29"/>
      <c r="M526" s="29"/>
      <c r="N526" s="37"/>
      <c r="O526" s="30" t="n">
        <f aca="false">N526*J526</f>
        <v>0</v>
      </c>
    </row>
    <row r="527" customFormat="false" ht="15" hidden="false" customHeight="false" outlineLevel="0" collapsed="false">
      <c r="A527" s="29"/>
      <c r="B527" s="28"/>
      <c r="C527" s="29"/>
      <c r="D527" s="29"/>
      <c r="E527" s="29"/>
      <c r="F527" s="29"/>
      <c r="G527" s="36"/>
      <c r="H527" s="29"/>
      <c r="I527" s="35"/>
      <c r="J527" s="29"/>
      <c r="K527" s="29"/>
      <c r="L527" s="29"/>
      <c r="M527" s="29"/>
      <c r="N527" s="37"/>
      <c r="O527" s="30" t="n">
        <f aca="false">N527*J527</f>
        <v>0</v>
      </c>
    </row>
    <row r="528" customFormat="false" ht="15" hidden="false" customHeight="false" outlineLevel="0" collapsed="false">
      <c r="A528" s="29"/>
      <c r="B528" s="28"/>
      <c r="C528" s="29"/>
      <c r="D528" s="29"/>
      <c r="E528" s="29"/>
      <c r="F528" s="29"/>
      <c r="G528" s="36"/>
      <c r="H528" s="29"/>
      <c r="I528" s="35"/>
      <c r="J528" s="29"/>
      <c r="K528" s="29"/>
      <c r="L528" s="29"/>
      <c r="M528" s="29"/>
      <c r="N528" s="37"/>
      <c r="O528" s="30" t="n">
        <f aca="false">N528*J528</f>
        <v>0</v>
      </c>
    </row>
    <row r="529" customFormat="false" ht="15" hidden="false" customHeight="false" outlineLevel="0" collapsed="false">
      <c r="A529" s="29"/>
      <c r="B529" s="28"/>
      <c r="C529" s="29"/>
      <c r="D529" s="29"/>
      <c r="E529" s="29"/>
      <c r="F529" s="29"/>
      <c r="G529" s="36"/>
      <c r="H529" s="29"/>
      <c r="I529" s="35"/>
      <c r="J529" s="29"/>
      <c r="K529" s="29"/>
      <c r="L529" s="29"/>
      <c r="M529" s="29"/>
      <c r="N529" s="37"/>
      <c r="O529" s="30" t="n">
        <f aca="false">N529*J529</f>
        <v>0</v>
      </c>
    </row>
    <row r="530" customFormat="false" ht="15" hidden="false" customHeight="false" outlineLevel="0" collapsed="false">
      <c r="A530" s="29"/>
      <c r="B530" s="28"/>
      <c r="C530" s="29"/>
      <c r="D530" s="29"/>
      <c r="E530" s="29"/>
      <c r="F530" s="29"/>
      <c r="G530" s="36"/>
      <c r="H530" s="29"/>
      <c r="I530" s="35"/>
      <c r="J530" s="29"/>
      <c r="K530" s="29"/>
      <c r="L530" s="29"/>
      <c r="M530" s="29"/>
      <c r="N530" s="37"/>
      <c r="O530" s="30" t="n">
        <f aca="false">N530*J530</f>
        <v>0</v>
      </c>
    </row>
    <row r="531" customFormat="false" ht="15" hidden="false" customHeight="false" outlineLevel="0" collapsed="false">
      <c r="A531" s="29"/>
      <c r="B531" s="28"/>
      <c r="C531" s="29"/>
      <c r="D531" s="29"/>
      <c r="E531" s="29"/>
      <c r="F531" s="29"/>
      <c r="G531" s="36"/>
      <c r="H531" s="29"/>
      <c r="I531" s="35"/>
      <c r="J531" s="29"/>
      <c r="K531" s="29"/>
      <c r="L531" s="29"/>
      <c r="M531" s="29"/>
      <c r="N531" s="37"/>
      <c r="O531" s="30" t="n">
        <f aca="false">N531*J531</f>
        <v>0</v>
      </c>
    </row>
    <row r="532" customFormat="false" ht="15" hidden="false" customHeight="false" outlineLevel="0" collapsed="false">
      <c r="A532" s="29"/>
      <c r="B532" s="28"/>
      <c r="C532" s="29"/>
      <c r="D532" s="29"/>
      <c r="E532" s="29"/>
      <c r="F532" s="29"/>
      <c r="G532" s="36"/>
      <c r="H532" s="29"/>
      <c r="I532" s="35"/>
      <c r="J532" s="29"/>
      <c r="K532" s="29"/>
      <c r="L532" s="29"/>
      <c r="M532" s="29"/>
      <c r="N532" s="37"/>
      <c r="O532" s="30" t="n">
        <f aca="false">N532*J532</f>
        <v>0</v>
      </c>
    </row>
    <row r="533" customFormat="false" ht="15" hidden="false" customHeight="false" outlineLevel="0" collapsed="false">
      <c r="A533" s="29"/>
      <c r="B533" s="28"/>
      <c r="C533" s="29"/>
      <c r="D533" s="29"/>
      <c r="E533" s="29"/>
      <c r="F533" s="29"/>
      <c r="G533" s="36"/>
      <c r="H533" s="29"/>
      <c r="I533" s="35"/>
      <c r="J533" s="29"/>
      <c r="K533" s="29"/>
      <c r="L533" s="29"/>
      <c r="M533" s="29"/>
      <c r="N533" s="37"/>
      <c r="O533" s="30" t="n">
        <f aca="false">N533*J533</f>
        <v>0</v>
      </c>
    </row>
    <row r="534" customFormat="false" ht="15" hidden="false" customHeight="false" outlineLevel="0" collapsed="false">
      <c r="A534" s="29"/>
      <c r="B534" s="28"/>
      <c r="C534" s="29"/>
      <c r="D534" s="29"/>
      <c r="E534" s="29"/>
      <c r="F534" s="29"/>
      <c r="G534" s="36"/>
      <c r="H534" s="29"/>
      <c r="I534" s="35"/>
      <c r="J534" s="29"/>
      <c r="K534" s="29"/>
      <c r="L534" s="29"/>
      <c r="M534" s="29"/>
      <c r="N534" s="37"/>
      <c r="O534" s="30" t="n">
        <f aca="false">N534*J534</f>
        <v>0</v>
      </c>
    </row>
    <row r="535" customFormat="false" ht="15" hidden="false" customHeight="false" outlineLevel="0" collapsed="false">
      <c r="A535" s="29"/>
      <c r="B535" s="28"/>
      <c r="C535" s="29"/>
      <c r="D535" s="29"/>
      <c r="E535" s="29"/>
      <c r="F535" s="29"/>
      <c r="G535" s="36"/>
      <c r="H535" s="29"/>
      <c r="I535" s="35"/>
      <c r="J535" s="29"/>
      <c r="K535" s="29"/>
      <c r="L535" s="29"/>
      <c r="M535" s="29"/>
      <c r="N535" s="37"/>
      <c r="O535" s="30" t="n">
        <f aca="false">N535*J535</f>
        <v>0</v>
      </c>
    </row>
    <row r="536" customFormat="false" ht="15" hidden="false" customHeight="false" outlineLevel="0" collapsed="false">
      <c r="A536" s="29"/>
      <c r="B536" s="28"/>
      <c r="C536" s="29"/>
      <c r="D536" s="29"/>
      <c r="E536" s="29"/>
      <c r="F536" s="29"/>
      <c r="G536" s="36"/>
      <c r="H536" s="29"/>
      <c r="I536" s="35"/>
      <c r="J536" s="29"/>
      <c r="K536" s="29"/>
      <c r="L536" s="29"/>
      <c r="M536" s="29"/>
      <c r="N536" s="37"/>
      <c r="O536" s="30" t="n">
        <f aca="false">N536*J536</f>
        <v>0</v>
      </c>
    </row>
    <row r="537" customFormat="false" ht="15" hidden="false" customHeight="false" outlineLevel="0" collapsed="false">
      <c r="A537" s="29"/>
      <c r="B537" s="28"/>
      <c r="C537" s="29"/>
      <c r="D537" s="29"/>
      <c r="E537" s="29"/>
      <c r="F537" s="29"/>
      <c r="G537" s="36"/>
      <c r="H537" s="29"/>
      <c r="I537" s="35"/>
      <c r="J537" s="29"/>
      <c r="K537" s="29"/>
      <c r="L537" s="29"/>
      <c r="M537" s="29"/>
      <c r="N537" s="37"/>
      <c r="O537" s="30" t="n">
        <f aca="false">N537*J537</f>
        <v>0</v>
      </c>
    </row>
    <row r="538" customFormat="false" ht="15" hidden="false" customHeight="false" outlineLevel="0" collapsed="false">
      <c r="A538" s="29"/>
      <c r="B538" s="28"/>
      <c r="C538" s="29"/>
      <c r="D538" s="29"/>
      <c r="E538" s="29"/>
      <c r="F538" s="29"/>
      <c r="G538" s="36"/>
      <c r="H538" s="29"/>
      <c r="I538" s="35"/>
      <c r="J538" s="29"/>
      <c r="K538" s="29"/>
      <c r="L538" s="29"/>
      <c r="M538" s="29"/>
      <c r="N538" s="37"/>
      <c r="O538" s="30" t="n">
        <f aca="false">N538*J538</f>
        <v>0</v>
      </c>
    </row>
    <row r="539" customFormat="false" ht="15" hidden="false" customHeight="false" outlineLevel="0" collapsed="false">
      <c r="A539" s="29"/>
      <c r="B539" s="28"/>
      <c r="C539" s="29"/>
      <c r="D539" s="29"/>
      <c r="E539" s="29"/>
      <c r="F539" s="29"/>
      <c r="G539" s="36"/>
      <c r="H539" s="29"/>
      <c r="I539" s="35"/>
      <c r="J539" s="29"/>
      <c r="K539" s="29"/>
      <c r="L539" s="29"/>
      <c r="M539" s="29"/>
      <c r="N539" s="37"/>
      <c r="O539" s="30" t="n">
        <f aca="false">N539*J539</f>
        <v>0</v>
      </c>
    </row>
    <row r="540" customFormat="false" ht="15" hidden="false" customHeight="false" outlineLevel="0" collapsed="false">
      <c r="A540" s="29"/>
      <c r="B540" s="28"/>
      <c r="C540" s="29"/>
      <c r="D540" s="29"/>
      <c r="E540" s="29"/>
      <c r="F540" s="29"/>
      <c r="G540" s="36"/>
      <c r="H540" s="29"/>
      <c r="I540" s="35"/>
      <c r="J540" s="29"/>
      <c r="K540" s="29"/>
      <c r="L540" s="29"/>
      <c r="M540" s="29"/>
      <c r="N540" s="37"/>
      <c r="O540" s="30" t="n">
        <f aca="false">N540*J540</f>
        <v>0</v>
      </c>
    </row>
    <row r="541" customFormat="false" ht="15" hidden="false" customHeight="false" outlineLevel="0" collapsed="false">
      <c r="A541" s="29"/>
      <c r="B541" s="28"/>
      <c r="C541" s="29"/>
      <c r="D541" s="29"/>
      <c r="E541" s="29"/>
      <c r="F541" s="29"/>
      <c r="G541" s="36"/>
      <c r="H541" s="29"/>
      <c r="I541" s="35"/>
      <c r="J541" s="29"/>
      <c r="K541" s="29"/>
      <c r="L541" s="29"/>
      <c r="M541" s="29"/>
      <c r="N541" s="37"/>
      <c r="O541" s="30" t="n">
        <f aca="false">N541*J541</f>
        <v>0</v>
      </c>
    </row>
    <row r="542" customFormat="false" ht="15" hidden="false" customHeight="false" outlineLevel="0" collapsed="false">
      <c r="A542" s="29"/>
      <c r="B542" s="28"/>
      <c r="C542" s="29"/>
      <c r="D542" s="29"/>
      <c r="E542" s="29"/>
      <c r="F542" s="29"/>
      <c r="G542" s="36"/>
      <c r="H542" s="29"/>
      <c r="I542" s="35"/>
      <c r="J542" s="29"/>
      <c r="K542" s="29"/>
      <c r="L542" s="29"/>
      <c r="M542" s="29"/>
      <c r="N542" s="37"/>
      <c r="O542" s="30" t="n">
        <f aca="false">N542*J542</f>
        <v>0</v>
      </c>
    </row>
    <row r="543" customFormat="false" ht="15" hidden="false" customHeight="false" outlineLevel="0" collapsed="false">
      <c r="A543" s="29"/>
      <c r="B543" s="28"/>
      <c r="C543" s="29"/>
      <c r="D543" s="29"/>
      <c r="E543" s="29"/>
      <c r="F543" s="29"/>
      <c r="G543" s="36"/>
      <c r="H543" s="29"/>
      <c r="I543" s="35"/>
      <c r="J543" s="29"/>
      <c r="K543" s="29"/>
      <c r="L543" s="29"/>
      <c r="M543" s="29"/>
      <c r="N543" s="37"/>
      <c r="O543" s="30" t="n">
        <f aca="false">N543*J543</f>
        <v>0</v>
      </c>
    </row>
    <row r="544" customFormat="false" ht="15" hidden="false" customHeight="false" outlineLevel="0" collapsed="false">
      <c r="A544" s="29"/>
      <c r="B544" s="28"/>
      <c r="C544" s="29"/>
      <c r="D544" s="29"/>
      <c r="E544" s="29"/>
      <c r="F544" s="29"/>
      <c r="G544" s="36"/>
      <c r="H544" s="29"/>
      <c r="I544" s="35"/>
      <c r="J544" s="29"/>
      <c r="K544" s="29"/>
      <c r="L544" s="29"/>
      <c r="M544" s="29"/>
      <c r="N544" s="37"/>
      <c r="O544" s="30" t="n">
        <f aca="false">N544*J544</f>
        <v>0</v>
      </c>
    </row>
    <row r="545" customFormat="false" ht="15" hidden="false" customHeight="false" outlineLevel="0" collapsed="false">
      <c r="A545" s="29"/>
      <c r="B545" s="28"/>
      <c r="C545" s="29"/>
      <c r="D545" s="29"/>
      <c r="E545" s="29"/>
      <c r="F545" s="29"/>
      <c r="G545" s="36"/>
      <c r="H545" s="29"/>
      <c r="I545" s="35"/>
      <c r="J545" s="29"/>
      <c r="K545" s="29"/>
      <c r="L545" s="29"/>
      <c r="M545" s="29"/>
      <c r="N545" s="37"/>
      <c r="O545" s="30" t="n">
        <f aca="false">N545*J545</f>
        <v>0</v>
      </c>
    </row>
    <row r="546" customFormat="false" ht="15" hidden="false" customHeight="false" outlineLevel="0" collapsed="false">
      <c r="A546" s="29"/>
      <c r="B546" s="28"/>
      <c r="C546" s="29"/>
      <c r="D546" s="29"/>
      <c r="E546" s="29"/>
      <c r="F546" s="29"/>
      <c r="G546" s="36"/>
      <c r="H546" s="29"/>
      <c r="I546" s="35"/>
      <c r="J546" s="29"/>
      <c r="K546" s="29"/>
      <c r="L546" s="29"/>
      <c r="M546" s="29"/>
      <c r="N546" s="37"/>
      <c r="O546" s="30" t="n">
        <f aca="false">N546*J546</f>
        <v>0</v>
      </c>
    </row>
    <row r="547" customFormat="false" ht="15" hidden="false" customHeight="false" outlineLevel="0" collapsed="false">
      <c r="A547" s="29"/>
      <c r="B547" s="28"/>
      <c r="C547" s="29"/>
      <c r="D547" s="29"/>
      <c r="E547" s="29"/>
      <c r="F547" s="29"/>
      <c r="G547" s="36"/>
      <c r="H547" s="29"/>
      <c r="I547" s="35"/>
      <c r="J547" s="29"/>
      <c r="K547" s="29"/>
      <c r="L547" s="29"/>
      <c r="M547" s="29"/>
      <c r="N547" s="37"/>
      <c r="O547" s="30" t="n">
        <f aca="false">N547*J547</f>
        <v>0</v>
      </c>
    </row>
    <row r="548" customFormat="false" ht="15" hidden="false" customHeight="false" outlineLevel="0" collapsed="false">
      <c r="A548" s="29"/>
      <c r="B548" s="28"/>
      <c r="C548" s="29"/>
      <c r="D548" s="29"/>
      <c r="E548" s="29"/>
      <c r="F548" s="29"/>
      <c r="G548" s="36"/>
      <c r="H548" s="29"/>
      <c r="I548" s="35"/>
      <c r="J548" s="29"/>
      <c r="K548" s="29"/>
      <c r="L548" s="29"/>
      <c r="M548" s="29"/>
      <c r="N548" s="37"/>
      <c r="O548" s="30" t="n">
        <f aca="false">N548*J548</f>
        <v>0</v>
      </c>
    </row>
    <row r="549" customFormat="false" ht="15" hidden="false" customHeight="false" outlineLevel="0" collapsed="false">
      <c r="A549" s="29"/>
      <c r="B549" s="28"/>
      <c r="C549" s="29"/>
      <c r="D549" s="29"/>
      <c r="E549" s="29"/>
      <c r="F549" s="29"/>
      <c r="G549" s="36"/>
      <c r="H549" s="29"/>
      <c r="I549" s="35"/>
      <c r="J549" s="29"/>
      <c r="K549" s="29"/>
      <c r="L549" s="29"/>
      <c r="M549" s="29"/>
      <c r="N549" s="37"/>
      <c r="O549" s="30" t="n">
        <f aca="false">N549*J549</f>
        <v>0</v>
      </c>
    </row>
    <row r="550" customFormat="false" ht="15" hidden="false" customHeight="false" outlineLevel="0" collapsed="false">
      <c r="A550" s="29"/>
      <c r="B550" s="28"/>
      <c r="C550" s="29"/>
      <c r="D550" s="29"/>
      <c r="E550" s="29"/>
      <c r="F550" s="29"/>
      <c r="G550" s="36"/>
      <c r="H550" s="29"/>
      <c r="I550" s="35"/>
      <c r="J550" s="29"/>
      <c r="K550" s="29"/>
      <c r="L550" s="29"/>
      <c r="M550" s="29"/>
      <c r="N550" s="37"/>
      <c r="O550" s="30" t="n">
        <f aca="false">N550*J550</f>
        <v>0</v>
      </c>
    </row>
    <row r="551" customFormat="false" ht="15" hidden="false" customHeight="false" outlineLevel="0" collapsed="false">
      <c r="A551" s="29"/>
      <c r="B551" s="28"/>
      <c r="C551" s="29"/>
      <c r="D551" s="29"/>
      <c r="E551" s="29"/>
      <c r="F551" s="29"/>
      <c r="G551" s="36"/>
      <c r="H551" s="29"/>
      <c r="I551" s="35"/>
      <c r="J551" s="29"/>
      <c r="K551" s="29"/>
      <c r="L551" s="29"/>
      <c r="M551" s="29"/>
      <c r="N551" s="37"/>
      <c r="O551" s="30" t="n">
        <f aca="false">N551*J551</f>
        <v>0</v>
      </c>
    </row>
    <row r="552" customFormat="false" ht="15" hidden="false" customHeight="false" outlineLevel="0" collapsed="false">
      <c r="A552" s="29"/>
      <c r="B552" s="28"/>
      <c r="C552" s="29"/>
      <c r="D552" s="29"/>
      <c r="E552" s="29"/>
      <c r="F552" s="29"/>
      <c r="G552" s="36"/>
      <c r="H552" s="29"/>
      <c r="I552" s="35"/>
      <c r="J552" s="29"/>
      <c r="K552" s="29"/>
      <c r="L552" s="29"/>
      <c r="M552" s="29"/>
      <c r="N552" s="37"/>
      <c r="O552" s="30" t="n">
        <f aca="false">N552*J552</f>
        <v>0</v>
      </c>
    </row>
    <row r="553" customFormat="false" ht="15" hidden="false" customHeight="false" outlineLevel="0" collapsed="false">
      <c r="A553" s="29"/>
      <c r="B553" s="28"/>
      <c r="C553" s="29"/>
      <c r="D553" s="29"/>
      <c r="E553" s="29"/>
      <c r="F553" s="29"/>
      <c r="G553" s="36"/>
      <c r="H553" s="29"/>
      <c r="I553" s="35"/>
      <c r="J553" s="29"/>
      <c r="K553" s="29"/>
      <c r="L553" s="29"/>
      <c r="M553" s="29"/>
      <c r="N553" s="37"/>
      <c r="O553" s="30" t="n">
        <f aca="false">N553*J553</f>
        <v>0</v>
      </c>
    </row>
    <row r="554" customFormat="false" ht="15" hidden="false" customHeight="false" outlineLevel="0" collapsed="false">
      <c r="A554" s="29"/>
      <c r="B554" s="28"/>
      <c r="C554" s="29"/>
      <c r="D554" s="29"/>
      <c r="E554" s="29"/>
      <c r="F554" s="29"/>
      <c r="G554" s="36"/>
      <c r="H554" s="29"/>
      <c r="I554" s="35"/>
      <c r="J554" s="29"/>
      <c r="K554" s="29"/>
      <c r="L554" s="29"/>
      <c r="M554" s="29"/>
      <c r="N554" s="37"/>
      <c r="O554" s="30" t="n">
        <f aca="false">N554*J554</f>
        <v>0</v>
      </c>
    </row>
    <row r="555" customFormat="false" ht="15" hidden="false" customHeight="false" outlineLevel="0" collapsed="false">
      <c r="A555" s="29"/>
      <c r="B555" s="28"/>
      <c r="C555" s="29"/>
      <c r="D555" s="29"/>
      <c r="E555" s="29"/>
      <c r="F555" s="29"/>
      <c r="G555" s="36"/>
      <c r="H555" s="29"/>
      <c r="I555" s="35"/>
      <c r="J555" s="29"/>
      <c r="K555" s="29"/>
      <c r="L555" s="29"/>
      <c r="M555" s="29"/>
      <c r="N555" s="37"/>
      <c r="O555" s="30" t="n">
        <f aca="false">N555*J555</f>
        <v>0</v>
      </c>
    </row>
    <row r="556" customFormat="false" ht="15" hidden="false" customHeight="false" outlineLevel="0" collapsed="false">
      <c r="A556" s="29"/>
      <c r="B556" s="28"/>
      <c r="C556" s="29"/>
      <c r="D556" s="29"/>
      <c r="E556" s="29"/>
      <c r="F556" s="29"/>
      <c r="G556" s="36"/>
      <c r="H556" s="29"/>
      <c r="I556" s="35"/>
      <c r="J556" s="29"/>
      <c r="K556" s="29"/>
      <c r="L556" s="29"/>
      <c r="M556" s="29"/>
      <c r="N556" s="37"/>
      <c r="O556" s="30" t="n">
        <f aca="false">N556*J556</f>
        <v>0</v>
      </c>
    </row>
    <row r="557" customFormat="false" ht="15" hidden="false" customHeight="false" outlineLevel="0" collapsed="false">
      <c r="A557" s="29"/>
      <c r="B557" s="28"/>
      <c r="C557" s="29"/>
      <c r="D557" s="29"/>
      <c r="E557" s="29"/>
      <c r="F557" s="29"/>
      <c r="G557" s="36"/>
      <c r="H557" s="29"/>
      <c r="I557" s="35"/>
      <c r="J557" s="29"/>
      <c r="K557" s="29"/>
      <c r="L557" s="29"/>
      <c r="M557" s="29"/>
      <c r="N557" s="37"/>
      <c r="O557" s="30" t="n">
        <f aca="false">N557*J557</f>
        <v>0</v>
      </c>
    </row>
    <row r="558" customFormat="false" ht="15" hidden="false" customHeight="false" outlineLevel="0" collapsed="false">
      <c r="A558" s="29"/>
      <c r="B558" s="28"/>
      <c r="C558" s="29"/>
      <c r="D558" s="29"/>
      <c r="E558" s="29"/>
      <c r="F558" s="29"/>
      <c r="G558" s="36"/>
      <c r="H558" s="29"/>
      <c r="I558" s="35"/>
      <c r="J558" s="29"/>
      <c r="K558" s="29"/>
      <c r="L558" s="29"/>
      <c r="M558" s="29"/>
      <c r="N558" s="37"/>
      <c r="O558" s="30" t="n">
        <f aca="false">N558*J558</f>
        <v>0</v>
      </c>
    </row>
    <row r="559" customFormat="false" ht="15" hidden="false" customHeight="false" outlineLevel="0" collapsed="false">
      <c r="A559" s="29"/>
      <c r="B559" s="28"/>
      <c r="C559" s="29"/>
      <c r="D559" s="29"/>
      <c r="E559" s="29"/>
      <c r="F559" s="29"/>
      <c r="G559" s="36"/>
      <c r="H559" s="29"/>
      <c r="I559" s="35"/>
      <c r="J559" s="29"/>
      <c r="K559" s="29"/>
      <c r="L559" s="29"/>
      <c r="M559" s="29"/>
      <c r="N559" s="37"/>
      <c r="O559" s="30" t="n">
        <f aca="false">N559*J559</f>
        <v>0</v>
      </c>
    </row>
    <row r="560" customFormat="false" ht="15" hidden="false" customHeight="false" outlineLevel="0" collapsed="false">
      <c r="A560" s="29"/>
      <c r="B560" s="28"/>
      <c r="C560" s="29"/>
      <c r="D560" s="29"/>
      <c r="E560" s="29"/>
      <c r="F560" s="29"/>
      <c r="G560" s="36"/>
      <c r="H560" s="29"/>
      <c r="I560" s="35"/>
      <c r="J560" s="29"/>
      <c r="K560" s="29"/>
      <c r="L560" s="29"/>
      <c r="M560" s="29"/>
      <c r="N560" s="37"/>
      <c r="O560" s="30" t="n">
        <f aca="false">N560*J560</f>
        <v>0</v>
      </c>
    </row>
    <row r="561" customFormat="false" ht="15" hidden="false" customHeight="false" outlineLevel="0" collapsed="false">
      <c r="A561" s="29"/>
      <c r="B561" s="28"/>
      <c r="C561" s="29"/>
      <c r="D561" s="29"/>
      <c r="E561" s="29"/>
      <c r="F561" s="29"/>
      <c r="G561" s="36"/>
      <c r="H561" s="29"/>
      <c r="I561" s="35"/>
      <c r="J561" s="29"/>
      <c r="K561" s="29"/>
      <c r="L561" s="29"/>
      <c r="M561" s="29"/>
      <c r="N561" s="37"/>
      <c r="O561" s="30" t="n">
        <f aca="false">N561*J561</f>
        <v>0</v>
      </c>
    </row>
    <row r="562" customFormat="false" ht="15" hidden="false" customHeight="false" outlineLevel="0" collapsed="false">
      <c r="A562" s="29"/>
      <c r="B562" s="28"/>
      <c r="C562" s="29"/>
      <c r="D562" s="29"/>
      <c r="E562" s="29"/>
      <c r="F562" s="29"/>
      <c r="G562" s="36"/>
      <c r="H562" s="29"/>
      <c r="I562" s="35"/>
      <c r="J562" s="29"/>
      <c r="K562" s="29"/>
      <c r="L562" s="29"/>
      <c r="M562" s="29"/>
      <c r="N562" s="37"/>
      <c r="O562" s="30" t="n">
        <f aca="false">N562*J562</f>
        <v>0</v>
      </c>
    </row>
    <row r="563" customFormat="false" ht="15" hidden="false" customHeight="false" outlineLevel="0" collapsed="false">
      <c r="A563" s="29"/>
      <c r="B563" s="28"/>
      <c r="C563" s="29"/>
      <c r="D563" s="29"/>
      <c r="E563" s="29"/>
      <c r="F563" s="29"/>
      <c r="G563" s="36"/>
      <c r="H563" s="29"/>
      <c r="I563" s="35"/>
      <c r="J563" s="29"/>
      <c r="K563" s="29"/>
      <c r="L563" s="29"/>
      <c r="M563" s="29"/>
      <c r="N563" s="37"/>
      <c r="O563" s="30" t="n">
        <f aca="false">N563*J563</f>
        <v>0</v>
      </c>
    </row>
    <row r="564" customFormat="false" ht="15" hidden="false" customHeight="false" outlineLevel="0" collapsed="false">
      <c r="A564" s="29"/>
      <c r="B564" s="28"/>
      <c r="C564" s="29"/>
      <c r="D564" s="29"/>
      <c r="E564" s="29"/>
      <c r="F564" s="29"/>
      <c r="G564" s="36"/>
      <c r="H564" s="29"/>
      <c r="I564" s="35"/>
      <c r="J564" s="29"/>
      <c r="K564" s="29"/>
      <c r="L564" s="29"/>
      <c r="M564" s="29"/>
      <c r="N564" s="37"/>
      <c r="O564" s="30" t="n">
        <f aca="false">N564*J564</f>
        <v>0</v>
      </c>
    </row>
    <row r="565" customFormat="false" ht="15" hidden="false" customHeight="false" outlineLevel="0" collapsed="false">
      <c r="A565" s="29"/>
      <c r="B565" s="28"/>
      <c r="C565" s="29"/>
      <c r="D565" s="29"/>
      <c r="E565" s="29"/>
      <c r="F565" s="29"/>
      <c r="G565" s="36"/>
      <c r="H565" s="29"/>
      <c r="I565" s="35"/>
      <c r="J565" s="29"/>
      <c r="K565" s="29"/>
      <c r="L565" s="29"/>
      <c r="M565" s="29"/>
      <c r="N565" s="37"/>
      <c r="O565" s="30" t="n">
        <f aca="false">N565*J565</f>
        <v>0</v>
      </c>
    </row>
    <row r="566" customFormat="false" ht="15" hidden="false" customHeight="false" outlineLevel="0" collapsed="false">
      <c r="A566" s="29"/>
      <c r="B566" s="28"/>
      <c r="C566" s="29"/>
      <c r="D566" s="29"/>
      <c r="E566" s="29"/>
      <c r="F566" s="29"/>
      <c r="G566" s="36"/>
      <c r="H566" s="29"/>
      <c r="I566" s="35"/>
      <c r="J566" s="29"/>
      <c r="K566" s="29"/>
      <c r="L566" s="29"/>
      <c r="M566" s="29"/>
      <c r="N566" s="37"/>
      <c r="O566" s="30" t="n">
        <f aca="false">N566*J566</f>
        <v>0</v>
      </c>
    </row>
    <row r="567" customFormat="false" ht="15" hidden="false" customHeight="false" outlineLevel="0" collapsed="false">
      <c r="N567" s="37"/>
      <c r="O567" s="30" t="n">
        <f aca="false">N567*J567</f>
        <v>0</v>
      </c>
    </row>
    <row r="568" customFormat="false" ht="15" hidden="false" customHeight="false" outlineLevel="0" collapsed="false">
      <c r="N568" s="37"/>
      <c r="O568" s="30" t="n">
        <f aca="false">N568*J568</f>
        <v>0</v>
      </c>
    </row>
    <row r="569" customFormat="false" ht="15" hidden="false" customHeight="false" outlineLevel="0" collapsed="false">
      <c r="N569" s="37"/>
      <c r="O569" s="30" t="n">
        <f aca="false">N569*J569</f>
        <v>0</v>
      </c>
    </row>
    <row r="570" customFormat="false" ht="15" hidden="false" customHeight="false" outlineLevel="0" collapsed="false">
      <c r="N570" s="37"/>
      <c r="O570" s="30" t="n">
        <f aca="false">N570*J570</f>
        <v>0</v>
      </c>
    </row>
    <row r="571" customFormat="false" ht="15" hidden="false" customHeight="false" outlineLevel="0" collapsed="false">
      <c r="N571" s="37"/>
      <c r="O571" s="30" t="n">
        <f aca="false">N571*J571</f>
        <v>0</v>
      </c>
    </row>
    <row r="572" customFormat="false" ht="15" hidden="false" customHeight="false" outlineLevel="0" collapsed="false">
      <c r="N572" s="37"/>
      <c r="O572" s="30" t="n">
        <f aca="false">N572*J572</f>
        <v>0</v>
      </c>
    </row>
    <row r="573" customFormat="false" ht="15" hidden="false" customHeight="false" outlineLevel="0" collapsed="false">
      <c r="N573" s="37"/>
      <c r="O573" s="30" t="n">
        <f aca="false">N573*J573</f>
        <v>0</v>
      </c>
    </row>
    <row r="574" customFormat="false" ht="15" hidden="false" customHeight="false" outlineLevel="0" collapsed="false">
      <c r="N574" s="37"/>
      <c r="O574" s="30" t="n">
        <f aca="false">N574*J574</f>
        <v>0</v>
      </c>
    </row>
    <row r="575" customFormat="false" ht="15" hidden="false" customHeight="false" outlineLevel="0" collapsed="false">
      <c r="N575" s="37"/>
      <c r="O575" s="30" t="n">
        <f aca="false">N575*J575</f>
        <v>0</v>
      </c>
    </row>
    <row r="576" customFormat="false" ht="15" hidden="false" customHeight="false" outlineLevel="0" collapsed="false">
      <c r="N576" s="37"/>
      <c r="O576" s="30" t="n">
        <f aca="false">N576*J576</f>
        <v>0</v>
      </c>
    </row>
    <row r="577" customFormat="false" ht="15" hidden="false" customHeight="false" outlineLevel="0" collapsed="false">
      <c r="N577" s="37"/>
      <c r="O577" s="30" t="n">
        <f aca="false">N577*J577</f>
        <v>0</v>
      </c>
    </row>
    <row r="578" customFormat="false" ht="15" hidden="false" customHeight="false" outlineLevel="0" collapsed="false">
      <c r="N578" s="37"/>
      <c r="O578" s="30" t="n">
        <f aca="false">N578*J578</f>
        <v>0</v>
      </c>
    </row>
    <row r="579" customFormat="false" ht="15" hidden="false" customHeight="false" outlineLevel="0" collapsed="false">
      <c r="N579" s="37"/>
      <c r="O579" s="30" t="n">
        <f aca="false">N579*J579</f>
        <v>0</v>
      </c>
    </row>
    <row r="580" customFormat="false" ht="15" hidden="false" customHeight="false" outlineLevel="0" collapsed="false">
      <c r="N580" s="37"/>
      <c r="O580" s="30" t="n">
        <f aca="false">N580*J580</f>
        <v>0</v>
      </c>
    </row>
    <row r="581" customFormat="false" ht="15" hidden="false" customHeight="false" outlineLevel="0" collapsed="false">
      <c r="N581" s="37"/>
      <c r="O581" s="30" t="n">
        <f aca="false">N581*J581</f>
        <v>0</v>
      </c>
    </row>
    <row r="582" customFormat="false" ht="15" hidden="false" customHeight="false" outlineLevel="0" collapsed="false">
      <c r="N582" s="37"/>
      <c r="O582" s="30" t="n">
        <f aca="false">N582*J582</f>
        <v>0</v>
      </c>
    </row>
    <row r="583" customFormat="false" ht="15" hidden="false" customHeight="false" outlineLevel="0" collapsed="false">
      <c r="N583" s="37"/>
      <c r="O583" s="30" t="n">
        <f aca="false">N583*J583</f>
        <v>0</v>
      </c>
    </row>
    <row r="584" customFormat="false" ht="15" hidden="false" customHeight="false" outlineLevel="0" collapsed="false">
      <c r="N584" s="37"/>
      <c r="O584" s="30" t="n">
        <f aca="false">N584*J584</f>
        <v>0</v>
      </c>
    </row>
    <row r="585" customFormat="false" ht="15" hidden="false" customHeight="false" outlineLevel="0" collapsed="false">
      <c r="N585" s="37"/>
      <c r="O585" s="30" t="n">
        <f aca="false">N585*J585</f>
        <v>0</v>
      </c>
    </row>
    <row r="586" customFormat="false" ht="15" hidden="false" customHeight="false" outlineLevel="0" collapsed="false">
      <c r="O586" s="30" t="n">
        <f aca="false">N586*J586</f>
        <v>0</v>
      </c>
    </row>
    <row r="587" customFormat="false" ht="15" hidden="false" customHeight="false" outlineLevel="0" collapsed="false">
      <c r="O587" s="30" t="n">
        <f aca="false">N587*J587</f>
        <v>0</v>
      </c>
    </row>
    <row r="588" customFormat="false" ht="15" hidden="false" customHeight="false" outlineLevel="0" collapsed="false">
      <c r="O588" s="30" t="n">
        <f aca="false">N588*J588</f>
        <v>0</v>
      </c>
    </row>
    <row r="589" customFormat="false" ht="15" hidden="false" customHeight="false" outlineLevel="0" collapsed="false">
      <c r="O589" s="30" t="n">
        <f aca="false">N589*J589</f>
        <v>0</v>
      </c>
    </row>
    <row r="590" customFormat="false" ht="15" hidden="false" customHeight="false" outlineLevel="0" collapsed="false">
      <c r="O590" s="30" t="n">
        <f aca="false">N590*J590</f>
        <v>0</v>
      </c>
    </row>
    <row r="591" customFormat="false" ht="15" hidden="false" customHeight="false" outlineLevel="0" collapsed="false">
      <c r="O591" s="30" t="n">
        <f aca="false">N591*J591</f>
        <v>0</v>
      </c>
    </row>
    <row r="592" customFormat="false" ht="15" hidden="false" customHeight="false" outlineLevel="0" collapsed="false">
      <c r="O592" s="30" t="n">
        <f aca="false">N592*J592</f>
        <v>0</v>
      </c>
    </row>
    <row r="593" customFormat="false" ht="15" hidden="false" customHeight="false" outlineLevel="0" collapsed="false">
      <c r="O593" s="30" t="n">
        <f aca="false">N593*J593</f>
        <v>0</v>
      </c>
    </row>
    <row r="594" customFormat="false" ht="15" hidden="false" customHeight="false" outlineLevel="0" collapsed="false">
      <c r="O594" s="30" t="n">
        <f aca="false">N594*J594</f>
        <v>0</v>
      </c>
    </row>
    <row r="595" customFormat="false" ht="15" hidden="false" customHeight="false" outlineLevel="0" collapsed="false">
      <c r="O595" s="30" t="n">
        <f aca="false">N595*J595</f>
        <v>0</v>
      </c>
    </row>
    <row r="596" customFormat="false" ht="15" hidden="false" customHeight="false" outlineLevel="0" collapsed="false">
      <c r="O596" s="30" t="n">
        <f aca="false">N596*J596</f>
        <v>0</v>
      </c>
    </row>
    <row r="597" customFormat="false" ht="15" hidden="false" customHeight="false" outlineLevel="0" collapsed="false">
      <c r="O597" s="30" t="n">
        <f aca="false">N597*J597</f>
        <v>0</v>
      </c>
    </row>
    <row r="598" customFormat="false" ht="15" hidden="false" customHeight="false" outlineLevel="0" collapsed="false">
      <c r="O598" s="30" t="n">
        <f aca="false">N598*J598</f>
        <v>0</v>
      </c>
    </row>
    <row r="599" customFormat="false" ht="15" hidden="false" customHeight="false" outlineLevel="0" collapsed="false">
      <c r="O599" s="30" t="n">
        <f aca="false">N599*J599</f>
        <v>0</v>
      </c>
    </row>
    <row r="600" customFormat="false" ht="15" hidden="false" customHeight="false" outlineLevel="0" collapsed="false">
      <c r="O600" s="30" t="n">
        <f aca="false">N600*J600</f>
        <v>0</v>
      </c>
    </row>
    <row r="601" customFormat="false" ht="15" hidden="false" customHeight="false" outlineLevel="0" collapsed="false">
      <c r="O601" s="30" t="n">
        <f aca="false">N601*J601</f>
        <v>0</v>
      </c>
    </row>
    <row r="602" customFormat="false" ht="15" hidden="false" customHeight="false" outlineLevel="0" collapsed="false">
      <c r="O602" s="30" t="n">
        <f aca="false">N602*J602</f>
        <v>0</v>
      </c>
    </row>
    <row r="603" customFormat="false" ht="15" hidden="false" customHeight="false" outlineLevel="0" collapsed="false">
      <c r="O603" s="30" t="n">
        <f aca="false">N603*J603</f>
        <v>0</v>
      </c>
    </row>
    <row r="604" customFormat="false" ht="15" hidden="false" customHeight="false" outlineLevel="0" collapsed="false">
      <c r="O604" s="30" t="n">
        <f aca="false">N604*J604</f>
        <v>0</v>
      </c>
    </row>
    <row r="605" customFormat="false" ht="15" hidden="false" customHeight="false" outlineLevel="0" collapsed="false">
      <c r="O605" s="30" t="n">
        <f aca="false">N605*J605</f>
        <v>0</v>
      </c>
    </row>
    <row r="606" customFormat="false" ht="15" hidden="false" customHeight="false" outlineLevel="0" collapsed="false">
      <c r="O606" s="30" t="n">
        <f aca="false">N606*J606</f>
        <v>0</v>
      </c>
    </row>
    <row r="607" customFormat="false" ht="15" hidden="false" customHeight="false" outlineLevel="0" collapsed="false">
      <c r="O607" s="30" t="n">
        <f aca="false">N607*J607</f>
        <v>0</v>
      </c>
    </row>
    <row r="608" customFormat="false" ht="15" hidden="false" customHeight="false" outlineLevel="0" collapsed="false">
      <c r="O608" s="30" t="n">
        <f aca="false">N608*J608</f>
        <v>0</v>
      </c>
    </row>
    <row r="609" customFormat="false" ht="15" hidden="false" customHeight="false" outlineLevel="0" collapsed="false">
      <c r="O609" s="30" t="n">
        <f aca="false">N609*J609</f>
        <v>0</v>
      </c>
    </row>
    <row r="610" customFormat="false" ht="15" hidden="false" customHeight="false" outlineLevel="0" collapsed="false">
      <c r="O610" s="30" t="n">
        <f aca="false">N610*J610</f>
        <v>0</v>
      </c>
    </row>
    <row r="611" customFormat="false" ht="15" hidden="false" customHeight="false" outlineLevel="0" collapsed="false">
      <c r="O611" s="30" t="n">
        <f aca="false">N611*J611</f>
        <v>0</v>
      </c>
    </row>
    <row r="612" customFormat="false" ht="15" hidden="false" customHeight="false" outlineLevel="0" collapsed="false">
      <c r="O612" s="30" t="n">
        <f aca="false">N612*J612</f>
        <v>0</v>
      </c>
    </row>
    <row r="613" customFormat="false" ht="15" hidden="false" customHeight="false" outlineLevel="0" collapsed="false">
      <c r="O613" s="30" t="n">
        <f aca="false">N613*J613</f>
        <v>0</v>
      </c>
    </row>
    <row r="614" customFormat="false" ht="15" hidden="false" customHeight="false" outlineLevel="0" collapsed="false">
      <c r="O614" s="30" t="n">
        <f aca="false">N614*J614</f>
        <v>0</v>
      </c>
    </row>
    <row r="615" customFormat="false" ht="15" hidden="false" customHeight="false" outlineLevel="0" collapsed="false">
      <c r="O615" s="30" t="n">
        <f aca="false">N615*J615</f>
        <v>0</v>
      </c>
    </row>
    <row r="616" customFormat="false" ht="15" hidden="false" customHeight="false" outlineLevel="0" collapsed="false">
      <c r="O616" s="30" t="n">
        <f aca="false">N616*J616</f>
        <v>0</v>
      </c>
    </row>
    <row r="617" customFormat="false" ht="15" hidden="false" customHeight="false" outlineLevel="0" collapsed="false">
      <c r="O617" s="30" t="n">
        <f aca="false">N617*J617</f>
        <v>0</v>
      </c>
    </row>
    <row r="618" customFormat="false" ht="15" hidden="false" customHeight="false" outlineLevel="0" collapsed="false">
      <c r="O618" s="30" t="n">
        <f aca="false">N618*J618</f>
        <v>0</v>
      </c>
    </row>
    <row r="619" customFormat="false" ht="15" hidden="false" customHeight="false" outlineLevel="0" collapsed="false">
      <c r="O619" s="30" t="n">
        <f aca="false">N619*J619</f>
        <v>0</v>
      </c>
    </row>
    <row r="620" customFormat="false" ht="15" hidden="false" customHeight="false" outlineLevel="0" collapsed="false">
      <c r="O620" s="30" t="n">
        <f aca="false">N620*J620</f>
        <v>0</v>
      </c>
    </row>
    <row r="621" customFormat="false" ht="15" hidden="false" customHeight="false" outlineLevel="0" collapsed="false">
      <c r="O621" s="30" t="n">
        <f aca="false">N621*J621</f>
        <v>0</v>
      </c>
    </row>
    <row r="622" customFormat="false" ht="15" hidden="false" customHeight="false" outlineLevel="0" collapsed="false">
      <c r="O622" s="30" t="n">
        <f aca="false">N622*J622</f>
        <v>0</v>
      </c>
    </row>
    <row r="623" customFormat="false" ht="15" hidden="false" customHeight="false" outlineLevel="0" collapsed="false">
      <c r="O623" s="30" t="n">
        <f aca="false">N623*J623</f>
        <v>0</v>
      </c>
    </row>
    <row r="624" customFormat="false" ht="15" hidden="false" customHeight="false" outlineLevel="0" collapsed="false">
      <c r="O624" s="30" t="n">
        <f aca="false">N624*J624</f>
        <v>0</v>
      </c>
    </row>
    <row r="625" customFormat="false" ht="15" hidden="false" customHeight="false" outlineLevel="0" collapsed="false">
      <c r="O625" s="30" t="n">
        <f aca="false">N625*J625</f>
        <v>0</v>
      </c>
    </row>
    <row r="626" customFormat="false" ht="15" hidden="false" customHeight="false" outlineLevel="0" collapsed="false">
      <c r="O626" s="30" t="n">
        <f aca="false">N626*J626</f>
        <v>0</v>
      </c>
    </row>
    <row r="627" customFormat="false" ht="15" hidden="false" customHeight="false" outlineLevel="0" collapsed="false">
      <c r="O627" s="30" t="n">
        <f aca="false">N627*J627</f>
        <v>0</v>
      </c>
    </row>
    <row r="628" customFormat="false" ht="15" hidden="false" customHeight="false" outlineLevel="0" collapsed="false">
      <c r="O628" s="30" t="n">
        <f aca="false">N628*J628</f>
        <v>0</v>
      </c>
    </row>
    <row r="629" customFormat="false" ht="15" hidden="false" customHeight="false" outlineLevel="0" collapsed="false">
      <c r="O629" s="30" t="n">
        <f aca="false">N629*J629</f>
        <v>0</v>
      </c>
    </row>
    <row r="630" customFormat="false" ht="15" hidden="false" customHeight="false" outlineLevel="0" collapsed="false">
      <c r="O630" s="30" t="n">
        <f aca="false">N630*J630</f>
        <v>0</v>
      </c>
    </row>
    <row r="631" customFormat="false" ht="15" hidden="false" customHeight="false" outlineLevel="0" collapsed="false">
      <c r="O631" s="30" t="n">
        <f aca="false">N631*J631</f>
        <v>0</v>
      </c>
    </row>
    <row r="632" customFormat="false" ht="15" hidden="false" customHeight="false" outlineLevel="0" collapsed="false">
      <c r="O632" s="30" t="n">
        <f aca="false">N632*J632</f>
        <v>0</v>
      </c>
    </row>
    <row r="633" customFormat="false" ht="15" hidden="false" customHeight="false" outlineLevel="0" collapsed="false">
      <c r="O633" s="30" t="n">
        <f aca="false">N633*J633</f>
        <v>0</v>
      </c>
    </row>
    <row r="634" customFormat="false" ht="15" hidden="false" customHeight="false" outlineLevel="0" collapsed="false">
      <c r="O634" s="30" t="n">
        <f aca="false">N634*J634</f>
        <v>0</v>
      </c>
    </row>
    <row r="635" customFormat="false" ht="15" hidden="false" customHeight="false" outlineLevel="0" collapsed="false">
      <c r="O635" s="30" t="n">
        <f aca="false">N635*J635</f>
        <v>0</v>
      </c>
    </row>
    <row r="636" customFormat="false" ht="15" hidden="false" customHeight="false" outlineLevel="0" collapsed="false">
      <c r="O636" s="30" t="n">
        <f aca="false">N636*J636</f>
        <v>0</v>
      </c>
    </row>
    <row r="637" customFormat="false" ht="15" hidden="false" customHeight="false" outlineLevel="0" collapsed="false">
      <c r="O637" s="30" t="n">
        <f aca="false">N637*J637</f>
        <v>0</v>
      </c>
    </row>
    <row r="638" customFormat="false" ht="15" hidden="false" customHeight="false" outlineLevel="0" collapsed="false">
      <c r="O638" s="30" t="n">
        <f aca="false">N638*J638</f>
        <v>0</v>
      </c>
    </row>
    <row r="639" customFormat="false" ht="15" hidden="false" customHeight="false" outlineLevel="0" collapsed="false">
      <c r="O639" s="30" t="n">
        <f aca="false">N639*J639</f>
        <v>0</v>
      </c>
    </row>
    <row r="640" customFormat="false" ht="15" hidden="false" customHeight="false" outlineLevel="0" collapsed="false">
      <c r="O640" s="30" t="n">
        <f aca="false">N640*J640</f>
        <v>0</v>
      </c>
    </row>
    <row r="641" customFormat="false" ht="15" hidden="false" customHeight="false" outlineLevel="0" collapsed="false">
      <c r="O641" s="30" t="n">
        <f aca="false">N641*J641</f>
        <v>0</v>
      </c>
    </row>
    <row r="642" customFormat="false" ht="15" hidden="false" customHeight="false" outlineLevel="0" collapsed="false">
      <c r="O642" s="30" t="n">
        <f aca="false">N642*J642</f>
        <v>0</v>
      </c>
    </row>
    <row r="643" customFormat="false" ht="15" hidden="false" customHeight="false" outlineLevel="0" collapsed="false">
      <c r="O643" s="30" t="n">
        <f aca="false">N643*J643</f>
        <v>0</v>
      </c>
    </row>
    <row r="644" customFormat="false" ht="15" hidden="false" customHeight="false" outlineLevel="0" collapsed="false">
      <c r="O644" s="30" t="n">
        <f aca="false">N644*J644</f>
        <v>0</v>
      </c>
    </row>
    <row r="645" customFormat="false" ht="15" hidden="false" customHeight="false" outlineLevel="0" collapsed="false">
      <c r="O645" s="30" t="n">
        <f aca="false">N645*J645</f>
        <v>0</v>
      </c>
    </row>
    <row r="646" customFormat="false" ht="15" hidden="false" customHeight="false" outlineLevel="0" collapsed="false">
      <c r="O646" s="30" t="n">
        <f aca="false">N646*J646</f>
        <v>0</v>
      </c>
    </row>
    <row r="647" customFormat="false" ht="15" hidden="false" customHeight="false" outlineLevel="0" collapsed="false">
      <c r="O647" s="30" t="n">
        <f aca="false">N647*J647</f>
        <v>0</v>
      </c>
    </row>
    <row r="648" customFormat="false" ht="15" hidden="false" customHeight="false" outlineLevel="0" collapsed="false">
      <c r="O648" s="30" t="n">
        <f aca="false">N648*J648</f>
        <v>0</v>
      </c>
    </row>
    <row r="649" customFormat="false" ht="15" hidden="false" customHeight="false" outlineLevel="0" collapsed="false">
      <c r="O649" s="30" t="n">
        <f aca="false">N649*J649</f>
        <v>0</v>
      </c>
    </row>
    <row r="650" customFormat="false" ht="15" hidden="false" customHeight="false" outlineLevel="0" collapsed="false">
      <c r="O650" s="30" t="n">
        <f aca="false">N650*J650</f>
        <v>0</v>
      </c>
    </row>
    <row r="651" customFormat="false" ht="15" hidden="false" customHeight="false" outlineLevel="0" collapsed="false">
      <c r="O651" s="30" t="n">
        <f aca="false">N651*J651</f>
        <v>0</v>
      </c>
    </row>
    <row r="652" customFormat="false" ht="15" hidden="false" customHeight="false" outlineLevel="0" collapsed="false">
      <c r="O652" s="30" t="n">
        <f aca="false">N652*J652</f>
        <v>0</v>
      </c>
    </row>
    <row r="653" customFormat="false" ht="15" hidden="false" customHeight="false" outlineLevel="0" collapsed="false">
      <c r="O653" s="30" t="n">
        <f aca="false">N653*J653</f>
        <v>0</v>
      </c>
    </row>
    <row r="654" customFormat="false" ht="15" hidden="false" customHeight="false" outlineLevel="0" collapsed="false">
      <c r="O654" s="30" t="n">
        <f aca="false">N654*J654</f>
        <v>0</v>
      </c>
    </row>
    <row r="655" customFormat="false" ht="15" hidden="false" customHeight="false" outlineLevel="0" collapsed="false">
      <c r="O655" s="30" t="n">
        <f aca="false">N655*J655</f>
        <v>0</v>
      </c>
    </row>
    <row r="656" customFormat="false" ht="15" hidden="false" customHeight="false" outlineLevel="0" collapsed="false">
      <c r="O656" s="30" t="n">
        <f aca="false">N656*J656</f>
        <v>0</v>
      </c>
    </row>
    <row r="657" customFormat="false" ht="15" hidden="false" customHeight="false" outlineLevel="0" collapsed="false">
      <c r="O657" s="30" t="n">
        <f aca="false">N657*J657</f>
        <v>0</v>
      </c>
    </row>
    <row r="658" customFormat="false" ht="15" hidden="false" customHeight="false" outlineLevel="0" collapsed="false">
      <c r="O658" s="30" t="n">
        <f aca="false">N658*J658</f>
        <v>0</v>
      </c>
    </row>
    <row r="659" customFormat="false" ht="15" hidden="false" customHeight="false" outlineLevel="0" collapsed="false">
      <c r="O659" s="30" t="n">
        <f aca="false">N659*J659</f>
        <v>0</v>
      </c>
    </row>
    <row r="660" customFormat="false" ht="15" hidden="false" customHeight="false" outlineLevel="0" collapsed="false">
      <c r="O660" s="30" t="n">
        <f aca="false">N660*J660</f>
        <v>0</v>
      </c>
    </row>
    <row r="661" customFormat="false" ht="15" hidden="false" customHeight="false" outlineLevel="0" collapsed="false">
      <c r="O661" s="30" t="n">
        <f aca="false">N661*J661</f>
        <v>0</v>
      </c>
    </row>
    <row r="662" customFormat="false" ht="15" hidden="false" customHeight="false" outlineLevel="0" collapsed="false">
      <c r="O662" s="30" t="n">
        <f aca="false">N662*J662</f>
        <v>0</v>
      </c>
    </row>
    <row r="663" customFormat="false" ht="15" hidden="false" customHeight="false" outlineLevel="0" collapsed="false">
      <c r="O663" s="30" t="n">
        <f aca="false">N663*J663</f>
        <v>0</v>
      </c>
    </row>
    <row r="664" customFormat="false" ht="15" hidden="false" customHeight="false" outlineLevel="0" collapsed="false">
      <c r="O664" s="30" t="n">
        <f aca="false">N664*J664</f>
        <v>0</v>
      </c>
    </row>
    <row r="665" customFormat="false" ht="15" hidden="false" customHeight="false" outlineLevel="0" collapsed="false">
      <c r="O665" s="30" t="n">
        <f aca="false">N665*J665</f>
        <v>0</v>
      </c>
    </row>
    <row r="666" customFormat="false" ht="15" hidden="false" customHeight="false" outlineLevel="0" collapsed="false">
      <c r="O666" s="30" t="n">
        <f aca="false">N666*J666</f>
        <v>0</v>
      </c>
    </row>
    <row r="667" customFormat="false" ht="15" hidden="false" customHeight="false" outlineLevel="0" collapsed="false">
      <c r="O667" s="30" t="n">
        <f aca="false">N667*J667</f>
        <v>0</v>
      </c>
    </row>
    <row r="668" customFormat="false" ht="15" hidden="false" customHeight="false" outlineLevel="0" collapsed="false">
      <c r="O668" s="30" t="n">
        <f aca="false">N668*J668</f>
        <v>0</v>
      </c>
    </row>
    <row r="669" customFormat="false" ht="15" hidden="false" customHeight="false" outlineLevel="0" collapsed="false">
      <c r="O669" s="30" t="n">
        <f aca="false">N669*J669</f>
        <v>0</v>
      </c>
    </row>
    <row r="670" customFormat="false" ht="15" hidden="false" customHeight="false" outlineLevel="0" collapsed="false">
      <c r="O670" s="30" t="n">
        <f aca="false">N670*J670</f>
        <v>0</v>
      </c>
    </row>
    <row r="671" customFormat="false" ht="15" hidden="false" customHeight="false" outlineLevel="0" collapsed="false">
      <c r="O671" s="30" t="n">
        <f aca="false">N671*J671</f>
        <v>0</v>
      </c>
    </row>
    <row r="672" customFormat="false" ht="15" hidden="false" customHeight="false" outlineLevel="0" collapsed="false">
      <c r="O672" s="30" t="n">
        <f aca="false">N672*J672</f>
        <v>0</v>
      </c>
    </row>
    <row r="673" customFormat="false" ht="15" hidden="false" customHeight="false" outlineLevel="0" collapsed="false">
      <c r="O673" s="30" t="n">
        <f aca="false">N673*J673</f>
        <v>0</v>
      </c>
    </row>
    <row r="674" customFormat="false" ht="15" hidden="false" customHeight="false" outlineLevel="0" collapsed="false">
      <c r="O674" s="30" t="n">
        <f aca="false">N674*J674</f>
        <v>0</v>
      </c>
    </row>
    <row r="675" customFormat="false" ht="15" hidden="false" customHeight="false" outlineLevel="0" collapsed="false">
      <c r="O675" s="30" t="n">
        <f aca="false">N675*J675</f>
        <v>0</v>
      </c>
    </row>
    <row r="676" customFormat="false" ht="15" hidden="false" customHeight="false" outlineLevel="0" collapsed="false">
      <c r="O676" s="30" t="n">
        <f aca="false">N676*J676</f>
        <v>0</v>
      </c>
    </row>
    <row r="677" customFormat="false" ht="15" hidden="false" customHeight="false" outlineLevel="0" collapsed="false">
      <c r="O677" s="30" t="n">
        <f aca="false">N677*J677</f>
        <v>0</v>
      </c>
    </row>
    <row r="678" customFormat="false" ht="15" hidden="false" customHeight="false" outlineLevel="0" collapsed="false">
      <c r="O678" s="30" t="n">
        <f aca="false">N678*J678</f>
        <v>0</v>
      </c>
    </row>
    <row r="679" customFormat="false" ht="15" hidden="false" customHeight="false" outlineLevel="0" collapsed="false">
      <c r="O679" s="30" t="n">
        <f aca="false">N679*J679</f>
        <v>0</v>
      </c>
    </row>
    <row r="680" customFormat="false" ht="15" hidden="false" customHeight="false" outlineLevel="0" collapsed="false">
      <c r="O680" s="30" t="n">
        <f aca="false">N680*J680</f>
        <v>0</v>
      </c>
    </row>
    <row r="681" customFormat="false" ht="15" hidden="false" customHeight="false" outlineLevel="0" collapsed="false">
      <c r="O681" s="30" t="n">
        <f aca="false">N681*J681</f>
        <v>0</v>
      </c>
    </row>
    <row r="682" customFormat="false" ht="15" hidden="false" customHeight="false" outlineLevel="0" collapsed="false">
      <c r="O682" s="30" t="n">
        <f aca="false">N682*J682</f>
        <v>0</v>
      </c>
    </row>
    <row r="683" customFormat="false" ht="15" hidden="false" customHeight="false" outlineLevel="0" collapsed="false">
      <c r="O683" s="30" t="n">
        <f aca="false">N683*J683</f>
        <v>0</v>
      </c>
    </row>
    <row r="684" customFormat="false" ht="15" hidden="false" customHeight="false" outlineLevel="0" collapsed="false">
      <c r="O684" s="30" t="n">
        <f aca="false">N684*J684</f>
        <v>0</v>
      </c>
    </row>
    <row r="685" customFormat="false" ht="15" hidden="false" customHeight="false" outlineLevel="0" collapsed="false">
      <c r="O685" s="30" t="n">
        <f aca="false">N685*J685</f>
        <v>0</v>
      </c>
    </row>
    <row r="686" customFormat="false" ht="15" hidden="false" customHeight="false" outlineLevel="0" collapsed="false">
      <c r="O686" s="30" t="n">
        <f aca="false">N686*J686</f>
        <v>0</v>
      </c>
    </row>
    <row r="687" customFormat="false" ht="15" hidden="false" customHeight="false" outlineLevel="0" collapsed="false">
      <c r="O687" s="30" t="n">
        <f aca="false">N687*J687</f>
        <v>0</v>
      </c>
    </row>
    <row r="688" customFormat="false" ht="15" hidden="false" customHeight="false" outlineLevel="0" collapsed="false">
      <c r="O688" s="30" t="n">
        <f aca="false">N688*J688</f>
        <v>0</v>
      </c>
    </row>
    <row r="689" customFormat="false" ht="15" hidden="false" customHeight="false" outlineLevel="0" collapsed="false">
      <c r="O689" s="30" t="n">
        <f aca="false">N689*J689</f>
        <v>0</v>
      </c>
    </row>
    <row r="690" customFormat="false" ht="15" hidden="false" customHeight="false" outlineLevel="0" collapsed="false">
      <c r="O690" s="30" t="n">
        <f aca="false">N690*J690</f>
        <v>0</v>
      </c>
    </row>
    <row r="691" customFormat="false" ht="15" hidden="false" customHeight="false" outlineLevel="0" collapsed="false">
      <c r="O691" s="30" t="n">
        <f aca="false">N691*J691</f>
        <v>0</v>
      </c>
    </row>
    <row r="692" customFormat="false" ht="15" hidden="false" customHeight="false" outlineLevel="0" collapsed="false">
      <c r="O692" s="30" t="n">
        <f aca="false">N692*J692</f>
        <v>0</v>
      </c>
    </row>
    <row r="693" customFormat="false" ht="15" hidden="false" customHeight="false" outlineLevel="0" collapsed="false">
      <c r="O693" s="30" t="n">
        <f aca="false">N693*J693</f>
        <v>0</v>
      </c>
    </row>
    <row r="694" customFormat="false" ht="15" hidden="false" customHeight="false" outlineLevel="0" collapsed="false">
      <c r="O694" s="30" t="n">
        <f aca="false">N694*J694</f>
        <v>0</v>
      </c>
    </row>
    <row r="695" customFormat="false" ht="15" hidden="false" customHeight="false" outlineLevel="0" collapsed="false">
      <c r="O695" s="30" t="n">
        <f aca="false">N695*J695</f>
        <v>0</v>
      </c>
    </row>
    <row r="696" customFormat="false" ht="15" hidden="false" customHeight="false" outlineLevel="0" collapsed="false">
      <c r="O696" s="30" t="n">
        <f aca="false">N696*J696</f>
        <v>0</v>
      </c>
    </row>
    <row r="697" customFormat="false" ht="15" hidden="false" customHeight="false" outlineLevel="0" collapsed="false">
      <c r="O697" s="30" t="n">
        <f aca="false">N697*J697</f>
        <v>0</v>
      </c>
    </row>
    <row r="698" customFormat="false" ht="15" hidden="false" customHeight="false" outlineLevel="0" collapsed="false">
      <c r="O698" s="30" t="n">
        <f aca="false">N698*J698</f>
        <v>0</v>
      </c>
    </row>
    <row r="699" customFormat="false" ht="15" hidden="false" customHeight="false" outlineLevel="0" collapsed="false">
      <c r="O699" s="30" t="n">
        <f aca="false">N699*J699</f>
        <v>0</v>
      </c>
    </row>
    <row r="700" customFormat="false" ht="15" hidden="false" customHeight="false" outlineLevel="0" collapsed="false">
      <c r="O700" s="30" t="n">
        <f aca="false">N700*J700</f>
        <v>0</v>
      </c>
    </row>
    <row r="701" customFormat="false" ht="15" hidden="false" customHeight="false" outlineLevel="0" collapsed="false">
      <c r="O701" s="30" t="n">
        <f aca="false">N701*J701</f>
        <v>0</v>
      </c>
    </row>
    <row r="702" customFormat="false" ht="15" hidden="false" customHeight="false" outlineLevel="0" collapsed="false">
      <c r="O702" s="30" t="n">
        <f aca="false">N702*J702</f>
        <v>0</v>
      </c>
    </row>
    <row r="703" customFormat="false" ht="15" hidden="false" customHeight="false" outlineLevel="0" collapsed="false">
      <c r="O703" s="30" t="n">
        <f aca="false">N703*J703</f>
        <v>0</v>
      </c>
    </row>
    <row r="704" customFormat="false" ht="15" hidden="false" customHeight="false" outlineLevel="0" collapsed="false">
      <c r="O704" s="30" t="n">
        <f aca="false">N704*J704</f>
        <v>0</v>
      </c>
    </row>
    <row r="705" customFormat="false" ht="15" hidden="false" customHeight="false" outlineLevel="0" collapsed="false">
      <c r="O705" s="5" t="e">
        <f aca="false">N705*#REF!</f>
        <v>#REF!</v>
      </c>
    </row>
    <row r="706" customFormat="false" ht="15" hidden="false" customHeight="false" outlineLevel="0" collapsed="false">
      <c r="O706" s="5" t="e">
        <f aca="false">N706*#REF!</f>
        <v>#REF!</v>
      </c>
    </row>
    <row r="707" customFormat="false" ht="15" hidden="false" customHeight="false" outlineLevel="0" collapsed="false">
      <c r="O707" s="5" t="e">
        <f aca="false">N707*#REF!</f>
        <v>#REF!</v>
      </c>
    </row>
    <row r="708" customFormat="false" ht="15" hidden="false" customHeight="false" outlineLevel="0" collapsed="false">
      <c r="O708" s="5" t="e">
        <f aca="false">N708*#REF!</f>
        <v>#REF!</v>
      </c>
    </row>
    <row r="709" customFormat="false" ht="15" hidden="false" customHeight="false" outlineLevel="0" collapsed="false">
      <c r="O709" s="5" t="e">
        <f aca="false">N709*#REF!</f>
        <v>#REF!</v>
      </c>
    </row>
    <row r="710" customFormat="false" ht="15" hidden="false" customHeight="false" outlineLevel="0" collapsed="false">
      <c r="O710" s="5" t="e">
        <f aca="false">N710*#REF!</f>
        <v>#REF!</v>
      </c>
    </row>
  </sheetData>
  <mergeCells count="1">
    <mergeCell ref="N1:O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tabColor rgb="FFCCFF66"/>
    <pageSetUpPr fitToPage="false"/>
  </sheetPr>
  <dimension ref="A1:IA655"/>
  <sheetViews>
    <sheetView showFormulas="false" showGridLines="true" showRowColHeaders="true" showZeros="true" rightToLeft="false" tabSelected="false" showOutlineSymbols="true" defaultGridColor="true" view="normal" topLeftCell="A1" colorId="64" zoomScale="60" zoomScaleNormal="60" zoomScalePageLayoutView="100" workbookViewId="0">
      <pane xSplit="0" ySplit="2" topLeftCell="A3" activePane="bottomLeft" state="frozen"/>
      <selection pane="topLeft" activeCell="A1" activeCellId="0" sqref="A1"/>
      <selection pane="bottomLeft" activeCell="G18" activeCellId="0" sqref="G18"/>
    </sheetView>
  </sheetViews>
  <sheetFormatPr defaultColWidth="8.8359375" defaultRowHeight="15" zeroHeight="false" outlineLevelRow="0" outlineLevelCol="0"/>
  <cols>
    <col collapsed="false" customWidth="true" hidden="false" outlineLevel="0" max="1" min="1" style="1" width="15.33"/>
    <col collapsed="false" customWidth="true" hidden="false" outlineLevel="0" max="2" min="2" style="1" width="13.51"/>
    <col collapsed="false" customWidth="true" hidden="false" outlineLevel="0" max="3" min="3" style="1" width="18.83"/>
    <col collapsed="false" customWidth="true" hidden="false" outlineLevel="0" max="4" min="4" style="1" width="9.83"/>
    <col collapsed="false" customWidth="true" hidden="false" outlineLevel="0" max="5" min="5" style="1" width="15.33"/>
    <col collapsed="false" customWidth="true" hidden="false" outlineLevel="0" max="6" min="6" style="1" width="14.5"/>
    <col collapsed="false" customWidth="true" hidden="false" outlineLevel="0" max="7" min="7" style="2" width="14"/>
    <col collapsed="false" customWidth="true" hidden="false" outlineLevel="0" max="8" min="8" style="1" width="13.51"/>
    <col collapsed="false" customWidth="true" hidden="false" outlineLevel="0" max="9" min="9" style="1" width="10.51"/>
    <col collapsed="false" customWidth="true" hidden="false" outlineLevel="0" max="10" min="10" style="1" width="13.83"/>
    <col collapsed="false" customWidth="true" hidden="false" outlineLevel="0" max="11" min="11" style="1" width="12.17"/>
    <col collapsed="false" customWidth="true" hidden="false" outlineLevel="0" max="12" min="12" style="1" width="13.33"/>
    <col collapsed="false" customWidth="true" hidden="false" outlineLevel="0" max="13" min="13" style="1" width="11"/>
    <col collapsed="false" customWidth="true" hidden="false" outlineLevel="0" max="14" min="14" style="44" width="10.51"/>
    <col collapsed="false" customWidth="true" hidden="false" outlineLevel="0" max="15" min="15" style="45" width="10.66"/>
    <col collapsed="false" customWidth="false" hidden="false" outlineLevel="0" max="16" min="16" style="1" width="8.83"/>
    <col collapsed="false" customWidth="true" hidden="true" outlineLevel="0" max="17" min="17" style="46" width="12.83"/>
    <col collapsed="false" customWidth="true" hidden="true" outlineLevel="0" max="18" min="18" style="0" width="9.17"/>
  </cols>
  <sheetData>
    <row r="1" customFormat="false" ht="75" hidden="false" customHeight="true" outlineLevel="0" collapsed="false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8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7" t="s">
        <v>12</v>
      </c>
      <c r="N1" s="10" t="s">
        <v>13</v>
      </c>
      <c r="O1" s="10"/>
      <c r="P1" s="11" t="s">
        <v>14</v>
      </c>
      <c r="Q1" s="47" t="s">
        <v>22</v>
      </c>
    </row>
    <row r="2" customFormat="false" ht="74.25" hidden="false" customHeight="true" outlineLevel="0" collapsed="false">
      <c r="A2" s="48" t="s">
        <v>15</v>
      </c>
      <c r="B2" s="48"/>
      <c r="C2" s="48"/>
      <c r="D2" s="48"/>
      <c r="E2" s="48"/>
      <c r="F2" s="48" t="n">
        <f aca="false">SUM(F3:F430)</f>
        <v>0</v>
      </c>
      <c r="G2" s="14" t="n">
        <f aca="false">SUM(G3:G430)</f>
        <v>0</v>
      </c>
      <c r="H2" s="48"/>
      <c r="I2" s="48"/>
      <c r="J2" s="48"/>
      <c r="K2" s="48"/>
      <c r="L2" s="14" t="n">
        <f aca="false">SUM(L3:L430)</f>
        <v>0</v>
      </c>
      <c r="M2" s="14"/>
      <c r="N2" s="49" t="s">
        <v>16</v>
      </c>
      <c r="O2" s="49" t="s">
        <v>17</v>
      </c>
      <c r="P2" s="50"/>
      <c r="Q2" s="51"/>
      <c r="S2" s="27"/>
      <c r="T2" s="27"/>
      <c r="U2" s="27"/>
      <c r="V2" s="27"/>
      <c r="W2" s="27"/>
      <c r="X2" s="27"/>
      <c r="Y2" s="27"/>
      <c r="Z2" s="27"/>
      <c r="AA2" s="27"/>
      <c r="AB2" s="27"/>
      <c r="AC2" s="27"/>
      <c r="AD2" s="27"/>
      <c r="AE2" s="27"/>
      <c r="AF2" s="27"/>
      <c r="AG2" s="27"/>
      <c r="AH2" s="27"/>
      <c r="AI2" s="27"/>
      <c r="AJ2" s="27"/>
      <c r="AK2" s="27"/>
      <c r="AL2" s="27"/>
      <c r="AM2" s="27"/>
      <c r="AN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</row>
    <row r="3" s="6" customFormat="true" ht="15" hidden="false" customHeight="false" outlineLevel="0" collapsed="false">
      <c r="A3" s="17"/>
      <c r="B3" s="18" t="s">
        <v>23</v>
      </c>
      <c r="C3" s="29"/>
      <c r="D3" s="29"/>
      <c r="E3" s="38"/>
      <c r="F3" s="29"/>
      <c r="G3" s="34"/>
      <c r="H3" s="52"/>
      <c r="I3" s="53"/>
      <c r="J3" s="29"/>
      <c r="K3" s="29"/>
      <c r="L3" s="36"/>
      <c r="M3" s="29" t="n">
        <v>-15</v>
      </c>
      <c r="N3" s="54"/>
      <c r="O3" s="55" t="n">
        <f aca="false">N3*J3</f>
        <v>0</v>
      </c>
      <c r="P3" s="1"/>
      <c r="Q3" s="46"/>
      <c r="S3" s="27"/>
      <c r="T3" s="27"/>
      <c r="U3" s="27"/>
      <c r="V3" s="27"/>
      <c r="W3" s="27"/>
      <c r="X3" s="27"/>
      <c r="Y3" s="27"/>
      <c r="Z3" s="27"/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  <c r="AL3" s="27"/>
      <c r="AM3" s="27"/>
      <c r="AN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  <c r="BR3" s="27"/>
      <c r="BS3" s="27"/>
      <c r="BT3" s="27"/>
      <c r="BU3" s="27"/>
      <c r="BV3" s="27"/>
      <c r="BW3" s="27"/>
      <c r="BX3" s="27"/>
      <c r="BY3" s="27"/>
      <c r="BZ3" s="27"/>
      <c r="CA3" s="27"/>
      <c r="CB3" s="27"/>
      <c r="CC3" s="27"/>
      <c r="CD3" s="27"/>
      <c r="CE3" s="27"/>
      <c r="CF3" s="27"/>
      <c r="CG3" s="27"/>
      <c r="CH3" s="27"/>
      <c r="CI3" s="27"/>
      <c r="CJ3" s="27"/>
      <c r="CK3" s="27"/>
      <c r="CL3" s="27"/>
      <c r="CM3" s="27"/>
      <c r="CN3" s="27"/>
      <c r="CO3" s="27"/>
      <c r="CP3" s="27"/>
      <c r="CQ3" s="27"/>
      <c r="CR3" s="27"/>
      <c r="CS3" s="27"/>
      <c r="CT3" s="27"/>
      <c r="CU3" s="27"/>
      <c r="CV3" s="27"/>
      <c r="CW3" s="27"/>
      <c r="CX3" s="27"/>
      <c r="CY3" s="27"/>
      <c r="CZ3" s="27"/>
      <c r="DA3" s="27"/>
      <c r="DB3" s="27"/>
      <c r="DC3" s="27"/>
      <c r="DD3" s="27"/>
      <c r="DE3" s="27"/>
      <c r="DF3" s="27"/>
      <c r="DG3" s="27"/>
      <c r="DH3" s="27"/>
      <c r="DI3" s="27"/>
      <c r="DJ3" s="27"/>
      <c r="DK3" s="27"/>
      <c r="DL3" s="27"/>
      <c r="DM3" s="27"/>
      <c r="DN3" s="27"/>
      <c r="DO3" s="27"/>
      <c r="DP3" s="27"/>
      <c r="DQ3" s="27"/>
      <c r="DR3" s="27"/>
      <c r="DS3" s="27"/>
      <c r="DT3" s="27"/>
      <c r="DU3" s="27"/>
      <c r="DV3" s="27"/>
      <c r="DW3" s="27"/>
      <c r="DX3" s="27"/>
      <c r="DY3" s="27"/>
      <c r="DZ3" s="27"/>
      <c r="EA3" s="27"/>
      <c r="EB3" s="27"/>
      <c r="EC3" s="27"/>
      <c r="ED3" s="27"/>
      <c r="EE3" s="27"/>
      <c r="EF3" s="27"/>
      <c r="EG3" s="27"/>
      <c r="EH3" s="27"/>
      <c r="EI3" s="27"/>
      <c r="EJ3" s="27"/>
      <c r="EK3" s="27"/>
      <c r="EL3" s="27"/>
      <c r="EM3" s="27"/>
      <c r="EN3" s="27"/>
      <c r="EO3" s="27"/>
      <c r="EP3" s="27"/>
      <c r="EQ3" s="27"/>
      <c r="ER3" s="27"/>
      <c r="ES3" s="27"/>
      <c r="ET3" s="27"/>
      <c r="EU3" s="27"/>
      <c r="EV3" s="27"/>
      <c r="EW3" s="27"/>
      <c r="EX3" s="27"/>
      <c r="EY3" s="27"/>
      <c r="EZ3" s="27"/>
      <c r="FA3" s="27"/>
      <c r="FB3" s="27"/>
      <c r="FC3" s="27"/>
      <c r="FD3" s="27"/>
      <c r="FE3" s="27"/>
      <c r="FF3" s="27"/>
      <c r="FG3" s="27"/>
      <c r="FH3" s="27"/>
      <c r="FI3" s="27"/>
      <c r="FJ3" s="27"/>
      <c r="FK3" s="27"/>
      <c r="FL3" s="27"/>
      <c r="FM3" s="27"/>
      <c r="FN3" s="27"/>
      <c r="FO3" s="27"/>
      <c r="FP3" s="27"/>
      <c r="FQ3" s="27"/>
      <c r="FR3" s="27"/>
      <c r="FS3" s="27"/>
      <c r="FT3" s="27"/>
      <c r="FU3" s="27"/>
      <c r="FV3" s="27"/>
      <c r="FW3" s="27"/>
      <c r="FX3" s="27"/>
      <c r="FY3" s="27"/>
      <c r="FZ3" s="27"/>
      <c r="GA3" s="27"/>
      <c r="GB3" s="27"/>
      <c r="GC3" s="27"/>
      <c r="GD3" s="27"/>
      <c r="GE3" s="27"/>
      <c r="GF3" s="27"/>
      <c r="GG3" s="27"/>
      <c r="GH3" s="27"/>
      <c r="GI3" s="27"/>
      <c r="GJ3" s="27"/>
      <c r="GK3" s="27"/>
      <c r="GL3" s="27"/>
      <c r="GM3" s="27"/>
      <c r="GN3" s="27"/>
      <c r="GO3" s="27"/>
      <c r="GP3" s="27"/>
      <c r="GQ3" s="27"/>
      <c r="GR3" s="27"/>
      <c r="GS3" s="27"/>
      <c r="GT3" s="27"/>
      <c r="GU3" s="27"/>
      <c r="GV3" s="27"/>
      <c r="GW3" s="27"/>
      <c r="GX3" s="27"/>
      <c r="GY3" s="27"/>
      <c r="GZ3" s="27"/>
      <c r="HA3" s="27"/>
      <c r="HB3" s="27"/>
      <c r="HC3" s="27"/>
      <c r="HD3" s="27"/>
      <c r="HE3" s="27"/>
      <c r="HF3" s="27"/>
      <c r="HG3" s="27"/>
      <c r="HH3" s="27"/>
      <c r="HI3" s="27"/>
      <c r="HJ3" s="27"/>
      <c r="HK3" s="27"/>
      <c r="HL3" s="27"/>
      <c r="HM3" s="27"/>
      <c r="HN3" s="27"/>
      <c r="HO3" s="27"/>
      <c r="HP3" s="27"/>
      <c r="HQ3" s="27"/>
      <c r="HR3" s="27"/>
      <c r="HS3" s="27"/>
      <c r="HT3" s="27"/>
      <c r="HU3" s="27"/>
      <c r="HV3" s="27"/>
      <c r="HW3" s="27"/>
      <c r="HX3" s="27"/>
      <c r="HY3" s="27"/>
      <c r="HZ3" s="27"/>
      <c r="IA3" s="27"/>
    </row>
    <row r="4" s="6" customFormat="true" ht="15" hidden="false" customHeight="false" outlineLevel="0" collapsed="false">
      <c r="A4" s="17"/>
      <c r="B4" s="18" t="s">
        <v>23</v>
      </c>
      <c r="C4" s="29"/>
      <c r="D4" s="29"/>
      <c r="E4" s="38"/>
      <c r="F4" s="29"/>
      <c r="G4" s="34"/>
      <c r="H4" s="52"/>
      <c r="I4" s="53"/>
      <c r="J4" s="29"/>
      <c r="K4" s="29"/>
      <c r="L4" s="36"/>
      <c r="M4" s="29" t="n">
        <v>-15</v>
      </c>
      <c r="N4" s="54"/>
      <c r="O4" s="55" t="n">
        <f aca="false">N4*J4</f>
        <v>0</v>
      </c>
      <c r="P4" s="1"/>
      <c r="Q4" s="46"/>
      <c r="S4" s="27"/>
      <c r="T4" s="27"/>
      <c r="U4" s="27"/>
      <c r="V4" s="27"/>
      <c r="W4" s="27"/>
      <c r="X4" s="27"/>
      <c r="Y4" s="27"/>
      <c r="Z4" s="27"/>
      <c r="AA4" s="27"/>
      <c r="AB4" s="27"/>
      <c r="AC4" s="27"/>
      <c r="AD4" s="27"/>
      <c r="AE4" s="27"/>
      <c r="AF4" s="27"/>
      <c r="AG4" s="27"/>
      <c r="AH4" s="27"/>
      <c r="AI4" s="27"/>
      <c r="AJ4" s="27"/>
      <c r="AK4" s="27"/>
      <c r="AL4" s="27"/>
      <c r="AM4" s="27"/>
      <c r="AN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  <c r="BR4" s="27"/>
      <c r="BS4" s="27"/>
      <c r="BT4" s="27"/>
      <c r="BU4" s="27"/>
      <c r="BV4" s="27"/>
      <c r="BW4" s="27"/>
      <c r="BX4" s="27"/>
      <c r="BY4" s="27"/>
      <c r="BZ4" s="27"/>
      <c r="CA4" s="27"/>
      <c r="CB4" s="27"/>
      <c r="CC4" s="27"/>
      <c r="CD4" s="27"/>
      <c r="CE4" s="27"/>
      <c r="CF4" s="27"/>
      <c r="CG4" s="27"/>
      <c r="CH4" s="27"/>
      <c r="CI4" s="27"/>
      <c r="CJ4" s="27"/>
      <c r="CK4" s="27"/>
      <c r="CL4" s="27"/>
      <c r="CM4" s="27"/>
      <c r="CN4" s="27"/>
      <c r="CO4" s="27"/>
      <c r="CP4" s="27"/>
      <c r="CQ4" s="27"/>
      <c r="CR4" s="27"/>
      <c r="CS4" s="27"/>
      <c r="CT4" s="27"/>
      <c r="CU4" s="27"/>
      <c r="CV4" s="27"/>
      <c r="CW4" s="27"/>
      <c r="CX4" s="27"/>
      <c r="CY4" s="27"/>
      <c r="CZ4" s="27"/>
      <c r="DA4" s="27"/>
      <c r="DB4" s="27"/>
      <c r="DC4" s="27"/>
      <c r="DD4" s="27"/>
      <c r="DE4" s="27"/>
      <c r="DF4" s="27"/>
      <c r="DG4" s="27"/>
      <c r="DH4" s="27"/>
      <c r="DI4" s="27"/>
      <c r="DJ4" s="27"/>
      <c r="DK4" s="27"/>
      <c r="DL4" s="27"/>
      <c r="DM4" s="27"/>
      <c r="DN4" s="27"/>
      <c r="DO4" s="27"/>
      <c r="DP4" s="27"/>
      <c r="DQ4" s="27"/>
      <c r="DR4" s="27"/>
      <c r="DS4" s="27"/>
      <c r="DT4" s="27"/>
      <c r="DU4" s="27"/>
      <c r="DV4" s="27"/>
      <c r="DW4" s="27"/>
      <c r="DX4" s="27"/>
      <c r="DY4" s="27"/>
      <c r="DZ4" s="27"/>
      <c r="EA4" s="27"/>
      <c r="EB4" s="27"/>
      <c r="EC4" s="27"/>
      <c r="ED4" s="27"/>
      <c r="EE4" s="27"/>
      <c r="EF4" s="27"/>
      <c r="EG4" s="27"/>
      <c r="EH4" s="27"/>
      <c r="EI4" s="27"/>
      <c r="EJ4" s="27"/>
      <c r="EK4" s="27"/>
      <c r="EL4" s="27"/>
      <c r="EM4" s="27"/>
      <c r="EN4" s="27"/>
      <c r="EO4" s="27"/>
      <c r="EP4" s="27"/>
      <c r="EQ4" s="27"/>
      <c r="ER4" s="27"/>
      <c r="ES4" s="27"/>
      <c r="ET4" s="27"/>
      <c r="EU4" s="27"/>
      <c r="EV4" s="27"/>
      <c r="EW4" s="27"/>
      <c r="EX4" s="27"/>
      <c r="EY4" s="27"/>
      <c r="EZ4" s="27"/>
      <c r="FA4" s="27"/>
      <c r="FB4" s="27"/>
      <c r="FC4" s="27"/>
      <c r="FD4" s="27"/>
      <c r="FE4" s="27"/>
      <c r="FF4" s="27"/>
      <c r="FG4" s="27"/>
      <c r="FH4" s="27"/>
      <c r="FI4" s="27"/>
      <c r="FJ4" s="27"/>
      <c r="FK4" s="27"/>
      <c r="FL4" s="27"/>
      <c r="FM4" s="27"/>
      <c r="FN4" s="27"/>
      <c r="FO4" s="27"/>
      <c r="FP4" s="27"/>
      <c r="FQ4" s="27"/>
      <c r="FR4" s="27"/>
      <c r="FS4" s="27"/>
      <c r="FT4" s="27"/>
      <c r="FU4" s="27"/>
      <c r="FV4" s="27"/>
      <c r="FW4" s="27"/>
      <c r="FX4" s="27"/>
      <c r="FY4" s="27"/>
      <c r="FZ4" s="27"/>
      <c r="GA4" s="27"/>
      <c r="GB4" s="27"/>
      <c r="GC4" s="27"/>
      <c r="GD4" s="27"/>
      <c r="GE4" s="27"/>
      <c r="GF4" s="27"/>
      <c r="GG4" s="27"/>
      <c r="GH4" s="27"/>
      <c r="GI4" s="27"/>
      <c r="GJ4" s="27"/>
      <c r="GK4" s="27"/>
      <c r="GL4" s="27"/>
      <c r="GM4" s="27"/>
      <c r="GN4" s="27"/>
      <c r="GO4" s="27"/>
      <c r="GP4" s="27"/>
      <c r="GQ4" s="27"/>
      <c r="GR4" s="27"/>
      <c r="GS4" s="27"/>
      <c r="GT4" s="27"/>
      <c r="GU4" s="27"/>
      <c r="GV4" s="27"/>
      <c r="GW4" s="27"/>
      <c r="GX4" s="27"/>
      <c r="GY4" s="27"/>
      <c r="GZ4" s="27"/>
      <c r="HA4" s="27"/>
      <c r="HB4" s="27"/>
      <c r="HC4" s="27"/>
      <c r="HD4" s="27"/>
      <c r="HE4" s="27"/>
      <c r="HF4" s="27"/>
      <c r="HG4" s="27"/>
      <c r="HH4" s="27"/>
      <c r="HI4" s="27"/>
      <c r="HJ4" s="27"/>
      <c r="HK4" s="27"/>
      <c r="HL4" s="27"/>
      <c r="HM4" s="27"/>
      <c r="HN4" s="27"/>
      <c r="HO4" s="27"/>
      <c r="HP4" s="27"/>
      <c r="HQ4" s="27"/>
      <c r="HR4" s="27"/>
      <c r="HS4" s="27"/>
      <c r="HT4" s="27"/>
      <c r="HU4" s="27"/>
      <c r="HV4" s="27"/>
      <c r="HW4" s="27"/>
      <c r="HX4" s="27"/>
      <c r="HY4" s="27"/>
      <c r="HZ4" s="27"/>
      <c r="IA4" s="27"/>
    </row>
    <row r="5" customFormat="false" ht="15" hidden="false" customHeight="false" outlineLevel="0" collapsed="false">
      <c r="A5" s="17"/>
      <c r="B5" s="18" t="s">
        <v>23</v>
      </c>
      <c r="C5" s="29"/>
      <c r="D5" s="29"/>
      <c r="E5" s="38"/>
      <c r="F5" s="29"/>
      <c r="G5" s="34"/>
      <c r="H5" s="52"/>
      <c r="I5" s="53"/>
      <c r="J5" s="29"/>
      <c r="K5" s="29"/>
      <c r="L5" s="36"/>
      <c r="M5" s="29" t="n">
        <v>-15</v>
      </c>
      <c r="N5" s="54"/>
      <c r="O5" s="55" t="n">
        <f aca="false">N5*J5</f>
        <v>0</v>
      </c>
      <c r="R5" s="6"/>
    </row>
    <row r="6" customFormat="false" ht="15" hidden="false" customHeight="false" outlineLevel="0" collapsed="false">
      <c r="A6" s="17"/>
      <c r="B6" s="18" t="s">
        <v>23</v>
      </c>
      <c r="C6" s="29"/>
      <c r="D6" s="29"/>
      <c r="E6" s="38"/>
      <c r="F6" s="29"/>
      <c r="G6" s="34"/>
      <c r="H6" s="52"/>
      <c r="I6" s="53"/>
      <c r="J6" s="29"/>
      <c r="K6" s="53"/>
      <c r="L6" s="36"/>
      <c r="M6" s="29" t="n">
        <v>-15</v>
      </c>
      <c r="N6" s="54"/>
      <c r="O6" s="55" t="n">
        <f aca="false">N6*J6</f>
        <v>0</v>
      </c>
      <c r="R6" s="6"/>
    </row>
    <row r="7" customFormat="false" ht="15" hidden="false" customHeight="false" outlineLevel="0" collapsed="false">
      <c r="A7" s="17"/>
      <c r="B7" s="18" t="s">
        <v>23</v>
      </c>
      <c r="C7" s="29"/>
      <c r="D7" s="29"/>
      <c r="E7" s="38"/>
      <c r="F7" s="29"/>
      <c r="G7" s="34"/>
      <c r="H7" s="52"/>
      <c r="I7" s="53"/>
      <c r="J7" s="52"/>
      <c r="K7" s="29"/>
      <c r="L7" s="36"/>
      <c r="M7" s="29" t="n">
        <v>-15</v>
      </c>
      <c r="N7" s="54"/>
      <c r="O7" s="55" t="n">
        <f aca="false">N7*J7</f>
        <v>0</v>
      </c>
      <c r="R7" s="6"/>
    </row>
    <row r="8" customFormat="false" ht="15" hidden="false" customHeight="false" outlineLevel="0" collapsed="false">
      <c r="A8" s="17"/>
      <c r="B8" s="18" t="s">
        <v>23</v>
      </c>
      <c r="C8" s="29"/>
      <c r="D8" s="29"/>
      <c r="E8" s="38"/>
      <c r="F8" s="29"/>
      <c r="G8" s="34"/>
      <c r="H8" s="52"/>
      <c r="I8" s="53"/>
      <c r="J8" s="29"/>
      <c r="K8" s="29"/>
      <c r="L8" s="36"/>
      <c r="M8" s="29" t="n">
        <v>-15</v>
      </c>
      <c r="N8" s="54"/>
      <c r="O8" s="55" t="n">
        <f aca="false">N8*J8</f>
        <v>0</v>
      </c>
      <c r="R8" s="6"/>
    </row>
    <row r="9" customFormat="false" ht="15" hidden="false" customHeight="false" outlineLevel="0" collapsed="false">
      <c r="A9" s="33"/>
      <c r="B9" s="18" t="s">
        <v>23</v>
      </c>
      <c r="C9" s="29"/>
      <c r="D9" s="29"/>
      <c r="E9" s="38"/>
      <c r="F9" s="29"/>
      <c r="G9" s="34"/>
      <c r="H9" s="52"/>
      <c r="I9" s="53"/>
      <c r="J9" s="29"/>
      <c r="K9" s="29"/>
      <c r="L9" s="36"/>
      <c r="M9" s="29" t="n">
        <v>-15</v>
      </c>
      <c r="N9" s="54"/>
      <c r="O9" s="55" t="n">
        <f aca="false">N9*J9</f>
        <v>0</v>
      </c>
      <c r="R9" s="6"/>
    </row>
    <row r="10" customFormat="false" ht="15" hidden="false" customHeight="false" outlineLevel="0" collapsed="false">
      <c r="A10" s="33"/>
      <c r="B10" s="18" t="s">
        <v>23</v>
      </c>
      <c r="C10" s="29"/>
      <c r="D10" s="29"/>
      <c r="E10" s="38"/>
      <c r="F10" s="29"/>
      <c r="G10" s="34"/>
      <c r="H10" s="29"/>
      <c r="I10" s="29"/>
      <c r="J10" s="29"/>
      <c r="K10" s="29"/>
      <c r="L10" s="36"/>
      <c r="M10" s="29" t="n">
        <v>-15</v>
      </c>
      <c r="N10" s="54"/>
      <c r="O10" s="55" t="n">
        <f aca="false">N10*J10</f>
        <v>0</v>
      </c>
      <c r="R10" s="6"/>
    </row>
    <row r="11" customFormat="false" ht="15" hidden="false" customHeight="false" outlineLevel="0" collapsed="false">
      <c r="A11" s="33"/>
      <c r="B11" s="18" t="s">
        <v>23</v>
      </c>
      <c r="C11" s="29"/>
      <c r="D11" s="29"/>
      <c r="E11" s="38"/>
      <c r="F11" s="29"/>
      <c r="G11" s="34"/>
      <c r="H11" s="29"/>
      <c r="I11" s="29"/>
      <c r="J11" s="29"/>
      <c r="K11" s="29"/>
      <c r="L11" s="36"/>
      <c r="M11" s="29" t="n">
        <v>-15</v>
      </c>
      <c r="N11" s="54"/>
      <c r="O11" s="55" t="n">
        <f aca="false">N11*J11</f>
        <v>0</v>
      </c>
      <c r="R11" s="6"/>
    </row>
    <row r="12" customFormat="false" ht="15" hidden="false" customHeight="false" outlineLevel="0" collapsed="false">
      <c r="A12" s="33"/>
      <c r="B12" s="18" t="s">
        <v>23</v>
      </c>
      <c r="C12" s="29"/>
      <c r="D12" s="29"/>
      <c r="E12" s="38"/>
      <c r="F12" s="29"/>
      <c r="G12" s="34"/>
      <c r="H12" s="29"/>
      <c r="I12" s="29"/>
      <c r="J12" s="29"/>
      <c r="K12" s="29"/>
      <c r="L12" s="36"/>
      <c r="M12" s="29" t="n">
        <v>-15</v>
      </c>
      <c r="N12" s="54"/>
      <c r="O12" s="55" t="n">
        <f aca="false">N12*J12</f>
        <v>0</v>
      </c>
      <c r="R12" s="6"/>
    </row>
    <row r="13" customFormat="false" ht="15" hidden="false" customHeight="false" outlineLevel="0" collapsed="false">
      <c r="A13" s="33"/>
      <c r="B13" s="18" t="s">
        <v>23</v>
      </c>
      <c r="C13" s="29"/>
      <c r="D13" s="29"/>
      <c r="E13" s="38"/>
      <c r="F13" s="29"/>
      <c r="G13" s="34"/>
      <c r="H13" s="29"/>
      <c r="I13" s="29"/>
      <c r="J13" s="29"/>
      <c r="K13" s="29"/>
      <c r="L13" s="36"/>
      <c r="M13" s="29" t="n">
        <v>-15</v>
      </c>
      <c r="N13" s="54"/>
      <c r="O13" s="55" t="n">
        <f aca="false">N13*J13</f>
        <v>0</v>
      </c>
      <c r="R13" s="6"/>
    </row>
    <row r="14" customFormat="false" ht="15" hidden="false" customHeight="false" outlineLevel="0" collapsed="false">
      <c r="A14" s="33"/>
      <c r="B14" s="18" t="s">
        <v>23</v>
      </c>
      <c r="C14" s="29"/>
      <c r="D14" s="29"/>
      <c r="E14" s="38"/>
      <c r="F14" s="29"/>
      <c r="G14" s="34"/>
      <c r="H14" s="29"/>
      <c r="I14" s="29"/>
      <c r="J14" s="29"/>
      <c r="K14" s="29"/>
      <c r="L14" s="36"/>
      <c r="M14" s="29" t="n">
        <v>-15</v>
      </c>
      <c r="N14" s="54"/>
      <c r="O14" s="55" t="n">
        <f aca="false">N14*J14</f>
        <v>0</v>
      </c>
      <c r="R14" s="6"/>
    </row>
    <row r="15" customFormat="false" ht="15" hidden="false" customHeight="false" outlineLevel="0" collapsed="false">
      <c r="A15" s="33"/>
      <c r="B15" s="18" t="s">
        <v>23</v>
      </c>
      <c r="C15" s="29"/>
      <c r="D15" s="29"/>
      <c r="E15" s="38"/>
      <c r="F15" s="29"/>
      <c r="G15" s="34"/>
      <c r="H15" s="29"/>
      <c r="I15" s="29"/>
      <c r="J15" s="29"/>
      <c r="K15" s="29"/>
      <c r="L15" s="36"/>
      <c r="M15" s="29" t="n">
        <v>-15</v>
      </c>
      <c r="N15" s="54"/>
      <c r="O15" s="55" t="n">
        <f aca="false">N15*J15</f>
        <v>0</v>
      </c>
      <c r="R15" s="6"/>
    </row>
    <row r="16" customFormat="false" ht="15" hidden="false" customHeight="false" outlineLevel="0" collapsed="false">
      <c r="A16" s="33"/>
      <c r="B16" s="18" t="s">
        <v>23</v>
      </c>
      <c r="C16" s="29"/>
      <c r="D16" s="29"/>
      <c r="E16" s="38"/>
      <c r="F16" s="29"/>
      <c r="G16" s="34"/>
      <c r="H16" s="29"/>
      <c r="I16" s="29"/>
      <c r="J16" s="29"/>
      <c r="K16" s="29"/>
      <c r="L16" s="36"/>
      <c r="M16" s="29" t="n">
        <v>-15</v>
      </c>
      <c r="N16" s="54"/>
      <c r="O16" s="55" t="n">
        <f aca="false">N16*J16</f>
        <v>0</v>
      </c>
      <c r="R16" s="6"/>
    </row>
    <row r="17" customFormat="false" ht="15" hidden="false" customHeight="false" outlineLevel="0" collapsed="false">
      <c r="A17" s="33"/>
      <c r="B17" s="18" t="s">
        <v>23</v>
      </c>
      <c r="C17" s="29"/>
      <c r="D17" s="29"/>
      <c r="E17" s="38"/>
      <c r="F17" s="29"/>
      <c r="G17" s="34"/>
      <c r="H17" s="29"/>
      <c r="I17" s="29"/>
      <c r="J17" s="29"/>
      <c r="K17" s="29"/>
      <c r="L17" s="36"/>
      <c r="M17" s="29" t="n">
        <v>-15</v>
      </c>
      <c r="N17" s="54"/>
      <c r="O17" s="55" t="n">
        <f aca="false">N17*J17</f>
        <v>0</v>
      </c>
      <c r="R17" s="6"/>
    </row>
    <row r="18" customFormat="false" ht="15" hidden="false" customHeight="false" outlineLevel="0" collapsed="false">
      <c r="A18" s="33"/>
      <c r="B18" s="18" t="s">
        <v>23</v>
      </c>
      <c r="C18" s="29"/>
      <c r="D18" s="29"/>
      <c r="E18" s="38"/>
      <c r="F18" s="29"/>
      <c r="G18" s="34"/>
      <c r="H18" s="29"/>
      <c r="I18" s="29"/>
      <c r="J18" s="29"/>
      <c r="K18" s="29"/>
      <c r="L18" s="36"/>
      <c r="M18" s="29" t="n">
        <v>-15</v>
      </c>
      <c r="N18" s="54"/>
      <c r="O18" s="55" t="n">
        <f aca="false">N18*J18</f>
        <v>0</v>
      </c>
      <c r="R18" s="6"/>
    </row>
    <row r="19" customFormat="false" ht="15" hidden="false" customHeight="false" outlineLevel="0" collapsed="false">
      <c r="A19" s="33"/>
      <c r="B19" s="18" t="s">
        <v>23</v>
      </c>
      <c r="C19" s="29"/>
      <c r="D19" s="29"/>
      <c r="E19" s="38"/>
      <c r="F19" s="29"/>
      <c r="G19" s="34"/>
      <c r="H19" s="29"/>
      <c r="I19" s="29"/>
      <c r="J19" s="29"/>
      <c r="K19" s="29"/>
      <c r="L19" s="36"/>
      <c r="M19" s="29" t="n">
        <v>-15</v>
      </c>
      <c r="N19" s="54"/>
      <c r="O19" s="55" t="n">
        <f aca="false">N19*J19</f>
        <v>0</v>
      </c>
      <c r="R19" s="6"/>
    </row>
    <row r="20" customFormat="false" ht="15" hidden="false" customHeight="false" outlineLevel="0" collapsed="false">
      <c r="A20" s="33"/>
      <c r="B20" s="18" t="s">
        <v>23</v>
      </c>
      <c r="C20" s="29"/>
      <c r="D20" s="29"/>
      <c r="E20" s="38"/>
      <c r="F20" s="29"/>
      <c r="G20" s="34"/>
      <c r="H20" s="29"/>
      <c r="I20" s="29"/>
      <c r="J20" s="29"/>
      <c r="K20" s="29"/>
      <c r="L20" s="36"/>
      <c r="M20" s="29" t="n">
        <v>-15</v>
      </c>
      <c r="N20" s="54"/>
      <c r="O20" s="55" t="n">
        <f aca="false">N20*J20</f>
        <v>0</v>
      </c>
      <c r="R20" s="6"/>
    </row>
    <row r="21" customFormat="false" ht="15" hidden="false" customHeight="false" outlineLevel="0" collapsed="false">
      <c r="A21" s="33"/>
      <c r="B21" s="18" t="s">
        <v>23</v>
      </c>
      <c r="C21" s="29"/>
      <c r="D21" s="29"/>
      <c r="E21" s="38"/>
      <c r="F21" s="29"/>
      <c r="G21" s="34"/>
      <c r="H21" s="29"/>
      <c r="I21" s="29"/>
      <c r="J21" s="29"/>
      <c r="K21" s="29"/>
      <c r="L21" s="36"/>
      <c r="M21" s="29" t="n">
        <v>-15</v>
      </c>
      <c r="N21" s="54"/>
      <c r="O21" s="55" t="n">
        <f aca="false">N21*J21</f>
        <v>0</v>
      </c>
      <c r="R21" s="6"/>
    </row>
    <row r="22" customFormat="false" ht="15" hidden="false" customHeight="false" outlineLevel="0" collapsed="false">
      <c r="A22" s="33"/>
      <c r="B22" s="18" t="s">
        <v>23</v>
      </c>
      <c r="C22" s="29"/>
      <c r="D22" s="29"/>
      <c r="E22" s="38"/>
      <c r="F22" s="29"/>
      <c r="G22" s="34"/>
      <c r="H22" s="29"/>
      <c r="I22" s="29"/>
      <c r="J22" s="29"/>
      <c r="K22" s="29"/>
      <c r="L22" s="36"/>
      <c r="M22" s="29" t="n">
        <v>-15</v>
      </c>
      <c r="N22" s="54"/>
      <c r="O22" s="55" t="n">
        <f aca="false">N22*J22</f>
        <v>0</v>
      </c>
      <c r="R22" s="6"/>
    </row>
    <row r="23" customFormat="false" ht="15" hidden="false" customHeight="false" outlineLevel="0" collapsed="false">
      <c r="A23" s="33"/>
      <c r="B23" s="18" t="s">
        <v>23</v>
      </c>
      <c r="C23" s="29"/>
      <c r="D23" s="29"/>
      <c r="E23" s="38"/>
      <c r="F23" s="29"/>
      <c r="G23" s="34"/>
      <c r="H23" s="29"/>
      <c r="I23" s="29"/>
      <c r="J23" s="29"/>
      <c r="K23" s="29"/>
      <c r="L23" s="36"/>
      <c r="M23" s="29" t="n">
        <v>-15</v>
      </c>
      <c r="N23" s="54"/>
      <c r="O23" s="55" t="n">
        <f aca="false">N23*J23</f>
        <v>0</v>
      </c>
      <c r="R23" s="6"/>
    </row>
    <row r="24" customFormat="false" ht="15" hidden="false" customHeight="false" outlineLevel="0" collapsed="false">
      <c r="A24" s="33"/>
      <c r="B24" s="18" t="s">
        <v>23</v>
      </c>
      <c r="C24" s="29"/>
      <c r="D24" s="29"/>
      <c r="E24" s="38"/>
      <c r="F24" s="29"/>
      <c r="G24" s="34"/>
      <c r="H24" s="29"/>
      <c r="I24" s="29"/>
      <c r="J24" s="29"/>
      <c r="K24" s="29"/>
      <c r="L24" s="36"/>
      <c r="M24" s="29" t="n">
        <v>-15</v>
      </c>
      <c r="N24" s="54"/>
      <c r="O24" s="55" t="n">
        <f aca="false">N24*J24</f>
        <v>0</v>
      </c>
      <c r="R24" s="6"/>
    </row>
    <row r="25" customFormat="false" ht="15" hidden="false" customHeight="false" outlineLevel="0" collapsed="false">
      <c r="A25" s="33"/>
      <c r="B25" s="18" t="s">
        <v>23</v>
      </c>
      <c r="C25" s="29"/>
      <c r="D25" s="29"/>
      <c r="E25" s="38"/>
      <c r="F25" s="29"/>
      <c r="G25" s="34"/>
      <c r="H25" s="29"/>
      <c r="I25" s="29"/>
      <c r="J25" s="29"/>
      <c r="K25" s="29"/>
      <c r="L25" s="36"/>
      <c r="M25" s="29" t="n">
        <v>-15</v>
      </c>
      <c r="N25" s="54"/>
      <c r="O25" s="55" t="n">
        <f aca="false">N25*J25</f>
        <v>0</v>
      </c>
      <c r="R25" s="6"/>
    </row>
    <row r="26" customFormat="false" ht="15" hidden="false" customHeight="false" outlineLevel="0" collapsed="false">
      <c r="A26" s="33"/>
      <c r="B26" s="18" t="s">
        <v>23</v>
      </c>
      <c r="C26" s="29"/>
      <c r="D26" s="29"/>
      <c r="E26" s="38"/>
      <c r="F26" s="29"/>
      <c r="G26" s="34"/>
      <c r="H26" s="29"/>
      <c r="I26" s="29"/>
      <c r="J26" s="29"/>
      <c r="K26" s="53"/>
      <c r="L26" s="36"/>
      <c r="M26" s="29"/>
      <c r="N26" s="54"/>
      <c r="O26" s="55" t="n">
        <f aca="false">N26*J26</f>
        <v>0</v>
      </c>
      <c r="R26" s="6"/>
    </row>
    <row r="27" customFormat="false" ht="15" hidden="false" customHeight="false" outlineLevel="0" collapsed="false">
      <c r="A27" s="33"/>
      <c r="B27" s="18" t="s">
        <v>23</v>
      </c>
      <c r="C27" s="29"/>
      <c r="D27" s="29"/>
      <c r="E27" s="38"/>
      <c r="F27" s="29"/>
      <c r="G27" s="34"/>
      <c r="H27" s="29"/>
      <c r="I27" s="29"/>
      <c r="J27" s="29"/>
      <c r="K27" s="29"/>
      <c r="L27" s="36"/>
      <c r="M27" s="29"/>
      <c r="N27" s="54"/>
      <c r="O27" s="55" t="n">
        <f aca="false">N27*J27</f>
        <v>0</v>
      </c>
      <c r="R27" s="6"/>
    </row>
    <row r="28" customFormat="false" ht="15" hidden="false" customHeight="false" outlineLevel="0" collapsed="false">
      <c r="A28" s="33"/>
      <c r="B28" s="18" t="s">
        <v>23</v>
      </c>
      <c r="C28" s="29"/>
      <c r="D28" s="29"/>
      <c r="E28" s="38"/>
      <c r="F28" s="29"/>
      <c r="G28" s="34"/>
      <c r="H28" s="29"/>
      <c r="I28" s="29"/>
      <c r="J28" s="29"/>
      <c r="K28" s="29"/>
      <c r="L28" s="36"/>
      <c r="M28" s="29"/>
      <c r="N28" s="54"/>
      <c r="O28" s="55" t="n">
        <f aca="false">N28*J28</f>
        <v>0</v>
      </c>
      <c r="R28" s="6"/>
    </row>
    <row r="29" customFormat="false" ht="15" hidden="false" customHeight="false" outlineLevel="0" collapsed="false">
      <c r="A29" s="33"/>
      <c r="B29" s="18" t="s">
        <v>23</v>
      </c>
      <c r="C29" s="29"/>
      <c r="D29" s="29"/>
      <c r="E29" s="38"/>
      <c r="F29" s="29"/>
      <c r="G29" s="34"/>
      <c r="H29" s="29"/>
      <c r="I29" s="29"/>
      <c r="J29" s="29"/>
      <c r="K29" s="29"/>
      <c r="L29" s="36"/>
      <c r="M29" s="29"/>
      <c r="N29" s="54"/>
      <c r="O29" s="55" t="n">
        <f aca="false">N29*J29</f>
        <v>0</v>
      </c>
      <c r="R29" s="6"/>
    </row>
    <row r="30" customFormat="false" ht="15" hidden="false" customHeight="false" outlineLevel="0" collapsed="false">
      <c r="A30" s="33"/>
      <c r="B30" s="18" t="s">
        <v>23</v>
      </c>
      <c r="C30" s="29"/>
      <c r="D30" s="29"/>
      <c r="E30" s="38"/>
      <c r="F30" s="29"/>
      <c r="G30" s="34"/>
      <c r="H30" s="29"/>
      <c r="I30" s="29"/>
      <c r="J30" s="29"/>
      <c r="K30" s="29"/>
      <c r="L30" s="36"/>
      <c r="M30" s="29"/>
      <c r="N30" s="54"/>
      <c r="O30" s="55" t="n">
        <f aca="false">N30*J30</f>
        <v>0</v>
      </c>
      <c r="R30" s="6"/>
    </row>
    <row r="31" customFormat="false" ht="15" hidden="false" customHeight="false" outlineLevel="0" collapsed="false">
      <c r="A31" s="33"/>
      <c r="B31" s="18" t="s">
        <v>23</v>
      </c>
      <c r="C31" s="29"/>
      <c r="D31" s="29"/>
      <c r="E31" s="38"/>
      <c r="F31" s="29"/>
      <c r="G31" s="34"/>
      <c r="H31" s="29"/>
      <c r="I31" s="29"/>
      <c r="J31" s="29"/>
      <c r="K31" s="29"/>
      <c r="L31" s="56"/>
      <c r="M31" s="29"/>
      <c r="N31" s="54"/>
      <c r="O31" s="55" t="n">
        <f aca="false">N31*J31</f>
        <v>0</v>
      </c>
      <c r="R31" s="6"/>
    </row>
    <row r="32" customFormat="false" ht="15" hidden="false" customHeight="false" outlineLevel="0" collapsed="false">
      <c r="A32" s="33"/>
      <c r="B32" s="18" t="s">
        <v>23</v>
      </c>
      <c r="C32" s="29"/>
      <c r="D32" s="29"/>
      <c r="E32" s="38"/>
      <c r="F32" s="29"/>
      <c r="G32" s="34"/>
      <c r="H32" s="29"/>
      <c r="I32" s="29"/>
      <c r="J32" s="29"/>
      <c r="K32" s="29"/>
      <c r="L32" s="36"/>
      <c r="M32" s="29"/>
      <c r="N32" s="54"/>
      <c r="O32" s="55" t="n">
        <f aca="false">N32*J32</f>
        <v>0</v>
      </c>
      <c r="R32" s="6"/>
    </row>
    <row r="33" customFormat="false" ht="15" hidden="false" customHeight="false" outlineLevel="0" collapsed="false">
      <c r="A33" s="33"/>
      <c r="B33" s="18" t="s">
        <v>23</v>
      </c>
      <c r="C33" s="29"/>
      <c r="D33" s="29"/>
      <c r="E33" s="38"/>
      <c r="F33" s="29"/>
      <c r="G33" s="34"/>
      <c r="H33" s="29"/>
      <c r="I33" s="29"/>
      <c r="J33" s="29"/>
      <c r="K33" s="29"/>
      <c r="L33" s="36"/>
      <c r="M33" s="29"/>
      <c r="N33" s="54"/>
      <c r="O33" s="55" t="n">
        <f aca="false">N33*J33</f>
        <v>0</v>
      </c>
      <c r="R33" s="6"/>
    </row>
    <row r="34" customFormat="false" ht="15" hidden="false" customHeight="false" outlineLevel="0" collapsed="false">
      <c r="A34" s="33"/>
      <c r="B34" s="18" t="s">
        <v>23</v>
      </c>
      <c r="C34" s="29"/>
      <c r="D34" s="29"/>
      <c r="E34" s="38"/>
      <c r="F34" s="29"/>
      <c r="G34" s="34"/>
      <c r="H34" s="29"/>
      <c r="I34" s="29"/>
      <c r="J34" s="29"/>
      <c r="K34" s="29"/>
      <c r="L34" s="36"/>
      <c r="M34" s="29"/>
      <c r="N34" s="54"/>
      <c r="O34" s="55" t="n">
        <f aca="false">N34*J34</f>
        <v>0</v>
      </c>
      <c r="R34" s="6"/>
    </row>
    <row r="35" customFormat="false" ht="15" hidden="false" customHeight="false" outlineLevel="0" collapsed="false">
      <c r="A35" s="33"/>
      <c r="B35" s="18" t="s">
        <v>23</v>
      </c>
      <c r="C35" s="29"/>
      <c r="D35" s="29"/>
      <c r="E35" s="38"/>
      <c r="F35" s="29"/>
      <c r="G35" s="34"/>
      <c r="H35" s="29"/>
      <c r="I35" s="29"/>
      <c r="J35" s="29"/>
      <c r="K35" s="29"/>
      <c r="L35" s="36"/>
      <c r="M35" s="29"/>
      <c r="N35" s="54"/>
      <c r="O35" s="55" t="n">
        <f aca="false">N35*J35</f>
        <v>0</v>
      </c>
      <c r="R35" s="6"/>
    </row>
    <row r="36" customFormat="false" ht="15" hidden="false" customHeight="false" outlineLevel="0" collapsed="false">
      <c r="A36" s="33"/>
      <c r="B36" s="18" t="s">
        <v>23</v>
      </c>
      <c r="C36" s="29"/>
      <c r="D36" s="29"/>
      <c r="E36" s="38"/>
      <c r="F36" s="29"/>
      <c r="G36" s="34"/>
      <c r="H36" s="29"/>
      <c r="I36" s="29"/>
      <c r="J36" s="29"/>
      <c r="K36" s="29"/>
      <c r="L36" s="36"/>
      <c r="M36" s="29"/>
      <c r="N36" s="54"/>
      <c r="O36" s="55" t="n">
        <f aca="false">N36*J36</f>
        <v>0</v>
      </c>
      <c r="R36" s="6"/>
    </row>
    <row r="37" customFormat="false" ht="15" hidden="false" customHeight="false" outlineLevel="0" collapsed="false">
      <c r="A37" s="33"/>
      <c r="B37" s="18" t="s">
        <v>23</v>
      </c>
      <c r="C37" s="29"/>
      <c r="D37" s="29"/>
      <c r="E37" s="38"/>
      <c r="F37" s="29"/>
      <c r="G37" s="34"/>
      <c r="H37" s="29"/>
      <c r="I37" s="29"/>
      <c r="J37" s="29"/>
      <c r="K37" s="29"/>
      <c r="L37" s="36"/>
      <c r="M37" s="29"/>
      <c r="N37" s="54"/>
      <c r="O37" s="55" t="n">
        <f aca="false">N37*J37</f>
        <v>0</v>
      </c>
      <c r="R37" s="6"/>
    </row>
    <row r="38" customFormat="false" ht="15" hidden="false" customHeight="false" outlineLevel="0" collapsed="false">
      <c r="A38" s="33"/>
      <c r="B38" s="18" t="s">
        <v>23</v>
      </c>
      <c r="C38" s="29"/>
      <c r="D38" s="29"/>
      <c r="E38" s="38"/>
      <c r="F38" s="29"/>
      <c r="G38" s="34"/>
      <c r="H38" s="29"/>
      <c r="I38" s="29"/>
      <c r="J38" s="29"/>
      <c r="K38" s="29"/>
      <c r="L38" s="36"/>
      <c r="M38" s="29"/>
      <c r="N38" s="54"/>
      <c r="O38" s="55" t="n">
        <f aca="false">N38*J38</f>
        <v>0</v>
      </c>
      <c r="R38" s="6"/>
    </row>
    <row r="39" customFormat="false" ht="15" hidden="false" customHeight="false" outlineLevel="0" collapsed="false">
      <c r="A39" s="33"/>
      <c r="B39" s="18" t="s">
        <v>23</v>
      </c>
      <c r="C39" s="29"/>
      <c r="D39" s="29"/>
      <c r="E39" s="38"/>
      <c r="F39" s="29"/>
      <c r="G39" s="34"/>
      <c r="H39" s="29"/>
      <c r="I39" s="29"/>
      <c r="J39" s="29"/>
      <c r="K39" s="29"/>
      <c r="L39" s="36"/>
      <c r="M39" s="29"/>
      <c r="N39" s="54"/>
      <c r="O39" s="55" t="n">
        <f aca="false">N39*J39</f>
        <v>0</v>
      </c>
      <c r="R39" s="6"/>
    </row>
    <row r="40" customFormat="false" ht="15" hidden="false" customHeight="false" outlineLevel="0" collapsed="false">
      <c r="A40" s="33"/>
      <c r="B40" s="18" t="s">
        <v>23</v>
      </c>
      <c r="C40" s="29"/>
      <c r="D40" s="29"/>
      <c r="E40" s="29"/>
      <c r="F40" s="29"/>
      <c r="G40" s="34"/>
      <c r="H40" s="29"/>
      <c r="I40" s="29"/>
      <c r="J40" s="29"/>
      <c r="K40" s="29"/>
      <c r="L40" s="36"/>
      <c r="M40" s="29"/>
      <c r="N40" s="54"/>
      <c r="O40" s="55" t="n">
        <f aca="false">N40*J40</f>
        <v>0</v>
      </c>
      <c r="R40" s="6"/>
    </row>
    <row r="41" customFormat="false" ht="15" hidden="false" customHeight="false" outlineLevel="0" collapsed="false">
      <c r="A41" s="33"/>
      <c r="B41" s="18" t="s">
        <v>23</v>
      </c>
      <c r="C41" s="29"/>
      <c r="D41" s="29"/>
      <c r="E41" s="29"/>
      <c r="F41" s="29"/>
      <c r="G41" s="34"/>
      <c r="H41" s="29"/>
      <c r="I41" s="29"/>
      <c r="J41" s="29"/>
      <c r="K41" s="29"/>
      <c r="L41" s="36"/>
      <c r="M41" s="29"/>
      <c r="N41" s="54"/>
      <c r="O41" s="55" t="n">
        <f aca="false">N41*J41</f>
        <v>0</v>
      </c>
      <c r="R41" s="6"/>
    </row>
    <row r="42" customFormat="false" ht="15" hidden="false" customHeight="false" outlineLevel="0" collapsed="false">
      <c r="A42" s="33"/>
      <c r="B42" s="18" t="s">
        <v>23</v>
      </c>
      <c r="C42" s="29"/>
      <c r="D42" s="29"/>
      <c r="E42" s="29"/>
      <c r="F42" s="29"/>
      <c r="G42" s="34"/>
      <c r="H42" s="29"/>
      <c r="I42" s="29"/>
      <c r="J42" s="29"/>
      <c r="K42" s="29"/>
      <c r="L42" s="36"/>
      <c r="M42" s="29"/>
      <c r="N42" s="54"/>
      <c r="O42" s="55" t="n">
        <f aca="false">N42*J42</f>
        <v>0</v>
      </c>
      <c r="R42" s="6"/>
    </row>
    <row r="43" customFormat="false" ht="15" hidden="false" customHeight="false" outlineLevel="0" collapsed="false">
      <c r="A43" s="33"/>
      <c r="B43" s="18" t="s">
        <v>23</v>
      </c>
      <c r="C43" s="29"/>
      <c r="D43" s="29"/>
      <c r="E43" s="29"/>
      <c r="F43" s="29"/>
      <c r="G43" s="34"/>
      <c r="H43" s="29"/>
      <c r="I43" s="29"/>
      <c r="J43" s="29"/>
      <c r="K43" s="29"/>
      <c r="L43" s="36"/>
      <c r="M43" s="29"/>
      <c r="N43" s="54"/>
      <c r="O43" s="55" t="n">
        <f aca="false">N43*J43</f>
        <v>0</v>
      </c>
      <c r="R43" s="6"/>
    </row>
    <row r="44" customFormat="false" ht="15" hidden="false" customHeight="false" outlineLevel="0" collapsed="false">
      <c r="A44" s="33"/>
      <c r="B44" s="18" t="s">
        <v>23</v>
      </c>
      <c r="C44" s="29"/>
      <c r="D44" s="29"/>
      <c r="E44" s="29"/>
      <c r="F44" s="29"/>
      <c r="G44" s="34"/>
      <c r="H44" s="29"/>
      <c r="I44" s="29"/>
      <c r="J44" s="29"/>
      <c r="K44" s="29"/>
      <c r="L44" s="36"/>
      <c r="M44" s="29"/>
      <c r="N44" s="54"/>
      <c r="O44" s="55" t="n">
        <f aca="false">N44*J44</f>
        <v>0</v>
      </c>
      <c r="R44" s="6"/>
    </row>
    <row r="45" customFormat="false" ht="15" hidden="false" customHeight="false" outlineLevel="0" collapsed="false">
      <c r="A45" s="33"/>
      <c r="B45" s="18" t="s">
        <v>23</v>
      </c>
      <c r="C45" s="29"/>
      <c r="D45" s="29"/>
      <c r="E45" s="29"/>
      <c r="F45" s="29"/>
      <c r="G45" s="34"/>
      <c r="H45" s="29"/>
      <c r="I45" s="29"/>
      <c r="J45" s="29"/>
      <c r="K45" s="29"/>
      <c r="L45" s="36"/>
      <c r="M45" s="29"/>
      <c r="N45" s="54"/>
      <c r="O45" s="55" t="n">
        <f aca="false">N45*J45</f>
        <v>0</v>
      </c>
      <c r="R45" s="6"/>
    </row>
    <row r="46" customFormat="false" ht="15" hidden="false" customHeight="false" outlineLevel="0" collapsed="false">
      <c r="A46" s="33"/>
      <c r="B46" s="18" t="s">
        <v>23</v>
      </c>
      <c r="C46" s="29"/>
      <c r="D46" s="29"/>
      <c r="E46" s="29"/>
      <c r="F46" s="29"/>
      <c r="G46" s="34"/>
      <c r="H46" s="29"/>
      <c r="I46" s="29"/>
      <c r="J46" s="29"/>
      <c r="K46" s="29"/>
      <c r="L46" s="36"/>
      <c r="M46" s="29"/>
      <c r="N46" s="54"/>
      <c r="O46" s="55" t="n">
        <f aca="false">N46*J46</f>
        <v>0</v>
      </c>
      <c r="R46" s="6"/>
    </row>
    <row r="47" customFormat="false" ht="15" hidden="false" customHeight="false" outlineLevel="0" collapsed="false">
      <c r="A47" s="33"/>
      <c r="B47" s="18" t="s">
        <v>23</v>
      </c>
      <c r="C47" s="29"/>
      <c r="D47" s="29"/>
      <c r="E47" s="29"/>
      <c r="F47" s="29"/>
      <c r="G47" s="34"/>
      <c r="H47" s="29"/>
      <c r="I47" s="29"/>
      <c r="J47" s="29"/>
      <c r="K47" s="29"/>
      <c r="L47" s="36"/>
      <c r="M47" s="29"/>
      <c r="N47" s="54"/>
      <c r="O47" s="55" t="n">
        <f aca="false">N47*J47</f>
        <v>0</v>
      </c>
      <c r="R47" s="6"/>
    </row>
    <row r="48" customFormat="false" ht="15" hidden="false" customHeight="false" outlineLevel="0" collapsed="false">
      <c r="A48" s="33"/>
      <c r="B48" s="18" t="s">
        <v>23</v>
      </c>
      <c r="C48" s="29"/>
      <c r="D48" s="29"/>
      <c r="E48" s="29"/>
      <c r="F48" s="29"/>
      <c r="G48" s="34"/>
      <c r="H48" s="29"/>
      <c r="I48" s="29"/>
      <c r="J48" s="29"/>
      <c r="K48" s="29"/>
      <c r="L48" s="36"/>
      <c r="M48" s="29"/>
      <c r="N48" s="54"/>
      <c r="O48" s="55" t="n">
        <f aca="false">N48*J48</f>
        <v>0</v>
      </c>
      <c r="R48" s="6"/>
    </row>
    <row r="49" customFormat="false" ht="15" hidden="false" customHeight="false" outlineLevel="0" collapsed="false">
      <c r="A49" s="33"/>
      <c r="B49" s="18" t="s">
        <v>23</v>
      </c>
      <c r="C49" s="29"/>
      <c r="D49" s="29"/>
      <c r="E49" s="29"/>
      <c r="F49" s="29"/>
      <c r="G49" s="34"/>
      <c r="H49" s="29"/>
      <c r="I49" s="29"/>
      <c r="J49" s="29"/>
      <c r="K49" s="29"/>
      <c r="L49" s="36"/>
      <c r="M49" s="29"/>
      <c r="N49" s="54"/>
      <c r="O49" s="55" t="n">
        <f aca="false">N49*J49</f>
        <v>0</v>
      </c>
      <c r="R49" s="6"/>
    </row>
    <row r="50" customFormat="false" ht="15" hidden="false" customHeight="false" outlineLevel="0" collapsed="false">
      <c r="A50" s="33"/>
      <c r="B50" s="18" t="s">
        <v>23</v>
      </c>
      <c r="C50" s="29"/>
      <c r="D50" s="29"/>
      <c r="E50" s="29"/>
      <c r="F50" s="29"/>
      <c r="G50" s="34"/>
      <c r="H50" s="29"/>
      <c r="I50" s="29"/>
      <c r="J50" s="29"/>
      <c r="K50" s="29"/>
      <c r="L50" s="36"/>
      <c r="M50" s="29"/>
      <c r="N50" s="54"/>
      <c r="O50" s="55" t="n">
        <f aca="false">N50*J50</f>
        <v>0</v>
      </c>
      <c r="R50" s="6"/>
    </row>
    <row r="51" customFormat="false" ht="15" hidden="false" customHeight="false" outlineLevel="0" collapsed="false">
      <c r="A51" s="33"/>
      <c r="B51" s="18" t="s">
        <v>23</v>
      </c>
      <c r="C51" s="29"/>
      <c r="D51" s="29"/>
      <c r="E51" s="29"/>
      <c r="F51" s="29"/>
      <c r="G51" s="34"/>
      <c r="H51" s="29"/>
      <c r="I51" s="29"/>
      <c r="J51" s="29"/>
      <c r="K51" s="29"/>
      <c r="L51" s="36"/>
      <c r="M51" s="29"/>
      <c r="N51" s="54"/>
      <c r="O51" s="55" t="n">
        <f aca="false">N51*J51</f>
        <v>0</v>
      </c>
      <c r="R51" s="6"/>
    </row>
    <row r="52" customFormat="false" ht="15" hidden="false" customHeight="false" outlineLevel="0" collapsed="false">
      <c r="A52" s="33"/>
      <c r="B52" s="18" t="s">
        <v>23</v>
      </c>
      <c r="C52" s="29"/>
      <c r="D52" s="29"/>
      <c r="E52" s="29"/>
      <c r="F52" s="29"/>
      <c r="G52" s="34"/>
      <c r="H52" s="29"/>
      <c r="I52" s="29"/>
      <c r="J52" s="29"/>
      <c r="K52" s="29"/>
      <c r="L52" s="36"/>
      <c r="M52" s="29"/>
      <c r="N52" s="54"/>
      <c r="O52" s="55" t="n">
        <f aca="false">N52*J52</f>
        <v>0</v>
      </c>
      <c r="R52" s="6"/>
    </row>
    <row r="53" customFormat="false" ht="15" hidden="false" customHeight="false" outlineLevel="0" collapsed="false">
      <c r="A53" s="33"/>
      <c r="B53" s="18" t="s">
        <v>23</v>
      </c>
      <c r="C53" s="29"/>
      <c r="D53" s="29"/>
      <c r="E53" s="29"/>
      <c r="F53" s="29"/>
      <c r="G53" s="34"/>
      <c r="H53" s="29"/>
      <c r="I53" s="29"/>
      <c r="J53" s="29"/>
      <c r="K53" s="29"/>
      <c r="L53" s="36"/>
      <c r="M53" s="29"/>
      <c r="N53" s="54"/>
      <c r="O53" s="55" t="n">
        <f aca="false">N53*J53</f>
        <v>0</v>
      </c>
      <c r="R53" s="6"/>
    </row>
    <row r="54" customFormat="false" ht="15" hidden="false" customHeight="false" outlineLevel="0" collapsed="false">
      <c r="A54" s="33"/>
      <c r="B54" s="18" t="s">
        <v>23</v>
      </c>
      <c r="C54" s="29"/>
      <c r="D54" s="29"/>
      <c r="E54" s="29"/>
      <c r="F54" s="29"/>
      <c r="G54" s="34"/>
      <c r="H54" s="29"/>
      <c r="I54" s="29"/>
      <c r="J54" s="29"/>
      <c r="K54" s="29"/>
      <c r="L54" s="36"/>
      <c r="M54" s="29"/>
      <c r="N54" s="54"/>
      <c r="O54" s="55" t="n">
        <f aca="false">N54*J54</f>
        <v>0</v>
      </c>
      <c r="R54" s="6"/>
    </row>
    <row r="55" customFormat="false" ht="15" hidden="false" customHeight="false" outlineLevel="0" collapsed="false">
      <c r="A55" s="33"/>
      <c r="B55" s="18" t="s">
        <v>23</v>
      </c>
      <c r="C55" s="29"/>
      <c r="D55" s="29"/>
      <c r="E55" s="29"/>
      <c r="F55" s="29"/>
      <c r="G55" s="34"/>
      <c r="H55" s="29"/>
      <c r="I55" s="29"/>
      <c r="J55" s="29"/>
      <c r="K55" s="29"/>
      <c r="L55" s="36"/>
      <c r="M55" s="29"/>
      <c r="N55" s="54"/>
      <c r="O55" s="55" t="n">
        <f aca="false">N55*J55</f>
        <v>0</v>
      </c>
      <c r="R55" s="6"/>
    </row>
    <row r="56" customFormat="false" ht="15" hidden="false" customHeight="false" outlineLevel="0" collapsed="false">
      <c r="A56" s="33"/>
      <c r="B56" s="18" t="s">
        <v>23</v>
      </c>
      <c r="C56" s="29"/>
      <c r="D56" s="29"/>
      <c r="E56" s="29"/>
      <c r="F56" s="29"/>
      <c r="G56" s="34"/>
      <c r="H56" s="29"/>
      <c r="I56" s="29"/>
      <c r="J56" s="29"/>
      <c r="K56" s="29"/>
      <c r="L56" s="36"/>
      <c r="M56" s="29"/>
      <c r="N56" s="54"/>
      <c r="O56" s="55" t="n">
        <f aca="false">N56*J56</f>
        <v>0</v>
      </c>
      <c r="R56" s="6"/>
    </row>
    <row r="57" customFormat="false" ht="15" hidden="false" customHeight="false" outlineLevel="0" collapsed="false">
      <c r="A57" s="33"/>
      <c r="B57" s="18" t="s">
        <v>23</v>
      </c>
      <c r="C57" s="29"/>
      <c r="D57" s="29"/>
      <c r="E57" s="29"/>
      <c r="F57" s="29"/>
      <c r="G57" s="34"/>
      <c r="H57" s="29"/>
      <c r="I57" s="29"/>
      <c r="J57" s="29"/>
      <c r="K57" s="29"/>
      <c r="L57" s="36"/>
      <c r="M57" s="29"/>
      <c r="N57" s="54"/>
      <c r="O57" s="55" t="n">
        <f aca="false">N57*J57</f>
        <v>0</v>
      </c>
      <c r="R57" s="6"/>
    </row>
    <row r="58" customFormat="false" ht="15" hidden="false" customHeight="false" outlineLevel="0" collapsed="false">
      <c r="A58" s="33"/>
      <c r="B58" s="18" t="s">
        <v>23</v>
      </c>
      <c r="C58" s="29"/>
      <c r="D58" s="29"/>
      <c r="E58" s="29"/>
      <c r="F58" s="29"/>
      <c r="G58" s="34"/>
      <c r="H58" s="29"/>
      <c r="I58" s="29"/>
      <c r="J58" s="29"/>
      <c r="K58" s="29"/>
      <c r="L58" s="36"/>
      <c r="M58" s="29"/>
      <c r="N58" s="54"/>
      <c r="O58" s="55" t="n">
        <f aca="false">N58*J58</f>
        <v>0</v>
      </c>
      <c r="R58" s="6"/>
    </row>
    <row r="59" customFormat="false" ht="15" hidden="false" customHeight="false" outlineLevel="0" collapsed="false">
      <c r="A59" s="33"/>
      <c r="B59" s="18" t="s">
        <v>23</v>
      </c>
      <c r="C59" s="29"/>
      <c r="D59" s="29"/>
      <c r="E59" s="29"/>
      <c r="F59" s="29"/>
      <c r="G59" s="34"/>
      <c r="H59" s="29"/>
      <c r="I59" s="29"/>
      <c r="J59" s="29"/>
      <c r="K59" s="29"/>
      <c r="L59" s="36"/>
      <c r="M59" s="29"/>
      <c r="N59" s="54"/>
      <c r="O59" s="55" t="n">
        <f aca="false">N59*J59</f>
        <v>0</v>
      </c>
      <c r="R59" s="6"/>
    </row>
    <row r="60" customFormat="false" ht="15" hidden="false" customHeight="false" outlineLevel="0" collapsed="false">
      <c r="A60" s="33"/>
      <c r="B60" s="18" t="s">
        <v>23</v>
      </c>
      <c r="C60" s="29"/>
      <c r="D60" s="29"/>
      <c r="E60" s="29"/>
      <c r="F60" s="29"/>
      <c r="G60" s="34"/>
      <c r="H60" s="29"/>
      <c r="I60" s="29"/>
      <c r="J60" s="29"/>
      <c r="K60" s="29"/>
      <c r="L60" s="36"/>
      <c r="M60" s="29"/>
      <c r="N60" s="54"/>
      <c r="O60" s="55" t="n">
        <f aca="false">N60*J60</f>
        <v>0</v>
      </c>
      <c r="R60" s="6"/>
    </row>
    <row r="61" customFormat="false" ht="15" hidden="false" customHeight="false" outlineLevel="0" collapsed="false">
      <c r="A61" s="33"/>
      <c r="B61" s="18" t="s">
        <v>23</v>
      </c>
      <c r="C61" s="29"/>
      <c r="D61" s="29"/>
      <c r="E61" s="29"/>
      <c r="F61" s="29"/>
      <c r="G61" s="34"/>
      <c r="H61" s="29"/>
      <c r="I61" s="29"/>
      <c r="J61" s="29"/>
      <c r="K61" s="29"/>
      <c r="L61" s="36"/>
      <c r="M61" s="29"/>
      <c r="N61" s="54"/>
      <c r="O61" s="55" t="n">
        <f aca="false">N61*J61</f>
        <v>0</v>
      </c>
      <c r="R61" s="6"/>
    </row>
    <row r="62" customFormat="false" ht="15" hidden="false" customHeight="false" outlineLevel="0" collapsed="false">
      <c r="A62" s="33"/>
      <c r="B62" s="18" t="s">
        <v>23</v>
      </c>
      <c r="C62" s="29"/>
      <c r="D62" s="29"/>
      <c r="E62" s="29"/>
      <c r="F62" s="29"/>
      <c r="G62" s="34"/>
      <c r="H62" s="29"/>
      <c r="I62" s="29"/>
      <c r="J62" s="29"/>
      <c r="K62" s="29"/>
      <c r="L62" s="36"/>
      <c r="M62" s="29"/>
      <c r="N62" s="54"/>
      <c r="O62" s="55" t="n">
        <f aca="false">N62*J62</f>
        <v>0</v>
      </c>
      <c r="R62" s="6"/>
    </row>
    <row r="63" customFormat="false" ht="15" hidden="false" customHeight="false" outlineLevel="0" collapsed="false">
      <c r="A63" s="33"/>
      <c r="B63" s="18" t="s">
        <v>23</v>
      </c>
      <c r="C63" s="29"/>
      <c r="D63" s="29"/>
      <c r="E63" s="29"/>
      <c r="F63" s="29"/>
      <c r="G63" s="34"/>
      <c r="H63" s="29"/>
      <c r="I63" s="29"/>
      <c r="J63" s="29"/>
      <c r="K63" s="29"/>
      <c r="L63" s="36"/>
      <c r="M63" s="29"/>
      <c r="N63" s="54"/>
      <c r="O63" s="55" t="n">
        <f aca="false">N63*J63</f>
        <v>0</v>
      </c>
      <c r="R63" s="6"/>
    </row>
    <row r="64" customFormat="false" ht="15" hidden="false" customHeight="false" outlineLevel="0" collapsed="false">
      <c r="A64" s="33"/>
      <c r="B64" s="18" t="s">
        <v>23</v>
      </c>
      <c r="C64" s="29"/>
      <c r="D64" s="29"/>
      <c r="E64" s="29"/>
      <c r="F64" s="29"/>
      <c r="G64" s="34"/>
      <c r="H64" s="29"/>
      <c r="I64" s="29"/>
      <c r="J64" s="29"/>
      <c r="K64" s="29"/>
      <c r="L64" s="36"/>
      <c r="M64" s="29"/>
      <c r="N64" s="54"/>
      <c r="O64" s="55" t="n">
        <f aca="false">N64*J64</f>
        <v>0</v>
      </c>
      <c r="R64" s="6"/>
    </row>
    <row r="65" customFormat="false" ht="15" hidden="false" customHeight="false" outlineLevel="0" collapsed="false">
      <c r="A65" s="33"/>
      <c r="B65" s="18" t="s">
        <v>23</v>
      </c>
      <c r="C65" s="29"/>
      <c r="D65" s="29"/>
      <c r="E65" s="29"/>
      <c r="F65" s="29"/>
      <c r="G65" s="34"/>
      <c r="H65" s="29"/>
      <c r="I65" s="29"/>
      <c r="J65" s="29"/>
      <c r="K65" s="29"/>
      <c r="L65" s="36"/>
      <c r="M65" s="29"/>
      <c r="N65" s="54"/>
      <c r="O65" s="55" t="n">
        <f aca="false">N65*J65</f>
        <v>0</v>
      </c>
      <c r="R65" s="6"/>
    </row>
    <row r="66" customFormat="false" ht="15" hidden="false" customHeight="false" outlineLevel="0" collapsed="false">
      <c r="A66" s="33"/>
      <c r="B66" s="18" t="s">
        <v>23</v>
      </c>
      <c r="C66" s="29"/>
      <c r="D66" s="29"/>
      <c r="E66" s="29"/>
      <c r="F66" s="29"/>
      <c r="G66" s="34"/>
      <c r="H66" s="29"/>
      <c r="I66" s="29"/>
      <c r="J66" s="29"/>
      <c r="K66" s="29"/>
      <c r="L66" s="36"/>
      <c r="M66" s="29"/>
      <c r="N66" s="54"/>
      <c r="O66" s="55" t="n">
        <f aca="false">N66*J66</f>
        <v>0</v>
      </c>
      <c r="R66" s="6"/>
    </row>
    <row r="67" customFormat="false" ht="15" hidden="false" customHeight="false" outlineLevel="0" collapsed="false">
      <c r="A67" s="33"/>
      <c r="B67" s="18" t="s">
        <v>23</v>
      </c>
      <c r="C67" s="29"/>
      <c r="D67" s="29"/>
      <c r="E67" s="29"/>
      <c r="F67" s="29"/>
      <c r="G67" s="34"/>
      <c r="H67" s="29"/>
      <c r="I67" s="29"/>
      <c r="J67" s="29"/>
      <c r="K67" s="29"/>
      <c r="L67" s="36"/>
      <c r="M67" s="29"/>
      <c r="N67" s="54"/>
      <c r="O67" s="55" t="n">
        <f aca="false">N67*J67</f>
        <v>0</v>
      </c>
      <c r="R67" s="6"/>
    </row>
    <row r="68" customFormat="false" ht="15" hidden="false" customHeight="false" outlineLevel="0" collapsed="false">
      <c r="A68" s="33"/>
      <c r="B68" s="18" t="s">
        <v>23</v>
      </c>
      <c r="C68" s="29"/>
      <c r="D68" s="29"/>
      <c r="E68" s="29"/>
      <c r="F68" s="29"/>
      <c r="G68" s="34"/>
      <c r="H68" s="29"/>
      <c r="I68" s="29"/>
      <c r="J68" s="29"/>
      <c r="K68" s="29"/>
      <c r="L68" s="36"/>
      <c r="M68" s="29"/>
      <c r="N68" s="54"/>
      <c r="O68" s="55" t="n">
        <f aca="false">N68*J68</f>
        <v>0</v>
      </c>
      <c r="R68" s="6"/>
    </row>
    <row r="69" customFormat="false" ht="15" hidden="false" customHeight="false" outlineLevel="0" collapsed="false">
      <c r="A69" s="33"/>
      <c r="B69" s="18" t="s">
        <v>23</v>
      </c>
      <c r="C69" s="29"/>
      <c r="D69" s="29"/>
      <c r="E69" s="29"/>
      <c r="F69" s="29"/>
      <c r="G69" s="34"/>
      <c r="H69" s="29"/>
      <c r="I69" s="29"/>
      <c r="J69" s="29"/>
      <c r="K69" s="29"/>
      <c r="L69" s="36"/>
      <c r="M69" s="29"/>
      <c r="N69" s="54"/>
      <c r="O69" s="55" t="n">
        <f aca="false">N69*J69</f>
        <v>0</v>
      </c>
      <c r="R69" s="6"/>
    </row>
    <row r="70" customFormat="false" ht="15" hidden="false" customHeight="false" outlineLevel="0" collapsed="false">
      <c r="A70" s="33"/>
      <c r="B70" s="18"/>
      <c r="C70" s="29"/>
      <c r="D70" s="29"/>
      <c r="E70" s="29"/>
      <c r="F70" s="29"/>
      <c r="G70" s="34"/>
      <c r="H70" s="29"/>
      <c r="I70" s="29"/>
      <c r="J70" s="29"/>
      <c r="K70" s="29"/>
      <c r="L70" s="36"/>
      <c r="M70" s="29"/>
      <c r="N70" s="54"/>
      <c r="O70" s="55" t="n">
        <f aca="false">N70*J70</f>
        <v>0</v>
      </c>
      <c r="R70" s="6"/>
    </row>
    <row r="71" customFormat="false" ht="15" hidden="false" customHeight="false" outlineLevel="0" collapsed="false">
      <c r="A71" s="33"/>
      <c r="B71" s="18"/>
      <c r="C71" s="29"/>
      <c r="D71" s="29"/>
      <c r="E71" s="29"/>
      <c r="F71" s="29"/>
      <c r="G71" s="34"/>
      <c r="H71" s="29"/>
      <c r="I71" s="29"/>
      <c r="J71" s="29"/>
      <c r="K71" s="29"/>
      <c r="L71" s="36"/>
      <c r="M71" s="29"/>
      <c r="N71" s="54"/>
      <c r="O71" s="55" t="n">
        <f aca="false">N71*J71</f>
        <v>0</v>
      </c>
      <c r="R71" s="6"/>
    </row>
    <row r="72" customFormat="false" ht="15" hidden="false" customHeight="false" outlineLevel="0" collapsed="false">
      <c r="A72" s="33"/>
      <c r="B72" s="18"/>
      <c r="C72" s="29"/>
      <c r="D72" s="29"/>
      <c r="E72" s="29"/>
      <c r="F72" s="29"/>
      <c r="G72" s="34"/>
      <c r="H72" s="29"/>
      <c r="I72" s="29"/>
      <c r="J72" s="29"/>
      <c r="K72" s="29"/>
      <c r="L72" s="36"/>
      <c r="M72" s="29"/>
      <c r="N72" s="54"/>
      <c r="O72" s="55" t="n">
        <f aca="false">N72*J72</f>
        <v>0</v>
      </c>
      <c r="R72" s="6"/>
    </row>
    <row r="73" customFormat="false" ht="15" hidden="false" customHeight="false" outlineLevel="0" collapsed="false">
      <c r="A73" s="33"/>
      <c r="B73" s="18"/>
      <c r="C73" s="29"/>
      <c r="D73" s="29"/>
      <c r="E73" s="29"/>
      <c r="F73" s="29"/>
      <c r="G73" s="34"/>
      <c r="H73" s="29"/>
      <c r="I73" s="29"/>
      <c r="J73" s="29"/>
      <c r="K73" s="29"/>
      <c r="L73" s="36"/>
      <c r="M73" s="29"/>
      <c r="N73" s="54"/>
      <c r="O73" s="55" t="n">
        <f aca="false">N73*J73</f>
        <v>0</v>
      </c>
      <c r="R73" s="6"/>
    </row>
    <row r="74" customFormat="false" ht="15" hidden="false" customHeight="false" outlineLevel="0" collapsed="false">
      <c r="A74" s="33"/>
      <c r="B74" s="18"/>
      <c r="C74" s="29"/>
      <c r="D74" s="29"/>
      <c r="E74" s="29"/>
      <c r="F74" s="29"/>
      <c r="G74" s="34"/>
      <c r="H74" s="29"/>
      <c r="I74" s="29"/>
      <c r="J74" s="29"/>
      <c r="K74" s="29"/>
      <c r="L74" s="36"/>
      <c r="M74" s="29"/>
      <c r="N74" s="54"/>
      <c r="O74" s="55" t="n">
        <f aca="false">N74*J74</f>
        <v>0</v>
      </c>
      <c r="R74" s="6"/>
    </row>
    <row r="75" customFormat="false" ht="15" hidden="false" customHeight="false" outlineLevel="0" collapsed="false">
      <c r="A75" s="33"/>
      <c r="B75" s="18"/>
      <c r="C75" s="29"/>
      <c r="D75" s="29"/>
      <c r="E75" s="29"/>
      <c r="F75" s="29"/>
      <c r="G75" s="34"/>
      <c r="H75" s="29"/>
      <c r="I75" s="29"/>
      <c r="J75" s="29"/>
      <c r="K75" s="29"/>
      <c r="L75" s="36"/>
      <c r="M75" s="29"/>
      <c r="N75" s="54"/>
      <c r="O75" s="55" t="n">
        <f aca="false">N75*J75</f>
        <v>0</v>
      </c>
      <c r="R75" s="6"/>
    </row>
    <row r="76" customFormat="false" ht="15" hidden="false" customHeight="false" outlineLevel="0" collapsed="false">
      <c r="A76" s="33"/>
      <c r="B76" s="18"/>
      <c r="C76" s="29"/>
      <c r="D76" s="29"/>
      <c r="E76" s="29"/>
      <c r="F76" s="29"/>
      <c r="G76" s="34"/>
      <c r="H76" s="29"/>
      <c r="I76" s="29"/>
      <c r="J76" s="29"/>
      <c r="K76" s="29"/>
      <c r="L76" s="36"/>
      <c r="M76" s="29"/>
      <c r="N76" s="54"/>
      <c r="O76" s="55" t="n">
        <f aca="false">N76*J76</f>
        <v>0</v>
      </c>
      <c r="R76" s="6"/>
    </row>
    <row r="77" customFormat="false" ht="15" hidden="false" customHeight="false" outlineLevel="0" collapsed="false">
      <c r="A77" s="33"/>
      <c r="B77" s="18"/>
      <c r="C77" s="29"/>
      <c r="D77" s="29"/>
      <c r="E77" s="29"/>
      <c r="F77" s="29"/>
      <c r="G77" s="34"/>
      <c r="H77" s="29"/>
      <c r="I77" s="29"/>
      <c r="J77" s="29"/>
      <c r="K77" s="29"/>
      <c r="L77" s="36"/>
      <c r="M77" s="29"/>
      <c r="N77" s="54"/>
      <c r="O77" s="55" t="n">
        <f aca="false">N77*J77</f>
        <v>0</v>
      </c>
      <c r="R77" s="6"/>
    </row>
    <row r="78" customFormat="false" ht="15" hidden="false" customHeight="false" outlineLevel="0" collapsed="false">
      <c r="A78" s="33"/>
      <c r="B78" s="18"/>
      <c r="C78" s="29"/>
      <c r="D78" s="29"/>
      <c r="E78" s="29"/>
      <c r="F78" s="29"/>
      <c r="G78" s="34"/>
      <c r="H78" s="29"/>
      <c r="I78" s="29"/>
      <c r="J78" s="29"/>
      <c r="K78" s="29"/>
      <c r="L78" s="36"/>
      <c r="M78" s="29"/>
      <c r="N78" s="54"/>
      <c r="O78" s="55" t="n">
        <f aca="false">N78*J78</f>
        <v>0</v>
      </c>
      <c r="R78" s="6"/>
    </row>
    <row r="79" customFormat="false" ht="15" hidden="false" customHeight="false" outlineLevel="0" collapsed="false">
      <c r="A79" s="33"/>
      <c r="B79" s="18"/>
      <c r="C79" s="29"/>
      <c r="D79" s="29"/>
      <c r="E79" s="29"/>
      <c r="F79" s="29"/>
      <c r="G79" s="34"/>
      <c r="H79" s="29"/>
      <c r="I79" s="29"/>
      <c r="J79" s="29"/>
      <c r="K79" s="29"/>
      <c r="L79" s="36"/>
      <c r="M79" s="29"/>
      <c r="N79" s="54"/>
      <c r="O79" s="55" t="n">
        <f aca="false">N79*J79</f>
        <v>0</v>
      </c>
      <c r="R79" s="6"/>
    </row>
    <row r="80" customFormat="false" ht="15" hidden="false" customHeight="false" outlineLevel="0" collapsed="false">
      <c r="A80" s="33"/>
      <c r="B80" s="18"/>
      <c r="C80" s="29"/>
      <c r="D80" s="29"/>
      <c r="E80" s="29"/>
      <c r="F80" s="29"/>
      <c r="G80" s="34"/>
      <c r="H80" s="29"/>
      <c r="I80" s="29"/>
      <c r="J80" s="29"/>
      <c r="K80" s="29"/>
      <c r="L80" s="36"/>
      <c r="M80" s="29"/>
      <c r="N80" s="54"/>
      <c r="O80" s="55" t="n">
        <f aca="false">N80*J80</f>
        <v>0</v>
      </c>
      <c r="R80" s="6"/>
    </row>
    <row r="81" customFormat="false" ht="15" hidden="false" customHeight="false" outlineLevel="0" collapsed="false">
      <c r="A81" s="33"/>
      <c r="B81" s="18"/>
      <c r="C81" s="29"/>
      <c r="D81" s="29"/>
      <c r="E81" s="29"/>
      <c r="F81" s="29"/>
      <c r="G81" s="34"/>
      <c r="H81" s="29"/>
      <c r="I81" s="29"/>
      <c r="J81" s="29"/>
      <c r="K81" s="29"/>
      <c r="L81" s="36"/>
      <c r="M81" s="29"/>
      <c r="N81" s="54"/>
      <c r="O81" s="55" t="n">
        <f aca="false">N81*J81</f>
        <v>0</v>
      </c>
      <c r="R81" s="6"/>
    </row>
    <row r="82" customFormat="false" ht="15" hidden="false" customHeight="false" outlineLevel="0" collapsed="false">
      <c r="A82" s="33"/>
      <c r="B82" s="18"/>
      <c r="C82" s="29"/>
      <c r="D82" s="29"/>
      <c r="E82" s="29"/>
      <c r="F82" s="29"/>
      <c r="G82" s="34"/>
      <c r="H82" s="29"/>
      <c r="I82" s="29"/>
      <c r="J82" s="29"/>
      <c r="K82" s="29"/>
      <c r="L82" s="36"/>
      <c r="M82" s="29"/>
      <c r="N82" s="54"/>
      <c r="O82" s="55" t="n">
        <f aca="false">N82*J82</f>
        <v>0</v>
      </c>
      <c r="R82" s="6"/>
    </row>
    <row r="83" customFormat="false" ht="15" hidden="false" customHeight="false" outlineLevel="0" collapsed="false">
      <c r="A83" s="33"/>
      <c r="B83" s="18"/>
      <c r="C83" s="29"/>
      <c r="D83" s="29"/>
      <c r="E83" s="29"/>
      <c r="F83" s="29"/>
      <c r="G83" s="34"/>
      <c r="H83" s="29"/>
      <c r="I83" s="29"/>
      <c r="J83" s="29"/>
      <c r="K83" s="29"/>
      <c r="L83" s="36"/>
      <c r="M83" s="29"/>
      <c r="N83" s="54"/>
      <c r="O83" s="55" t="n">
        <f aca="false">N83*J83</f>
        <v>0</v>
      </c>
      <c r="R83" s="6"/>
    </row>
    <row r="84" customFormat="false" ht="15" hidden="false" customHeight="false" outlineLevel="0" collapsed="false">
      <c r="A84" s="33"/>
      <c r="B84" s="18"/>
      <c r="C84" s="29"/>
      <c r="D84" s="29"/>
      <c r="E84" s="29"/>
      <c r="F84" s="29"/>
      <c r="G84" s="34"/>
      <c r="H84" s="29"/>
      <c r="I84" s="29"/>
      <c r="J84" s="29"/>
      <c r="K84" s="29"/>
      <c r="L84" s="36"/>
      <c r="M84" s="29"/>
      <c r="N84" s="54"/>
      <c r="O84" s="55" t="n">
        <f aca="false">N84*J84</f>
        <v>0</v>
      </c>
      <c r="R84" s="6"/>
    </row>
    <row r="85" customFormat="false" ht="15" hidden="false" customHeight="false" outlineLevel="0" collapsed="false">
      <c r="A85" s="33"/>
      <c r="B85" s="18"/>
      <c r="C85" s="29"/>
      <c r="D85" s="29"/>
      <c r="E85" s="29"/>
      <c r="F85" s="29"/>
      <c r="G85" s="34"/>
      <c r="H85" s="29"/>
      <c r="I85" s="29"/>
      <c r="J85" s="29"/>
      <c r="K85" s="29"/>
      <c r="L85" s="36"/>
      <c r="M85" s="29"/>
      <c r="N85" s="54"/>
      <c r="O85" s="55" t="n">
        <f aca="false">N85*J85</f>
        <v>0</v>
      </c>
      <c r="R85" s="6"/>
    </row>
    <row r="86" customFormat="false" ht="15" hidden="false" customHeight="false" outlineLevel="0" collapsed="false">
      <c r="A86" s="33"/>
      <c r="B86" s="18"/>
      <c r="C86" s="29"/>
      <c r="D86" s="29"/>
      <c r="E86" s="29"/>
      <c r="F86" s="29"/>
      <c r="G86" s="34"/>
      <c r="H86" s="29"/>
      <c r="I86" s="29"/>
      <c r="J86" s="29"/>
      <c r="K86" s="29"/>
      <c r="L86" s="36"/>
      <c r="M86" s="29"/>
      <c r="N86" s="54"/>
      <c r="O86" s="55" t="n">
        <f aca="false">N86*J86</f>
        <v>0</v>
      </c>
      <c r="R86" s="6"/>
    </row>
    <row r="87" customFormat="false" ht="15" hidden="false" customHeight="false" outlineLevel="0" collapsed="false">
      <c r="A87" s="33"/>
      <c r="B87" s="18"/>
      <c r="C87" s="29"/>
      <c r="D87" s="29"/>
      <c r="E87" s="29"/>
      <c r="F87" s="29"/>
      <c r="G87" s="34"/>
      <c r="H87" s="29"/>
      <c r="I87" s="29"/>
      <c r="J87" s="29"/>
      <c r="K87" s="29"/>
      <c r="L87" s="36"/>
      <c r="M87" s="29"/>
      <c r="N87" s="54"/>
      <c r="O87" s="55" t="n">
        <f aca="false">N87*J87</f>
        <v>0</v>
      </c>
      <c r="R87" s="6"/>
    </row>
    <row r="88" customFormat="false" ht="15" hidden="false" customHeight="false" outlineLevel="0" collapsed="false">
      <c r="A88" s="33"/>
      <c r="B88" s="18"/>
      <c r="C88" s="29"/>
      <c r="D88" s="29"/>
      <c r="E88" s="29"/>
      <c r="F88" s="29"/>
      <c r="G88" s="34"/>
      <c r="H88" s="29"/>
      <c r="I88" s="29"/>
      <c r="J88" s="29"/>
      <c r="K88" s="29"/>
      <c r="L88" s="36"/>
      <c r="M88" s="29"/>
      <c r="N88" s="54"/>
      <c r="O88" s="55" t="n">
        <f aca="false">N88*J88</f>
        <v>0</v>
      </c>
      <c r="R88" s="6"/>
    </row>
    <row r="89" customFormat="false" ht="15" hidden="false" customHeight="false" outlineLevel="0" collapsed="false">
      <c r="A89" s="33"/>
      <c r="B89" s="18" t="s">
        <v>24</v>
      </c>
      <c r="C89" s="29"/>
      <c r="D89" s="29"/>
      <c r="E89" s="29"/>
      <c r="F89" s="29"/>
      <c r="G89" s="34"/>
      <c r="H89" s="29"/>
      <c r="I89" s="29"/>
      <c r="J89" s="29"/>
      <c r="K89" s="29"/>
      <c r="L89" s="36"/>
      <c r="M89" s="29"/>
      <c r="N89" s="54"/>
      <c r="O89" s="55" t="n">
        <f aca="false">N89*J89</f>
        <v>0</v>
      </c>
      <c r="R89" s="6"/>
    </row>
    <row r="90" customFormat="false" ht="15" hidden="false" customHeight="false" outlineLevel="0" collapsed="false">
      <c r="A90" s="33"/>
      <c r="B90" s="18" t="s">
        <v>24</v>
      </c>
      <c r="C90" s="29"/>
      <c r="D90" s="29"/>
      <c r="E90" s="29"/>
      <c r="F90" s="29"/>
      <c r="G90" s="34"/>
      <c r="H90" s="29"/>
      <c r="I90" s="29"/>
      <c r="J90" s="29"/>
      <c r="K90" s="29"/>
      <c r="L90" s="36"/>
      <c r="M90" s="29"/>
      <c r="N90" s="54"/>
      <c r="O90" s="55" t="n">
        <f aca="false">N90*J90</f>
        <v>0</v>
      </c>
      <c r="R90" s="6"/>
    </row>
    <row r="91" customFormat="false" ht="15" hidden="false" customHeight="false" outlineLevel="0" collapsed="false">
      <c r="A91" s="33"/>
      <c r="B91" s="18" t="s">
        <v>24</v>
      </c>
      <c r="C91" s="29"/>
      <c r="D91" s="29"/>
      <c r="E91" s="29"/>
      <c r="F91" s="29"/>
      <c r="G91" s="34"/>
      <c r="H91" s="29"/>
      <c r="I91" s="29"/>
      <c r="J91" s="29"/>
      <c r="K91" s="29"/>
      <c r="L91" s="36"/>
      <c r="M91" s="29"/>
      <c r="N91" s="54"/>
      <c r="O91" s="55" t="n">
        <f aca="false">N91*J91</f>
        <v>0</v>
      </c>
      <c r="R91" s="6"/>
    </row>
    <row r="92" customFormat="false" ht="15" hidden="false" customHeight="false" outlineLevel="0" collapsed="false">
      <c r="A92" s="33"/>
      <c r="B92" s="18" t="s">
        <v>24</v>
      </c>
      <c r="C92" s="29"/>
      <c r="D92" s="29"/>
      <c r="E92" s="29"/>
      <c r="F92" s="29"/>
      <c r="G92" s="34"/>
      <c r="H92" s="29"/>
      <c r="I92" s="29"/>
      <c r="J92" s="29"/>
      <c r="K92" s="29"/>
      <c r="L92" s="36"/>
      <c r="M92" s="29"/>
      <c r="N92" s="54"/>
      <c r="O92" s="55" t="n">
        <f aca="false">N92*J92</f>
        <v>0</v>
      </c>
      <c r="R92" s="6"/>
    </row>
    <row r="93" customFormat="false" ht="15" hidden="false" customHeight="false" outlineLevel="0" collapsed="false">
      <c r="A93" s="33"/>
      <c r="B93" s="18" t="s">
        <v>24</v>
      </c>
      <c r="C93" s="29"/>
      <c r="D93" s="29"/>
      <c r="E93" s="29"/>
      <c r="F93" s="29"/>
      <c r="G93" s="34"/>
      <c r="H93" s="29"/>
      <c r="I93" s="29"/>
      <c r="J93" s="29"/>
      <c r="K93" s="29"/>
      <c r="L93" s="36"/>
      <c r="M93" s="29"/>
      <c r="N93" s="54"/>
      <c r="O93" s="55" t="n">
        <f aca="false">N93*J93</f>
        <v>0</v>
      </c>
      <c r="R93" s="6"/>
    </row>
    <row r="94" customFormat="false" ht="15" hidden="false" customHeight="false" outlineLevel="0" collapsed="false">
      <c r="A94" s="33"/>
      <c r="B94" s="18" t="s">
        <v>24</v>
      </c>
      <c r="C94" s="29"/>
      <c r="D94" s="29"/>
      <c r="E94" s="29"/>
      <c r="F94" s="29"/>
      <c r="G94" s="34"/>
      <c r="H94" s="29"/>
      <c r="I94" s="29"/>
      <c r="J94" s="29"/>
      <c r="K94" s="29"/>
      <c r="L94" s="36"/>
      <c r="M94" s="29"/>
      <c r="N94" s="54"/>
      <c r="O94" s="55" t="n">
        <f aca="false">N94*J94</f>
        <v>0</v>
      </c>
      <c r="R94" s="6"/>
    </row>
    <row r="95" customFormat="false" ht="15" hidden="false" customHeight="false" outlineLevel="0" collapsed="false">
      <c r="A95" s="33"/>
      <c r="B95" s="28" t="s">
        <v>23</v>
      </c>
      <c r="C95" s="29"/>
      <c r="D95" s="29"/>
      <c r="E95" s="29"/>
      <c r="F95" s="29"/>
      <c r="G95" s="34"/>
      <c r="H95" s="29"/>
      <c r="I95" s="29"/>
      <c r="J95" s="29"/>
      <c r="K95" s="29"/>
      <c r="L95" s="36"/>
      <c r="M95" s="29"/>
      <c r="N95" s="54"/>
      <c r="O95" s="55" t="n">
        <f aca="false">N95*J95</f>
        <v>0</v>
      </c>
      <c r="R95" s="6"/>
    </row>
    <row r="96" customFormat="false" ht="15" hidden="false" customHeight="false" outlineLevel="0" collapsed="false">
      <c r="A96" s="33"/>
      <c r="B96" s="28" t="s">
        <v>23</v>
      </c>
      <c r="C96" s="29"/>
      <c r="D96" s="29"/>
      <c r="E96" s="29"/>
      <c r="F96" s="29"/>
      <c r="G96" s="34"/>
      <c r="H96" s="29"/>
      <c r="I96" s="29"/>
      <c r="J96" s="29"/>
      <c r="K96" s="29"/>
      <c r="L96" s="36"/>
      <c r="M96" s="29"/>
      <c r="N96" s="54"/>
      <c r="O96" s="55" t="n">
        <f aca="false">N96*J96</f>
        <v>0</v>
      </c>
      <c r="R96" s="6"/>
    </row>
    <row r="97" customFormat="false" ht="15" hidden="false" customHeight="false" outlineLevel="0" collapsed="false">
      <c r="A97" s="33"/>
      <c r="B97" s="28" t="s">
        <v>23</v>
      </c>
      <c r="C97" s="29"/>
      <c r="D97" s="29"/>
      <c r="E97" s="29"/>
      <c r="F97" s="29"/>
      <c r="G97" s="34"/>
      <c r="H97" s="29"/>
      <c r="I97" s="29"/>
      <c r="J97" s="29"/>
      <c r="K97" s="29"/>
      <c r="L97" s="36"/>
      <c r="M97" s="29"/>
      <c r="N97" s="54"/>
      <c r="O97" s="55" t="n">
        <f aca="false">N97*J97</f>
        <v>0</v>
      </c>
      <c r="R97" s="6"/>
    </row>
    <row r="98" customFormat="false" ht="15" hidden="false" customHeight="false" outlineLevel="0" collapsed="false">
      <c r="A98" s="33"/>
      <c r="B98" s="28" t="s">
        <v>23</v>
      </c>
      <c r="C98" s="29"/>
      <c r="D98" s="29"/>
      <c r="E98" s="29"/>
      <c r="F98" s="29"/>
      <c r="G98" s="34"/>
      <c r="H98" s="29"/>
      <c r="I98" s="29"/>
      <c r="J98" s="29"/>
      <c r="K98" s="29"/>
      <c r="L98" s="36"/>
      <c r="M98" s="29"/>
      <c r="N98" s="54"/>
      <c r="O98" s="55" t="n">
        <f aca="false">N98*J98</f>
        <v>0</v>
      </c>
      <c r="R98" s="6"/>
    </row>
    <row r="99" customFormat="false" ht="15" hidden="false" customHeight="false" outlineLevel="0" collapsed="false">
      <c r="A99" s="33"/>
      <c r="B99" s="28" t="s">
        <v>23</v>
      </c>
      <c r="C99" s="29"/>
      <c r="D99" s="29"/>
      <c r="E99" s="29"/>
      <c r="F99" s="29"/>
      <c r="G99" s="34"/>
      <c r="H99" s="29"/>
      <c r="I99" s="29"/>
      <c r="J99" s="29"/>
      <c r="K99" s="29"/>
      <c r="L99" s="36"/>
      <c r="M99" s="29"/>
      <c r="N99" s="54"/>
      <c r="O99" s="55" t="n">
        <f aca="false">N99*J99</f>
        <v>0</v>
      </c>
      <c r="R99" s="6"/>
    </row>
    <row r="100" customFormat="false" ht="15" hidden="false" customHeight="false" outlineLevel="0" collapsed="false">
      <c r="A100" s="33"/>
      <c r="B100" s="28" t="s">
        <v>23</v>
      </c>
      <c r="C100" s="29"/>
      <c r="D100" s="29"/>
      <c r="E100" s="29"/>
      <c r="F100" s="29"/>
      <c r="G100" s="34"/>
      <c r="H100" s="29"/>
      <c r="I100" s="29"/>
      <c r="J100" s="29"/>
      <c r="K100" s="29"/>
      <c r="L100" s="36"/>
      <c r="M100" s="29"/>
      <c r="N100" s="54"/>
      <c r="O100" s="55" t="n">
        <f aca="false">N100*J100</f>
        <v>0</v>
      </c>
      <c r="R100" s="6"/>
    </row>
    <row r="101" customFormat="false" ht="15" hidden="false" customHeight="false" outlineLevel="0" collapsed="false">
      <c r="A101" s="33"/>
      <c r="B101" s="28" t="s">
        <v>23</v>
      </c>
      <c r="C101" s="29"/>
      <c r="D101" s="29"/>
      <c r="E101" s="29"/>
      <c r="F101" s="29"/>
      <c r="G101" s="34"/>
      <c r="H101" s="29"/>
      <c r="I101" s="29"/>
      <c r="J101" s="29"/>
      <c r="K101" s="29"/>
      <c r="L101" s="36"/>
      <c r="M101" s="29"/>
      <c r="N101" s="54"/>
      <c r="O101" s="55" t="n">
        <f aca="false">N101*J101</f>
        <v>0</v>
      </c>
      <c r="Q101" s="57"/>
    </row>
    <row r="102" customFormat="false" ht="15" hidden="false" customHeight="false" outlineLevel="0" collapsed="false">
      <c r="A102" s="33"/>
      <c r="B102" s="28" t="s">
        <v>23</v>
      </c>
      <c r="C102" s="29"/>
      <c r="D102" s="29"/>
      <c r="E102" s="29"/>
      <c r="F102" s="29"/>
      <c r="G102" s="36"/>
      <c r="H102" s="29"/>
      <c r="I102" s="29"/>
      <c r="J102" s="29"/>
      <c r="K102" s="29"/>
      <c r="L102" s="36"/>
      <c r="M102" s="29"/>
      <c r="N102" s="54"/>
      <c r="O102" s="55" t="n">
        <f aca="false">N102*J102</f>
        <v>0</v>
      </c>
    </row>
    <row r="103" customFormat="false" ht="15" hidden="false" customHeight="false" outlineLevel="0" collapsed="false">
      <c r="A103" s="33"/>
      <c r="B103" s="28" t="s">
        <v>23</v>
      </c>
      <c r="C103" s="29"/>
      <c r="D103" s="29"/>
      <c r="E103" s="29"/>
      <c r="F103" s="29"/>
      <c r="G103" s="34"/>
      <c r="H103" s="29"/>
      <c r="I103" s="29"/>
      <c r="J103" s="29"/>
      <c r="K103" s="29"/>
      <c r="L103" s="36"/>
      <c r="M103" s="29"/>
      <c r="N103" s="54"/>
      <c r="O103" s="55" t="n">
        <f aca="false">N103*J103</f>
        <v>0</v>
      </c>
    </row>
    <row r="104" customFormat="false" ht="15" hidden="false" customHeight="false" outlineLevel="0" collapsed="false">
      <c r="A104" s="33"/>
      <c r="B104" s="28" t="s">
        <v>23</v>
      </c>
      <c r="C104" s="29"/>
      <c r="D104" s="29"/>
      <c r="E104" s="29"/>
      <c r="F104" s="29"/>
      <c r="G104" s="34"/>
      <c r="H104" s="29"/>
      <c r="I104" s="29"/>
      <c r="J104" s="29"/>
      <c r="K104" s="29"/>
      <c r="L104" s="36"/>
      <c r="M104" s="29"/>
      <c r="N104" s="54"/>
      <c r="O104" s="55" t="n">
        <f aca="false">N104*J104</f>
        <v>0</v>
      </c>
    </row>
    <row r="105" customFormat="false" ht="15" hidden="false" customHeight="false" outlineLevel="0" collapsed="false">
      <c r="A105" s="33"/>
      <c r="B105" s="28" t="s">
        <v>23</v>
      </c>
      <c r="C105" s="29"/>
      <c r="D105" s="29"/>
      <c r="E105" s="29"/>
      <c r="F105" s="29"/>
      <c r="G105" s="34"/>
      <c r="H105" s="29"/>
      <c r="I105" s="29"/>
      <c r="J105" s="29"/>
      <c r="K105" s="29"/>
      <c r="L105" s="36"/>
      <c r="M105" s="29"/>
      <c r="N105" s="54"/>
      <c r="O105" s="55" t="n">
        <f aca="false">N105*J105</f>
        <v>0</v>
      </c>
    </row>
    <row r="106" customFormat="false" ht="15" hidden="false" customHeight="false" outlineLevel="0" collapsed="false">
      <c r="A106" s="33"/>
      <c r="B106" s="28" t="s">
        <v>23</v>
      </c>
      <c r="C106" s="29"/>
      <c r="D106" s="29"/>
      <c r="E106" s="29"/>
      <c r="F106" s="29"/>
      <c r="G106" s="34"/>
      <c r="H106" s="29"/>
      <c r="I106" s="29"/>
      <c r="J106" s="29"/>
      <c r="K106" s="29"/>
      <c r="L106" s="36"/>
      <c r="M106" s="29"/>
      <c r="N106" s="54"/>
      <c r="O106" s="55" t="n">
        <f aca="false">N106*J106</f>
        <v>0</v>
      </c>
    </row>
    <row r="107" customFormat="false" ht="15" hidden="false" customHeight="false" outlineLevel="0" collapsed="false">
      <c r="A107" s="33"/>
      <c r="B107" s="18" t="s">
        <v>23</v>
      </c>
      <c r="C107" s="29"/>
      <c r="D107" s="29"/>
      <c r="E107" s="29"/>
      <c r="F107" s="29"/>
      <c r="G107" s="34"/>
      <c r="H107" s="29"/>
      <c r="I107" s="29"/>
      <c r="J107" s="29"/>
      <c r="K107" s="29"/>
      <c r="L107" s="36"/>
      <c r="M107" s="29"/>
      <c r="N107" s="54"/>
      <c r="O107" s="55" t="n">
        <f aca="false">N107*J107</f>
        <v>0</v>
      </c>
    </row>
    <row r="108" customFormat="false" ht="15" hidden="false" customHeight="false" outlineLevel="0" collapsed="false">
      <c r="A108" s="33"/>
      <c r="B108" s="18" t="s">
        <v>23</v>
      </c>
      <c r="C108" s="29"/>
      <c r="D108" s="29"/>
      <c r="E108" s="29"/>
      <c r="F108" s="29"/>
      <c r="G108" s="34"/>
      <c r="H108" s="29"/>
      <c r="I108" s="29"/>
      <c r="J108" s="29"/>
      <c r="K108" s="29"/>
      <c r="L108" s="36"/>
      <c r="M108" s="29"/>
      <c r="N108" s="54"/>
      <c r="O108" s="55" t="n">
        <f aca="false">N108*J108</f>
        <v>0</v>
      </c>
    </row>
    <row r="109" customFormat="false" ht="15" hidden="false" customHeight="false" outlineLevel="0" collapsed="false">
      <c r="A109" s="33"/>
      <c r="B109" s="18" t="s">
        <v>23</v>
      </c>
      <c r="C109" s="29"/>
      <c r="D109" s="29"/>
      <c r="E109" s="29"/>
      <c r="F109" s="29"/>
      <c r="G109" s="34"/>
      <c r="H109" s="29"/>
      <c r="I109" s="29"/>
      <c r="J109" s="29"/>
      <c r="K109" s="29"/>
      <c r="L109" s="36"/>
      <c r="M109" s="29"/>
      <c r="N109" s="54"/>
      <c r="O109" s="55" t="n">
        <f aca="false">N109*J109</f>
        <v>0</v>
      </c>
    </row>
    <row r="110" customFormat="false" ht="15" hidden="false" customHeight="false" outlineLevel="0" collapsed="false">
      <c r="A110" s="33"/>
      <c r="B110" s="28"/>
      <c r="C110" s="29"/>
      <c r="D110" s="29"/>
      <c r="E110" s="29"/>
      <c r="F110" s="29"/>
      <c r="G110" s="34"/>
      <c r="H110" s="29"/>
      <c r="I110" s="29"/>
      <c r="J110" s="29"/>
      <c r="K110" s="29"/>
      <c r="L110" s="36"/>
      <c r="M110" s="29"/>
      <c r="N110" s="54"/>
      <c r="O110" s="55" t="n">
        <f aca="false">N110*J110</f>
        <v>0</v>
      </c>
    </row>
    <row r="111" customFormat="false" ht="15" hidden="false" customHeight="false" outlineLevel="0" collapsed="false">
      <c r="A111" s="33"/>
      <c r="B111" s="28"/>
      <c r="C111" s="29"/>
      <c r="D111" s="29"/>
      <c r="E111" s="29"/>
      <c r="F111" s="29"/>
      <c r="G111" s="34"/>
      <c r="H111" s="29"/>
      <c r="I111" s="29"/>
      <c r="J111" s="29"/>
      <c r="K111" s="29"/>
      <c r="L111" s="36"/>
      <c r="M111" s="29"/>
      <c r="N111" s="54"/>
      <c r="O111" s="55" t="n">
        <f aca="false">N111*J111</f>
        <v>0</v>
      </c>
    </row>
    <row r="112" customFormat="false" ht="15" hidden="false" customHeight="false" outlineLevel="0" collapsed="false">
      <c r="A112" s="33"/>
      <c r="B112" s="28"/>
      <c r="C112" s="29"/>
      <c r="D112" s="29"/>
      <c r="E112" s="29"/>
      <c r="F112" s="29"/>
      <c r="G112" s="34"/>
      <c r="H112" s="29"/>
      <c r="I112" s="29"/>
      <c r="J112" s="29"/>
      <c r="K112" s="29"/>
      <c r="L112" s="36"/>
      <c r="M112" s="29"/>
      <c r="N112" s="54"/>
      <c r="O112" s="55" t="n">
        <f aca="false">N112*J112</f>
        <v>0</v>
      </c>
    </row>
    <row r="113" customFormat="false" ht="15" hidden="false" customHeight="false" outlineLevel="0" collapsed="false">
      <c r="A113" s="33"/>
      <c r="B113" s="28"/>
      <c r="C113" s="29"/>
      <c r="D113" s="29"/>
      <c r="E113" s="29"/>
      <c r="F113" s="29"/>
      <c r="G113" s="34"/>
      <c r="H113" s="29"/>
      <c r="I113" s="29"/>
      <c r="J113" s="29"/>
      <c r="K113" s="29"/>
      <c r="L113" s="36"/>
      <c r="M113" s="29"/>
      <c r="N113" s="54"/>
      <c r="O113" s="55" t="n">
        <f aca="false">N113*J113</f>
        <v>0</v>
      </c>
    </row>
    <row r="114" customFormat="false" ht="15" hidden="false" customHeight="false" outlineLevel="0" collapsed="false">
      <c r="A114" s="33"/>
      <c r="B114" s="28"/>
      <c r="C114" s="29"/>
      <c r="D114" s="29"/>
      <c r="E114" s="29"/>
      <c r="F114" s="29"/>
      <c r="G114" s="34"/>
      <c r="H114" s="29"/>
      <c r="I114" s="29"/>
      <c r="J114" s="29"/>
      <c r="K114" s="29"/>
      <c r="L114" s="36"/>
      <c r="M114" s="29"/>
      <c r="N114" s="54"/>
      <c r="O114" s="55" t="n">
        <f aca="false">N114*J114</f>
        <v>0</v>
      </c>
    </row>
    <row r="115" customFormat="false" ht="15" hidden="false" customHeight="false" outlineLevel="0" collapsed="false">
      <c r="A115" s="33"/>
      <c r="B115" s="28"/>
      <c r="C115" s="29"/>
      <c r="D115" s="29"/>
      <c r="E115" s="29"/>
      <c r="F115" s="29"/>
      <c r="G115" s="34"/>
      <c r="H115" s="29"/>
      <c r="I115" s="29"/>
      <c r="J115" s="29"/>
      <c r="K115" s="29"/>
      <c r="L115" s="36"/>
      <c r="M115" s="29"/>
      <c r="N115" s="54"/>
      <c r="O115" s="55" t="n">
        <f aca="false">N115*J115</f>
        <v>0</v>
      </c>
    </row>
    <row r="116" customFormat="false" ht="15" hidden="false" customHeight="false" outlineLevel="0" collapsed="false">
      <c r="A116" s="33"/>
      <c r="B116" s="28"/>
      <c r="C116" s="29"/>
      <c r="D116" s="29"/>
      <c r="E116" s="29"/>
      <c r="F116" s="29"/>
      <c r="G116" s="34"/>
      <c r="H116" s="29"/>
      <c r="I116" s="29"/>
      <c r="J116" s="29"/>
      <c r="K116" s="29"/>
      <c r="L116" s="36"/>
      <c r="M116" s="29"/>
      <c r="N116" s="54"/>
      <c r="O116" s="55" t="n">
        <f aca="false">N116*J116</f>
        <v>0</v>
      </c>
    </row>
    <row r="117" customFormat="false" ht="15" hidden="false" customHeight="false" outlineLevel="0" collapsed="false">
      <c r="A117" s="33"/>
      <c r="B117" s="28"/>
      <c r="C117" s="29"/>
      <c r="D117" s="29"/>
      <c r="E117" s="29"/>
      <c r="F117" s="29"/>
      <c r="G117" s="34"/>
      <c r="H117" s="29"/>
      <c r="I117" s="29"/>
      <c r="J117" s="29"/>
      <c r="K117" s="29"/>
      <c r="L117" s="36"/>
      <c r="M117" s="29"/>
      <c r="N117" s="54"/>
      <c r="O117" s="55" t="n">
        <f aca="false">N117*J117</f>
        <v>0</v>
      </c>
    </row>
    <row r="118" customFormat="false" ht="15" hidden="false" customHeight="false" outlineLevel="0" collapsed="false">
      <c r="A118" s="33"/>
      <c r="B118" s="28"/>
      <c r="C118" s="29"/>
      <c r="D118" s="29"/>
      <c r="E118" s="29"/>
      <c r="F118" s="29"/>
      <c r="G118" s="34"/>
      <c r="H118" s="29"/>
      <c r="I118" s="29"/>
      <c r="J118" s="29"/>
      <c r="K118" s="29"/>
      <c r="L118" s="36"/>
      <c r="M118" s="29"/>
      <c r="N118" s="54"/>
      <c r="O118" s="55" t="n">
        <f aca="false">N118*J118</f>
        <v>0</v>
      </c>
    </row>
    <row r="119" customFormat="false" ht="15" hidden="false" customHeight="false" outlineLevel="0" collapsed="false">
      <c r="A119" s="33"/>
      <c r="B119" s="28"/>
      <c r="C119" s="29"/>
      <c r="D119" s="29"/>
      <c r="E119" s="29"/>
      <c r="F119" s="29"/>
      <c r="G119" s="34"/>
      <c r="H119" s="29"/>
      <c r="I119" s="29"/>
      <c r="J119" s="29"/>
      <c r="K119" s="29"/>
      <c r="L119" s="36"/>
      <c r="M119" s="29"/>
      <c r="N119" s="54"/>
      <c r="O119" s="55" t="n">
        <f aca="false">N119*J119</f>
        <v>0</v>
      </c>
    </row>
    <row r="120" customFormat="false" ht="15" hidden="false" customHeight="false" outlineLevel="0" collapsed="false">
      <c r="A120" s="33"/>
      <c r="B120" s="28"/>
      <c r="C120" s="29"/>
      <c r="D120" s="29"/>
      <c r="E120" s="29"/>
      <c r="F120" s="29"/>
      <c r="G120" s="34"/>
      <c r="H120" s="29"/>
      <c r="I120" s="29"/>
      <c r="J120" s="29"/>
      <c r="K120" s="29"/>
      <c r="L120" s="36"/>
      <c r="M120" s="29"/>
      <c r="N120" s="54"/>
      <c r="O120" s="55" t="n">
        <f aca="false">N120*J120</f>
        <v>0</v>
      </c>
    </row>
    <row r="121" customFormat="false" ht="15" hidden="false" customHeight="false" outlineLevel="0" collapsed="false">
      <c r="A121" s="33"/>
      <c r="B121" s="28"/>
      <c r="C121" s="29"/>
      <c r="D121" s="29"/>
      <c r="E121" s="29"/>
      <c r="F121" s="29"/>
      <c r="G121" s="34"/>
      <c r="H121" s="29"/>
      <c r="I121" s="29"/>
      <c r="J121" s="29"/>
      <c r="K121" s="29"/>
      <c r="L121" s="36"/>
      <c r="M121" s="29"/>
      <c r="N121" s="54"/>
      <c r="O121" s="55" t="n">
        <f aca="false">N121*J121</f>
        <v>0</v>
      </c>
    </row>
    <row r="122" customFormat="false" ht="15" hidden="false" customHeight="false" outlineLevel="0" collapsed="false">
      <c r="A122" s="33"/>
      <c r="B122" s="28"/>
      <c r="C122" s="29"/>
      <c r="D122" s="29"/>
      <c r="E122" s="29"/>
      <c r="F122" s="29"/>
      <c r="G122" s="34"/>
      <c r="H122" s="29"/>
      <c r="I122" s="29"/>
      <c r="J122" s="29"/>
      <c r="K122" s="29"/>
      <c r="L122" s="36"/>
      <c r="M122" s="29"/>
      <c r="N122" s="54"/>
      <c r="O122" s="55" t="n">
        <f aca="false">N122*J122</f>
        <v>0</v>
      </c>
    </row>
    <row r="123" customFormat="false" ht="15" hidden="false" customHeight="false" outlineLevel="0" collapsed="false">
      <c r="A123" s="33"/>
      <c r="B123" s="28"/>
      <c r="C123" s="29"/>
      <c r="D123" s="29"/>
      <c r="E123" s="29"/>
      <c r="F123" s="29"/>
      <c r="G123" s="34"/>
      <c r="H123" s="29"/>
      <c r="I123" s="29"/>
      <c r="J123" s="29"/>
      <c r="K123" s="29"/>
      <c r="L123" s="36"/>
      <c r="M123" s="29"/>
      <c r="N123" s="58"/>
      <c r="O123" s="59" t="n">
        <f aca="false">N123*J123</f>
        <v>0</v>
      </c>
      <c r="P123" s="58"/>
    </row>
    <row r="124" customFormat="false" ht="15" hidden="false" customHeight="false" outlineLevel="0" collapsed="false">
      <c r="A124" s="33"/>
      <c r="B124" s="28"/>
      <c r="C124" s="29"/>
      <c r="D124" s="29"/>
      <c r="E124" s="29"/>
      <c r="F124" s="29"/>
      <c r="G124" s="34"/>
      <c r="H124" s="29"/>
      <c r="I124" s="29"/>
      <c r="J124" s="29"/>
      <c r="K124" s="29"/>
      <c r="L124" s="36"/>
      <c r="M124" s="29"/>
      <c r="N124" s="58"/>
      <c r="O124" s="59" t="n">
        <f aca="false">N124*J124</f>
        <v>0</v>
      </c>
      <c r="P124" s="58"/>
    </row>
    <row r="125" customFormat="false" ht="15" hidden="false" customHeight="false" outlineLevel="0" collapsed="false">
      <c r="A125" s="33"/>
      <c r="B125" s="28"/>
      <c r="C125" s="29"/>
      <c r="D125" s="29"/>
      <c r="E125" s="29"/>
      <c r="F125" s="29"/>
      <c r="G125" s="34"/>
      <c r="H125" s="29"/>
      <c r="I125" s="29"/>
      <c r="J125" s="29"/>
      <c r="K125" s="29"/>
      <c r="L125" s="36"/>
      <c r="M125" s="29"/>
      <c r="N125" s="58"/>
      <c r="O125" s="59" t="n">
        <f aca="false">N125*J125</f>
        <v>0</v>
      </c>
      <c r="P125" s="58"/>
    </row>
    <row r="126" customFormat="false" ht="15" hidden="false" customHeight="false" outlineLevel="0" collapsed="false">
      <c r="A126" s="33"/>
      <c r="B126" s="28"/>
      <c r="C126" s="29"/>
      <c r="D126" s="29"/>
      <c r="E126" s="29"/>
      <c r="F126" s="29"/>
      <c r="G126" s="34"/>
      <c r="H126" s="29"/>
      <c r="I126" s="29"/>
      <c r="J126" s="29"/>
      <c r="K126" s="29"/>
      <c r="L126" s="36"/>
      <c r="M126" s="29"/>
      <c r="N126" s="54"/>
      <c r="O126" s="55" t="n">
        <f aca="false">N126*J126</f>
        <v>0</v>
      </c>
    </row>
    <row r="127" customFormat="false" ht="15" hidden="false" customHeight="false" outlineLevel="0" collapsed="false">
      <c r="A127" s="33"/>
      <c r="B127" s="28"/>
      <c r="C127" s="29"/>
      <c r="D127" s="29"/>
      <c r="E127" s="29"/>
      <c r="F127" s="29"/>
      <c r="G127" s="34"/>
      <c r="H127" s="29"/>
      <c r="I127" s="29"/>
      <c r="J127" s="29"/>
      <c r="K127" s="29"/>
      <c r="L127" s="36"/>
      <c r="M127" s="29"/>
      <c r="N127" s="54"/>
      <c r="O127" s="55" t="n">
        <f aca="false">N127*J127</f>
        <v>0</v>
      </c>
    </row>
    <row r="128" customFormat="false" ht="15" hidden="false" customHeight="false" outlineLevel="0" collapsed="false">
      <c r="A128" s="33"/>
      <c r="B128" s="28"/>
      <c r="C128" s="29"/>
      <c r="D128" s="29"/>
      <c r="E128" s="29"/>
      <c r="F128" s="29"/>
      <c r="G128" s="34"/>
      <c r="H128" s="29"/>
      <c r="I128" s="29"/>
      <c r="J128" s="29"/>
      <c r="K128" s="29"/>
      <c r="L128" s="36"/>
      <c r="M128" s="29"/>
      <c r="N128" s="54"/>
      <c r="O128" s="55" t="n">
        <f aca="false">N128*J128</f>
        <v>0</v>
      </c>
    </row>
    <row r="129" customFormat="false" ht="15" hidden="false" customHeight="false" outlineLevel="0" collapsed="false">
      <c r="A129" s="33"/>
      <c r="B129" s="28"/>
      <c r="C129" s="29"/>
      <c r="D129" s="29"/>
      <c r="E129" s="29"/>
      <c r="F129" s="29"/>
      <c r="G129" s="34"/>
      <c r="H129" s="29"/>
      <c r="I129" s="29"/>
      <c r="J129" s="29"/>
      <c r="K129" s="29"/>
      <c r="L129" s="36"/>
      <c r="M129" s="29"/>
      <c r="N129" s="54"/>
      <c r="O129" s="55" t="n">
        <f aca="false">N129*J129</f>
        <v>0</v>
      </c>
    </row>
    <row r="130" customFormat="false" ht="15" hidden="false" customHeight="false" outlineLevel="0" collapsed="false">
      <c r="A130" s="33"/>
      <c r="B130" s="28"/>
      <c r="C130" s="29"/>
      <c r="D130" s="29"/>
      <c r="E130" s="29"/>
      <c r="F130" s="29"/>
      <c r="G130" s="34"/>
      <c r="H130" s="29"/>
      <c r="I130" s="29"/>
      <c r="J130" s="29"/>
      <c r="K130" s="29"/>
      <c r="L130" s="36"/>
      <c r="M130" s="29"/>
      <c r="N130" s="54"/>
      <c r="O130" s="55" t="n">
        <f aca="false">N130*J130</f>
        <v>0</v>
      </c>
    </row>
    <row r="131" customFormat="false" ht="15" hidden="false" customHeight="false" outlineLevel="0" collapsed="false">
      <c r="A131" s="33"/>
      <c r="B131" s="28"/>
      <c r="C131" s="29"/>
      <c r="D131" s="29"/>
      <c r="E131" s="29"/>
      <c r="F131" s="29"/>
      <c r="G131" s="34"/>
      <c r="H131" s="29"/>
      <c r="I131" s="29"/>
      <c r="J131" s="29"/>
      <c r="K131" s="29"/>
      <c r="L131" s="36"/>
      <c r="M131" s="29"/>
      <c r="N131" s="54"/>
      <c r="O131" s="55" t="n">
        <f aca="false">N131*J131</f>
        <v>0</v>
      </c>
    </row>
    <row r="132" customFormat="false" ht="15" hidden="false" customHeight="false" outlineLevel="0" collapsed="false">
      <c r="A132" s="33"/>
      <c r="B132" s="28"/>
      <c r="C132" s="29"/>
      <c r="D132" s="29"/>
      <c r="E132" s="29"/>
      <c r="F132" s="29"/>
      <c r="G132" s="34"/>
      <c r="H132" s="29"/>
      <c r="I132" s="29"/>
      <c r="J132" s="29"/>
      <c r="K132" s="29"/>
      <c r="L132" s="36"/>
      <c r="M132" s="29"/>
      <c r="N132" s="54"/>
      <c r="O132" s="55" t="n">
        <f aca="false">N132*J132</f>
        <v>0</v>
      </c>
    </row>
    <row r="133" customFormat="false" ht="15" hidden="false" customHeight="false" outlineLevel="0" collapsed="false">
      <c r="A133" s="33"/>
      <c r="B133" s="28"/>
      <c r="C133" s="29"/>
      <c r="D133" s="29"/>
      <c r="E133" s="29"/>
      <c r="F133" s="29"/>
      <c r="G133" s="34"/>
      <c r="H133" s="29"/>
      <c r="I133" s="29"/>
      <c r="J133" s="29"/>
      <c r="K133" s="29"/>
      <c r="L133" s="36"/>
      <c r="M133" s="29"/>
      <c r="N133" s="54"/>
      <c r="O133" s="55" t="n">
        <f aca="false">N133*J133</f>
        <v>0</v>
      </c>
    </row>
    <row r="134" customFormat="false" ht="15" hidden="false" customHeight="false" outlineLevel="0" collapsed="false">
      <c r="A134" s="33"/>
      <c r="B134" s="28"/>
      <c r="C134" s="29"/>
      <c r="D134" s="29"/>
      <c r="E134" s="29"/>
      <c r="F134" s="29"/>
      <c r="G134" s="34"/>
      <c r="H134" s="29"/>
      <c r="I134" s="29"/>
      <c r="J134" s="29"/>
      <c r="K134" s="29"/>
      <c r="L134" s="36"/>
      <c r="M134" s="29"/>
      <c r="N134" s="58"/>
      <c r="O134" s="59" t="n">
        <f aca="false">N134*J134</f>
        <v>0</v>
      </c>
      <c r="P134" s="58"/>
    </row>
    <row r="135" customFormat="false" ht="15" hidden="false" customHeight="false" outlineLevel="0" collapsed="false">
      <c r="A135" s="33"/>
      <c r="B135" s="28"/>
      <c r="C135" s="29"/>
      <c r="D135" s="29"/>
      <c r="E135" s="29"/>
      <c r="F135" s="29"/>
      <c r="G135" s="34"/>
      <c r="H135" s="29"/>
      <c r="I135" s="29"/>
      <c r="J135" s="29"/>
      <c r="K135" s="29"/>
      <c r="L135" s="36"/>
      <c r="M135" s="29"/>
      <c r="N135" s="58"/>
      <c r="O135" s="59" t="n">
        <f aca="false">N135*J135</f>
        <v>0</v>
      </c>
      <c r="P135" s="58"/>
    </row>
    <row r="136" customFormat="false" ht="15" hidden="false" customHeight="false" outlineLevel="0" collapsed="false">
      <c r="A136" s="33"/>
      <c r="B136" s="28"/>
      <c r="C136" s="29"/>
      <c r="D136" s="29"/>
      <c r="E136" s="29"/>
      <c r="F136" s="29"/>
      <c r="G136" s="34"/>
      <c r="H136" s="29"/>
      <c r="I136" s="29"/>
      <c r="J136" s="29"/>
      <c r="K136" s="29"/>
      <c r="L136" s="36"/>
      <c r="M136" s="29"/>
      <c r="N136" s="58"/>
      <c r="O136" s="59" t="n">
        <f aca="false">N136*J136</f>
        <v>0</v>
      </c>
      <c r="P136" s="58"/>
    </row>
    <row r="137" customFormat="false" ht="15" hidden="false" customHeight="false" outlineLevel="0" collapsed="false">
      <c r="A137" s="33"/>
      <c r="B137" s="28"/>
      <c r="C137" s="33"/>
      <c r="D137" s="29"/>
      <c r="E137" s="29"/>
      <c r="F137" s="29"/>
      <c r="G137" s="34"/>
      <c r="H137" s="29"/>
      <c r="I137" s="29"/>
      <c r="J137" s="29"/>
      <c r="K137" s="29"/>
      <c r="L137" s="36"/>
      <c r="M137" s="29"/>
      <c r="N137" s="58"/>
      <c r="O137" s="59" t="n">
        <f aca="false">N137*J137</f>
        <v>0</v>
      </c>
      <c r="P137" s="58"/>
    </row>
    <row r="138" customFormat="false" ht="15" hidden="false" customHeight="false" outlineLevel="0" collapsed="false">
      <c r="A138" s="33"/>
      <c r="B138" s="28"/>
      <c r="C138" s="29"/>
      <c r="D138" s="29"/>
      <c r="E138" s="29"/>
      <c r="F138" s="29"/>
      <c r="G138" s="34"/>
      <c r="H138" s="29"/>
      <c r="I138" s="29"/>
      <c r="J138" s="29"/>
      <c r="K138" s="29"/>
      <c r="L138" s="36"/>
      <c r="M138" s="29"/>
      <c r="N138" s="54"/>
      <c r="O138" s="55" t="n">
        <f aca="false">N138*J138</f>
        <v>0</v>
      </c>
    </row>
    <row r="139" customFormat="false" ht="15" hidden="false" customHeight="false" outlineLevel="0" collapsed="false">
      <c r="A139" s="33"/>
      <c r="B139" s="28"/>
      <c r="C139" s="29"/>
      <c r="D139" s="29"/>
      <c r="E139" s="29"/>
      <c r="F139" s="29"/>
      <c r="G139" s="34"/>
      <c r="H139" s="29"/>
      <c r="I139" s="29"/>
      <c r="J139" s="29"/>
      <c r="K139" s="29"/>
      <c r="L139" s="36"/>
      <c r="M139" s="29"/>
      <c r="N139" s="54"/>
      <c r="O139" s="55" t="n">
        <f aca="false">N139*J139</f>
        <v>0</v>
      </c>
    </row>
    <row r="140" customFormat="false" ht="15" hidden="false" customHeight="false" outlineLevel="0" collapsed="false">
      <c r="A140" s="33"/>
      <c r="B140" s="28"/>
      <c r="C140" s="29"/>
      <c r="D140" s="29"/>
      <c r="E140" s="29"/>
      <c r="F140" s="29"/>
      <c r="G140" s="34"/>
      <c r="H140" s="29"/>
      <c r="I140" s="29"/>
      <c r="J140" s="29"/>
      <c r="K140" s="29"/>
      <c r="L140" s="36"/>
      <c r="M140" s="29"/>
      <c r="N140" s="54"/>
      <c r="O140" s="55" t="n">
        <f aca="false">N140*J140</f>
        <v>0</v>
      </c>
    </row>
    <row r="141" customFormat="false" ht="15" hidden="false" customHeight="false" outlineLevel="0" collapsed="false">
      <c r="A141" s="33"/>
      <c r="B141" s="28"/>
      <c r="C141" s="29"/>
      <c r="D141" s="29"/>
      <c r="E141" s="29"/>
      <c r="F141" s="29"/>
      <c r="G141" s="34"/>
      <c r="H141" s="29"/>
      <c r="I141" s="29"/>
      <c r="J141" s="29"/>
      <c r="K141" s="29"/>
      <c r="L141" s="36"/>
      <c r="M141" s="29"/>
      <c r="N141" s="58"/>
      <c r="O141" s="59" t="n">
        <f aca="false">N141*J141</f>
        <v>0</v>
      </c>
      <c r="P141" s="58"/>
    </row>
    <row r="142" customFormat="false" ht="15" hidden="false" customHeight="false" outlineLevel="0" collapsed="false">
      <c r="A142" s="33"/>
      <c r="B142" s="28"/>
      <c r="C142" s="29"/>
      <c r="D142" s="29"/>
      <c r="E142" s="29"/>
      <c r="F142" s="29"/>
      <c r="G142" s="34"/>
      <c r="H142" s="29"/>
      <c r="I142" s="29"/>
      <c r="J142" s="29"/>
      <c r="K142" s="29"/>
      <c r="L142" s="36"/>
      <c r="M142" s="29"/>
      <c r="N142" s="58"/>
      <c r="O142" s="59" t="n">
        <f aca="false">N142*J142</f>
        <v>0</v>
      </c>
      <c r="P142" s="58"/>
    </row>
    <row r="143" customFormat="false" ht="15" hidden="false" customHeight="false" outlineLevel="0" collapsed="false">
      <c r="A143" s="33"/>
      <c r="B143" s="28"/>
      <c r="C143" s="33"/>
      <c r="D143" s="29"/>
      <c r="E143" s="29"/>
      <c r="F143" s="29"/>
      <c r="G143" s="34"/>
      <c r="H143" s="29"/>
      <c r="I143" s="29"/>
      <c r="J143" s="29"/>
      <c r="K143" s="29"/>
      <c r="L143" s="36"/>
      <c r="M143" s="29"/>
      <c r="N143" s="58"/>
      <c r="O143" s="59" t="n">
        <f aca="false">N143*J143</f>
        <v>0</v>
      </c>
      <c r="P143" s="58"/>
    </row>
    <row r="144" customFormat="false" ht="15" hidden="false" customHeight="false" outlineLevel="0" collapsed="false">
      <c r="A144" s="33"/>
      <c r="B144" s="28"/>
      <c r="C144" s="29"/>
      <c r="D144" s="29"/>
      <c r="E144" s="29"/>
      <c r="F144" s="29"/>
      <c r="G144" s="34"/>
      <c r="H144" s="29"/>
      <c r="I144" s="29"/>
      <c r="J144" s="29"/>
      <c r="K144" s="29"/>
      <c r="L144" s="36"/>
      <c r="M144" s="29"/>
      <c r="N144" s="54"/>
      <c r="O144" s="55" t="n">
        <f aca="false">N144*J144</f>
        <v>0</v>
      </c>
    </row>
    <row r="145" customFormat="false" ht="15" hidden="false" customHeight="false" outlineLevel="0" collapsed="false">
      <c r="A145" s="33"/>
      <c r="B145" s="28"/>
      <c r="C145" s="41"/>
      <c r="D145" s="41"/>
      <c r="E145" s="41"/>
      <c r="F145" s="34"/>
      <c r="G145" s="34"/>
      <c r="H145" s="29"/>
      <c r="I145" s="29"/>
      <c r="J145" s="29"/>
      <c r="K145" s="29"/>
      <c r="L145" s="36"/>
      <c r="M145" s="29"/>
      <c r="N145" s="54"/>
      <c r="O145" s="55" t="n">
        <f aca="false">N145*J145</f>
        <v>0</v>
      </c>
    </row>
    <row r="146" customFormat="false" ht="15" hidden="false" customHeight="false" outlineLevel="0" collapsed="false">
      <c r="A146" s="33"/>
      <c r="B146" s="28"/>
      <c r="C146" s="29"/>
      <c r="D146" s="29"/>
      <c r="E146" s="29"/>
      <c r="F146" s="29"/>
      <c r="G146" s="34"/>
      <c r="H146" s="29"/>
      <c r="I146" s="29"/>
      <c r="J146" s="29"/>
      <c r="K146" s="29"/>
      <c r="L146" s="36"/>
      <c r="M146" s="29"/>
      <c r="N146" s="54"/>
      <c r="O146" s="55" t="n">
        <f aca="false">N146*J146</f>
        <v>0</v>
      </c>
    </row>
    <row r="147" customFormat="false" ht="15" hidden="false" customHeight="false" outlineLevel="0" collapsed="false">
      <c r="A147" s="33"/>
      <c r="B147" s="28"/>
      <c r="C147" s="29"/>
      <c r="D147" s="29"/>
      <c r="E147" s="29"/>
      <c r="F147" s="29"/>
      <c r="G147" s="34"/>
      <c r="H147" s="29"/>
      <c r="I147" s="29"/>
      <c r="J147" s="29"/>
      <c r="K147" s="29"/>
      <c r="L147" s="36"/>
      <c r="M147" s="29"/>
      <c r="N147" s="54"/>
      <c r="O147" s="55" t="n">
        <f aca="false">N147*J147</f>
        <v>0</v>
      </c>
    </row>
    <row r="148" customFormat="false" ht="15" hidden="false" customHeight="false" outlineLevel="0" collapsed="false">
      <c r="A148" s="33"/>
      <c r="B148" s="28"/>
      <c r="C148" s="29"/>
      <c r="D148" s="29"/>
      <c r="E148" s="29"/>
      <c r="F148" s="29"/>
      <c r="G148" s="34"/>
      <c r="H148" s="29"/>
      <c r="I148" s="29"/>
      <c r="J148" s="29"/>
      <c r="K148" s="29"/>
      <c r="L148" s="36"/>
      <c r="M148" s="29"/>
      <c r="N148" s="54"/>
      <c r="O148" s="55" t="n">
        <f aca="false">N148*J148</f>
        <v>0</v>
      </c>
    </row>
    <row r="149" customFormat="false" ht="15" hidden="false" customHeight="false" outlineLevel="0" collapsed="false">
      <c r="A149" s="33"/>
      <c r="B149" s="28"/>
      <c r="C149" s="29"/>
      <c r="D149" s="29"/>
      <c r="E149" s="29"/>
      <c r="F149" s="29"/>
      <c r="G149" s="34"/>
      <c r="H149" s="29"/>
      <c r="I149" s="29"/>
      <c r="J149" s="29"/>
      <c r="K149" s="29"/>
      <c r="L149" s="36"/>
      <c r="M149" s="29"/>
      <c r="N149" s="58"/>
      <c r="O149" s="59" t="n">
        <f aca="false">N149*J149</f>
        <v>0</v>
      </c>
      <c r="P149" s="58"/>
    </row>
    <row r="150" customFormat="false" ht="15" hidden="false" customHeight="false" outlineLevel="0" collapsed="false">
      <c r="A150" s="33"/>
      <c r="B150" s="28"/>
      <c r="C150" s="29"/>
      <c r="D150" s="29"/>
      <c r="E150" s="29"/>
      <c r="F150" s="29"/>
      <c r="G150" s="34"/>
      <c r="H150" s="29"/>
      <c r="I150" s="29"/>
      <c r="J150" s="29"/>
      <c r="K150" s="29"/>
      <c r="L150" s="36"/>
      <c r="M150" s="29"/>
      <c r="N150" s="58"/>
      <c r="O150" s="59" t="n">
        <f aca="false">N150*J150</f>
        <v>0</v>
      </c>
      <c r="P150" s="58"/>
    </row>
    <row r="151" customFormat="false" ht="15" hidden="false" customHeight="false" outlineLevel="0" collapsed="false">
      <c r="A151" s="33"/>
      <c r="B151" s="28"/>
      <c r="C151" s="29"/>
      <c r="D151" s="29"/>
      <c r="E151" s="29"/>
      <c r="F151" s="29"/>
      <c r="G151" s="34"/>
      <c r="H151" s="29"/>
      <c r="I151" s="29"/>
      <c r="J151" s="29"/>
      <c r="K151" s="29"/>
      <c r="L151" s="36"/>
      <c r="M151" s="29"/>
      <c r="N151" s="58"/>
      <c r="O151" s="59" t="n">
        <f aca="false">N151*J151</f>
        <v>0</v>
      </c>
      <c r="P151" s="58"/>
    </row>
    <row r="152" customFormat="false" ht="15" hidden="false" customHeight="false" outlineLevel="0" collapsed="false">
      <c r="A152" s="33"/>
      <c r="B152" s="28"/>
      <c r="C152" s="29"/>
      <c r="D152" s="29"/>
      <c r="E152" s="29"/>
      <c r="F152" s="29"/>
      <c r="G152" s="34"/>
      <c r="H152" s="29"/>
      <c r="I152" s="29"/>
      <c r="J152" s="29"/>
      <c r="K152" s="29"/>
      <c r="L152" s="36"/>
      <c r="M152" s="29"/>
      <c r="N152" s="54"/>
      <c r="O152" s="55" t="n">
        <f aca="false">N152*J152</f>
        <v>0</v>
      </c>
    </row>
    <row r="153" customFormat="false" ht="15" hidden="false" customHeight="false" outlineLevel="0" collapsed="false">
      <c r="A153" s="33"/>
      <c r="B153" s="28"/>
      <c r="C153" s="29"/>
      <c r="D153" s="29"/>
      <c r="E153" s="29"/>
      <c r="F153" s="29"/>
      <c r="G153" s="34"/>
      <c r="H153" s="29"/>
      <c r="I153" s="29"/>
      <c r="J153" s="29"/>
      <c r="K153" s="29"/>
      <c r="L153" s="36"/>
      <c r="M153" s="29"/>
      <c r="N153" s="54"/>
      <c r="O153" s="55" t="n">
        <f aca="false">N153*J153</f>
        <v>0</v>
      </c>
    </row>
    <row r="154" customFormat="false" ht="15" hidden="false" customHeight="false" outlineLevel="0" collapsed="false">
      <c r="A154" s="33"/>
      <c r="B154" s="28"/>
      <c r="C154" s="29"/>
      <c r="D154" s="29"/>
      <c r="E154" s="29"/>
      <c r="F154" s="29"/>
      <c r="G154" s="34"/>
      <c r="H154" s="29"/>
      <c r="I154" s="29"/>
      <c r="J154" s="29"/>
      <c r="K154" s="29"/>
      <c r="L154" s="36"/>
      <c r="M154" s="29"/>
      <c r="N154" s="54"/>
      <c r="O154" s="55" t="n">
        <f aca="false">N154*J154</f>
        <v>0</v>
      </c>
    </row>
    <row r="155" customFormat="false" ht="15" hidden="false" customHeight="false" outlineLevel="0" collapsed="false">
      <c r="A155" s="33"/>
      <c r="B155" s="28"/>
      <c r="C155" s="29"/>
      <c r="D155" s="29"/>
      <c r="E155" s="29"/>
      <c r="F155" s="29"/>
      <c r="G155" s="34"/>
      <c r="H155" s="29"/>
      <c r="I155" s="29"/>
      <c r="J155" s="29"/>
      <c r="K155" s="29"/>
      <c r="L155" s="36"/>
      <c r="M155" s="29"/>
      <c r="N155" s="54"/>
      <c r="O155" s="55" t="n">
        <f aca="false">N155*J155</f>
        <v>0</v>
      </c>
    </row>
    <row r="156" customFormat="false" ht="15" hidden="false" customHeight="false" outlineLevel="0" collapsed="false">
      <c r="A156" s="33"/>
      <c r="B156" s="28"/>
      <c r="C156" s="29"/>
      <c r="D156" s="29"/>
      <c r="E156" s="29"/>
      <c r="F156" s="29"/>
      <c r="G156" s="34"/>
      <c r="H156" s="29"/>
      <c r="I156" s="29"/>
      <c r="J156" s="29"/>
      <c r="K156" s="29"/>
      <c r="L156" s="36"/>
      <c r="M156" s="29"/>
      <c r="N156" s="54"/>
      <c r="O156" s="55" t="n">
        <f aca="false">N156*J156</f>
        <v>0</v>
      </c>
    </row>
    <row r="157" customFormat="false" ht="15" hidden="false" customHeight="false" outlineLevel="0" collapsed="false">
      <c r="A157" s="33"/>
      <c r="B157" s="28"/>
      <c r="C157" s="29"/>
      <c r="D157" s="29"/>
      <c r="E157" s="29"/>
      <c r="F157" s="29"/>
      <c r="G157" s="34"/>
      <c r="H157" s="29"/>
      <c r="I157" s="29"/>
      <c r="J157" s="29"/>
      <c r="K157" s="29"/>
      <c r="L157" s="36"/>
      <c r="M157" s="29"/>
      <c r="N157" s="58"/>
      <c r="O157" s="59" t="n">
        <f aca="false">N157*J157</f>
        <v>0</v>
      </c>
      <c r="P157" s="58"/>
    </row>
    <row r="158" customFormat="false" ht="15" hidden="false" customHeight="false" outlineLevel="0" collapsed="false">
      <c r="A158" s="33"/>
      <c r="B158" s="28"/>
      <c r="C158" s="29"/>
      <c r="D158" s="29"/>
      <c r="E158" s="29"/>
      <c r="F158" s="29"/>
      <c r="G158" s="34"/>
      <c r="H158" s="29"/>
      <c r="I158" s="29"/>
      <c r="J158" s="29"/>
      <c r="K158" s="29"/>
      <c r="L158" s="36"/>
      <c r="M158" s="29"/>
      <c r="N158" s="58"/>
      <c r="O158" s="59" t="n">
        <f aca="false">N158*J158</f>
        <v>0</v>
      </c>
      <c r="P158" s="58"/>
    </row>
    <row r="159" customFormat="false" ht="15" hidden="false" customHeight="false" outlineLevel="0" collapsed="false">
      <c r="A159" s="33"/>
      <c r="B159" s="28"/>
      <c r="C159" s="29"/>
      <c r="D159" s="29"/>
      <c r="E159" s="29"/>
      <c r="F159" s="29"/>
      <c r="G159" s="34"/>
      <c r="H159" s="29"/>
      <c r="I159" s="29"/>
      <c r="J159" s="29"/>
      <c r="K159" s="29"/>
      <c r="L159" s="36"/>
      <c r="M159" s="29"/>
      <c r="N159" s="58"/>
      <c r="O159" s="59" t="n">
        <f aca="false">N159*J159</f>
        <v>0</v>
      </c>
      <c r="P159" s="58"/>
    </row>
    <row r="160" customFormat="false" ht="15" hidden="false" customHeight="false" outlineLevel="0" collapsed="false">
      <c r="A160" s="33"/>
      <c r="B160" s="28"/>
      <c r="C160" s="29"/>
      <c r="D160" s="29"/>
      <c r="E160" s="29"/>
      <c r="F160" s="29"/>
      <c r="G160" s="34"/>
      <c r="H160" s="29"/>
      <c r="I160" s="29"/>
      <c r="J160" s="29"/>
      <c r="K160" s="29"/>
      <c r="L160" s="36"/>
      <c r="M160" s="29"/>
      <c r="N160" s="54"/>
      <c r="O160" s="55" t="n">
        <f aca="false">N160*J160</f>
        <v>0</v>
      </c>
    </row>
    <row r="161" customFormat="false" ht="15" hidden="false" customHeight="false" outlineLevel="0" collapsed="false">
      <c r="A161" s="33"/>
      <c r="B161" s="28"/>
      <c r="C161" s="29"/>
      <c r="D161" s="29"/>
      <c r="E161" s="29"/>
      <c r="F161" s="29"/>
      <c r="G161" s="34"/>
      <c r="H161" s="29"/>
      <c r="I161" s="29"/>
      <c r="J161" s="29"/>
      <c r="K161" s="29"/>
      <c r="L161" s="36"/>
      <c r="M161" s="29"/>
      <c r="N161" s="54"/>
      <c r="O161" s="55" t="n">
        <f aca="false">N161*J161</f>
        <v>0</v>
      </c>
    </row>
    <row r="162" customFormat="false" ht="15" hidden="false" customHeight="false" outlineLevel="0" collapsed="false">
      <c r="A162" s="33"/>
      <c r="B162" s="28"/>
      <c r="C162" s="29"/>
      <c r="D162" s="29"/>
      <c r="E162" s="29"/>
      <c r="F162" s="29"/>
      <c r="G162" s="34"/>
      <c r="H162" s="29"/>
      <c r="I162" s="29"/>
      <c r="J162" s="29"/>
      <c r="K162" s="29"/>
      <c r="L162" s="36"/>
      <c r="M162" s="29"/>
      <c r="N162" s="54"/>
      <c r="O162" s="55" t="n">
        <f aca="false">N162*J162</f>
        <v>0</v>
      </c>
    </row>
    <row r="163" customFormat="false" ht="15" hidden="false" customHeight="false" outlineLevel="0" collapsed="false">
      <c r="A163" s="33"/>
      <c r="B163" s="28"/>
      <c r="C163" s="29"/>
      <c r="D163" s="29"/>
      <c r="E163" s="29"/>
      <c r="F163" s="29"/>
      <c r="G163" s="34"/>
      <c r="H163" s="29"/>
      <c r="I163" s="29"/>
      <c r="J163" s="29"/>
      <c r="K163" s="29"/>
      <c r="L163" s="36"/>
      <c r="M163" s="29"/>
      <c r="N163" s="54"/>
      <c r="O163" s="55" t="n">
        <f aca="false">N163*J163</f>
        <v>0</v>
      </c>
    </row>
    <row r="164" customFormat="false" ht="15" hidden="false" customHeight="false" outlineLevel="0" collapsed="false">
      <c r="A164" s="33"/>
      <c r="B164" s="28"/>
      <c r="C164" s="29"/>
      <c r="D164" s="29"/>
      <c r="E164" s="29"/>
      <c r="F164" s="29"/>
      <c r="G164" s="34"/>
      <c r="H164" s="29"/>
      <c r="I164" s="29"/>
      <c r="J164" s="29"/>
      <c r="K164" s="29"/>
      <c r="L164" s="36"/>
      <c r="M164" s="29"/>
      <c r="N164" s="54"/>
      <c r="O164" s="55" t="n">
        <f aca="false">N164*J164</f>
        <v>0</v>
      </c>
    </row>
    <row r="165" customFormat="false" ht="15" hidden="false" customHeight="false" outlineLevel="0" collapsed="false">
      <c r="A165" s="33"/>
      <c r="B165" s="28" t="s">
        <v>21</v>
      </c>
      <c r="C165" s="29"/>
      <c r="D165" s="29"/>
      <c r="E165" s="29"/>
      <c r="F165" s="29"/>
      <c r="G165" s="34"/>
      <c r="H165" s="29"/>
      <c r="I165" s="29"/>
      <c r="J165" s="29"/>
      <c r="K165" s="29"/>
      <c r="L165" s="36"/>
      <c r="M165" s="29"/>
      <c r="N165" s="54"/>
      <c r="O165" s="55" t="n">
        <f aca="false">N165*J165</f>
        <v>0</v>
      </c>
    </row>
    <row r="166" customFormat="false" ht="15" hidden="false" customHeight="false" outlineLevel="0" collapsed="false">
      <c r="A166" s="33"/>
      <c r="B166" s="28" t="s">
        <v>21</v>
      </c>
      <c r="C166" s="29"/>
      <c r="D166" s="29"/>
      <c r="E166" s="29"/>
      <c r="F166" s="29"/>
      <c r="G166" s="34"/>
      <c r="H166" s="29"/>
      <c r="I166" s="29"/>
      <c r="J166" s="29"/>
      <c r="K166" s="29"/>
      <c r="L166" s="36"/>
      <c r="M166" s="29"/>
      <c r="N166" s="54"/>
      <c r="O166" s="55" t="n">
        <f aca="false">N166*J166</f>
        <v>0</v>
      </c>
    </row>
    <row r="167" customFormat="false" ht="15" hidden="false" customHeight="false" outlineLevel="0" collapsed="false">
      <c r="A167" s="33"/>
      <c r="B167" s="28" t="s">
        <v>21</v>
      </c>
      <c r="C167" s="29"/>
      <c r="D167" s="29"/>
      <c r="E167" s="29"/>
      <c r="F167" s="29"/>
      <c r="G167" s="34"/>
      <c r="H167" s="29"/>
      <c r="I167" s="29"/>
      <c r="J167" s="29"/>
      <c r="K167" s="29"/>
      <c r="L167" s="36"/>
      <c r="M167" s="29"/>
      <c r="N167" s="58"/>
      <c r="O167" s="59" t="n">
        <f aca="false">N167*J167</f>
        <v>0</v>
      </c>
      <c r="P167" s="58"/>
    </row>
    <row r="168" customFormat="false" ht="15" hidden="false" customHeight="false" outlineLevel="0" collapsed="false">
      <c r="A168" s="33"/>
      <c r="B168" s="28" t="s">
        <v>21</v>
      </c>
      <c r="C168" s="29"/>
      <c r="D168" s="29"/>
      <c r="E168" s="29"/>
      <c r="F168" s="29"/>
      <c r="G168" s="34"/>
      <c r="H168" s="29"/>
      <c r="I168" s="29"/>
      <c r="J168" s="29"/>
      <c r="K168" s="29"/>
      <c r="L168" s="36"/>
      <c r="M168" s="29"/>
      <c r="N168" s="58"/>
      <c r="O168" s="59" t="n">
        <f aca="false">N168*J168</f>
        <v>0</v>
      </c>
      <c r="P168" s="58"/>
    </row>
    <row r="169" customFormat="false" ht="15" hidden="false" customHeight="false" outlineLevel="0" collapsed="false">
      <c r="A169" s="33"/>
      <c r="B169" s="28" t="s">
        <v>21</v>
      </c>
      <c r="C169" s="29"/>
      <c r="D169" s="29"/>
      <c r="E169" s="29"/>
      <c r="F169" s="29"/>
      <c r="G169" s="34"/>
      <c r="H169" s="29"/>
      <c r="I169" s="29"/>
      <c r="J169" s="29"/>
      <c r="K169" s="29"/>
      <c r="L169" s="36"/>
      <c r="M169" s="29"/>
      <c r="N169" s="58"/>
      <c r="O169" s="59" t="n">
        <f aca="false">N169*J169</f>
        <v>0</v>
      </c>
      <c r="P169" s="58"/>
    </row>
    <row r="170" customFormat="false" ht="15" hidden="false" customHeight="false" outlineLevel="0" collapsed="false">
      <c r="A170" s="33"/>
      <c r="B170" s="28" t="s">
        <v>21</v>
      </c>
      <c r="C170" s="29"/>
      <c r="D170" s="29"/>
      <c r="E170" s="29"/>
      <c r="F170" s="29"/>
      <c r="G170" s="34"/>
      <c r="H170" s="29"/>
      <c r="I170" s="29"/>
      <c r="J170" s="29"/>
      <c r="K170" s="29"/>
      <c r="L170" s="36"/>
      <c r="M170" s="29"/>
      <c r="N170" s="54"/>
      <c r="O170" s="55" t="n">
        <f aca="false">N170*J170</f>
        <v>0</v>
      </c>
    </row>
    <row r="171" customFormat="false" ht="15" hidden="false" customHeight="false" outlineLevel="0" collapsed="false">
      <c r="A171" s="33"/>
      <c r="B171" s="28" t="s">
        <v>21</v>
      </c>
      <c r="C171" s="29"/>
      <c r="D171" s="29"/>
      <c r="E171" s="29"/>
      <c r="F171" s="29"/>
      <c r="G171" s="34"/>
      <c r="H171" s="29"/>
      <c r="I171" s="29"/>
      <c r="J171" s="29"/>
      <c r="K171" s="29"/>
      <c r="L171" s="36"/>
      <c r="M171" s="29"/>
      <c r="N171" s="54"/>
      <c r="O171" s="55" t="n">
        <f aca="false">N171*J171</f>
        <v>0</v>
      </c>
    </row>
    <row r="172" customFormat="false" ht="15" hidden="false" customHeight="false" outlineLevel="0" collapsed="false">
      <c r="A172" s="33"/>
      <c r="B172" s="28" t="s">
        <v>21</v>
      </c>
      <c r="C172" s="29"/>
      <c r="D172" s="29"/>
      <c r="E172" s="29"/>
      <c r="F172" s="29"/>
      <c r="G172" s="34"/>
      <c r="H172" s="29"/>
      <c r="I172" s="29"/>
      <c r="J172" s="29"/>
      <c r="K172" s="29"/>
      <c r="L172" s="36"/>
      <c r="M172" s="29"/>
      <c r="N172" s="54"/>
      <c r="O172" s="55" t="n">
        <f aca="false">N172*J172</f>
        <v>0</v>
      </c>
    </row>
    <row r="173" customFormat="false" ht="15" hidden="false" customHeight="false" outlineLevel="0" collapsed="false">
      <c r="A173" s="33"/>
      <c r="B173" s="28" t="s">
        <v>21</v>
      </c>
      <c r="C173" s="29"/>
      <c r="D173" s="29"/>
      <c r="E173" s="29"/>
      <c r="F173" s="29"/>
      <c r="G173" s="34"/>
      <c r="H173" s="29"/>
      <c r="I173" s="29"/>
      <c r="J173" s="29"/>
      <c r="K173" s="29"/>
      <c r="L173" s="36"/>
      <c r="M173" s="29"/>
      <c r="N173" s="54"/>
      <c r="O173" s="55" t="n">
        <f aca="false">N173*J173</f>
        <v>0</v>
      </c>
    </row>
    <row r="174" customFormat="false" ht="15" hidden="false" customHeight="false" outlineLevel="0" collapsed="false">
      <c r="A174" s="33"/>
      <c r="B174" s="28" t="s">
        <v>21</v>
      </c>
      <c r="C174" s="29"/>
      <c r="D174" s="29"/>
      <c r="E174" s="29"/>
      <c r="F174" s="29"/>
      <c r="G174" s="34"/>
      <c r="H174" s="29"/>
      <c r="I174" s="29"/>
      <c r="J174" s="29"/>
      <c r="K174" s="29"/>
      <c r="L174" s="36"/>
      <c r="M174" s="29"/>
      <c r="N174" s="54"/>
      <c r="O174" s="55" t="n">
        <f aca="false">N174*J174</f>
        <v>0</v>
      </c>
    </row>
    <row r="175" customFormat="false" ht="15" hidden="false" customHeight="false" outlineLevel="0" collapsed="false">
      <c r="A175" s="33"/>
      <c r="B175" s="28"/>
      <c r="C175" s="29"/>
      <c r="D175" s="29"/>
      <c r="E175" s="29"/>
      <c r="F175" s="29"/>
      <c r="G175" s="34"/>
      <c r="H175" s="29"/>
      <c r="I175" s="29"/>
      <c r="J175" s="29"/>
      <c r="K175" s="29"/>
      <c r="L175" s="36"/>
      <c r="M175" s="29"/>
      <c r="N175" s="54"/>
      <c r="O175" s="55" t="n">
        <f aca="false">N175*J175</f>
        <v>0</v>
      </c>
    </row>
    <row r="176" customFormat="false" ht="15" hidden="false" customHeight="false" outlineLevel="0" collapsed="false">
      <c r="A176" s="33"/>
      <c r="B176" s="28" t="s">
        <v>21</v>
      </c>
      <c r="C176" s="29"/>
      <c r="D176" s="29"/>
      <c r="E176" s="29"/>
      <c r="F176" s="29"/>
      <c r="G176" s="34"/>
      <c r="H176" s="29"/>
      <c r="I176" s="29"/>
      <c r="J176" s="29"/>
      <c r="K176" s="29"/>
      <c r="L176" s="36"/>
      <c r="M176" s="29"/>
      <c r="N176" s="54"/>
      <c r="O176" s="55" t="n">
        <f aca="false">N176*J176</f>
        <v>0</v>
      </c>
    </row>
    <row r="177" customFormat="false" ht="15" hidden="false" customHeight="false" outlineLevel="0" collapsed="false">
      <c r="A177" s="33"/>
      <c r="B177" s="28" t="s">
        <v>21</v>
      </c>
      <c r="C177" s="29"/>
      <c r="D177" s="29"/>
      <c r="E177" s="29"/>
      <c r="F177" s="29"/>
      <c r="G177" s="34"/>
      <c r="H177" s="29"/>
      <c r="I177" s="29"/>
      <c r="J177" s="29"/>
      <c r="K177" s="29"/>
      <c r="L177" s="36"/>
      <c r="M177" s="29"/>
      <c r="N177" s="54"/>
      <c r="O177" s="55" t="n">
        <f aca="false">N177*J177</f>
        <v>0</v>
      </c>
    </row>
    <row r="178" customFormat="false" ht="15" hidden="false" customHeight="false" outlineLevel="0" collapsed="false">
      <c r="A178" s="33"/>
      <c r="B178" s="28" t="s">
        <v>21</v>
      </c>
      <c r="C178" s="29"/>
      <c r="D178" s="29"/>
      <c r="E178" s="29"/>
      <c r="F178" s="29"/>
      <c r="G178" s="34"/>
      <c r="H178" s="29"/>
      <c r="I178" s="29"/>
      <c r="J178" s="29"/>
      <c r="K178" s="29"/>
      <c r="L178" s="36"/>
      <c r="M178" s="29"/>
      <c r="N178" s="54"/>
      <c r="O178" s="55" t="n">
        <f aca="false">N178*J178</f>
        <v>0</v>
      </c>
    </row>
    <row r="179" customFormat="false" ht="15" hidden="false" customHeight="false" outlineLevel="0" collapsed="false">
      <c r="A179" s="33"/>
      <c r="B179" s="28" t="s">
        <v>21</v>
      </c>
      <c r="C179" s="29"/>
      <c r="D179" s="29"/>
      <c r="E179" s="29"/>
      <c r="F179" s="29"/>
      <c r="G179" s="34"/>
      <c r="H179" s="29"/>
      <c r="I179" s="29"/>
      <c r="J179" s="29"/>
      <c r="K179" s="29"/>
      <c r="L179" s="36"/>
      <c r="M179" s="29"/>
      <c r="N179" s="54"/>
      <c r="O179" s="55" t="n">
        <f aca="false">N179*J179</f>
        <v>0</v>
      </c>
    </row>
    <row r="180" customFormat="false" ht="15" hidden="false" customHeight="false" outlineLevel="0" collapsed="false">
      <c r="A180" s="33"/>
      <c r="B180" s="28" t="s">
        <v>21</v>
      </c>
      <c r="C180" s="29"/>
      <c r="D180" s="29"/>
      <c r="E180" s="29"/>
      <c r="F180" s="29"/>
      <c r="G180" s="34"/>
      <c r="H180" s="29"/>
      <c r="I180" s="29"/>
      <c r="J180" s="29"/>
      <c r="K180" s="29"/>
      <c r="L180" s="36"/>
      <c r="M180" s="29"/>
      <c r="N180" s="54"/>
      <c r="O180" s="55" t="n">
        <f aca="false">N180*J180</f>
        <v>0</v>
      </c>
    </row>
    <row r="181" customFormat="false" ht="15" hidden="false" customHeight="false" outlineLevel="0" collapsed="false">
      <c r="A181" s="33"/>
      <c r="B181" s="28" t="s">
        <v>21</v>
      </c>
      <c r="C181" s="29"/>
      <c r="D181" s="29"/>
      <c r="E181" s="29"/>
      <c r="F181" s="29"/>
      <c r="G181" s="34"/>
      <c r="H181" s="29"/>
      <c r="I181" s="29"/>
      <c r="J181" s="29"/>
      <c r="K181" s="29"/>
      <c r="L181" s="36"/>
      <c r="M181" s="29"/>
      <c r="N181" s="54"/>
      <c r="O181" s="55" t="n">
        <f aca="false">N181*J181</f>
        <v>0</v>
      </c>
    </row>
    <row r="182" customFormat="false" ht="15" hidden="false" customHeight="false" outlineLevel="0" collapsed="false">
      <c r="A182" s="33"/>
      <c r="B182" s="28" t="s">
        <v>21</v>
      </c>
      <c r="C182" s="29"/>
      <c r="D182" s="29"/>
      <c r="E182" s="29"/>
      <c r="F182" s="29"/>
      <c r="G182" s="34"/>
      <c r="H182" s="29"/>
      <c r="I182" s="29"/>
      <c r="J182" s="29"/>
      <c r="K182" s="29"/>
      <c r="L182" s="36"/>
      <c r="M182" s="29"/>
      <c r="N182" s="54"/>
      <c r="O182" s="55" t="n">
        <f aca="false">N182*J182</f>
        <v>0</v>
      </c>
    </row>
    <row r="183" customFormat="false" ht="15" hidden="false" customHeight="false" outlineLevel="0" collapsed="false">
      <c r="A183" s="33"/>
      <c r="B183" s="28" t="s">
        <v>21</v>
      </c>
      <c r="C183" s="29"/>
      <c r="D183" s="29"/>
      <c r="E183" s="29"/>
      <c r="F183" s="29"/>
      <c r="G183" s="34"/>
      <c r="H183" s="29"/>
      <c r="I183" s="29"/>
      <c r="J183" s="29"/>
      <c r="K183" s="29"/>
      <c r="L183" s="36"/>
      <c r="M183" s="29"/>
      <c r="N183" s="54"/>
      <c r="O183" s="55" t="n">
        <f aca="false">N183*J183</f>
        <v>0</v>
      </c>
    </row>
    <row r="184" customFormat="false" ht="15" hidden="false" customHeight="false" outlineLevel="0" collapsed="false">
      <c r="A184" s="33"/>
      <c r="B184" s="28" t="s">
        <v>21</v>
      </c>
      <c r="C184" s="29"/>
      <c r="D184" s="29"/>
      <c r="E184" s="29"/>
      <c r="F184" s="29"/>
      <c r="G184" s="34"/>
      <c r="H184" s="29"/>
      <c r="I184" s="29"/>
      <c r="J184" s="29"/>
      <c r="K184" s="29"/>
      <c r="L184" s="36"/>
      <c r="M184" s="29"/>
      <c r="N184" s="54"/>
      <c r="O184" s="55" t="n">
        <f aca="false">N184*J184</f>
        <v>0</v>
      </c>
    </row>
    <row r="185" customFormat="false" ht="15" hidden="false" customHeight="false" outlineLevel="0" collapsed="false">
      <c r="A185" s="33"/>
      <c r="B185" s="28" t="s">
        <v>21</v>
      </c>
      <c r="C185" s="29"/>
      <c r="D185" s="29"/>
      <c r="E185" s="29"/>
      <c r="F185" s="29"/>
      <c r="G185" s="34"/>
      <c r="H185" s="29"/>
      <c r="I185" s="29"/>
      <c r="J185" s="29"/>
      <c r="K185" s="29"/>
      <c r="L185" s="36"/>
      <c r="M185" s="29"/>
      <c r="N185" s="54"/>
      <c r="O185" s="55" t="n">
        <f aca="false">N185*J185</f>
        <v>0</v>
      </c>
    </row>
    <row r="186" customFormat="false" ht="15" hidden="false" customHeight="false" outlineLevel="0" collapsed="false">
      <c r="A186" s="33"/>
      <c r="B186" s="28" t="s">
        <v>21</v>
      </c>
      <c r="C186" s="29"/>
      <c r="D186" s="29"/>
      <c r="E186" s="29"/>
      <c r="F186" s="29"/>
      <c r="G186" s="34"/>
      <c r="H186" s="29"/>
      <c r="I186" s="29"/>
      <c r="J186" s="29"/>
      <c r="K186" s="29"/>
      <c r="L186" s="36"/>
      <c r="M186" s="29"/>
      <c r="N186" s="54"/>
      <c r="O186" s="55" t="n">
        <f aca="false">N186*J186</f>
        <v>0</v>
      </c>
    </row>
    <row r="187" customFormat="false" ht="15" hidden="false" customHeight="false" outlineLevel="0" collapsed="false">
      <c r="A187" s="33"/>
      <c r="B187" s="28" t="s">
        <v>21</v>
      </c>
      <c r="C187" s="29"/>
      <c r="D187" s="29"/>
      <c r="E187" s="29"/>
      <c r="F187" s="29"/>
      <c r="G187" s="34"/>
      <c r="H187" s="29"/>
      <c r="I187" s="29"/>
      <c r="J187" s="29"/>
      <c r="K187" s="29"/>
      <c r="L187" s="36"/>
      <c r="M187" s="29"/>
      <c r="N187" s="54"/>
      <c r="O187" s="55" t="n">
        <f aca="false">N187*J187</f>
        <v>0</v>
      </c>
    </row>
    <row r="188" customFormat="false" ht="15" hidden="false" customHeight="false" outlineLevel="0" collapsed="false">
      <c r="A188" s="33"/>
      <c r="B188" s="28" t="s">
        <v>21</v>
      </c>
      <c r="C188" s="29"/>
      <c r="D188" s="29"/>
      <c r="E188" s="29"/>
      <c r="F188" s="29"/>
      <c r="G188" s="34"/>
      <c r="H188" s="29"/>
      <c r="I188" s="29"/>
      <c r="J188" s="29"/>
      <c r="K188" s="29"/>
      <c r="L188" s="36"/>
      <c r="M188" s="29"/>
      <c r="N188" s="54"/>
      <c r="O188" s="55" t="n">
        <f aca="false">N188*J188</f>
        <v>0</v>
      </c>
    </row>
    <row r="189" customFormat="false" ht="15" hidden="false" customHeight="false" outlineLevel="0" collapsed="false">
      <c r="A189" s="33"/>
      <c r="B189" s="28" t="s">
        <v>21</v>
      </c>
      <c r="C189" s="29"/>
      <c r="D189" s="29"/>
      <c r="E189" s="29"/>
      <c r="F189" s="29"/>
      <c r="G189" s="34"/>
      <c r="H189" s="29"/>
      <c r="I189" s="29"/>
      <c r="J189" s="29"/>
      <c r="K189" s="29"/>
      <c r="L189" s="36"/>
      <c r="M189" s="29"/>
      <c r="N189" s="54"/>
      <c r="O189" s="55" t="n">
        <f aca="false">N189*J189</f>
        <v>0</v>
      </c>
    </row>
    <row r="190" customFormat="false" ht="15" hidden="false" customHeight="false" outlineLevel="0" collapsed="false">
      <c r="A190" s="33"/>
      <c r="B190" s="28" t="s">
        <v>21</v>
      </c>
      <c r="C190" s="29"/>
      <c r="D190" s="29"/>
      <c r="E190" s="29"/>
      <c r="F190" s="29"/>
      <c r="G190" s="34"/>
      <c r="H190" s="29"/>
      <c r="I190" s="29"/>
      <c r="J190" s="29"/>
      <c r="K190" s="29"/>
      <c r="L190" s="36"/>
      <c r="M190" s="29"/>
      <c r="N190" s="54"/>
      <c r="O190" s="55" t="n">
        <f aca="false">N190*J190</f>
        <v>0</v>
      </c>
    </row>
    <row r="191" customFormat="false" ht="15" hidden="false" customHeight="false" outlineLevel="0" collapsed="false">
      <c r="A191" s="33"/>
      <c r="B191" s="28" t="s">
        <v>21</v>
      </c>
      <c r="C191" s="29"/>
      <c r="D191" s="29"/>
      <c r="E191" s="29"/>
      <c r="F191" s="29"/>
      <c r="G191" s="34"/>
      <c r="H191" s="29"/>
      <c r="I191" s="29"/>
      <c r="J191" s="29"/>
      <c r="K191" s="29"/>
      <c r="L191" s="36"/>
      <c r="M191" s="29"/>
      <c r="N191" s="54"/>
      <c r="O191" s="55" t="n">
        <f aca="false">N191*J191</f>
        <v>0</v>
      </c>
    </row>
    <row r="192" customFormat="false" ht="15" hidden="false" customHeight="false" outlineLevel="0" collapsed="false">
      <c r="A192" s="33"/>
      <c r="B192" s="28" t="s">
        <v>21</v>
      </c>
      <c r="C192" s="29"/>
      <c r="D192" s="29"/>
      <c r="E192" s="29"/>
      <c r="F192" s="29"/>
      <c r="G192" s="34"/>
      <c r="H192" s="29"/>
      <c r="I192" s="29"/>
      <c r="J192" s="29"/>
      <c r="K192" s="29"/>
      <c r="L192" s="36"/>
      <c r="M192" s="29"/>
      <c r="N192" s="54"/>
      <c r="O192" s="55" t="n">
        <f aca="false">N192*J192</f>
        <v>0</v>
      </c>
    </row>
    <row r="193" customFormat="false" ht="15" hidden="false" customHeight="false" outlineLevel="0" collapsed="false">
      <c r="A193" s="33"/>
      <c r="B193" s="28" t="s">
        <v>21</v>
      </c>
      <c r="C193" s="29"/>
      <c r="D193" s="29"/>
      <c r="E193" s="29"/>
      <c r="F193" s="29"/>
      <c r="G193" s="34"/>
      <c r="H193" s="29"/>
      <c r="I193" s="29"/>
      <c r="J193" s="29"/>
      <c r="K193" s="29"/>
      <c r="L193" s="36"/>
      <c r="M193" s="29"/>
      <c r="N193" s="54"/>
      <c r="O193" s="55" t="n">
        <f aca="false">N193*J193</f>
        <v>0</v>
      </c>
    </row>
    <row r="194" customFormat="false" ht="15" hidden="false" customHeight="false" outlineLevel="0" collapsed="false">
      <c r="A194" s="33"/>
      <c r="B194" s="28" t="s">
        <v>21</v>
      </c>
      <c r="C194" s="29"/>
      <c r="D194" s="29"/>
      <c r="E194" s="29"/>
      <c r="F194" s="29"/>
      <c r="G194" s="34"/>
      <c r="H194" s="29"/>
      <c r="I194" s="29"/>
      <c r="J194" s="29"/>
      <c r="K194" s="29"/>
      <c r="L194" s="36"/>
      <c r="M194" s="29"/>
      <c r="N194" s="54"/>
      <c r="O194" s="55" t="n">
        <f aca="false">N194*J194</f>
        <v>0</v>
      </c>
    </row>
    <row r="195" customFormat="false" ht="15" hidden="false" customHeight="false" outlineLevel="0" collapsed="false">
      <c r="A195" s="33"/>
      <c r="B195" s="28" t="s">
        <v>21</v>
      </c>
      <c r="C195" s="29"/>
      <c r="D195" s="29"/>
      <c r="E195" s="29"/>
      <c r="F195" s="29"/>
      <c r="G195" s="34"/>
      <c r="H195" s="29"/>
      <c r="I195" s="29"/>
      <c r="J195" s="29"/>
      <c r="K195" s="29"/>
      <c r="L195" s="36"/>
      <c r="M195" s="29"/>
      <c r="N195" s="54"/>
      <c r="O195" s="55" t="n">
        <f aca="false">N195*J195</f>
        <v>0</v>
      </c>
    </row>
    <row r="196" customFormat="false" ht="15" hidden="false" customHeight="false" outlineLevel="0" collapsed="false">
      <c r="A196" s="33"/>
      <c r="B196" s="28" t="s">
        <v>21</v>
      </c>
      <c r="C196" s="29"/>
      <c r="D196" s="29"/>
      <c r="E196" s="29"/>
      <c r="F196" s="29"/>
      <c r="G196" s="34"/>
      <c r="H196" s="29"/>
      <c r="I196" s="29"/>
      <c r="J196" s="29"/>
      <c r="K196" s="29"/>
      <c r="L196" s="36"/>
      <c r="M196" s="29"/>
      <c r="N196" s="54"/>
      <c r="O196" s="55" t="n">
        <f aca="false">N196*J196</f>
        <v>0</v>
      </c>
    </row>
    <row r="197" customFormat="false" ht="15" hidden="false" customHeight="false" outlineLevel="0" collapsed="false">
      <c r="A197" s="33"/>
      <c r="B197" s="28"/>
      <c r="C197" s="29"/>
      <c r="D197" s="29"/>
      <c r="E197" s="29"/>
      <c r="F197" s="29"/>
      <c r="G197" s="34"/>
      <c r="H197" s="29"/>
      <c r="I197" s="29"/>
      <c r="J197" s="29"/>
      <c r="K197" s="29"/>
      <c r="L197" s="36"/>
      <c r="M197" s="29"/>
      <c r="N197" s="54"/>
      <c r="O197" s="55" t="n">
        <f aca="false">N197*J197</f>
        <v>0</v>
      </c>
    </row>
    <row r="198" customFormat="false" ht="15" hidden="false" customHeight="false" outlineLevel="0" collapsed="false">
      <c r="A198" s="33"/>
      <c r="B198" s="28" t="s">
        <v>21</v>
      </c>
      <c r="C198" s="29"/>
      <c r="D198" s="29"/>
      <c r="E198" s="29"/>
      <c r="F198" s="29"/>
      <c r="G198" s="34"/>
      <c r="H198" s="29"/>
      <c r="I198" s="29"/>
      <c r="J198" s="29"/>
      <c r="K198" s="29"/>
      <c r="L198" s="36"/>
      <c r="M198" s="29"/>
      <c r="N198" s="54"/>
      <c r="O198" s="55" t="n">
        <f aca="false">N198*J198</f>
        <v>0</v>
      </c>
    </row>
    <row r="199" customFormat="false" ht="15" hidden="false" customHeight="false" outlineLevel="0" collapsed="false">
      <c r="A199" s="33"/>
      <c r="B199" s="28" t="s">
        <v>21</v>
      </c>
      <c r="C199" s="29"/>
      <c r="D199" s="29"/>
      <c r="E199" s="29"/>
      <c r="F199" s="29"/>
      <c r="G199" s="34"/>
      <c r="H199" s="29"/>
      <c r="I199" s="29"/>
      <c r="J199" s="29"/>
      <c r="K199" s="29"/>
      <c r="L199" s="36"/>
      <c r="M199" s="29"/>
      <c r="N199" s="54"/>
      <c r="O199" s="55" t="n">
        <f aca="false">N199*J199</f>
        <v>0</v>
      </c>
    </row>
    <row r="200" customFormat="false" ht="15" hidden="false" customHeight="false" outlineLevel="0" collapsed="false">
      <c r="A200" s="33"/>
      <c r="B200" s="28" t="s">
        <v>21</v>
      </c>
      <c r="C200" s="29"/>
      <c r="D200" s="29"/>
      <c r="E200" s="29"/>
      <c r="F200" s="29"/>
      <c r="G200" s="34"/>
      <c r="H200" s="29"/>
      <c r="I200" s="29"/>
      <c r="J200" s="29"/>
      <c r="K200" s="29"/>
      <c r="L200" s="36"/>
      <c r="M200" s="29"/>
      <c r="N200" s="54"/>
      <c r="O200" s="55" t="n">
        <f aca="false">N200*J200</f>
        <v>0</v>
      </c>
    </row>
    <row r="201" customFormat="false" ht="15" hidden="false" customHeight="false" outlineLevel="0" collapsed="false">
      <c r="A201" s="33"/>
      <c r="B201" s="28" t="s">
        <v>21</v>
      </c>
      <c r="C201" s="29"/>
      <c r="D201" s="29"/>
      <c r="E201" s="29"/>
      <c r="F201" s="29"/>
      <c r="G201" s="34"/>
      <c r="H201" s="29"/>
      <c r="I201" s="29"/>
      <c r="J201" s="29"/>
      <c r="K201" s="29"/>
      <c r="L201" s="36"/>
      <c r="M201" s="29"/>
      <c r="N201" s="54"/>
      <c r="O201" s="55" t="n">
        <f aca="false">N201*J201</f>
        <v>0</v>
      </c>
    </row>
    <row r="202" customFormat="false" ht="15" hidden="false" customHeight="false" outlineLevel="0" collapsed="false">
      <c r="A202" s="33"/>
      <c r="B202" s="28" t="s">
        <v>21</v>
      </c>
      <c r="C202" s="29"/>
      <c r="D202" s="29"/>
      <c r="E202" s="29"/>
      <c r="F202" s="29"/>
      <c r="G202" s="34"/>
      <c r="H202" s="29"/>
      <c r="I202" s="29"/>
      <c r="J202" s="29"/>
      <c r="K202" s="29"/>
      <c r="L202" s="36"/>
      <c r="M202" s="29"/>
      <c r="N202" s="54"/>
      <c r="O202" s="55" t="n">
        <f aca="false">N202*J202</f>
        <v>0</v>
      </c>
    </row>
    <row r="203" customFormat="false" ht="15" hidden="false" customHeight="false" outlineLevel="0" collapsed="false">
      <c r="A203" s="33"/>
      <c r="B203" s="28" t="s">
        <v>21</v>
      </c>
      <c r="C203" s="29"/>
      <c r="D203" s="29"/>
      <c r="E203" s="29"/>
      <c r="F203" s="29"/>
      <c r="G203" s="34"/>
      <c r="H203" s="29"/>
      <c r="I203" s="29"/>
      <c r="J203" s="29"/>
      <c r="K203" s="29"/>
      <c r="L203" s="36"/>
      <c r="M203" s="29"/>
      <c r="N203" s="54"/>
      <c r="O203" s="55" t="n">
        <f aca="false">N203*J203</f>
        <v>0</v>
      </c>
    </row>
    <row r="204" customFormat="false" ht="15" hidden="false" customHeight="false" outlineLevel="0" collapsed="false">
      <c r="A204" s="33"/>
      <c r="B204" s="28" t="s">
        <v>21</v>
      </c>
      <c r="C204" s="29"/>
      <c r="D204" s="29"/>
      <c r="E204" s="29"/>
      <c r="F204" s="29"/>
      <c r="G204" s="34"/>
      <c r="H204" s="29"/>
      <c r="I204" s="29"/>
      <c r="J204" s="29"/>
      <c r="K204" s="29"/>
      <c r="L204" s="36"/>
      <c r="M204" s="29"/>
      <c r="N204" s="54"/>
      <c r="O204" s="55" t="n">
        <f aca="false">N204*J204</f>
        <v>0</v>
      </c>
    </row>
    <row r="205" customFormat="false" ht="15" hidden="false" customHeight="false" outlineLevel="0" collapsed="false">
      <c r="A205" s="33"/>
      <c r="B205" s="28" t="s">
        <v>21</v>
      </c>
      <c r="C205" s="29"/>
      <c r="D205" s="29"/>
      <c r="E205" s="29"/>
      <c r="F205" s="29"/>
      <c r="G205" s="34"/>
      <c r="H205" s="29"/>
      <c r="I205" s="29"/>
      <c r="J205" s="29"/>
      <c r="K205" s="29"/>
      <c r="L205" s="36"/>
      <c r="M205" s="29"/>
      <c r="N205" s="54"/>
      <c r="O205" s="55" t="n">
        <f aca="false">N205*J205</f>
        <v>0</v>
      </c>
    </row>
    <row r="206" customFormat="false" ht="15" hidden="false" customHeight="false" outlineLevel="0" collapsed="false">
      <c r="A206" s="33"/>
      <c r="B206" s="28" t="s">
        <v>21</v>
      </c>
      <c r="C206" s="29"/>
      <c r="D206" s="29"/>
      <c r="E206" s="29"/>
      <c r="F206" s="29"/>
      <c r="G206" s="34"/>
      <c r="H206" s="29"/>
      <c r="I206" s="29"/>
      <c r="J206" s="29"/>
      <c r="K206" s="29"/>
      <c r="L206" s="36"/>
      <c r="M206" s="29"/>
      <c r="N206" s="54"/>
      <c r="O206" s="55" t="n">
        <f aca="false">N206*J206</f>
        <v>0</v>
      </c>
    </row>
    <row r="207" customFormat="false" ht="15" hidden="false" customHeight="false" outlineLevel="0" collapsed="false">
      <c r="A207" s="33"/>
      <c r="B207" s="28" t="s">
        <v>21</v>
      </c>
      <c r="C207" s="29"/>
      <c r="D207" s="29"/>
      <c r="E207" s="29"/>
      <c r="F207" s="29"/>
      <c r="G207" s="34"/>
      <c r="H207" s="29"/>
      <c r="I207" s="29"/>
      <c r="J207" s="29"/>
      <c r="K207" s="29"/>
      <c r="L207" s="36"/>
      <c r="M207" s="29"/>
      <c r="N207" s="54"/>
      <c r="O207" s="55" t="n">
        <f aca="false">N207*J207</f>
        <v>0</v>
      </c>
    </row>
    <row r="208" customFormat="false" ht="15" hidden="false" customHeight="false" outlineLevel="0" collapsed="false">
      <c r="A208" s="33"/>
      <c r="B208" s="28" t="s">
        <v>21</v>
      </c>
      <c r="C208" s="29"/>
      <c r="D208" s="29"/>
      <c r="E208" s="29"/>
      <c r="F208" s="29"/>
      <c r="G208" s="34"/>
      <c r="H208" s="29"/>
      <c r="I208" s="29"/>
      <c r="J208" s="29"/>
      <c r="K208" s="29"/>
      <c r="L208" s="36"/>
      <c r="M208" s="29"/>
      <c r="N208" s="54"/>
      <c r="O208" s="55" t="n">
        <f aca="false">N208*J208</f>
        <v>0</v>
      </c>
    </row>
    <row r="209" customFormat="false" ht="15" hidden="false" customHeight="false" outlineLevel="0" collapsed="false">
      <c r="A209" s="33"/>
      <c r="B209" s="28" t="s">
        <v>21</v>
      </c>
      <c r="C209" s="29"/>
      <c r="D209" s="29"/>
      <c r="E209" s="29"/>
      <c r="F209" s="29"/>
      <c r="G209" s="34"/>
      <c r="H209" s="29"/>
      <c r="I209" s="29"/>
      <c r="J209" s="29"/>
      <c r="K209" s="29"/>
      <c r="L209" s="36"/>
      <c r="M209" s="29"/>
      <c r="N209" s="54"/>
      <c r="O209" s="55" t="n">
        <f aca="false">N209*J209</f>
        <v>0</v>
      </c>
    </row>
    <row r="210" customFormat="false" ht="15" hidden="false" customHeight="false" outlineLevel="0" collapsed="false">
      <c r="A210" s="33"/>
      <c r="B210" s="28" t="s">
        <v>21</v>
      </c>
      <c r="C210" s="29"/>
      <c r="D210" s="29"/>
      <c r="E210" s="29"/>
      <c r="F210" s="29"/>
      <c r="G210" s="34"/>
      <c r="H210" s="29"/>
      <c r="I210" s="29"/>
      <c r="J210" s="29"/>
      <c r="K210" s="29"/>
      <c r="L210" s="36"/>
      <c r="M210" s="29"/>
      <c r="N210" s="54"/>
      <c r="O210" s="55" t="n">
        <f aca="false">N210*J210</f>
        <v>0</v>
      </c>
    </row>
    <row r="211" customFormat="false" ht="15" hidden="false" customHeight="false" outlineLevel="0" collapsed="false">
      <c r="A211" s="33"/>
      <c r="B211" s="28" t="s">
        <v>21</v>
      </c>
      <c r="C211" s="29"/>
      <c r="D211" s="29"/>
      <c r="E211" s="29"/>
      <c r="F211" s="29"/>
      <c r="G211" s="34"/>
      <c r="H211" s="29"/>
      <c r="I211" s="29"/>
      <c r="J211" s="29"/>
      <c r="K211" s="29"/>
      <c r="L211" s="36"/>
      <c r="M211" s="29"/>
      <c r="N211" s="54"/>
      <c r="O211" s="55" t="n">
        <f aca="false">N211*J211</f>
        <v>0</v>
      </c>
    </row>
    <row r="212" customFormat="false" ht="15" hidden="false" customHeight="false" outlineLevel="0" collapsed="false">
      <c r="A212" s="33"/>
      <c r="B212" s="28" t="s">
        <v>21</v>
      </c>
      <c r="C212" s="29"/>
      <c r="D212" s="29"/>
      <c r="E212" s="29"/>
      <c r="F212" s="29"/>
      <c r="G212" s="34"/>
      <c r="H212" s="29"/>
      <c r="I212" s="29"/>
      <c r="J212" s="29"/>
      <c r="K212" s="29"/>
      <c r="L212" s="36"/>
      <c r="M212" s="29"/>
      <c r="N212" s="54"/>
      <c r="O212" s="55" t="n">
        <f aca="false">N212*J212</f>
        <v>0</v>
      </c>
    </row>
    <row r="213" customFormat="false" ht="15" hidden="false" customHeight="false" outlineLevel="0" collapsed="false">
      <c r="A213" s="33"/>
      <c r="B213" s="28" t="s">
        <v>21</v>
      </c>
      <c r="C213" s="29"/>
      <c r="D213" s="29"/>
      <c r="E213" s="29"/>
      <c r="F213" s="29"/>
      <c r="G213" s="34"/>
      <c r="H213" s="29"/>
      <c r="I213" s="29"/>
      <c r="J213" s="29"/>
      <c r="K213" s="29"/>
      <c r="L213" s="36"/>
      <c r="M213" s="29"/>
      <c r="N213" s="54"/>
      <c r="O213" s="55" t="n">
        <f aca="false">N213*J213</f>
        <v>0</v>
      </c>
    </row>
    <row r="214" customFormat="false" ht="15" hidden="false" customHeight="false" outlineLevel="0" collapsed="false">
      <c r="A214" s="33"/>
      <c r="B214" s="28" t="s">
        <v>21</v>
      </c>
      <c r="C214" s="29"/>
      <c r="D214" s="29"/>
      <c r="E214" s="29"/>
      <c r="F214" s="29"/>
      <c r="G214" s="34"/>
      <c r="H214" s="29"/>
      <c r="I214" s="29"/>
      <c r="J214" s="29"/>
      <c r="K214" s="29"/>
      <c r="L214" s="36"/>
      <c r="M214" s="29"/>
      <c r="N214" s="54"/>
      <c r="O214" s="55" t="n">
        <f aca="false">N214*J214</f>
        <v>0</v>
      </c>
    </row>
    <row r="215" customFormat="false" ht="15" hidden="false" customHeight="false" outlineLevel="0" collapsed="false">
      <c r="A215" s="33"/>
      <c r="B215" s="28" t="s">
        <v>21</v>
      </c>
      <c r="C215" s="29"/>
      <c r="D215" s="29"/>
      <c r="E215" s="29"/>
      <c r="F215" s="29"/>
      <c r="G215" s="34"/>
      <c r="H215" s="29"/>
      <c r="I215" s="29"/>
      <c r="J215" s="29"/>
      <c r="K215" s="29"/>
      <c r="L215" s="36"/>
      <c r="M215" s="29"/>
      <c r="N215" s="54"/>
      <c r="O215" s="55" t="n">
        <f aca="false">N215*J215</f>
        <v>0</v>
      </c>
    </row>
    <row r="216" customFormat="false" ht="15" hidden="false" customHeight="false" outlineLevel="0" collapsed="false">
      <c r="A216" s="33"/>
      <c r="B216" s="28" t="s">
        <v>21</v>
      </c>
      <c r="C216" s="29"/>
      <c r="D216" s="29"/>
      <c r="E216" s="29"/>
      <c r="F216" s="29"/>
      <c r="G216" s="34"/>
      <c r="H216" s="29"/>
      <c r="I216" s="29"/>
      <c r="J216" s="29"/>
      <c r="K216" s="29"/>
      <c r="L216" s="36"/>
      <c r="M216" s="29"/>
      <c r="N216" s="54"/>
      <c r="O216" s="55" t="n">
        <f aca="false">N216*J216</f>
        <v>0</v>
      </c>
    </row>
    <row r="217" customFormat="false" ht="15" hidden="false" customHeight="false" outlineLevel="0" collapsed="false">
      <c r="A217" s="33"/>
      <c r="B217" s="28" t="s">
        <v>21</v>
      </c>
      <c r="C217" s="29"/>
      <c r="D217" s="29"/>
      <c r="E217" s="29"/>
      <c r="F217" s="29"/>
      <c r="G217" s="34"/>
      <c r="H217" s="29"/>
      <c r="I217" s="29"/>
      <c r="J217" s="29"/>
      <c r="K217" s="29"/>
      <c r="L217" s="36"/>
      <c r="M217" s="29"/>
      <c r="N217" s="54"/>
      <c r="O217" s="55" t="n">
        <f aca="false">N217*J217</f>
        <v>0</v>
      </c>
    </row>
    <row r="218" customFormat="false" ht="15" hidden="false" customHeight="false" outlineLevel="0" collapsed="false">
      <c r="A218" s="33"/>
      <c r="B218" s="28" t="s">
        <v>21</v>
      </c>
      <c r="C218" s="29"/>
      <c r="D218" s="29"/>
      <c r="E218" s="29"/>
      <c r="F218" s="29"/>
      <c r="G218" s="34"/>
      <c r="H218" s="29"/>
      <c r="I218" s="29"/>
      <c r="J218" s="29"/>
      <c r="K218" s="29"/>
      <c r="L218" s="36"/>
      <c r="M218" s="29"/>
      <c r="N218" s="54"/>
      <c r="O218" s="55" t="n">
        <f aca="false">N218*J218</f>
        <v>0</v>
      </c>
    </row>
    <row r="219" customFormat="false" ht="15" hidden="false" customHeight="false" outlineLevel="0" collapsed="false">
      <c r="A219" s="33"/>
      <c r="B219" s="28" t="s">
        <v>21</v>
      </c>
      <c r="C219" s="29"/>
      <c r="D219" s="29"/>
      <c r="E219" s="29"/>
      <c r="F219" s="29"/>
      <c r="G219" s="34"/>
      <c r="H219" s="29"/>
      <c r="I219" s="29"/>
      <c r="J219" s="29"/>
      <c r="K219" s="29"/>
      <c r="L219" s="36"/>
      <c r="M219" s="29"/>
      <c r="N219" s="54"/>
      <c r="O219" s="55" t="n">
        <f aca="false">N219*J219</f>
        <v>0</v>
      </c>
    </row>
    <row r="220" customFormat="false" ht="15" hidden="false" customHeight="false" outlineLevel="0" collapsed="false">
      <c r="A220" s="33"/>
      <c r="B220" s="28" t="s">
        <v>21</v>
      </c>
      <c r="C220" s="29"/>
      <c r="D220" s="29"/>
      <c r="E220" s="29"/>
      <c r="F220" s="29"/>
      <c r="G220" s="34"/>
      <c r="H220" s="29"/>
      <c r="I220" s="29"/>
      <c r="J220" s="29"/>
      <c r="K220" s="29"/>
      <c r="L220" s="36"/>
      <c r="M220" s="29"/>
      <c r="N220" s="54"/>
      <c r="O220" s="55" t="n">
        <f aca="false">N220*J220</f>
        <v>0</v>
      </c>
    </row>
    <row r="221" customFormat="false" ht="15" hidden="false" customHeight="false" outlineLevel="0" collapsed="false">
      <c r="A221" s="33"/>
      <c r="B221" s="28" t="s">
        <v>21</v>
      </c>
      <c r="C221" s="29"/>
      <c r="D221" s="29"/>
      <c r="E221" s="29"/>
      <c r="F221" s="29"/>
      <c r="G221" s="34"/>
      <c r="H221" s="29"/>
      <c r="I221" s="29"/>
      <c r="J221" s="29"/>
      <c r="K221" s="29"/>
      <c r="L221" s="36"/>
      <c r="M221" s="29"/>
      <c r="N221" s="54"/>
      <c r="O221" s="55" t="n">
        <f aca="false">N221*J221</f>
        <v>0</v>
      </c>
    </row>
    <row r="222" customFormat="false" ht="15" hidden="false" customHeight="false" outlineLevel="0" collapsed="false">
      <c r="A222" s="33"/>
      <c r="B222" s="28" t="s">
        <v>21</v>
      </c>
      <c r="C222" s="29"/>
      <c r="D222" s="29"/>
      <c r="E222" s="29"/>
      <c r="F222" s="29"/>
      <c r="G222" s="34"/>
      <c r="H222" s="29"/>
      <c r="I222" s="29"/>
      <c r="J222" s="29"/>
      <c r="K222" s="29"/>
      <c r="L222" s="36"/>
      <c r="M222" s="29"/>
      <c r="N222" s="54"/>
      <c r="O222" s="55" t="n">
        <f aca="false">N222*J222</f>
        <v>0</v>
      </c>
    </row>
    <row r="223" customFormat="false" ht="15" hidden="false" customHeight="false" outlineLevel="0" collapsed="false">
      <c r="A223" s="33"/>
      <c r="B223" s="28" t="s">
        <v>21</v>
      </c>
      <c r="C223" s="29"/>
      <c r="D223" s="29"/>
      <c r="E223" s="29"/>
      <c r="F223" s="29"/>
      <c r="G223" s="34"/>
      <c r="H223" s="29"/>
      <c r="I223" s="29"/>
      <c r="J223" s="29"/>
      <c r="K223" s="29"/>
      <c r="L223" s="36"/>
      <c r="M223" s="29"/>
      <c r="N223" s="54"/>
      <c r="O223" s="55" t="n">
        <f aca="false">N223*J223</f>
        <v>0</v>
      </c>
    </row>
    <row r="224" customFormat="false" ht="15" hidden="false" customHeight="false" outlineLevel="0" collapsed="false">
      <c r="A224" s="33"/>
      <c r="B224" s="28" t="s">
        <v>21</v>
      </c>
      <c r="C224" s="29"/>
      <c r="D224" s="29"/>
      <c r="E224" s="29"/>
      <c r="F224" s="29"/>
      <c r="G224" s="34"/>
      <c r="H224" s="29"/>
      <c r="I224" s="29"/>
      <c r="J224" s="29"/>
      <c r="K224" s="29"/>
      <c r="L224" s="36"/>
      <c r="M224" s="29"/>
      <c r="N224" s="54"/>
      <c r="O224" s="55" t="n">
        <f aca="false">N224*J224</f>
        <v>0</v>
      </c>
    </row>
    <row r="225" customFormat="false" ht="15" hidden="false" customHeight="false" outlineLevel="0" collapsed="false">
      <c r="A225" s="33"/>
      <c r="B225" s="28" t="s">
        <v>21</v>
      </c>
      <c r="C225" s="29"/>
      <c r="D225" s="29"/>
      <c r="E225" s="29"/>
      <c r="F225" s="29"/>
      <c r="G225" s="34"/>
      <c r="H225" s="29"/>
      <c r="I225" s="29"/>
      <c r="J225" s="29"/>
      <c r="K225" s="29"/>
      <c r="L225" s="36"/>
      <c r="M225" s="29"/>
      <c r="N225" s="54"/>
      <c r="O225" s="55" t="n">
        <f aca="false">N225*J225</f>
        <v>0</v>
      </c>
    </row>
    <row r="226" customFormat="false" ht="15" hidden="false" customHeight="false" outlineLevel="0" collapsed="false">
      <c r="A226" s="33"/>
      <c r="B226" s="28" t="s">
        <v>21</v>
      </c>
      <c r="C226" s="29"/>
      <c r="D226" s="29"/>
      <c r="E226" s="29"/>
      <c r="F226" s="29"/>
      <c r="G226" s="34"/>
      <c r="H226" s="29"/>
      <c r="I226" s="29"/>
      <c r="J226" s="29"/>
      <c r="K226" s="29"/>
      <c r="L226" s="36"/>
      <c r="M226" s="29"/>
      <c r="N226" s="54"/>
      <c r="O226" s="55" t="n">
        <f aca="false">N226*J226</f>
        <v>0</v>
      </c>
    </row>
    <row r="227" customFormat="false" ht="15" hidden="false" customHeight="false" outlineLevel="0" collapsed="false">
      <c r="A227" s="33"/>
      <c r="B227" s="28" t="s">
        <v>21</v>
      </c>
      <c r="C227" s="29"/>
      <c r="D227" s="29"/>
      <c r="E227" s="29"/>
      <c r="F227" s="29"/>
      <c r="G227" s="34"/>
      <c r="H227" s="29"/>
      <c r="I227" s="29"/>
      <c r="J227" s="29"/>
      <c r="K227" s="29"/>
      <c r="L227" s="36"/>
      <c r="M227" s="29"/>
      <c r="N227" s="54"/>
      <c r="O227" s="55" t="n">
        <f aca="false">N227*J227</f>
        <v>0</v>
      </c>
    </row>
    <row r="228" customFormat="false" ht="15" hidden="false" customHeight="false" outlineLevel="0" collapsed="false">
      <c r="A228" s="33"/>
      <c r="B228" s="28" t="s">
        <v>21</v>
      </c>
      <c r="C228" s="29"/>
      <c r="D228" s="29"/>
      <c r="E228" s="29"/>
      <c r="F228" s="29"/>
      <c r="G228" s="34"/>
      <c r="H228" s="29"/>
      <c r="I228" s="29"/>
      <c r="J228" s="29"/>
      <c r="K228" s="29"/>
      <c r="L228" s="36"/>
      <c r="M228" s="29"/>
      <c r="N228" s="54"/>
      <c r="O228" s="55" t="n">
        <f aca="false">N228*J228</f>
        <v>0</v>
      </c>
    </row>
    <row r="229" customFormat="false" ht="15" hidden="false" customHeight="false" outlineLevel="0" collapsed="false">
      <c r="A229" s="33"/>
      <c r="B229" s="28" t="s">
        <v>21</v>
      </c>
      <c r="C229" s="29"/>
      <c r="D229" s="29"/>
      <c r="E229" s="29"/>
      <c r="F229" s="29"/>
      <c r="G229" s="34"/>
      <c r="H229" s="29"/>
      <c r="I229" s="29"/>
      <c r="J229" s="29"/>
      <c r="K229" s="29"/>
      <c r="L229" s="36"/>
      <c r="M229" s="29"/>
      <c r="N229" s="54"/>
      <c r="O229" s="55" t="n">
        <f aca="false">N229*J229</f>
        <v>0</v>
      </c>
    </row>
    <row r="230" customFormat="false" ht="15" hidden="false" customHeight="false" outlineLevel="0" collapsed="false">
      <c r="A230" s="33"/>
      <c r="B230" s="28" t="s">
        <v>21</v>
      </c>
      <c r="C230" s="29"/>
      <c r="D230" s="29"/>
      <c r="E230" s="29"/>
      <c r="F230" s="29"/>
      <c r="G230" s="34"/>
      <c r="H230" s="29"/>
      <c r="I230" s="29"/>
      <c r="J230" s="29"/>
      <c r="K230" s="29"/>
      <c r="L230" s="36"/>
      <c r="M230" s="29"/>
      <c r="N230" s="54"/>
      <c r="O230" s="55" t="n">
        <f aca="false">N230*J230</f>
        <v>0</v>
      </c>
    </row>
    <row r="231" customFormat="false" ht="15" hidden="false" customHeight="false" outlineLevel="0" collapsed="false">
      <c r="A231" s="33"/>
      <c r="B231" s="28" t="s">
        <v>21</v>
      </c>
      <c r="C231" s="29"/>
      <c r="D231" s="29"/>
      <c r="E231" s="29"/>
      <c r="F231" s="29"/>
      <c r="G231" s="34"/>
      <c r="H231" s="29"/>
      <c r="I231" s="29"/>
      <c r="J231" s="29"/>
      <c r="K231" s="29"/>
      <c r="L231" s="36"/>
      <c r="M231" s="29"/>
      <c r="N231" s="54"/>
      <c r="O231" s="55" t="n">
        <f aca="false">N231*J231</f>
        <v>0</v>
      </c>
    </row>
    <row r="232" customFormat="false" ht="15" hidden="false" customHeight="false" outlineLevel="0" collapsed="false">
      <c r="A232" s="33"/>
      <c r="B232" s="28" t="s">
        <v>21</v>
      </c>
      <c r="C232" s="29"/>
      <c r="D232" s="29"/>
      <c r="E232" s="29"/>
      <c r="F232" s="29"/>
      <c r="G232" s="34"/>
      <c r="H232" s="29"/>
      <c r="I232" s="29"/>
      <c r="J232" s="29"/>
      <c r="K232" s="29"/>
      <c r="L232" s="36"/>
      <c r="M232" s="29"/>
      <c r="N232" s="54"/>
      <c r="O232" s="55" t="n">
        <f aca="false">N232*J232</f>
        <v>0</v>
      </c>
    </row>
    <row r="233" customFormat="false" ht="15" hidden="false" customHeight="false" outlineLevel="0" collapsed="false">
      <c r="A233" s="33"/>
      <c r="B233" s="28" t="s">
        <v>21</v>
      </c>
      <c r="C233" s="29"/>
      <c r="D233" s="29"/>
      <c r="E233" s="29"/>
      <c r="F233" s="29"/>
      <c r="G233" s="34"/>
      <c r="H233" s="29"/>
      <c r="I233" s="29"/>
      <c r="J233" s="29"/>
      <c r="K233" s="29"/>
      <c r="L233" s="36"/>
      <c r="M233" s="29"/>
      <c r="N233" s="54"/>
      <c r="O233" s="55" t="n">
        <f aca="false">N233*J233</f>
        <v>0</v>
      </c>
    </row>
    <row r="234" customFormat="false" ht="15" hidden="false" customHeight="false" outlineLevel="0" collapsed="false">
      <c r="A234" s="33"/>
      <c r="B234" s="28" t="s">
        <v>21</v>
      </c>
      <c r="C234" s="29"/>
      <c r="D234" s="29"/>
      <c r="E234" s="29"/>
      <c r="F234" s="29"/>
      <c r="G234" s="34"/>
      <c r="H234" s="29"/>
      <c r="I234" s="29"/>
      <c r="J234" s="29"/>
      <c r="K234" s="29"/>
      <c r="L234" s="36"/>
      <c r="M234" s="29"/>
      <c r="N234" s="54"/>
      <c r="O234" s="55" t="n">
        <f aca="false">N234*J234</f>
        <v>0</v>
      </c>
    </row>
    <row r="235" customFormat="false" ht="15" hidden="false" customHeight="false" outlineLevel="0" collapsed="false">
      <c r="A235" s="33"/>
      <c r="B235" s="28" t="s">
        <v>21</v>
      </c>
      <c r="C235" s="29"/>
      <c r="D235" s="29"/>
      <c r="E235" s="29"/>
      <c r="F235" s="29"/>
      <c r="G235" s="34"/>
      <c r="H235" s="29"/>
      <c r="I235" s="29"/>
      <c r="J235" s="29"/>
      <c r="K235" s="29"/>
      <c r="L235" s="36"/>
      <c r="M235" s="29"/>
      <c r="N235" s="54"/>
      <c r="O235" s="55" t="n">
        <f aca="false">N235*J235</f>
        <v>0</v>
      </c>
    </row>
    <row r="236" customFormat="false" ht="15" hidden="false" customHeight="false" outlineLevel="0" collapsed="false">
      <c r="A236" s="33"/>
      <c r="B236" s="28" t="s">
        <v>21</v>
      </c>
      <c r="C236" s="29"/>
      <c r="D236" s="29"/>
      <c r="E236" s="29"/>
      <c r="F236" s="29"/>
      <c r="G236" s="34"/>
      <c r="H236" s="29"/>
      <c r="I236" s="29"/>
      <c r="J236" s="29"/>
      <c r="K236" s="29"/>
      <c r="L236" s="36"/>
      <c r="M236" s="29"/>
      <c r="N236" s="54"/>
      <c r="O236" s="55" t="n">
        <f aca="false">N236*J236</f>
        <v>0</v>
      </c>
    </row>
    <row r="237" customFormat="false" ht="15" hidden="false" customHeight="false" outlineLevel="0" collapsed="false">
      <c r="A237" s="33"/>
      <c r="B237" s="28" t="s">
        <v>21</v>
      </c>
      <c r="C237" s="29"/>
      <c r="D237" s="29"/>
      <c r="E237" s="29"/>
      <c r="F237" s="29"/>
      <c r="G237" s="34"/>
      <c r="H237" s="29"/>
      <c r="I237" s="29"/>
      <c r="J237" s="29"/>
      <c r="K237" s="29"/>
      <c r="L237" s="36"/>
      <c r="M237" s="29"/>
      <c r="N237" s="54"/>
      <c r="O237" s="55" t="n">
        <f aca="false">N237*J237</f>
        <v>0</v>
      </c>
    </row>
    <row r="238" customFormat="false" ht="15" hidden="false" customHeight="false" outlineLevel="0" collapsed="false">
      <c r="A238" s="33"/>
      <c r="B238" s="28" t="s">
        <v>21</v>
      </c>
      <c r="C238" s="29"/>
      <c r="D238" s="29"/>
      <c r="E238" s="29"/>
      <c r="F238" s="29"/>
      <c r="G238" s="34"/>
      <c r="H238" s="29"/>
      <c r="I238" s="29"/>
      <c r="J238" s="29"/>
      <c r="K238" s="29"/>
      <c r="L238" s="36"/>
      <c r="M238" s="29"/>
      <c r="N238" s="54"/>
      <c r="O238" s="55" t="n">
        <f aca="false">N238*J238</f>
        <v>0</v>
      </c>
    </row>
    <row r="239" customFormat="false" ht="15" hidden="false" customHeight="false" outlineLevel="0" collapsed="false">
      <c r="A239" s="33"/>
      <c r="B239" s="28" t="s">
        <v>21</v>
      </c>
      <c r="C239" s="29"/>
      <c r="D239" s="29"/>
      <c r="E239" s="29"/>
      <c r="F239" s="29"/>
      <c r="G239" s="34"/>
      <c r="H239" s="29"/>
      <c r="I239" s="29"/>
      <c r="J239" s="29"/>
      <c r="K239" s="29"/>
      <c r="L239" s="36"/>
      <c r="M239" s="29"/>
      <c r="N239" s="54"/>
      <c r="O239" s="55" t="n">
        <f aca="false">N239*J239</f>
        <v>0</v>
      </c>
    </row>
    <row r="240" customFormat="false" ht="15" hidden="false" customHeight="false" outlineLevel="0" collapsed="false">
      <c r="A240" s="33"/>
      <c r="B240" s="28" t="s">
        <v>21</v>
      </c>
      <c r="C240" s="29"/>
      <c r="D240" s="29"/>
      <c r="E240" s="29"/>
      <c r="F240" s="29"/>
      <c r="G240" s="34"/>
      <c r="H240" s="29"/>
      <c r="I240" s="29"/>
      <c r="J240" s="29"/>
      <c r="K240" s="29"/>
      <c r="L240" s="36"/>
      <c r="M240" s="29"/>
      <c r="N240" s="54"/>
      <c r="O240" s="55" t="n">
        <f aca="false">N240*J240</f>
        <v>0</v>
      </c>
    </row>
    <row r="241" customFormat="false" ht="15" hidden="false" customHeight="false" outlineLevel="0" collapsed="false">
      <c r="A241" s="33"/>
      <c r="B241" s="28" t="s">
        <v>21</v>
      </c>
      <c r="C241" s="29"/>
      <c r="D241" s="29"/>
      <c r="E241" s="29"/>
      <c r="F241" s="29"/>
      <c r="G241" s="34"/>
      <c r="H241" s="29"/>
      <c r="I241" s="29"/>
      <c r="J241" s="29"/>
      <c r="K241" s="29"/>
      <c r="L241" s="36"/>
      <c r="M241" s="29"/>
      <c r="N241" s="54"/>
      <c r="O241" s="55" t="n">
        <f aca="false">N241*J241</f>
        <v>0</v>
      </c>
    </row>
    <row r="242" customFormat="false" ht="15" hidden="false" customHeight="false" outlineLevel="0" collapsed="false">
      <c r="A242" s="33"/>
      <c r="B242" s="28" t="s">
        <v>21</v>
      </c>
      <c r="C242" s="29"/>
      <c r="D242" s="29"/>
      <c r="E242" s="29"/>
      <c r="F242" s="29"/>
      <c r="G242" s="34"/>
      <c r="H242" s="29"/>
      <c r="I242" s="29"/>
      <c r="J242" s="29"/>
      <c r="K242" s="29"/>
      <c r="L242" s="36"/>
      <c r="M242" s="29"/>
      <c r="N242" s="54"/>
      <c r="O242" s="55" t="n">
        <f aca="false">N242*J242</f>
        <v>0</v>
      </c>
    </row>
    <row r="243" customFormat="false" ht="15" hidden="false" customHeight="false" outlineLevel="0" collapsed="false">
      <c r="A243" s="33"/>
      <c r="B243" s="28" t="s">
        <v>21</v>
      </c>
      <c r="C243" s="29"/>
      <c r="D243" s="29"/>
      <c r="E243" s="29"/>
      <c r="F243" s="29"/>
      <c r="G243" s="36"/>
      <c r="H243" s="29"/>
      <c r="I243" s="29"/>
      <c r="J243" s="29"/>
      <c r="K243" s="29"/>
      <c r="L243" s="36"/>
      <c r="M243" s="29"/>
      <c r="N243" s="54"/>
      <c r="O243" s="55" t="n">
        <f aca="false">N243*J243</f>
        <v>0</v>
      </c>
    </row>
    <row r="244" customFormat="false" ht="15" hidden="false" customHeight="false" outlineLevel="0" collapsed="false">
      <c r="A244" s="33"/>
      <c r="B244" s="28" t="s">
        <v>21</v>
      </c>
      <c r="C244" s="29"/>
      <c r="D244" s="29"/>
      <c r="E244" s="29"/>
      <c r="F244" s="29"/>
      <c r="G244" s="36"/>
      <c r="H244" s="29"/>
      <c r="I244" s="29"/>
      <c r="J244" s="29"/>
      <c r="K244" s="29"/>
      <c r="L244" s="36"/>
      <c r="M244" s="29"/>
      <c r="N244" s="54"/>
      <c r="O244" s="55" t="n">
        <f aca="false">N244*J244</f>
        <v>0</v>
      </c>
    </row>
    <row r="245" customFormat="false" ht="15" hidden="false" customHeight="false" outlineLevel="0" collapsed="false">
      <c r="A245" s="33"/>
      <c r="B245" s="28" t="s">
        <v>21</v>
      </c>
      <c r="C245" s="29"/>
      <c r="D245" s="29"/>
      <c r="E245" s="29"/>
      <c r="F245" s="29"/>
      <c r="G245" s="36"/>
      <c r="H245" s="29"/>
      <c r="I245" s="29"/>
      <c r="J245" s="29"/>
      <c r="K245" s="29"/>
      <c r="L245" s="36"/>
      <c r="M245" s="29"/>
      <c r="N245" s="54"/>
      <c r="O245" s="55" t="n">
        <f aca="false">N245*J245</f>
        <v>0</v>
      </c>
    </row>
    <row r="246" customFormat="false" ht="15" hidden="false" customHeight="false" outlineLevel="0" collapsed="false">
      <c r="A246" s="33"/>
      <c r="B246" s="28" t="s">
        <v>21</v>
      </c>
      <c r="C246" s="29"/>
      <c r="D246" s="29"/>
      <c r="E246" s="29"/>
      <c r="F246" s="29"/>
      <c r="G246" s="36"/>
      <c r="H246" s="29"/>
      <c r="I246" s="29"/>
      <c r="J246" s="29"/>
      <c r="K246" s="29"/>
      <c r="L246" s="36"/>
      <c r="M246" s="29"/>
      <c r="N246" s="54"/>
      <c r="O246" s="55" t="n">
        <f aca="false">N246*J246</f>
        <v>0</v>
      </c>
    </row>
    <row r="247" customFormat="false" ht="15" hidden="false" customHeight="false" outlineLevel="0" collapsed="false">
      <c r="A247" s="33"/>
      <c r="B247" s="28" t="s">
        <v>21</v>
      </c>
      <c r="C247" s="29"/>
      <c r="D247" s="29"/>
      <c r="E247" s="29"/>
      <c r="F247" s="29"/>
      <c r="G247" s="36"/>
      <c r="H247" s="29"/>
      <c r="I247" s="29"/>
      <c r="J247" s="29"/>
      <c r="K247" s="29"/>
      <c r="L247" s="36"/>
      <c r="M247" s="29"/>
      <c r="N247" s="54"/>
      <c r="O247" s="55" t="n">
        <f aca="false">N247*J247</f>
        <v>0</v>
      </c>
    </row>
    <row r="248" customFormat="false" ht="15" hidden="false" customHeight="false" outlineLevel="0" collapsed="false">
      <c r="A248" s="33"/>
      <c r="B248" s="28" t="s">
        <v>21</v>
      </c>
      <c r="C248" s="29"/>
      <c r="D248" s="29"/>
      <c r="E248" s="29"/>
      <c r="F248" s="29"/>
      <c r="G248" s="36"/>
      <c r="H248" s="29"/>
      <c r="I248" s="29"/>
      <c r="J248" s="29"/>
      <c r="K248" s="29"/>
      <c r="L248" s="36"/>
      <c r="M248" s="29"/>
      <c r="N248" s="54"/>
      <c r="O248" s="55" t="n">
        <f aca="false">N248*J248</f>
        <v>0</v>
      </c>
    </row>
    <row r="249" customFormat="false" ht="15" hidden="false" customHeight="false" outlineLevel="0" collapsed="false">
      <c r="A249" s="33"/>
      <c r="B249" s="28" t="s">
        <v>21</v>
      </c>
      <c r="C249" s="29"/>
      <c r="D249" s="29"/>
      <c r="E249" s="29"/>
      <c r="F249" s="29"/>
      <c r="G249" s="36"/>
      <c r="H249" s="29"/>
      <c r="I249" s="29"/>
      <c r="J249" s="29"/>
      <c r="K249" s="29"/>
      <c r="L249" s="36"/>
      <c r="M249" s="29"/>
      <c r="N249" s="54"/>
      <c r="O249" s="55" t="n">
        <f aca="false">N249*J249</f>
        <v>0</v>
      </c>
    </row>
    <row r="250" customFormat="false" ht="15" hidden="false" customHeight="false" outlineLevel="0" collapsed="false">
      <c r="A250" s="33"/>
      <c r="B250" s="28" t="s">
        <v>21</v>
      </c>
      <c r="C250" s="29"/>
      <c r="D250" s="29"/>
      <c r="E250" s="29"/>
      <c r="F250" s="29"/>
      <c r="G250" s="36"/>
      <c r="H250" s="29"/>
      <c r="I250" s="29"/>
      <c r="J250" s="29"/>
      <c r="K250" s="29"/>
      <c r="L250" s="36"/>
      <c r="M250" s="29"/>
      <c r="N250" s="54"/>
      <c r="O250" s="55" t="n">
        <f aca="false">N250*J250</f>
        <v>0</v>
      </c>
    </row>
    <row r="251" customFormat="false" ht="15" hidden="false" customHeight="false" outlineLevel="0" collapsed="false">
      <c r="A251" s="33"/>
      <c r="B251" s="28" t="s">
        <v>21</v>
      </c>
      <c r="C251" s="29"/>
      <c r="D251" s="29"/>
      <c r="E251" s="29"/>
      <c r="F251" s="29"/>
      <c r="G251" s="36"/>
      <c r="H251" s="29"/>
      <c r="I251" s="29"/>
      <c r="J251" s="29"/>
      <c r="K251" s="29"/>
      <c r="L251" s="36"/>
      <c r="M251" s="29"/>
      <c r="N251" s="54"/>
      <c r="O251" s="55" t="n">
        <f aca="false">N251*J251</f>
        <v>0</v>
      </c>
    </row>
    <row r="252" customFormat="false" ht="15" hidden="false" customHeight="false" outlineLevel="0" collapsed="false">
      <c r="A252" s="33"/>
      <c r="B252" s="28" t="s">
        <v>21</v>
      </c>
      <c r="C252" s="29"/>
      <c r="D252" s="29"/>
      <c r="E252" s="29"/>
      <c r="F252" s="29"/>
      <c r="G252" s="36"/>
      <c r="H252" s="29"/>
      <c r="I252" s="29"/>
      <c r="J252" s="29"/>
      <c r="K252" s="29"/>
      <c r="L252" s="36"/>
      <c r="M252" s="29"/>
      <c r="N252" s="54"/>
      <c r="O252" s="55" t="n">
        <f aca="false">N252*J252</f>
        <v>0</v>
      </c>
    </row>
    <row r="253" customFormat="false" ht="15" hidden="false" customHeight="false" outlineLevel="0" collapsed="false">
      <c r="A253" s="33"/>
      <c r="B253" s="28" t="s">
        <v>21</v>
      </c>
      <c r="C253" s="29"/>
      <c r="D253" s="29"/>
      <c r="E253" s="29"/>
      <c r="F253" s="29"/>
      <c r="G253" s="36"/>
      <c r="H253" s="29"/>
      <c r="I253" s="29"/>
      <c r="J253" s="29"/>
      <c r="K253" s="29"/>
      <c r="L253" s="36"/>
      <c r="M253" s="29"/>
      <c r="N253" s="54"/>
      <c r="O253" s="55" t="n">
        <f aca="false">N253*J253</f>
        <v>0</v>
      </c>
    </row>
    <row r="254" customFormat="false" ht="15" hidden="false" customHeight="false" outlineLevel="0" collapsed="false">
      <c r="A254" s="33"/>
      <c r="B254" s="28" t="s">
        <v>21</v>
      </c>
      <c r="C254" s="29"/>
      <c r="D254" s="29"/>
      <c r="E254" s="29"/>
      <c r="F254" s="29"/>
      <c r="G254" s="36"/>
      <c r="H254" s="29"/>
      <c r="I254" s="29"/>
      <c r="J254" s="29"/>
      <c r="K254" s="29"/>
      <c r="L254" s="36"/>
      <c r="M254" s="29"/>
      <c r="N254" s="54"/>
      <c r="O254" s="55" t="n">
        <f aca="false">N254*J254</f>
        <v>0</v>
      </c>
    </row>
    <row r="255" customFormat="false" ht="15" hidden="false" customHeight="false" outlineLevel="0" collapsed="false">
      <c r="A255" s="33"/>
      <c r="B255" s="28" t="s">
        <v>21</v>
      </c>
      <c r="C255" s="29"/>
      <c r="D255" s="29"/>
      <c r="E255" s="29"/>
      <c r="F255" s="29"/>
      <c r="G255" s="36"/>
      <c r="H255" s="29"/>
      <c r="I255" s="29"/>
      <c r="J255" s="29"/>
      <c r="K255" s="29"/>
      <c r="L255" s="36"/>
      <c r="M255" s="29"/>
      <c r="N255" s="54"/>
      <c r="O255" s="55" t="n">
        <f aca="false">N255*J255</f>
        <v>0</v>
      </c>
    </row>
    <row r="256" customFormat="false" ht="15" hidden="false" customHeight="false" outlineLevel="0" collapsed="false">
      <c r="A256" s="33"/>
      <c r="B256" s="28" t="s">
        <v>21</v>
      </c>
      <c r="C256" s="29"/>
      <c r="D256" s="29"/>
      <c r="E256" s="29"/>
      <c r="F256" s="29"/>
      <c r="G256" s="36"/>
      <c r="H256" s="29"/>
      <c r="I256" s="29"/>
      <c r="J256" s="29"/>
      <c r="K256" s="29"/>
      <c r="L256" s="36"/>
      <c r="M256" s="29"/>
      <c r="N256" s="54"/>
      <c r="O256" s="55" t="n">
        <f aca="false">N256*J256</f>
        <v>0</v>
      </c>
    </row>
    <row r="257" customFormat="false" ht="15" hidden="false" customHeight="false" outlineLevel="0" collapsed="false">
      <c r="A257" s="42"/>
      <c r="B257" s="28" t="s">
        <v>21</v>
      </c>
      <c r="C257" s="41"/>
      <c r="D257" s="41"/>
      <c r="E257" s="41"/>
      <c r="F257" s="41"/>
      <c r="G257" s="34"/>
      <c r="H257" s="41"/>
      <c r="I257" s="41"/>
      <c r="J257" s="41"/>
      <c r="K257" s="41"/>
      <c r="L257" s="36"/>
      <c r="M257" s="29"/>
      <c r="N257" s="54"/>
      <c r="O257" s="55" t="n">
        <f aca="false">N257*J257</f>
        <v>0</v>
      </c>
    </row>
    <row r="258" customFormat="false" ht="15" hidden="false" customHeight="false" outlineLevel="0" collapsed="false">
      <c r="A258" s="33"/>
      <c r="B258" s="28" t="s">
        <v>21</v>
      </c>
      <c r="C258" s="29"/>
      <c r="D258" s="29"/>
      <c r="E258" s="29"/>
      <c r="F258" s="29"/>
      <c r="G258" s="36"/>
      <c r="H258" s="29"/>
      <c r="I258" s="29"/>
      <c r="J258" s="29"/>
      <c r="K258" s="29"/>
      <c r="L258" s="36"/>
      <c r="M258" s="29"/>
      <c r="N258" s="54"/>
      <c r="O258" s="55" t="n">
        <f aca="false">N258*J258</f>
        <v>0</v>
      </c>
    </row>
    <row r="259" customFormat="false" ht="15" hidden="false" customHeight="false" outlineLevel="0" collapsed="false">
      <c r="A259" s="33"/>
      <c r="B259" s="28" t="s">
        <v>21</v>
      </c>
      <c r="C259" s="29"/>
      <c r="D259" s="29"/>
      <c r="E259" s="29"/>
      <c r="F259" s="29"/>
      <c r="G259" s="36"/>
      <c r="H259" s="29"/>
      <c r="I259" s="29"/>
      <c r="J259" s="29"/>
      <c r="K259" s="29"/>
      <c r="L259" s="36"/>
      <c r="M259" s="29"/>
      <c r="N259" s="54"/>
      <c r="O259" s="55" t="n">
        <f aca="false">N259*J259</f>
        <v>0</v>
      </c>
    </row>
    <row r="260" customFormat="false" ht="15" hidden="false" customHeight="false" outlineLevel="0" collapsed="false">
      <c r="A260" s="33"/>
      <c r="B260" s="28" t="s">
        <v>21</v>
      </c>
      <c r="C260" s="29"/>
      <c r="D260" s="29"/>
      <c r="E260" s="29"/>
      <c r="F260" s="29"/>
      <c r="G260" s="36"/>
      <c r="H260" s="29"/>
      <c r="I260" s="29"/>
      <c r="J260" s="29"/>
      <c r="K260" s="29"/>
      <c r="L260" s="36"/>
      <c r="M260" s="29"/>
      <c r="N260" s="54"/>
      <c r="O260" s="55" t="n">
        <f aca="false">N260*J260</f>
        <v>0</v>
      </c>
    </row>
    <row r="261" customFormat="false" ht="15" hidden="false" customHeight="false" outlineLevel="0" collapsed="false">
      <c r="A261" s="33"/>
      <c r="B261" s="28" t="s">
        <v>21</v>
      </c>
      <c r="C261" s="29"/>
      <c r="D261" s="29"/>
      <c r="E261" s="29"/>
      <c r="F261" s="29"/>
      <c r="G261" s="36"/>
      <c r="H261" s="29"/>
      <c r="I261" s="29"/>
      <c r="J261" s="29"/>
      <c r="K261" s="29"/>
      <c r="L261" s="36"/>
      <c r="M261" s="29"/>
      <c r="N261" s="54"/>
      <c r="O261" s="55" t="n">
        <f aca="false">N261*J261</f>
        <v>0</v>
      </c>
    </row>
    <row r="262" customFormat="false" ht="15" hidden="false" customHeight="false" outlineLevel="0" collapsed="false">
      <c r="A262" s="33"/>
      <c r="B262" s="28" t="s">
        <v>21</v>
      </c>
      <c r="C262" s="29"/>
      <c r="D262" s="29"/>
      <c r="E262" s="29"/>
      <c r="F262" s="29"/>
      <c r="G262" s="36"/>
      <c r="H262" s="29"/>
      <c r="I262" s="29"/>
      <c r="J262" s="29"/>
      <c r="K262" s="29"/>
      <c r="L262" s="36"/>
      <c r="M262" s="29"/>
      <c r="N262" s="54"/>
      <c r="O262" s="55" t="n">
        <f aca="false">N262*J262</f>
        <v>0</v>
      </c>
    </row>
    <row r="263" customFormat="false" ht="15" hidden="false" customHeight="false" outlineLevel="0" collapsed="false">
      <c r="A263" s="33"/>
      <c r="B263" s="28" t="s">
        <v>21</v>
      </c>
      <c r="C263" s="29"/>
      <c r="D263" s="29"/>
      <c r="E263" s="29"/>
      <c r="F263" s="29"/>
      <c r="G263" s="36"/>
      <c r="H263" s="29"/>
      <c r="I263" s="29"/>
      <c r="J263" s="29"/>
      <c r="K263" s="29"/>
      <c r="L263" s="36"/>
      <c r="M263" s="29"/>
      <c r="N263" s="54"/>
      <c r="O263" s="55" t="n">
        <f aca="false">N263*J263</f>
        <v>0</v>
      </c>
    </row>
    <row r="264" customFormat="false" ht="15" hidden="false" customHeight="false" outlineLevel="0" collapsed="false">
      <c r="A264" s="33"/>
      <c r="B264" s="28" t="s">
        <v>21</v>
      </c>
      <c r="C264" s="29"/>
      <c r="D264" s="29"/>
      <c r="E264" s="29"/>
      <c r="F264" s="29"/>
      <c r="G264" s="36"/>
      <c r="H264" s="29"/>
      <c r="I264" s="29"/>
      <c r="J264" s="29"/>
      <c r="K264" s="29"/>
      <c r="L264" s="36"/>
      <c r="M264" s="29"/>
      <c r="N264" s="54"/>
      <c r="O264" s="55" t="n">
        <f aca="false">N264*J264</f>
        <v>0</v>
      </c>
    </row>
    <row r="265" customFormat="false" ht="15" hidden="false" customHeight="false" outlineLevel="0" collapsed="false">
      <c r="A265" s="33"/>
      <c r="B265" s="28" t="s">
        <v>21</v>
      </c>
      <c r="C265" s="29"/>
      <c r="D265" s="29"/>
      <c r="E265" s="29"/>
      <c r="F265" s="29"/>
      <c r="G265" s="36"/>
      <c r="H265" s="29"/>
      <c r="I265" s="29"/>
      <c r="J265" s="29"/>
      <c r="K265" s="29"/>
      <c r="L265" s="36"/>
      <c r="M265" s="29"/>
      <c r="N265" s="54"/>
      <c r="O265" s="55" t="n">
        <f aca="false">N265*J265</f>
        <v>0</v>
      </c>
    </row>
    <row r="266" customFormat="false" ht="15" hidden="false" customHeight="false" outlineLevel="0" collapsed="false">
      <c r="A266" s="33"/>
      <c r="B266" s="28" t="s">
        <v>21</v>
      </c>
      <c r="C266" s="29"/>
      <c r="D266" s="29"/>
      <c r="E266" s="29"/>
      <c r="F266" s="29"/>
      <c r="G266" s="36"/>
      <c r="H266" s="29"/>
      <c r="I266" s="29"/>
      <c r="J266" s="29"/>
      <c r="K266" s="29"/>
      <c r="L266" s="36"/>
      <c r="M266" s="29"/>
      <c r="N266" s="54"/>
      <c r="O266" s="55" t="n">
        <f aca="false">N266*J266</f>
        <v>0</v>
      </c>
    </row>
    <row r="267" customFormat="false" ht="15" hidden="false" customHeight="false" outlineLevel="0" collapsed="false">
      <c r="A267" s="33"/>
      <c r="B267" s="28" t="s">
        <v>21</v>
      </c>
      <c r="C267" s="29"/>
      <c r="D267" s="29"/>
      <c r="E267" s="29"/>
      <c r="F267" s="29"/>
      <c r="G267" s="36"/>
      <c r="H267" s="29"/>
      <c r="I267" s="29"/>
      <c r="J267" s="29"/>
      <c r="K267" s="29"/>
      <c r="L267" s="36"/>
      <c r="M267" s="29"/>
      <c r="N267" s="54"/>
      <c r="O267" s="55" t="n">
        <f aca="false">N267*J267</f>
        <v>0</v>
      </c>
    </row>
    <row r="268" customFormat="false" ht="15" hidden="false" customHeight="false" outlineLevel="0" collapsed="false">
      <c r="A268" s="33"/>
      <c r="B268" s="28" t="s">
        <v>21</v>
      </c>
      <c r="C268" s="29"/>
      <c r="D268" s="29"/>
      <c r="E268" s="29"/>
      <c r="F268" s="29"/>
      <c r="G268" s="36"/>
      <c r="H268" s="29"/>
      <c r="I268" s="29"/>
      <c r="J268" s="29"/>
      <c r="K268" s="29"/>
      <c r="L268" s="36"/>
      <c r="M268" s="29"/>
      <c r="N268" s="54"/>
      <c r="O268" s="55" t="n">
        <f aca="false">N268*J268</f>
        <v>0</v>
      </c>
    </row>
    <row r="269" customFormat="false" ht="15" hidden="false" customHeight="false" outlineLevel="0" collapsed="false">
      <c r="A269" s="33"/>
      <c r="B269" s="28" t="s">
        <v>21</v>
      </c>
      <c r="C269" s="29"/>
      <c r="D269" s="29"/>
      <c r="E269" s="29"/>
      <c r="F269" s="29"/>
      <c r="G269" s="36"/>
      <c r="H269" s="29"/>
      <c r="I269" s="29"/>
      <c r="J269" s="29"/>
      <c r="K269" s="29"/>
      <c r="L269" s="36"/>
      <c r="M269" s="29"/>
      <c r="N269" s="54"/>
      <c r="O269" s="55" t="n">
        <f aca="false">N269*J269</f>
        <v>0</v>
      </c>
    </row>
    <row r="270" customFormat="false" ht="15" hidden="false" customHeight="false" outlineLevel="0" collapsed="false">
      <c r="A270" s="33"/>
      <c r="B270" s="28" t="s">
        <v>21</v>
      </c>
      <c r="C270" s="29"/>
      <c r="D270" s="29"/>
      <c r="E270" s="29"/>
      <c r="F270" s="29"/>
      <c r="G270" s="36"/>
      <c r="H270" s="29"/>
      <c r="I270" s="29"/>
      <c r="J270" s="29"/>
      <c r="K270" s="29"/>
      <c r="L270" s="36"/>
      <c r="M270" s="29"/>
      <c r="N270" s="54"/>
      <c r="O270" s="55" t="n">
        <f aca="false">N270*J270</f>
        <v>0</v>
      </c>
    </row>
    <row r="271" customFormat="false" ht="15" hidden="false" customHeight="false" outlineLevel="0" collapsed="false">
      <c r="A271" s="33"/>
      <c r="B271" s="28" t="s">
        <v>21</v>
      </c>
      <c r="C271" s="29"/>
      <c r="D271" s="29"/>
      <c r="E271" s="29"/>
      <c r="F271" s="29"/>
      <c r="G271" s="36"/>
      <c r="H271" s="29"/>
      <c r="I271" s="29"/>
      <c r="J271" s="29"/>
      <c r="K271" s="29"/>
      <c r="L271" s="36"/>
      <c r="M271" s="29"/>
      <c r="N271" s="54"/>
      <c r="O271" s="55" t="n">
        <f aca="false">N271*J271</f>
        <v>0</v>
      </c>
    </row>
    <row r="272" customFormat="false" ht="15" hidden="false" customHeight="false" outlineLevel="0" collapsed="false">
      <c r="A272" s="33"/>
      <c r="B272" s="28" t="s">
        <v>21</v>
      </c>
      <c r="C272" s="29"/>
      <c r="D272" s="29"/>
      <c r="E272" s="29"/>
      <c r="F272" s="29"/>
      <c r="G272" s="36"/>
      <c r="H272" s="29"/>
      <c r="I272" s="29"/>
      <c r="J272" s="29"/>
      <c r="K272" s="29"/>
      <c r="L272" s="36"/>
      <c r="M272" s="29"/>
      <c r="N272" s="54"/>
      <c r="O272" s="55" t="n">
        <f aca="false">N272*J272</f>
        <v>0</v>
      </c>
    </row>
    <row r="273" customFormat="false" ht="15" hidden="false" customHeight="false" outlineLevel="0" collapsed="false">
      <c r="A273" s="33"/>
      <c r="B273" s="28" t="s">
        <v>21</v>
      </c>
      <c r="C273" s="29"/>
      <c r="D273" s="29"/>
      <c r="E273" s="29"/>
      <c r="F273" s="29"/>
      <c r="G273" s="36"/>
      <c r="H273" s="29"/>
      <c r="I273" s="29"/>
      <c r="J273" s="29"/>
      <c r="K273" s="29"/>
      <c r="L273" s="36"/>
      <c r="M273" s="29"/>
      <c r="N273" s="54"/>
      <c r="O273" s="55" t="n">
        <f aca="false">N273*J273</f>
        <v>0</v>
      </c>
    </row>
    <row r="274" customFormat="false" ht="15" hidden="false" customHeight="false" outlineLevel="0" collapsed="false">
      <c r="A274" s="33"/>
      <c r="B274" s="28" t="s">
        <v>21</v>
      </c>
      <c r="C274" s="29"/>
      <c r="D274" s="29"/>
      <c r="E274" s="29"/>
      <c r="F274" s="29"/>
      <c r="G274" s="36"/>
      <c r="H274" s="29"/>
      <c r="I274" s="29"/>
      <c r="J274" s="29"/>
      <c r="K274" s="29"/>
      <c r="L274" s="36"/>
      <c r="M274" s="29"/>
      <c r="N274" s="54"/>
      <c r="O274" s="55" t="n">
        <f aca="false">N274*J274</f>
        <v>0</v>
      </c>
    </row>
    <row r="275" customFormat="false" ht="15" hidden="false" customHeight="false" outlineLevel="0" collapsed="false">
      <c r="A275" s="33"/>
      <c r="B275" s="28" t="s">
        <v>21</v>
      </c>
      <c r="C275" s="29"/>
      <c r="D275" s="29"/>
      <c r="E275" s="29"/>
      <c r="F275" s="29"/>
      <c r="G275" s="36"/>
      <c r="H275" s="29"/>
      <c r="I275" s="29"/>
      <c r="J275" s="29"/>
      <c r="K275" s="29"/>
      <c r="L275" s="36"/>
      <c r="M275" s="29"/>
      <c r="N275" s="54"/>
      <c r="O275" s="55" t="n">
        <f aca="false">N275*J275</f>
        <v>0</v>
      </c>
    </row>
    <row r="276" customFormat="false" ht="15" hidden="false" customHeight="false" outlineLevel="0" collapsed="false">
      <c r="A276" s="33"/>
      <c r="B276" s="28" t="s">
        <v>21</v>
      </c>
      <c r="C276" s="29"/>
      <c r="D276" s="29"/>
      <c r="E276" s="29"/>
      <c r="F276" s="29"/>
      <c r="G276" s="36"/>
      <c r="H276" s="29"/>
      <c r="I276" s="29"/>
      <c r="J276" s="29"/>
      <c r="K276" s="29"/>
      <c r="L276" s="36"/>
      <c r="M276" s="29"/>
      <c r="N276" s="54"/>
      <c r="O276" s="55" t="n">
        <f aca="false">N276*J276</f>
        <v>0</v>
      </c>
    </row>
    <row r="277" customFormat="false" ht="15" hidden="false" customHeight="false" outlineLevel="0" collapsed="false">
      <c r="A277" s="33"/>
      <c r="B277" s="28" t="s">
        <v>21</v>
      </c>
      <c r="C277" s="29"/>
      <c r="D277" s="29"/>
      <c r="E277" s="29"/>
      <c r="F277" s="29"/>
      <c r="G277" s="36"/>
      <c r="H277" s="29"/>
      <c r="I277" s="29"/>
      <c r="J277" s="29"/>
      <c r="K277" s="29"/>
      <c r="L277" s="36"/>
      <c r="M277" s="29"/>
      <c r="N277" s="54"/>
      <c r="O277" s="55" t="n">
        <f aca="false">N277*J277</f>
        <v>0</v>
      </c>
    </row>
    <row r="278" customFormat="false" ht="15" hidden="false" customHeight="false" outlineLevel="0" collapsed="false">
      <c r="A278" s="33"/>
      <c r="B278" s="28" t="s">
        <v>21</v>
      </c>
      <c r="C278" s="29"/>
      <c r="D278" s="29"/>
      <c r="E278" s="29"/>
      <c r="F278" s="29"/>
      <c r="G278" s="36"/>
      <c r="H278" s="29"/>
      <c r="I278" s="29"/>
      <c r="J278" s="29"/>
      <c r="K278" s="29"/>
      <c r="L278" s="36"/>
      <c r="M278" s="29"/>
      <c r="N278" s="54"/>
      <c r="O278" s="55" t="n">
        <f aca="false">N278*J278</f>
        <v>0</v>
      </c>
    </row>
    <row r="279" customFormat="false" ht="15" hidden="false" customHeight="false" outlineLevel="0" collapsed="false">
      <c r="A279" s="33"/>
      <c r="B279" s="28" t="s">
        <v>21</v>
      </c>
      <c r="C279" s="29"/>
      <c r="D279" s="29"/>
      <c r="E279" s="29"/>
      <c r="F279" s="29"/>
      <c r="G279" s="36"/>
      <c r="H279" s="29"/>
      <c r="I279" s="29"/>
      <c r="J279" s="29"/>
      <c r="K279" s="29"/>
      <c r="L279" s="36"/>
      <c r="M279" s="29"/>
      <c r="N279" s="54"/>
      <c r="O279" s="55" t="n">
        <f aca="false">N279*J279</f>
        <v>0</v>
      </c>
    </row>
    <row r="280" customFormat="false" ht="15" hidden="false" customHeight="false" outlineLevel="0" collapsed="false">
      <c r="A280" s="33"/>
      <c r="B280" s="28" t="s">
        <v>21</v>
      </c>
      <c r="C280" s="29"/>
      <c r="D280" s="29"/>
      <c r="E280" s="29"/>
      <c r="F280" s="29"/>
      <c r="G280" s="36"/>
      <c r="H280" s="29"/>
      <c r="I280" s="29"/>
      <c r="J280" s="29"/>
      <c r="K280" s="29"/>
      <c r="L280" s="36"/>
      <c r="M280" s="29"/>
      <c r="N280" s="54"/>
      <c r="O280" s="55" t="n">
        <f aca="false">N280*J280</f>
        <v>0</v>
      </c>
    </row>
    <row r="281" customFormat="false" ht="15" hidden="false" customHeight="false" outlineLevel="0" collapsed="false">
      <c r="A281" s="33"/>
      <c r="B281" s="28" t="s">
        <v>21</v>
      </c>
      <c r="C281" s="29"/>
      <c r="D281" s="29"/>
      <c r="E281" s="29"/>
      <c r="F281" s="29"/>
      <c r="G281" s="36"/>
      <c r="H281" s="29"/>
      <c r="I281" s="29"/>
      <c r="J281" s="29"/>
      <c r="K281" s="29"/>
      <c r="L281" s="36"/>
      <c r="M281" s="29"/>
      <c r="N281" s="54"/>
      <c r="O281" s="55" t="n">
        <f aca="false">N281*J281</f>
        <v>0</v>
      </c>
    </row>
    <row r="282" customFormat="false" ht="15" hidden="false" customHeight="false" outlineLevel="0" collapsed="false">
      <c r="A282" s="33"/>
      <c r="B282" s="28" t="s">
        <v>21</v>
      </c>
      <c r="C282" s="29"/>
      <c r="D282" s="29"/>
      <c r="E282" s="29"/>
      <c r="F282" s="29"/>
      <c r="G282" s="36"/>
      <c r="H282" s="29"/>
      <c r="I282" s="29"/>
      <c r="J282" s="29"/>
      <c r="K282" s="29"/>
      <c r="L282" s="36"/>
      <c r="M282" s="29"/>
      <c r="N282" s="54"/>
      <c r="O282" s="55" t="n">
        <f aca="false">N282*J282</f>
        <v>0</v>
      </c>
    </row>
    <row r="283" customFormat="false" ht="15" hidden="false" customHeight="false" outlineLevel="0" collapsed="false">
      <c r="A283" s="33"/>
      <c r="B283" s="28" t="s">
        <v>21</v>
      </c>
      <c r="C283" s="29"/>
      <c r="D283" s="29"/>
      <c r="E283" s="29"/>
      <c r="F283" s="29"/>
      <c r="G283" s="36"/>
      <c r="H283" s="29"/>
      <c r="I283" s="29"/>
      <c r="J283" s="29"/>
      <c r="K283" s="29"/>
      <c r="L283" s="36"/>
      <c r="M283" s="29"/>
      <c r="N283" s="54"/>
      <c r="O283" s="55" t="n">
        <f aca="false">N283*J283</f>
        <v>0</v>
      </c>
    </row>
    <row r="284" customFormat="false" ht="15" hidden="false" customHeight="false" outlineLevel="0" collapsed="false">
      <c r="A284" s="33"/>
      <c r="B284" s="28" t="s">
        <v>21</v>
      </c>
      <c r="C284" s="29"/>
      <c r="D284" s="29"/>
      <c r="E284" s="29"/>
      <c r="F284" s="29"/>
      <c r="G284" s="36"/>
      <c r="H284" s="29"/>
      <c r="I284" s="29"/>
      <c r="J284" s="29"/>
      <c r="K284" s="29"/>
      <c r="L284" s="36"/>
      <c r="M284" s="29"/>
      <c r="N284" s="54"/>
      <c r="O284" s="55" t="n">
        <f aca="false">N284*J284</f>
        <v>0</v>
      </c>
    </row>
    <row r="285" customFormat="false" ht="15" hidden="false" customHeight="false" outlineLevel="0" collapsed="false">
      <c r="A285" s="33"/>
      <c r="B285" s="28" t="s">
        <v>21</v>
      </c>
      <c r="C285" s="29"/>
      <c r="D285" s="29"/>
      <c r="E285" s="29"/>
      <c r="F285" s="29"/>
      <c r="G285" s="36"/>
      <c r="H285" s="29"/>
      <c r="I285" s="29"/>
      <c r="J285" s="29"/>
      <c r="K285" s="29"/>
      <c r="L285" s="36"/>
      <c r="M285" s="29"/>
      <c r="N285" s="54"/>
      <c r="O285" s="55" t="n">
        <f aca="false">N285*J285</f>
        <v>0</v>
      </c>
    </row>
    <row r="286" customFormat="false" ht="15" hidden="false" customHeight="false" outlineLevel="0" collapsed="false">
      <c r="A286" s="33"/>
      <c r="B286" s="28" t="s">
        <v>21</v>
      </c>
      <c r="C286" s="29"/>
      <c r="D286" s="29"/>
      <c r="E286" s="29"/>
      <c r="F286" s="29"/>
      <c r="G286" s="36"/>
      <c r="H286" s="29"/>
      <c r="I286" s="29"/>
      <c r="J286" s="29"/>
      <c r="K286" s="29"/>
      <c r="L286" s="36"/>
      <c r="M286" s="29"/>
      <c r="N286" s="54"/>
      <c r="O286" s="55" t="n">
        <f aca="false">N286*J286</f>
        <v>0</v>
      </c>
    </row>
    <row r="287" customFormat="false" ht="15" hidden="false" customHeight="false" outlineLevel="0" collapsed="false">
      <c r="A287" s="33"/>
      <c r="B287" s="28" t="s">
        <v>21</v>
      </c>
      <c r="C287" s="29"/>
      <c r="D287" s="29"/>
      <c r="E287" s="29"/>
      <c r="F287" s="29"/>
      <c r="G287" s="36"/>
      <c r="H287" s="29"/>
      <c r="I287" s="29"/>
      <c r="J287" s="29"/>
      <c r="K287" s="29"/>
      <c r="L287" s="36"/>
      <c r="M287" s="29"/>
      <c r="N287" s="54"/>
      <c r="O287" s="55" t="n">
        <f aca="false">N287*J287</f>
        <v>0</v>
      </c>
    </row>
    <row r="288" customFormat="false" ht="15" hidden="false" customHeight="false" outlineLevel="0" collapsed="false">
      <c r="A288" s="33"/>
      <c r="B288" s="28" t="s">
        <v>21</v>
      </c>
      <c r="C288" s="29"/>
      <c r="D288" s="29"/>
      <c r="E288" s="29"/>
      <c r="F288" s="29"/>
      <c r="G288" s="36"/>
      <c r="H288" s="29"/>
      <c r="I288" s="29"/>
      <c r="J288" s="29"/>
      <c r="K288" s="29"/>
      <c r="L288" s="36"/>
      <c r="M288" s="29"/>
      <c r="N288" s="54"/>
      <c r="O288" s="55" t="n">
        <f aca="false">N288*J288</f>
        <v>0</v>
      </c>
    </row>
    <row r="289" customFormat="false" ht="15" hidden="false" customHeight="false" outlineLevel="0" collapsed="false">
      <c r="A289" s="33"/>
      <c r="B289" s="28" t="s">
        <v>21</v>
      </c>
      <c r="C289" s="29"/>
      <c r="D289" s="29"/>
      <c r="E289" s="29"/>
      <c r="F289" s="29"/>
      <c r="G289" s="36"/>
      <c r="H289" s="29"/>
      <c r="I289" s="29"/>
      <c r="J289" s="29"/>
      <c r="K289" s="29"/>
      <c r="L289" s="36"/>
      <c r="M289" s="29"/>
      <c r="N289" s="54"/>
      <c r="O289" s="55" t="n">
        <f aca="false">N289*J289</f>
        <v>0</v>
      </c>
    </row>
    <row r="290" customFormat="false" ht="15" hidden="false" customHeight="false" outlineLevel="0" collapsed="false">
      <c r="A290" s="33"/>
      <c r="B290" s="28" t="s">
        <v>21</v>
      </c>
      <c r="C290" s="29"/>
      <c r="D290" s="29"/>
      <c r="E290" s="29"/>
      <c r="F290" s="29"/>
      <c r="G290" s="36"/>
      <c r="H290" s="29"/>
      <c r="I290" s="29"/>
      <c r="J290" s="29"/>
      <c r="K290" s="29"/>
      <c r="L290" s="36"/>
      <c r="M290" s="29"/>
      <c r="N290" s="54"/>
      <c r="O290" s="55" t="n">
        <f aca="false">N290*J290</f>
        <v>0</v>
      </c>
    </row>
    <row r="291" customFormat="false" ht="15" hidden="false" customHeight="false" outlineLevel="0" collapsed="false">
      <c r="A291" s="33"/>
      <c r="B291" s="28" t="s">
        <v>21</v>
      </c>
      <c r="C291" s="29"/>
      <c r="D291" s="29"/>
      <c r="E291" s="29"/>
      <c r="F291" s="29"/>
      <c r="G291" s="36"/>
      <c r="H291" s="29"/>
      <c r="I291" s="29"/>
      <c r="J291" s="29"/>
      <c r="K291" s="29"/>
      <c r="L291" s="36"/>
      <c r="M291" s="29"/>
      <c r="N291" s="54"/>
      <c r="O291" s="55" t="n">
        <f aca="false">N291*J291</f>
        <v>0</v>
      </c>
    </row>
    <row r="292" customFormat="false" ht="15" hidden="false" customHeight="false" outlineLevel="0" collapsed="false">
      <c r="A292" s="42"/>
      <c r="B292" s="28" t="s">
        <v>21</v>
      </c>
      <c r="C292" s="41"/>
      <c r="D292" s="41"/>
      <c r="E292" s="41"/>
      <c r="F292" s="41"/>
      <c r="G292" s="34"/>
      <c r="H292" s="41"/>
      <c r="I292" s="41"/>
      <c r="J292" s="41"/>
      <c r="K292" s="41"/>
      <c r="L292" s="36"/>
      <c r="M292" s="29"/>
      <c r="N292" s="54"/>
      <c r="O292" s="55" t="n">
        <f aca="false">N292*J292</f>
        <v>0</v>
      </c>
    </row>
    <row r="293" customFormat="false" ht="15" hidden="false" customHeight="false" outlineLevel="0" collapsed="false">
      <c r="A293" s="33"/>
      <c r="B293" s="28" t="s">
        <v>21</v>
      </c>
      <c r="C293" s="29"/>
      <c r="D293" s="29"/>
      <c r="E293" s="29"/>
      <c r="F293" s="29"/>
      <c r="G293" s="36"/>
      <c r="H293" s="29"/>
      <c r="I293" s="29"/>
      <c r="J293" s="29"/>
      <c r="K293" s="29"/>
      <c r="L293" s="36"/>
      <c r="M293" s="29"/>
      <c r="N293" s="54"/>
      <c r="O293" s="55" t="n">
        <f aca="false">N293*J293</f>
        <v>0</v>
      </c>
    </row>
    <row r="294" customFormat="false" ht="15" hidden="false" customHeight="false" outlineLevel="0" collapsed="false">
      <c r="A294" s="33"/>
      <c r="B294" s="28" t="s">
        <v>21</v>
      </c>
      <c r="C294" s="29"/>
      <c r="D294" s="29"/>
      <c r="E294" s="29"/>
      <c r="F294" s="29"/>
      <c r="G294" s="36"/>
      <c r="H294" s="29"/>
      <c r="I294" s="29"/>
      <c r="J294" s="29"/>
      <c r="K294" s="29"/>
      <c r="L294" s="36"/>
      <c r="M294" s="29"/>
      <c r="N294" s="54"/>
      <c r="O294" s="55" t="n">
        <f aca="false">N294*J294</f>
        <v>0</v>
      </c>
    </row>
    <row r="295" customFormat="false" ht="15" hidden="false" customHeight="false" outlineLevel="0" collapsed="false">
      <c r="A295" s="33"/>
      <c r="B295" s="28" t="s">
        <v>21</v>
      </c>
      <c r="C295" s="29"/>
      <c r="D295" s="29"/>
      <c r="E295" s="29"/>
      <c r="F295" s="29"/>
      <c r="G295" s="36"/>
      <c r="H295" s="29"/>
      <c r="I295" s="29"/>
      <c r="J295" s="29"/>
      <c r="K295" s="29"/>
      <c r="L295" s="36"/>
      <c r="M295" s="29"/>
      <c r="N295" s="54"/>
      <c r="O295" s="55" t="n">
        <f aca="false">N295*J295</f>
        <v>0</v>
      </c>
    </row>
    <row r="296" customFormat="false" ht="15" hidden="false" customHeight="false" outlineLevel="0" collapsed="false">
      <c r="A296" s="33"/>
      <c r="B296" s="28" t="s">
        <v>21</v>
      </c>
      <c r="C296" s="29"/>
      <c r="D296" s="29"/>
      <c r="E296" s="29"/>
      <c r="F296" s="29"/>
      <c r="G296" s="36"/>
      <c r="H296" s="29"/>
      <c r="I296" s="29"/>
      <c r="J296" s="29"/>
      <c r="K296" s="29"/>
      <c r="L296" s="36"/>
      <c r="M296" s="29"/>
      <c r="N296" s="54"/>
      <c r="O296" s="55" t="n">
        <f aca="false">N296*J296</f>
        <v>0</v>
      </c>
    </row>
    <row r="297" customFormat="false" ht="15" hidden="false" customHeight="false" outlineLevel="0" collapsed="false">
      <c r="A297" s="33"/>
      <c r="B297" s="28" t="s">
        <v>21</v>
      </c>
      <c r="C297" s="29"/>
      <c r="D297" s="29"/>
      <c r="E297" s="29"/>
      <c r="F297" s="29"/>
      <c r="G297" s="36"/>
      <c r="H297" s="29"/>
      <c r="I297" s="29"/>
      <c r="J297" s="29"/>
      <c r="K297" s="29"/>
      <c r="L297" s="36"/>
      <c r="M297" s="29"/>
      <c r="N297" s="54"/>
      <c r="O297" s="55" t="n">
        <f aca="false">N297*J297</f>
        <v>0</v>
      </c>
    </row>
    <row r="298" customFormat="false" ht="15" hidden="false" customHeight="false" outlineLevel="0" collapsed="false">
      <c r="A298" s="33"/>
      <c r="B298" s="28" t="s">
        <v>21</v>
      </c>
      <c r="C298" s="29"/>
      <c r="D298" s="29"/>
      <c r="E298" s="29"/>
      <c r="F298" s="29"/>
      <c r="G298" s="36"/>
      <c r="H298" s="29"/>
      <c r="I298" s="29"/>
      <c r="J298" s="29"/>
      <c r="K298" s="29"/>
      <c r="L298" s="36"/>
      <c r="M298" s="29"/>
      <c r="N298" s="54"/>
      <c r="O298" s="55" t="n">
        <f aca="false">N298*J298</f>
        <v>0</v>
      </c>
    </row>
    <row r="299" customFormat="false" ht="15" hidden="false" customHeight="false" outlineLevel="0" collapsed="false">
      <c r="A299" s="33"/>
      <c r="B299" s="28" t="s">
        <v>21</v>
      </c>
      <c r="C299" s="29"/>
      <c r="D299" s="29"/>
      <c r="E299" s="29"/>
      <c r="F299" s="29"/>
      <c r="G299" s="36"/>
      <c r="H299" s="29"/>
      <c r="I299" s="29"/>
      <c r="J299" s="29"/>
      <c r="K299" s="29"/>
      <c r="L299" s="36"/>
      <c r="M299" s="29"/>
      <c r="N299" s="54"/>
      <c r="O299" s="55" t="n">
        <f aca="false">N299*J299</f>
        <v>0</v>
      </c>
    </row>
    <row r="300" customFormat="false" ht="15" hidden="false" customHeight="false" outlineLevel="0" collapsed="false">
      <c r="A300" s="33"/>
      <c r="B300" s="28" t="s">
        <v>21</v>
      </c>
      <c r="C300" s="29"/>
      <c r="D300" s="29"/>
      <c r="E300" s="29"/>
      <c r="F300" s="29"/>
      <c r="G300" s="36"/>
      <c r="H300" s="29"/>
      <c r="I300" s="29"/>
      <c r="J300" s="29"/>
      <c r="K300" s="29"/>
      <c r="L300" s="36"/>
      <c r="M300" s="29"/>
      <c r="N300" s="54"/>
      <c r="O300" s="55" t="n">
        <f aca="false">N300*J300</f>
        <v>0</v>
      </c>
    </row>
    <row r="301" customFormat="false" ht="15" hidden="false" customHeight="false" outlineLevel="0" collapsed="false">
      <c r="A301" s="33"/>
      <c r="B301" s="28" t="s">
        <v>21</v>
      </c>
      <c r="C301" s="29"/>
      <c r="D301" s="29"/>
      <c r="E301" s="29"/>
      <c r="F301" s="29"/>
      <c r="G301" s="36"/>
      <c r="H301" s="29"/>
      <c r="I301" s="29"/>
      <c r="J301" s="29"/>
      <c r="K301" s="29"/>
      <c r="L301" s="36"/>
      <c r="M301" s="29"/>
      <c r="N301" s="54"/>
      <c r="O301" s="55" t="n">
        <f aca="false">N301*J301</f>
        <v>0</v>
      </c>
    </row>
    <row r="302" customFormat="false" ht="15" hidden="false" customHeight="false" outlineLevel="0" collapsed="false">
      <c r="A302" s="33"/>
      <c r="B302" s="28" t="s">
        <v>21</v>
      </c>
      <c r="C302" s="29"/>
      <c r="D302" s="29"/>
      <c r="E302" s="29"/>
      <c r="F302" s="29"/>
      <c r="G302" s="36"/>
      <c r="H302" s="29"/>
      <c r="I302" s="29"/>
      <c r="J302" s="29"/>
      <c r="K302" s="29"/>
      <c r="L302" s="36"/>
      <c r="M302" s="29"/>
      <c r="N302" s="54"/>
      <c r="O302" s="55" t="n">
        <f aca="false">N302*J302</f>
        <v>0</v>
      </c>
    </row>
    <row r="303" customFormat="false" ht="15" hidden="false" customHeight="false" outlineLevel="0" collapsed="false">
      <c r="A303" s="33"/>
      <c r="B303" s="28" t="s">
        <v>21</v>
      </c>
      <c r="C303" s="29"/>
      <c r="D303" s="29"/>
      <c r="E303" s="29"/>
      <c r="F303" s="29"/>
      <c r="G303" s="36"/>
      <c r="H303" s="29"/>
      <c r="I303" s="29"/>
      <c r="J303" s="29"/>
      <c r="K303" s="29"/>
      <c r="L303" s="36"/>
      <c r="M303" s="29"/>
      <c r="N303" s="54"/>
      <c r="O303" s="55" t="n">
        <f aca="false">N303*J303</f>
        <v>0</v>
      </c>
    </row>
    <row r="304" customFormat="false" ht="15" hidden="false" customHeight="false" outlineLevel="0" collapsed="false">
      <c r="A304" s="33"/>
      <c r="B304" s="28" t="s">
        <v>21</v>
      </c>
      <c r="C304" s="29"/>
      <c r="D304" s="29"/>
      <c r="E304" s="29"/>
      <c r="F304" s="29"/>
      <c r="G304" s="36"/>
      <c r="H304" s="29"/>
      <c r="I304" s="29"/>
      <c r="J304" s="29"/>
      <c r="K304" s="29"/>
      <c r="L304" s="36"/>
      <c r="M304" s="29"/>
      <c r="N304" s="54"/>
      <c r="O304" s="55" t="n">
        <f aca="false">N304*J304</f>
        <v>0</v>
      </c>
    </row>
    <row r="305" customFormat="false" ht="15" hidden="false" customHeight="false" outlineLevel="0" collapsed="false">
      <c r="A305" s="33"/>
      <c r="B305" s="28" t="s">
        <v>21</v>
      </c>
      <c r="C305" s="29"/>
      <c r="D305" s="29"/>
      <c r="E305" s="29"/>
      <c r="F305" s="29"/>
      <c r="G305" s="36"/>
      <c r="H305" s="29"/>
      <c r="I305" s="29"/>
      <c r="J305" s="29"/>
      <c r="K305" s="29"/>
      <c r="L305" s="36"/>
      <c r="M305" s="29"/>
      <c r="N305" s="54"/>
      <c r="O305" s="55" t="n">
        <f aca="false">N305*J305</f>
        <v>0</v>
      </c>
    </row>
    <row r="306" customFormat="false" ht="15" hidden="false" customHeight="false" outlineLevel="0" collapsed="false">
      <c r="A306" s="33"/>
      <c r="B306" s="28" t="s">
        <v>21</v>
      </c>
      <c r="C306" s="29"/>
      <c r="D306" s="29"/>
      <c r="E306" s="29"/>
      <c r="F306" s="29"/>
      <c r="G306" s="36"/>
      <c r="H306" s="29"/>
      <c r="I306" s="29"/>
      <c r="J306" s="29"/>
      <c r="K306" s="29"/>
      <c r="L306" s="36"/>
      <c r="M306" s="29"/>
      <c r="N306" s="54"/>
      <c r="O306" s="55" t="n">
        <f aca="false">N306*J306</f>
        <v>0</v>
      </c>
    </row>
    <row r="307" customFormat="false" ht="15" hidden="false" customHeight="false" outlineLevel="0" collapsed="false">
      <c r="A307" s="33"/>
      <c r="B307" s="28" t="s">
        <v>21</v>
      </c>
      <c r="C307" s="29"/>
      <c r="D307" s="29"/>
      <c r="E307" s="29"/>
      <c r="F307" s="29"/>
      <c r="G307" s="36"/>
      <c r="H307" s="29"/>
      <c r="I307" s="29"/>
      <c r="J307" s="29"/>
      <c r="K307" s="29"/>
      <c r="L307" s="36"/>
      <c r="M307" s="29"/>
      <c r="N307" s="54"/>
      <c r="O307" s="55" t="n">
        <f aca="false">N307*J307</f>
        <v>0</v>
      </c>
    </row>
    <row r="308" customFormat="false" ht="15" hidden="false" customHeight="false" outlineLevel="0" collapsed="false">
      <c r="A308" s="33"/>
      <c r="B308" s="28" t="s">
        <v>21</v>
      </c>
      <c r="C308" s="29"/>
      <c r="D308" s="29"/>
      <c r="E308" s="29"/>
      <c r="F308" s="29"/>
      <c r="G308" s="36"/>
      <c r="H308" s="29"/>
      <c r="I308" s="29"/>
      <c r="J308" s="29"/>
      <c r="K308" s="29"/>
      <c r="L308" s="36"/>
      <c r="M308" s="29"/>
      <c r="N308" s="54"/>
      <c r="O308" s="55" t="n">
        <f aca="false">N308*J308</f>
        <v>0</v>
      </c>
    </row>
    <row r="309" customFormat="false" ht="15" hidden="false" customHeight="false" outlineLevel="0" collapsed="false">
      <c r="A309" s="33"/>
      <c r="B309" s="28" t="s">
        <v>21</v>
      </c>
      <c r="C309" s="29"/>
      <c r="D309" s="29"/>
      <c r="E309" s="29"/>
      <c r="F309" s="29"/>
      <c r="G309" s="36"/>
      <c r="H309" s="29"/>
      <c r="I309" s="29"/>
      <c r="J309" s="29"/>
      <c r="K309" s="29"/>
      <c r="L309" s="36"/>
      <c r="M309" s="29"/>
      <c r="N309" s="54"/>
      <c r="O309" s="55" t="n">
        <f aca="false">N309*J309</f>
        <v>0</v>
      </c>
    </row>
    <row r="310" customFormat="false" ht="15" hidden="false" customHeight="false" outlineLevel="0" collapsed="false">
      <c r="A310" s="33"/>
      <c r="B310" s="28" t="s">
        <v>21</v>
      </c>
      <c r="C310" s="29"/>
      <c r="D310" s="29"/>
      <c r="E310" s="29"/>
      <c r="F310" s="29"/>
      <c r="G310" s="36"/>
      <c r="H310" s="29"/>
      <c r="I310" s="29"/>
      <c r="J310" s="29"/>
      <c r="K310" s="29"/>
      <c r="L310" s="36"/>
      <c r="M310" s="29"/>
      <c r="N310" s="54"/>
      <c r="O310" s="55" t="n">
        <f aca="false">N310*J310</f>
        <v>0</v>
      </c>
    </row>
    <row r="311" customFormat="false" ht="15" hidden="false" customHeight="false" outlineLevel="0" collapsed="false">
      <c r="A311" s="33"/>
      <c r="B311" s="28" t="s">
        <v>21</v>
      </c>
      <c r="C311" s="29"/>
      <c r="D311" s="29"/>
      <c r="E311" s="29"/>
      <c r="F311" s="29"/>
      <c r="G311" s="36"/>
      <c r="H311" s="29"/>
      <c r="I311" s="29"/>
      <c r="J311" s="29"/>
      <c r="K311" s="29"/>
      <c r="L311" s="36"/>
      <c r="M311" s="29"/>
      <c r="N311" s="54"/>
      <c r="O311" s="55" t="n">
        <f aca="false">N311*J311</f>
        <v>0</v>
      </c>
    </row>
    <row r="312" customFormat="false" ht="15" hidden="false" customHeight="false" outlineLevel="0" collapsed="false">
      <c r="A312" s="33"/>
      <c r="B312" s="28" t="s">
        <v>21</v>
      </c>
      <c r="C312" s="29"/>
      <c r="D312" s="29"/>
      <c r="E312" s="29"/>
      <c r="F312" s="29"/>
      <c r="G312" s="36"/>
      <c r="H312" s="29"/>
      <c r="I312" s="29"/>
      <c r="J312" s="29"/>
      <c r="K312" s="29"/>
      <c r="L312" s="36"/>
      <c r="M312" s="29"/>
      <c r="N312" s="54"/>
      <c r="O312" s="55" t="n">
        <f aca="false">N312*J312</f>
        <v>0</v>
      </c>
    </row>
    <row r="313" customFormat="false" ht="15" hidden="false" customHeight="false" outlineLevel="0" collapsed="false">
      <c r="A313" s="33"/>
      <c r="B313" s="28" t="s">
        <v>21</v>
      </c>
      <c r="C313" s="29"/>
      <c r="D313" s="29"/>
      <c r="E313" s="29"/>
      <c r="F313" s="29"/>
      <c r="G313" s="36"/>
      <c r="H313" s="29"/>
      <c r="I313" s="29"/>
      <c r="J313" s="29"/>
      <c r="K313" s="29"/>
      <c r="L313" s="36"/>
      <c r="M313" s="29"/>
      <c r="N313" s="54"/>
      <c r="O313" s="55" t="n">
        <f aca="false">N313*J313</f>
        <v>0</v>
      </c>
    </row>
    <row r="314" customFormat="false" ht="15" hidden="false" customHeight="false" outlineLevel="0" collapsed="false">
      <c r="A314" s="33"/>
      <c r="B314" s="28" t="s">
        <v>21</v>
      </c>
      <c r="C314" s="29"/>
      <c r="D314" s="29"/>
      <c r="E314" s="29"/>
      <c r="F314" s="29"/>
      <c r="G314" s="36"/>
      <c r="H314" s="29"/>
      <c r="I314" s="29"/>
      <c r="J314" s="29"/>
      <c r="K314" s="29"/>
      <c r="L314" s="36"/>
      <c r="M314" s="29"/>
      <c r="N314" s="54"/>
      <c r="O314" s="55" t="n">
        <f aca="false">N314*J314</f>
        <v>0</v>
      </c>
    </row>
    <row r="315" customFormat="false" ht="15" hidden="false" customHeight="false" outlineLevel="0" collapsed="false">
      <c r="A315" s="33"/>
      <c r="B315" s="28" t="s">
        <v>21</v>
      </c>
      <c r="C315" s="29"/>
      <c r="D315" s="29"/>
      <c r="E315" s="29"/>
      <c r="F315" s="29"/>
      <c r="G315" s="36"/>
      <c r="H315" s="29"/>
      <c r="I315" s="29"/>
      <c r="J315" s="29"/>
      <c r="K315" s="29"/>
      <c r="L315" s="36"/>
      <c r="M315" s="29"/>
      <c r="N315" s="54"/>
      <c r="O315" s="55" t="n">
        <f aca="false">N315*J315</f>
        <v>0</v>
      </c>
    </row>
    <row r="316" customFormat="false" ht="15" hidden="false" customHeight="false" outlineLevel="0" collapsed="false">
      <c r="A316" s="33"/>
      <c r="B316" s="28" t="s">
        <v>21</v>
      </c>
      <c r="C316" s="29"/>
      <c r="D316" s="29"/>
      <c r="E316" s="29"/>
      <c r="F316" s="29"/>
      <c r="G316" s="36"/>
      <c r="H316" s="29"/>
      <c r="I316" s="29"/>
      <c r="J316" s="29"/>
      <c r="K316" s="29"/>
      <c r="L316" s="36"/>
      <c r="M316" s="29"/>
      <c r="N316" s="54"/>
      <c r="O316" s="55" t="n">
        <f aca="false">N316*J316</f>
        <v>0</v>
      </c>
    </row>
    <row r="317" customFormat="false" ht="15" hidden="false" customHeight="false" outlineLevel="0" collapsed="false">
      <c r="A317" s="33"/>
      <c r="B317" s="28" t="s">
        <v>21</v>
      </c>
      <c r="C317" s="29"/>
      <c r="D317" s="29"/>
      <c r="E317" s="29"/>
      <c r="F317" s="29"/>
      <c r="G317" s="36"/>
      <c r="H317" s="29"/>
      <c r="I317" s="29"/>
      <c r="J317" s="29"/>
      <c r="K317" s="29"/>
      <c r="L317" s="36"/>
      <c r="M317" s="29"/>
      <c r="N317" s="54"/>
      <c r="O317" s="55" t="n">
        <f aca="false">N317*J317</f>
        <v>0</v>
      </c>
    </row>
    <row r="318" customFormat="false" ht="15" hidden="false" customHeight="false" outlineLevel="0" collapsed="false">
      <c r="A318" s="33"/>
      <c r="B318" s="28" t="s">
        <v>21</v>
      </c>
      <c r="C318" s="29"/>
      <c r="D318" s="29"/>
      <c r="E318" s="29"/>
      <c r="F318" s="29"/>
      <c r="G318" s="36"/>
      <c r="H318" s="29"/>
      <c r="I318" s="29"/>
      <c r="J318" s="29"/>
      <c r="K318" s="29"/>
      <c r="L318" s="36"/>
      <c r="M318" s="29"/>
      <c r="N318" s="54"/>
      <c r="O318" s="55" t="n">
        <f aca="false">N318*J318</f>
        <v>0</v>
      </c>
    </row>
    <row r="319" customFormat="false" ht="15" hidden="false" customHeight="false" outlineLevel="0" collapsed="false">
      <c r="A319" s="33"/>
      <c r="B319" s="28" t="s">
        <v>21</v>
      </c>
      <c r="C319" s="29"/>
      <c r="D319" s="29"/>
      <c r="E319" s="29"/>
      <c r="F319" s="29"/>
      <c r="G319" s="36"/>
      <c r="H319" s="29"/>
      <c r="I319" s="29"/>
      <c r="J319" s="29"/>
      <c r="K319" s="29"/>
      <c r="L319" s="36"/>
      <c r="M319" s="29"/>
      <c r="N319" s="54"/>
      <c r="O319" s="55" t="n">
        <f aca="false">N319*J319</f>
        <v>0</v>
      </c>
    </row>
    <row r="320" customFormat="false" ht="15" hidden="false" customHeight="false" outlineLevel="0" collapsed="false">
      <c r="A320" s="33"/>
      <c r="B320" s="28" t="s">
        <v>21</v>
      </c>
      <c r="C320" s="29"/>
      <c r="D320" s="29"/>
      <c r="E320" s="29"/>
      <c r="F320" s="29"/>
      <c r="G320" s="36"/>
      <c r="H320" s="29"/>
      <c r="I320" s="29"/>
      <c r="J320" s="29"/>
      <c r="K320" s="29"/>
      <c r="L320" s="36"/>
      <c r="M320" s="29"/>
      <c r="N320" s="54"/>
      <c r="O320" s="55" t="n">
        <f aca="false">N320*J320</f>
        <v>0</v>
      </c>
    </row>
    <row r="321" customFormat="false" ht="15" hidden="false" customHeight="false" outlineLevel="0" collapsed="false">
      <c r="A321" s="33"/>
      <c r="B321" s="28" t="s">
        <v>21</v>
      </c>
      <c r="C321" s="29"/>
      <c r="D321" s="29"/>
      <c r="E321" s="29"/>
      <c r="F321" s="29"/>
      <c r="G321" s="36"/>
      <c r="H321" s="29"/>
      <c r="I321" s="29"/>
      <c r="J321" s="29"/>
      <c r="K321" s="29"/>
      <c r="L321" s="36"/>
      <c r="M321" s="29"/>
      <c r="N321" s="54"/>
      <c r="O321" s="55" t="n">
        <f aca="false">N321*J321</f>
        <v>0</v>
      </c>
    </row>
    <row r="322" customFormat="false" ht="15" hidden="false" customHeight="false" outlineLevel="0" collapsed="false">
      <c r="A322" s="33"/>
      <c r="B322" s="28" t="s">
        <v>21</v>
      </c>
      <c r="C322" s="29"/>
      <c r="D322" s="29"/>
      <c r="E322" s="29"/>
      <c r="F322" s="29"/>
      <c r="G322" s="36"/>
      <c r="H322" s="29"/>
      <c r="I322" s="29"/>
      <c r="J322" s="29"/>
      <c r="K322" s="29"/>
      <c r="L322" s="36"/>
      <c r="M322" s="29"/>
      <c r="N322" s="54"/>
      <c r="O322" s="55" t="n">
        <f aca="false">N322*J322</f>
        <v>0</v>
      </c>
    </row>
    <row r="323" customFormat="false" ht="15" hidden="false" customHeight="false" outlineLevel="0" collapsed="false">
      <c r="A323" s="33"/>
      <c r="B323" s="28" t="s">
        <v>21</v>
      </c>
      <c r="C323" s="29"/>
      <c r="D323" s="29"/>
      <c r="E323" s="29"/>
      <c r="F323" s="29"/>
      <c r="G323" s="36"/>
      <c r="H323" s="29"/>
      <c r="I323" s="29"/>
      <c r="J323" s="29"/>
      <c r="K323" s="29"/>
      <c r="L323" s="36"/>
      <c r="M323" s="29"/>
      <c r="N323" s="54"/>
      <c r="O323" s="55" t="n">
        <f aca="false">N323*J323</f>
        <v>0</v>
      </c>
    </row>
    <row r="324" customFormat="false" ht="15" hidden="false" customHeight="false" outlineLevel="0" collapsed="false">
      <c r="A324" s="33"/>
      <c r="B324" s="28" t="s">
        <v>21</v>
      </c>
      <c r="C324" s="29"/>
      <c r="D324" s="29"/>
      <c r="E324" s="29"/>
      <c r="F324" s="29"/>
      <c r="G324" s="36"/>
      <c r="H324" s="29"/>
      <c r="I324" s="29"/>
      <c r="J324" s="29"/>
      <c r="K324" s="29"/>
      <c r="L324" s="36"/>
      <c r="M324" s="29"/>
      <c r="N324" s="54"/>
      <c r="O324" s="55" t="n">
        <f aca="false">N324*J324</f>
        <v>0</v>
      </c>
    </row>
    <row r="325" customFormat="false" ht="15" hidden="false" customHeight="false" outlineLevel="0" collapsed="false">
      <c r="A325" s="33"/>
      <c r="B325" s="28" t="s">
        <v>21</v>
      </c>
      <c r="C325" s="29"/>
      <c r="D325" s="29"/>
      <c r="E325" s="29"/>
      <c r="F325" s="29"/>
      <c r="G325" s="36"/>
      <c r="H325" s="29"/>
      <c r="I325" s="29"/>
      <c r="J325" s="29"/>
      <c r="K325" s="29"/>
      <c r="L325" s="36"/>
      <c r="M325" s="29"/>
      <c r="N325" s="54"/>
      <c r="O325" s="55" t="n">
        <f aca="false">N325*J325</f>
        <v>0</v>
      </c>
    </row>
    <row r="326" customFormat="false" ht="15" hidden="false" customHeight="false" outlineLevel="0" collapsed="false">
      <c r="A326" s="33"/>
      <c r="B326" s="28" t="s">
        <v>21</v>
      </c>
      <c r="C326" s="29"/>
      <c r="D326" s="29"/>
      <c r="E326" s="29"/>
      <c r="F326" s="29"/>
      <c r="G326" s="36"/>
      <c r="H326" s="29"/>
      <c r="I326" s="29"/>
      <c r="J326" s="29"/>
      <c r="K326" s="29"/>
      <c r="L326" s="36"/>
      <c r="M326" s="29"/>
      <c r="N326" s="54"/>
      <c r="O326" s="55" t="n">
        <f aca="false">N326*J326</f>
        <v>0</v>
      </c>
    </row>
    <row r="327" customFormat="false" ht="15" hidden="false" customHeight="false" outlineLevel="0" collapsed="false">
      <c r="A327" s="33"/>
      <c r="B327" s="28" t="s">
        <v>21</v>
      </c>
      <c r="C327" s="29"/>
      <c r="D327" s="29"/>
      <c r="E327" s="29"/>
      <c r="F327" s="29"/>
      <c r="G327" s="36"/>
      <c r="H327" s="29"/>
      <c r="I327" s="29"/>
      <c r="J327" s="29"/>
      <c r="K327" s="29"/>
      <c r="L327" s="36"/>
      <c r="M327" s="29"/>
      <c r="N327" s="54"/>
      <c r="O327" s="55" t="n">
        <f aca="false">N327*J327</f>
        <v>0</v>
      </c>
    </row>
    <row r="328" customFormat="false" ht="15" hidden="false" customHeight="false" outlineLevel="0" collapsed="false">
      <c r="A328" s="33"/>
      <c r="B328" s="28" t="s">
        <v>21</v>
      </c>
      <c r="C328" s="29"/>
      <c r="D328" s="29"/>
      <c r="E328" s="29"/>
      <c r="F328" s="29"/>
      <c r="G328" s="36"/>
      <c r="H328" s="29"/>
      <c r="I328" s="29"/>
      <c r="J328" s="29"/>
      <c r="K328" s="29"/>
      <c r="L328" s="36"/>
      <c r="M328" s="29"/>
      <c r="N328" s="54"/>
      <c r="O328" s="55" t="n">
        <f aca="false">N328*J328</f>
        <v>0</v>
      </c>
    </row>
    <row r="329" customFormat="false" ht="15" hidden="false" customHeight="false" outlineLevel="0" collapsed="false">
      <c r="A329" s="33"/>
      <c r="B329" s="28" t="s">
        <v>21</v>
      </c>
      <c r="C329" s="29"/>
      <c r="D329" s="29"/>
      <c r="E329" s="29"/>
      <c r="F329" s="29"/>
      <c r="G329" s="36"/>
      <c r="H329" s="29"/>
      <c r="I329" s="29"/>
      <c r="J329" s="29"/>
      <c r="K329" s="29"/>
      <c r="L329" s="36"/>
      <c r="M329" s="29"/>
      <c r="N329" s="54"/>
      <c r="O329" s="55" t="n">
        <f aca="false">N329*J329</f>
        <v>0</v>
      </c>
    </row>
    <row r="330" customFormat="false" ht="15" hidden="false" customHeight="false" outlineLevel="0" collapsed="false">
      <c r="A330" s="33"/>
      <c r="B330" s="28" t="s">
        <v>21</v>
      </c>
      <c r="C330" s="29"/>
      <c r="D330" s="29"/>
      <c r="E330" s="29"/>
      <c r="F330" s="29"/>
      <c r="G330" s="36"/>
      <c r="H330" s="29"/>
      <c r="I330" s="29"/>
      <c r="J330" s="29"/>
      <c r="K330" s="29"/>
      <c r="L330" s="36"/>
      <c r="M330" s="29"/>
      <c r="N330" s="54"/>
      <c r="O330" s="55" t="n">
        <f aca="false">N330*J330</f>
        <v>0</v>
      </c>
    </row>
    <row r="331" customFormat="false" ht="15" hidden="false" customHeight="false" outlineLevel="0" collapsed="false">
      <c r="A331" s="33"/>
      <c r="B331" s="28" t="s">
        <v>21</v>
      </c>
      <c r="C331" s="29"/>
      <c r="D331" s="29"/>
      <c r="E331" s="29"/>
      <c r="F331" s="29"/>
      <c r="G331" s="36"/>
      <c r="H331" s="29"/>
      <c r="I331" s="29"/>
      <c r="J331" s="29"/>
      <c r="K331" s="29"/>
      <c r="L331" s="36"/>
      <c r="M331" s="29"/>
      <c r="N331" s="54"/>
      <c r="O331" s="55" t="n">
        <f aca="false">N331*J331</f>
        <v>0</v>
      </c>
    </row>
    <row r="332" customFormat="false" ht="15" hidden="false" customHeight="false" outlineLevel="0" collapsed="false">
      <c r="A332" s="33"/>
      <c r="B332" s="28" t="s">
        <v>21</v>
      </c>
      <c r="C332" s="29"/>
      <c r="D332" s="29"/>
      <c r="E332" s="29"/>
      <c r="F332" s="29"/>
      <c r="G332" s="36"/>
      <c r="H332" s="29"/>
      <c r="I332" s="29"/>
      <c r="J332" s="29"/>
      <c r="K332" s="29"/>
      <c r="L332" s="36"/>
      <c r="M332" s="29"/>
      <c r="N332" s="54"/>
      <c r="O332" s="55" t="n">
        <f aca="false">N332*J332</f>
        <v>0</v>
      </c>
    </row>
    <row r="333" customFormat="false" ht="15" hidden="false" customHeight="false" outlineLevel="0" collapsed="false">
      <c r="A333" s="33"/>
      <c r="B333" s="28" t="s">
        <v>21</v>
      </c>
      <c r="C333" s="29"/>
      <c r="D333" s="29"/>
      <c r="E333" s="29"/>
      <c r="F333" s="29"/>
      <c r="G333" s="36"/>
      <c r="H333" s="29"/>
      <c r="I333" s="29"/>
      <c r="J333" s="29"/>
      <c r="K333" s="29"/>
      <c r="L333" s="36"/>
      <c r="M333" s="29"/>
      <c r="N333" s="54"/>
      <c r="O333" s="55" t="n">
        <f aca="false">N333*J333</f>
        <v>0</v>
      </c>
    </row>
    <row r="334" customFormat="false" ht="15" hidden="false" customHeight="false" outlineLevel="0" collapsed="false">
      <c r="A334" s="33"/>
      <c r="B334" s="28" t="s">
        <v>21</v>
      </c>
      <c r="C334" s="29"/>
      <c r="D334" s="29"/>
      <c r="E334" s="29"/>
      <c r="F334" s="29"/>
      <c r="G334" s="36"/>
      <c r="H334" s="29"/>
      <c r="I334" s="29"/>
      <c r="J334" s="29"/>
      <c r="K334" s="29"/>
      <c r="L334" s="36"/>
      <c r="M334" s="29"/>
      <c r="N334" s="54"/>
      <c r="O334" s="55" t="n">
        <f aca="false">N334*J334</f>
        <v>0</v>
      </c>
    </row>
    <row r="335" customFormat="false" ht="15" hidden="false" customHeight="false" outlineLevel="0" collapsed="false">
      <c r="A335" s="33"/>
      <c r="B335" s="28" t="s">
        <v>21</v>
      </c>
      <c r="C335" s="29"/>
      <c r="D335" s="29"/>
      <c r="E335" s="29"/>
      <c r="F335" s="29"/>
      <c r="G335" s="36"/>
      <c r="H335" s="29"/>
      <c r="I335" s="29"/>
      <c r="J335" s="29"/>
      <c r="K335" s="29"/>
      <c r="L335" s="36"/>
      <c r="M335" s="29"/>
      <c r="N335" s="54"/>
      <c r="O335" s="55" t="n">
        <f aca="false">N335*J335</f>
        <v>0</v>
      </c>
    </row>
    <row r="336" customFormat="false" ht="15" hidden="false" customHeight="false" outlineLevel="0" collapsed="false">
      <c r="A336" s="33"/>
      <c r="B336" s="28" t="s">
        <v>21</v>
      </c>
      <c r="C336" s="29"/>
      <c r="D336" s="29"/>
      <c r="E336" s="29"/>
      <c r="F336" s="29"/>
      <c r="G336" s="36"/>
      <c r="H336" s="29"/>
      <c r="I336" s="29"/>
      <c r="J336" s="29"/>
      <c r="K336" s="29"/>
      <c r="L336" s="36"/>
      <c r="M336" s="29"/>
      <c r="N336" s="54"/>
      <c r="O336" s="55" t="n">
        <f aca="false">N336*J336</f>
        <v>0</v>
      </c>
    </row>
    <row r="337" customFormat="false" ht="15" hidden="false" customHeight="false" outlineLevel="0" collapsed="false">
      <c r="A337" s="33"/>
      <c r="B337" s="28" t="s">
        <v>21</v>
      </c>
      <c r="C337" s="29"/>
      <c r="D337" s="29"/>
      <c r="E337" s="29"/>
      <c r="F337" s="29"/>
      <c r="G337" s="36"/>
      <c r="H337" s="29"/>
      <c r="I337" s="29"/>
      <c r="J337" s="29"/>
      <c r="K337" s="29"/>
      <c r="L337" s="36"/>
      <c r="M337" s="29"/>
      <c r="N337" s="54"/>
      <c r="O337" s="55" t="n">
        <f aca="false">N337*J337</f>
        <v>0</v>
      </c>
    </row>
    <row r="338" customFormat="false" ht="15" hidden="false" customHeight="false" outlineLevel="0" collapsed="false">
      <c r="A338" s="33"/>
      <c r="B338" s="28" t="s">
        <v>21</v>
      </c>
      <c r="C338" s="29"/>
      <c r="D338" s="29"/>
      <c r="E338" s="29"/>
      <c r="F338" s="29"/>
      <c r="G338" s="36"/>
      <c r="H338" s="29"/>
      <c r="I338" s="29"/>
      <c r="J338" s="29"/>
      <c r="K338" s="29"/>
      <c r="L338" s="36"/>
      <c r="M338" s="29"/>
      <c r="N338" s="54"/>
      <c r="O338" s="55" t="n">
        <f aca="false">N338*J338</f>
        <v>0</v>
      </c>
    </row>
    <row r="339" customFormat="false" ht="15" hidden="false" customHeight="false" outlineLevel="0" collapsed="false">
      <c r="A339" s="33"/>
      <c r="B339" s="28" t="s">
        <v>21</v>
      </c>
      <c r="C339" s="29"/>
      <c r="D339" s="29"/>
      <c r="E339" s="29"/>
      <c r="F339" s="29"/>
      <c r="G339" s="36"/>
      <c r="H339" s="29"/>
      <c r="I339" s="29"/>
      <c r="J339" s="29"/>
      <c r="K339" s="29"/>
      <c r="L339" s="36"/>
      <c r="M339" s="29"/>
      <c r="N339" s="54"/>
      <c r="O339" s="55" t="n">
        <f aca="false">N339*J339</f>
        <v>0</v>
      </c>
    </row>
    <row r="340" customFormat="false" ht="15" hidden="false" customHeight="false" outlineLevel="0" collapsed="false">
      <c r="A340" s="33"/>
      <c r="B340" s="28" t="s">
        <v>21</v>
      </c>
      <c r="C340" s="29"/>
      <c r="D340" s="29"/>
      <c r="E340" s="29"/>
      <c r="F340" s="29"/>
      <c r="G340" s="36"/>
      <c r="H340" s="29"/>
      <c r="I340" s="29"/>
      <c r="J340" s="29"/>
      <c r="K340" s="29"/>
      <c r="L340" s="36"/>
      <c r="M340" s="29"/>
      <c r="N340" s="54"/>
      <c r="O340" s="55" t="n">
        <f aca="false">N340*J340</f>
        <v>0</v>
      </c>
    </row>
    <row r="341" customFormat="false" ht="15" hidden="false" customHeight="false" outlineLevel="0" collapsed="false">
      <c r="A341" s="33"/>
      <c r="B341" s="28" t="s">
        <v>21</v>
      </c>
      <c r="C341" s="29"/>
      <c r="D341" s="29"/>
      <c r="E341" s="29"/>
      <c r="F341" s="29"/>
      <c r="G341" s="36"/>
      <c r="H341" s="29"/>
      <c r="I341" s="29"/>
      <c r="J341" s="29"/>
      <c r="K341" s="29"/>
      <c r="L341" s="36"/>
      <c r="M341" s="29"/>
      <c r="N341" s="54"/>
      <c r="O341" s="55" t="n">
        <f aca="false">N341*J341</f>
        <v>0</v>
      </c>
    </row>
    <row r="342" customFormat="false" ht="15" hidden="false" customHeight="false" outlineLevel="0" collapsed="false">
      <c r="A342" s="33"/>
      <c r="B342" s="28" t="s">
        <v>21</v>
      </c>
      <c r="C342" s="29"/>
      <c r="D342" s="29"/>
      <c r="E342" s="29"/>
      <c r="F342" s="29"/>
      <c r="G342" s="36"/>
      <c r="H342" s="29"/>
      <c r="I342" s="29"/>
      <c r="J342" s="29"/>
      <c r="K342" s="29"/>
      <c r="L342" s="36"/>
      <c r="M342" s="29"/>
      <c r="N342" s="54"/>
      <c r="O342" s="55" t="n">
        <f aca="false">N342*J342</f>
        <v>0</v>
      </c>
    </row>
    <row r="343" customFormat="false" ht="15" hidden="false" customHeight="false" outlineLevel="0" collapsed="false">
      <c r="A343" s="33"/>
      <c r="B343" s="28" t="s">
        <v>21</v>
      </c>
      <c r="C343" s="29"/>
      <c r="D343" s="29"/>
      <c r="E343" s="29"/>
      <c r="F343" s="29"/>
      <c r="G343" s="36"/>
      <c r="H343" s="29"/>
      <c r="I343" s="29"/>
      <c r="J343" s="29"/>
      <c r="K343" s="29"/>
      <c r="L343" s="36"/>
      <c r="M343" s="29"/>
      <c r="N343" s="54"/>
      <c r="O343" s="55" t="n">
        <f aca="false">N343*J343</f>
        <v>0</v>
      </c>
    </row>
    <row r="344" customFormat="false" ht="15" hidden="false" customHeight="false" outlineLevel="0" collapsed="false">
      <c r="A344" s="33"/>
      <c r="B344" s="28" t="s">
        <v>21</v>
      </c>
      <c r="C344" s="29"/>
      <c r="D344" s="29"/>
      <c r="E344" s="29"/>
      <c r="F344" s="29"/>
      <c r="G344" s="36"/>
      <c r="H344" s="29"/>
      <c r="I344" s="29"/>
      <c r="J344" s="29"/>
      <c r="K344" s="29"/>
      <c r="L344" s="36"/>
      <c r="M344" s="29"/>
      <c r="N344" s="54"/>
      <c r="O344" s="55" t="n">
        <f aca="false">N344*J344</f>
        <v>0</v>
      </c>
    </row>
    <row r="345" customFormat="false" ht="15" hidden="false" customHeight="false" outlineLevel="0" collapsed="false">
      <c r="A345" s="33"/>
      <c r="B345" s="28" t="s">
        <v>21</v>
      </c>
      <c r="C345" s="29"/>
      <c r="D345" s="29"/>
      <c r="E345" s="29"/>
      <c r="F345" s="29"/>
      <c r="G345" s="36"/>
      <c r="H345" s="29"/>
      <c r="I345" s="29"/>
      <c r="J345" s="29"/>
      <c r="K345" s="29"/>
      <c r="L345" s="36"/>
      <c r="M345" s="29"/>
      <c r="N345" s="54"/>
      <c r="O345" s="55" t="n">
        <f aca="false">N345*J345</f>
        <v>0</v>
      </c>
    </row>
    <row r="346" customFormat="false" ht="15" hidden="false" customHeight="false" outlineLevel="0" collapsed="false">
      <c r="A346" s="33"/>
      <c r="B346" s="28" t="s">
        <v>21</v>
      </c>
      <c r="C346" s="29"/>
      <c r="D346" s="29"/>
      <c r="E346" s="29"/>
      <c r="F346" s="29"/>
      <c r="G346" s="36"/>
      <c r="H346" s="29"/>
      <c r="I346" s="29"/>
      <c r="J346" s="29"/>
      <c r="K346" s="29"/>
      <c r="L346" s="36"/>
      <c r="M346" s="29"/>
      <c r="N346" s="54"/>
      <c r="O346" s="55" t="n">
        <f aca="false">N346*J346</f>
        <v>0</v>
      </c>
    </row>
    <row r="347" customFormat="false" ht="15" hidden="false" customHeight="false" outlineLevel="0" collapsed="false">
      <c r="A347" s="33"/>
      <c r="B347" s="28" t="s">
        <v>21</v>
      </c>
      <c r="C347" s="29"/>
      <c r="D347" s="29"/>
      <c r="E347" s="29"/>
      <c r="F347" s="29"/>
      <c r="G347" s="36"/>
      <c r="H347" s="29"/>
      <c r="I347" s="29"/>
      <c r="J347" s="29"/>
      <c r="K347" s="29"/>
      <c r="L347" s="36"/>
      <c r="M347" s="29"/>
      <c r="N347" s="54"/>
      <c r="O347" s="55" t="n">
        <f aca="false">N347*J347</f>
        <v>0</v>
      </c>
    </row>
    <row r="348" customFormat="false" ht="15" hidden="false" customHeight="false" outlineLevel="0" collapsed="false">
      <c r="A348" s="33"/>
      <c r="B348" s="28" t="s">
        <v>21</v>
      </c>
      <c r="C348" s="29"/>
      <c r="D348" s="29"/>
      <c r="E348" s="29"/>
      <c r="F348" s="29"/>
      <c r="G348" s="36"/>
      <c r="H348" s="29"/>
      <c r="I348" s="29"/>
      <c r="J348" s="29"/>
      <c r="K348" s="29"/>
      <c r="L348" s="36"/>
      <c r="M348" s="29"/>
      <c r="N348" s="54"/>
      <c r="O348" s="55" t="n">
        <f aca="false">N348*J348</f>
        <v>0</v>
      </c>
    </row>
    <row r="349" customFormat="false" ht="15" hidden="false" customHeight="false" outlineLevel="0" collapsed="false">
      <c r="A349" s="33"/>
      <c r="B349" s="28" t="s">
        <v>21</v>
      </c>
      <c r="C349" s="29"/>
      <c r="D349" s="29"/>
      <c r="E349" s="29"/>
      <c r="F349" s="29"/>
      <c r="G349" s="36"/>
      <c r="H349" s="29"/>
      <c r="I349" s="29"/>
      <c r="J349" s="29"/>
      <c r="K349" s="29"/>
      <c r="L349" s="36"/>
      <c r="M349" s="29"/>
      <c r="N349" s="54"/>
      <c r="O349" s="55" t="n">
        <f aca="false">N349*J349</f>
        <v>0</v>
      </c>
    </row>
    <row r="350" customFormat="false" ht="15" hidden="false" customHeight="false" outlineLevel="0" collapsed="false">
      <c r="A350" s="33"/>
      <c r="B350" s="28" t="s">
        <v>21</v>
      </c>
      <c r="C350" s="29"/>
      <c r="D350" s="29"/>
      <c r="E350" s="29"/>
      <c r="F350" s="29"/>
      <c r="G350" s="36"/>
      <c r="H350" s="29"/>
      <c r="I350" s="29"/>
      <c r="J350" s="29"/>
      <c r="K350" s="29"/>
      <c r="L350" s="36"/>
      <c r="M350" s="29"/>
      <c r="N350" s="54"/>
      <c r="O350" s="55" t="n">
        <f aca="false">N350*J350</f>
        <v>0</v>
      </c>
    </row>
    <row r="351" customFormat="false" ht="15" hidden="false" customHeight="false" outlineLevel="0" collapsed="false">
      <c r="A351" s="33"/>
      <c r="B351" s="28" t="s">
        <v>21</v>
      </c>
      <c r="C351" s="29"/>
      <c r="D351" s="29"/>
      <c r="E351" s="29"/>
      <c r="F351" s="29"/>
      <c r="G351" s="36"/>
      <c r="H351" s="29"/>
      <c r="I351" s="29"/>
      <c r="J351" s="29"/>
      <c r="K351" s="29"/>
      <c r="L351" s="36"/>
      <c r="M351" s="29"/>
      <c r="N351" s="54"/>
      <c r="O351" s="55" t="n">
        <f aca="false">N351*J351</f>
        <v>0</v>
      </c>
    </row>
    <row r="352" customFormat="false" ht="15" hidden="false" customHeight="false" outlineLevel="0" collapsed="false">
      <c r="A352" s="33"/>
      <c r="B352" s="28" t="s">
        <v>21</v>
      </c>
      <c r="C352" s="29"/>
      <c r="D352" s="29"/>
      <c r="E352" s="29"/>
      <c r="F352" s="29"/>
      <c r="G352" s="36"/>
      <c r="H352" s="29"/>
      <c r="I352" s="29"/>
      <c r="J352" s="29"/>
      <c r="K352" s="29"/>
      <c r="L352" s="36"/>
      <c r="M352" s="29"/>
      <c r="N352" s="54"/>
      <c r="O352" s="55" t="n">
        <f aca="false">N352*J352</f>
        <v>0</v>
      </c>
    </row>
    <row r="353" customFormat="false" ht="15" hidden="false" customHeight="false" outlineLevel="0" collapsed="false">
      <c r="A353" s="33"/>
      <c r="B353" s="28" t="s">
        <v>21</v>
      </c>
      <c r="C353" s="29"/>
      <c r="D353" s="29"/>
      <c r="E353" s="29"/>
      <c r="F353" s="29"/>
      <c r="G353" s="36"/>
      <c r="H353" s="29"/>
      <c r="I353" s="29"/>
      <c r="J353" s="29"/>
      <c r="K353" s="29"/>
      <c r="L353" s="36"/>
      <c r="M353" s="29"/>
      <c r="N353" s="54"/>
      <c r="O353" s="55" t="n">
        <f aca="false">N353*J353</f>
        <v>0</v>
      </c>
    </row>
    <row r="354" customFormat="false" ht="15" hidden="false" customHeight="false" outlineLevel="0" collapsed="false">
      <c r="A354" s="33"/>
      <c r="B354" s="28" t="s">
        <v>21</v>
      </c>
      <c r="C354" s="29"/>
      <c r="D354" s="29"/>
      <c r="E354" s="29"/>
      <c r="F354" s="29"/>
      <c r="G354" s="36"/>
      <c r="H354" s="29"/>
      <c r="I354" s="29"/>
      <c r="J354" s="29"/>
      <c r="K354" s="29"/>
      <c r="L354" s="36"/>
      <c r="M354" s="29"/>
      <c r="N354" s="54"/>
      <c r="O354" s="55" t="n">
        <f aca="false">N354*J354</f>
        <v>0</v>
      </c>
    </row>
    <row r="355" customFormat="false" ht="15" hidden="false" customHeight="false" outlineLevel="0" collapsed="false">
      <c r="A355" s="33"/>
      <c r="B355" s="28" t="s">
        <v>21</v>
      </c>
      <c r="C355" s="29"/>
      <c r="D355" s="29"/>
      <c r="E355" s="29"/>
      <c r="F355" s="29"/>
      <c r="G355" s="36"/>
      <c r="H355" s="29"/>
      <c r="I355" s="29"/>
      <c r="J355" s="29"/>
      <c r="K355" s="29"/>
      <c r="L355" s="36"/>
      <c r="M355" s="29"/>
      <c r="N355" s="54"/>
      <c r="O355" s="55" t="n">
        <f aca="false">N355*J355</f>
        <v>0</v>
      </c>
    </row>
    <row r="356" customFormat="false" ht="15" hidden="false" customHeight="false" outlineLevel="0" collapsed="false">
      <c r="A356" s="33"/>
      <c r="B356" s="28" t="s">
        <v>21</v>
      </c>
      <c r="C356" s="29"/>
      <c r="D356" s="29"/>
      <c r="E356" s="29"/>
      <c r="F356" s="29"/>
      <c r="G356" s="36"/>
      <c r="H356" s="29"/>
      <c r="I356" s="29"/>
      <c r="J356" s="29"/>
      <c r="K356" s="29"/>
      <c r="L356" s="36"/>
      <c r="M356" s="29"/>
      <c r="N356" s="54"/>
      <c r="O356" s="55" t="n">
        <f aca="false">N356*J356</f>
        <v>0</v>
      </c>
    </row>
    <row r="357" customFormat="false" ht="15" hidden="false" customHeight="false" outlineLevel="0" collapsed="false">
      <c r="A357" s="33"/>
      <c r="B357" s="28" t="s">
        <v>21</v>
      </c>
      <c r="C357" s="29"/>
      <c r="D357" s="29"/>
      <c r="E357" s="29"/>
      <c r="F357" s="29"/>
      <c r="G357" s="36"/>
      <c r="H357" s="29"/>
      <c r="I357" s="29"/>
      <c r="J357" s="29"/>
      <c r="K357" s="29"/>
      <c r="L357" s="36"/>
      <c r="M357" s="29"/>
      <c r="N357" s="54"/>
      <c r="O357" s="55" t="n">
        <f aca="false">N357*J357</f>
        <v>0</v>
      </c>
    </row>
    <row r="358" customFormat="false" ht="15" hidden="false" customHeight="false" outlineLevel="0" collapsed="false">
      <c r="A358" s="33"/>
      <c r="B358" s="28" t="s">
        <v>21</v>
      </c>
      <c r="C358" s="29"/>
      <c r="D358" s="29"/>
      <c r="E358" s="29"/>
      <c r="F358" s="29"/>
      <c r="G358" s="36"/>
      <c r="H358" s="29"/>
      <c r="I358" s="29"/>
      <c r="J358" s="29"/>
      <c r="K358" s="29"/>
      <c r="L358" s="36"/>
      <c r="M358" s="29"/>
      <c r="N358" s="54"/>
      <c r="O358" s="55" t="n">
        <f aca="false">N358*J358</f>
        <v>0</v>
      </c>
    </row>
    <row r="359" customFormat="false" ht="15" hidden="false" customHeight="false" outlineLevel="0" collapsed="false">
      <c r="A359" s="33"/>
      <c r="B359" s="28" t="s">
        <v>21</v>
      </c>
      <c r="C359" s="29"/>
      <c r="D359" s="29"/>
      <c r="E359" s="29"/>
      <c r="F359" s="29"/>
      <c r="G359" s="36"/>
      <c r="H359" s="29"/>
      <c r="I359" s="29"/>
      <c r="J359" s="29"/>
      <c r="K359" s="29"/>
      <c r="L359" s="36"/>
      <c r="M359" s="29"/>
      <c r="N359" s="54"/>
      <c r="O359" s="55" t="n">
        <f aca="false">N359*J359</f>
        <v>0</v>
      </c>
    </row>
    <row r="360" customFormat="false" ht="15" hidden="false" customHeight="false" outlineLevel="0" collapsed="false">
      <c r="A360" s="33"/>
      <c r="B360" s="28" t="s">
        <v>21</v>
      </c>
      <c r="C360" s="29"/>
      <c r="D360" s="29"/>
      <c r="E360" s="29"/>
      <c r="F360" s="29"/>
      <c r="G360" s="36"/>
      <c r="H360" s="29"/>
      <c r="I360" s="29"/>
      <c r="J360" s="29"/>
      <c r="K360" s="29"/>
      <c r="L360" s="36"/>
      <c r="M360" s="29"/>
      <c r="N360" s="54"/>
      <c r="O360" s="55" t="n">
        <f aca="false">N360*J360</f>
        <v>0</v>
      </c>
    </row>
    <row r="361" customFormat="false" ht="15" hidden="false" customHeight="false" outlineLevel="0" collapsed="false">
      <c r="A361" s="33"/>
      <c r="B361" s="28" t="s">
        <v>21</v>
      </c>
      <c r="C361" s="29"/>
      <c r="D361" s="29"/>
      <c r="E361" s="29"/>
      <c r="F361" s="29"/>
      <c r="G361" s="36"/>
      <c r="H361" s="29"/>
      <c r="I361" s="29"/>
      <c r="J361" s="29"/>
      <c r="K361" s="29"/>
      <c r="L361" s="36"/>
      <c r="M361" s="29"/>
      <c r="N361" s="54"/>
      <c r="O361" s="55" t="n">
        <f aca="false">N361*J361</f>
        <v>0</v>
      </c>
    </row>
    <row r="362" customFormat="false" ht="15" hidden="false" customHeight="false" outlineLevel="0" collapsed="false">
      <c r="A362" s="33"/>
      <c r="B362" s="28" t="s">
        <v>21</v>
      </c>
      <c r="C362" s="29"/>
      <c r="D362" s="29"/>
      <c r="E362" s="29"/>
      <c r="F362" s="29"/>
      <c r="G362" s="36"/>
      <c r="H362" s="29"/>
      <c r="I362" s="29"/>
      <c r="J362" s="29"/>
      <c r="K362" s="29"/>
      <c r="L362" s="36"/>
      <c r="M362" s="29"/>
      <c r="N362" s="54"/>
      <c r="O362" s="55" t="n">
        <f aca="false">N362*J362</f>
        <v>0</v>
      </c>
    </row>
    <row r="363" customFormat="false" ht="15" hidden="false" customHeight="false" outlineLevel="0" collapsed="false">
      <c r="A363" s="33"/>
      <c r="B363" s="28" t="s">
        <v>21</v>
      </c>
      <c r="C363" s="29"/>
      <c r="D363" s="29"/>
      <c r="E363" s="29"/>
      <c r="F363" s="29"/>
      <c r="G363" s="36"/>
      <c r="H363" s="29"/>
      <c r="I363" s="29"/>
      <c r="J363" s="29"/>
      <c r="K363" s="29"/>
      <c r="L363" s="36"/>
      <c r="M363" s="29"/>
      <c r="N363" s="54"/>
      <c r="O363" s="55" t="n">
        <f aca="false">N363*J363</f>
        <v>0</v>
      </c>
    </row>
    <row r="364" customFormat="false" ht="15" hidden="false" customHeight="false" outlineLevel="0" collapsed="false">
      <c r="A364" s="33"/>
      <c r="B364" s="28" t="s">
        <v>21</v>
      </c>
      <c r="C364" s="29"/>
      <c r="D364" s="29"/>
      <c r="E364" s="29"/>
      <c r="F364" s="29"/>
      <c r="G364" s="36"/>
      <c r="H364" s="29"/>
      <c r="I364" s="29"/>
      <c r="J364" s="29"/>
      <c r="K364" s="29"/>
      <c r="L364" s="36"/>
      <c r="M364" s="29"/>
      <c r="N364" s="54"/>
      <c r="O364" s="55" t="n">
        <f aca="false">N364*J364</f>
        <v>0</v>
      </c>
    </row>
    <row r="365" customFormat="false" ht="15" hidden="false" customHeight="false" outlineLevel="0" collapsed="false">
      <c r="A365" s="33"/>
      <c r="B365" s="28" t="s">
        <v>21</v>
      </c>
      <c r="C365" s="29"/>
      <c r="D365" s="29"/>
      <c r="E365" s="29"/>
      <c r="F365" s="29"/>
      <c r="G365" s="36"/>
      <c r="H365" s="29"/>
      <c r="I365" s="29"/>
      <c r="J365" s="29"/>
      <c r="K365" s="29"/>
      <c r="L365" s="36"/>
      <c r="M365" s="29"/>
      <c r="N365" s="54"/>
      <c r="O365" s="55" t="n">
        <f aca="false">N365*J365</f>
        <v>0</v>
      </c>
    </row>
    <row r="366" customFormat="false" ht="15" hidden="false" customHeight="false" outlineLevel="0" collapsed="false">
      <c r="A366" s="33"/>
      <c r="B366" s="28" t="s">
        <v>21</v>
      </c>
      <c r="C366" s="29"/>
      <c r="D366" s="29"/>
      <c r="E366" s="29"/>
      <c r="F366" s="29"/>
      <c r="G366" s="36"/>
      <c r="H366" s="29"/>
      <c r="I366" s="29"/>
      <c r="J366" s="29"/>
      <c r="K366" s="29"/>
      <c r="L366" s="36"/>
      <c r="M366" s="29"/>
      <c r="N366" s="54"/>
      <c r="O366" s="55" t="n">
        <f aca="false">N366*J366</f>
        <v>0</v>
      </c>
    </row>
    <row r="367" customFormat="false" ht="15" hidden="false" customHeight="false" outlineLevel="0" collapsed="false">
      <c r="A367" s="33"/>
      <c r="B367" s="28" t="s">
        <v>21</v>
      </c>
      <c r="C367" s="29"/>
      <c r="D367" s="29"/>
      <c r="E367" s="29"/>
      <c r="F367" s="29"/>
      <c r="G367" s="36"/>
      <c r="H367" s="29"/>
      <c r="I367" s="29"/>
      <c r="J367" s="29"/>
      <c r="K367" s="29"/>
      <c r="L367" s="36"/>
      <c r="M367" s="29"/>
      <c r="N367" s="54"/>
      <c r="O367" s="55" t="n">
        <f aca="false">N367*J367</f>
        <v>0</v>
      </c>
    </row>
    <row r="368" customFormat="false" ht="15" hidden="false" customHeight="false" outlineLevel="0" collapsed="false">
      <c r="A368" s="33"/>
      <c r="B368" s="28" t="s">
        <v>21</v>
      </c>
      <c r="C368" s="29"/>
      <c r="D368" s="29"/>
      <c r="E368" s="29"/>
      <c r="F368" s="29"/>
      <c r="G368" s="36"/>
      <c r="H368" s="29"/>
      <c r="I368" s="29"/>
      <c r="J368" s="29"/>
      <c r="K368" s="29"/>
      <c r="L368" s="36"/>
      <c r="M368" s="29"/>
      <c r="N368" s="54"/>
      <c r="O368" s="55" t="n">
        <f aca="false">N368*J368</f>
        <v>0</v>
      </c>
    </row>
    <row r="369" customFormat="false" ht="15" hidden="false" customHeight="false" outlineLevel="0" collapsed="false">
      <c r="A369" s="33"/>
      <c r="B369" s="28" t="s">
        <v>21</v>
      </c>
      <c r="C369" s="29"/>
      <c r="D369" s="29"/>
      <c r="E369" s="29"/>
      <c r="F369" s="29"/>
      <c r="G369" s="36"/>
      <c r="H369" s="29"/>
      <c r="I369" s="29"/>
      <c r="J369" s="29"/>
      <c r="K369" s="29"/>
      <c r="L369" s="36"/>
      <c r="M369" s="29"/>
      <c r="N369" s="54"/>
      <c r="O369" s="55" t="n">
        <f aca="false">N369*J369</f>
        <v>0</v>
      </c>
    </row>
    <row r="370" customFormat="false" ht="15" hidden="false" customHeight="false" outlineLevel="0" collapsed="false">
      <c r="A370" s="33"/>
      <c r="B370" s="28"/>
      <c r="C370" s="29"/>
      <c r="D370" s="29"/>
      <c r="E370" s="29"/>
      <c r="F370" s="29"/>
      <c r="G370" s="36"/>
      <c r="H370" s="29"/>
      <c r="I370" s="29"/>
      <c r="J370" s="29"/>
      <c r="K370" s="29"/>
      <c r="L370" s="36"/>
      <c r="M370" s="29"/>
      <c r="N370" s="54"/>
      <c r="O370" s="55" t="n">
        <f aca="false">N370*J370</f>
        <v>0</v>
      </c>
    </row>
    <row r="371" customFormat="false" ht="15" hidden="false" customHeight="false" outlineLevel="0" collapsed="false">
      <c r="A371" s="33"/>
      <c r="B371" s="28"/>
      <c r="C371" s="29"/>
      <c r="D371" s="29"/>
      <c r="E371" s="29"/>
      <c r="F371" s="29"/>
      <c r="G371" s="36"/>
      <c r="H371" s="29"/>
      <c r="I371" s="29"/>
      <c r="J371" s="29"/>
      <c r="K371" s="29"/>
      <c r="L371" s="36"/>
      <c r="M371" s="29"/>
      <c r="N371" s="54"/>
      <c r="O371" s="55" t="n">
        <f aca="false">N371*J371</f>
        <v>0</v>
      </c>
    </row>
    <row r="372" customFormat="false" ht="15" hidden="false" customHeight="false" outlineLevel="0" collapsed="false">
      <c r="A372" s="33"/>
      <c r="B372" s="28"/>
      <c r="C372" s="29"/>
      <c r="D372" s="29"/>
      <c r="E372" s="29"/>
      <c r="F372" s="29"/>
      <c r="G372" s="36"/>
      <c r="H372" s="29"/>
      <c r="I372" s="29"/>
      <c r="J372" s="29"/>
      <c r="K372" s="29"/>
      <c r="L372" s="36"/>
      <c r="M372" s="29"/>
      <c r="N372" s="54"/>
      <c r="O372" s="55" t="n">
        <f aca="false">N372*J372</f>
        <v>0</v>
      </c>
    </row>
    <row r="373" customFormat="false" ht="15" hidden="false" customHeight="false" outlineLevel="0" collapsed="false">
      <c r="A373" s="33"/>
      <c r="B373" s="28"/>
      <c r="C373" s="29"/>
      <c r="D373" s="29"/>
      <c r="E373" s="29"/>
      <c r="F373" s="29"/>
      <c r="G373" s="36"/>
      <c r="H373" s="29"/>
      <c r="I373" s="29"/>
      <c r="J373" s="29"/>
      <c r="K373" s="29"/>
      <c r="L373" s="36"/>
      <c r="M373" s="29"/>
      <c r="N373" s="54"/>
      <c r="O373" s="55" t="n">
        <f aca="false">N373*J373</f>
        <v>0</v>
      </c>
    </row>
    <row r="374" customFormat="false" ht="15" hidden="false" customHeight="false" outlineLevel="0" collapsed="false">
      <c r="A374" s="33"/>
      <c r="B374" s="28"/>
      <c r="C374" s="29"/>
      <c r="D374" s="29"/>
      <c r="E374" s="29"/>
      <c r="F374" s="29"/>
      <c r="G374" s="36"/>
      <c r="H374" s="29"/>
      <c r="I374" s="29"/>
      <c r="J374" s="29"/>
      <c r="K374" s="29"/>
      <c r="L374" s="36"/>
      <c r="M374" s="29"/>
      <c r="N374" s="54"/>
      <c r="O374" s="55" t="n">
        <f aca="false">N374*J374</f>
        <v>0</v>
      </c>
    </row>
    <row r="375" customFormat="false" ht="15" hidden="false" customHeight="false" outlineLevel="0" collapsed="false">
      <c r="A375" s="33"/>
      <c r="B375" s="28"/>
      <c r="C375" s="29"/>
      <c r="D375" s="29"/>
      <c r="E375" s="29"/>
      <c r="F375" s="29"/>
      <c r="G375" s="36"/>
      <c r="H375" s="29"/>
      <c r="I375" s="29"/>
      <c r="J375" s="29"/>
      <c r="K375" s="29"/>
      <c r="L375" s="36"/>
      <c r="M375" s="29"/>
      <c r="N375" s="54"/>
      <c r="O375" s="55" t="n">
        <f aca="false">N375*J375</f>
        <v>0</v>
      </c>
    </row>
    <row r="376" customFormat="false" ht="15" hidden="false" customHeight="false" outlineLevel="0" collapsed="false">
      <c r="A376" s="33"/>
      <c r="B376" s="28"/>
      <c r="C376" s="29"/>
      <c r="D376" s="29"/>
      <c r="E376" s="29"/>
      <c r="F376" s="29"/>
      <c r="G376" s="36"/>
      <c r="H376" s="29"/>
      <c r="I376" s="29"/>
      <c r="J376" s="29"/>
      <c r="K376" s="29"/>
      <c r="L376" s="36"/>
      <c r="M376" s="29"/>
      <c r="N376" s="54"/>
      <c r="O376" s="55" t="n">
        <f aca="false">N376*J376</f>
        <v>0</v>
      </c>
    </row>
    <row r="377" customFormat="false" ht="15" hidden="false" customHeight="false" outlineLevel="0" collapsed="false">
      <c r="A377" s="33"/>
      <c r="B377" s="28"/>
      <c r="C377" s="29"/>
      <c r="D377" s="29"/>
      <c r="E377" s="29"/>
      <c r="F377" s="29"/>
      <c r="G377" s="36"/>
      <c r="H377" s="29"/>
      <c r="I377" s="29"/>
      <c r="J377" s="29"/>
      <c r="K377" s="29"/>
      <c r="L377" s="36"/>
      <c r="M377" s="29"/>
      <c r="N377" s="54"/>
      <c r="O377" s="55" t="n">
        <f aca="false">N377*J377</f>
        <v>0</v>
      </c>
    </row>
    <row r="378" customFormat="false" ht="15" hidden="false" customHeight="false" outlineLevel="0" collapsed="false">
      <c r="A378" s="33"/>
      <c r="B378" s="28"/>
      <c r="C378" s="29"/>
      <c r="D378" s="29"/>
      <c r="E378" s="29"/>
      <c r="F378" s="29"/>
      <c r="G378" s="36"/>
      <c r="H378" s="29"/>
      <c r="I378" s="29"/>
      <c r="J378" s="29"/>
      <c r="K378" s="29"/>
      <c r="L378" s="36"/>
      <c r="M378" s="29"/>
      <c r="N378" s="54"/>
      <c r="O378" s="55" t="n">
        <f aca="false">N378*J378</f>
        <v>0</v>
      </c>
    </row>
    <row r="379" customFormat="false" ht="15" hidden="false" customHeight="false" outlineLevel="0" collapsed="false">
      <c r="A379" s="33"/>
      <c r="B379" s="28"/>
      <c r="C379" s="29"/>
      <c r="D379" s="29"/>
      <c r="E379" s="29"/>
      <c r="F379" s="29"/>
      <c r="G379" s="36"/>
      <c r="H379" s="29"/>
      <c r="I379" s="29"/>
      <c r="J379" s="29"/>
      <c r="K379" s="29"/>
      <c r="L379" s="36"/>
      <c r="M379" s="29"/>
      <c r="N379" s="54"/>
      <c r="O379" s="55" t="n">
        <f aca="false">N379*J379</f>
        <v>0</v>
      </c>
    </row>
    <row r="380" customFormat="false" ht="15" hidden="false" customHeight="false" outlineLevel="0" collapsed="false">
      <c r="A380" s="33"/>
      <c r="B380" s="28"/>
      <c r="C380" s="29"/>
      <c r="D380" s="29"/>
      <c r="E380" s="29"/>
      <c r="F380" s="29"/>
      <c r="G380" s="36"/>
      <c r="H380" s="29"/>
      <c r="I380" s="29"/>
      <c r="J380" s="29"/>
      <c r="K380" s="29"/>
      <c r="L380" s="36"/>
      <c r="M380" s="29"/>
      <c r="N380" s="54"/>
      <c r="O380" s="55" t="n">
        <f aca="false">N380*J380</f>
        <v>0</v>
      </c>
    </row>
    <row r="381" customFormat="false" ht="15" hidden="false" customHeight="false" outlineLevel="0" collapsed="false">
      <c r="A381" s="33"/>
      <c r="B381" s="28"/>
      <c r="C381" s="29"/>
      <c r="D381" s="29"/>
      <c r="E381" s="29"/>
      <c r="F381" s="29"/>
      <c r="G381" s="36"/>
      <c r="H381" s="29"/>
      <c r="I381" s="29"/>
      <c r="J381" s="29"/>
      <c r="K381" s="29"/>
      <c r="L381" s="36"/>
      <c r="M381" s="29"/>
      <c r="N381" s="54"/>
      <c r="O381" s="55" t="n">
        <f aca="false">N381*J381</f>
        <v>0</v>
      </c>
    </row>
    <row r="382" customFormat="false" ht="15" hidden="false" customHeight="false" outlineLevel="0" collapsed="false">
      <c r="A382" s="33"/>
      <c r="B382" s="28"/>
      <c r="C382" s="29"/>
      <c r="D382" s="29"/>
      <c r="E382" s="29"/>
      <c r="F382" s="29"/>
      <c r="G382" s="36"/>
      <c r="H382" s="29"/>
      <c r="I382" s="29"/>
      <c r="J382" s="29"/>
      <c r="K382" s="29"/>
      <c r="L382" s="36"/>
      <c r="M382" s="29"/>
      <c r="N382" s="54"/>
      <c r="O382" s="55" t="n">
        <f aca="false">N382*J382</f>
        <v>0</v>
      </c>
    </row>
    <row r="383" customFormat="false" ht="15" hidden="false" customHeight="false" outlineLevel="0" collapsed="false">
      <c r="A383" s="33"/>
      <c r="B383" s="28"/>
      <c r="C383" s="29"/>
      <c r="D383" s="29"/>
      <c r="E383" s="29"/>
      <c r="F383" s="29"/>
      <c r="G383" s="36"/>
      <c r="H383" s="29"/>
      <c r="I383" s="29"/>
      <c r="J383" s="29"/>
      <c r="K383" s="29"/>
      <c r="L383" s="36"/>
      <c r="M383" s="29"/>
      <c r="N383" s="54"/>
      <c r="O383" s="55" t="n">
        <f aca="false">N383*J383</f>
        <v>0</v>
      </c>
    </row>
    <row r="384" customFormat="false" ht="15" hidden="false" customHeight="false" outlineLevel="0" collapsed="false">
      <c r="A384" s="33"/>
      <c r="B384" s="28"/>
      <c r="C384" s="29"/>
      <c r="D384" s="29"/>
      <c r="E384" s="29"/>
      <c r="F384" s="29"/>
      <c r="G384" s="36"/>
      <c r="H384" s="29"/>
      <c r="I384" s="29"/>
      <c r="J384" s="29"/>
      <c r="K384" s="29"/>
      <c r="L384" s="36"/>
      <c r="M384" s="29"/>
      <c r="N384" s="54"/>
      <c r="O384" s="55" t="n">
        <f aca="false">N384*J384</f>
        <v>0</v>
      </c>
    </row>
    <row r="385" customFormat="false" ht="15" hidden="false" customHeight="false" outlineLevel="0" collapsed="false">
      <c r="A385" s="33"/>
      <c r="B385" s="28"/>
      <c r="C385" s="29"/>
      <c r="D385" s="29"/>
      <c r="E385" s="29"/>
      <c r="F385" s="29"/>
      <c r="G385" s="36"/>
      <c r="H385" s="29"/>
      <c r="I385" s="29"/>
      <c r="J385" s="29"/>
      <c r="K385" s="29"/>
      <c r="L385" s="36"/>
      <c r="M385" s="29"/>
      <c r="N385" s="54"/>
      <c r="O385" s="55" t="n">
        <f aca="false">N385*J385</f>
        <v>0</v>
      </c>
    </row>
    <row r="386" customFormat="false" ht="15" hidden="false" customHeight="false" outlineLevel="0" collapsed="false">
      <c r="A386" s="33"/>
      <c r="B386" s="28"/>
      <c r="C386" s="29"/>
      <c r="D386" s="29"/>
      <c r="E386" s="29"/>
      <c r="F386" s="29"/>
      <c r="G386" s="36"/>
      <c r="H386" s="29"/>
      <c r="I386" s="29"/>
      <c r="J386" s="29"/>
      <c r="K386" s="29"/>
      <c r="L386" s="36"/>
      <c r="M386" s="29"/>
      <c r="N386" s="54"/>
      <c r="O386" s="55" t="n">
        <f aca="false">N386*J386</f>
        <v>0</v>
      </c>
    </row>
    <row r="387" customFormat="false" ht="15" hidden="false" customHeight="false" outlineLevel="0" collapsed="false">
      <c r="A387" s="33"/>
      <c r="B387" s="28"/>
      <c r="C387" s="29"/>
      <c r="D387" s="29"/>
      <c r="E387" s="29"/>
      <c r="F387" s="29"/>
      <c r="G387" s="36"/>
      <c r="H387" s="29"/>
      <c r="I387" s="29"/>
      <c r="J387" s="29"/>
      <c r="K387" s="29"/>
      <c r="L387" s="36"/>
      <c r="M387" s="29"/>
      <c r="N387" s="54"/>
      <c r="O387" s="55" t="n">
        <f aca="false">N387*J387</f>
        <v>0</v>
      </c>
    </row>
    <row r="388" customFormat="false" ht="15" hidden="false" customHeight="false" outlineLevel="0" collapsed="false">
      <c r="A388" s="33"/>
      <c r="B388" s="28"/>
      <c r="C388" s="29"/>
      <c r="D388" s="29"/>
      <c r="E388" s="29"/>
      <c r="F388" s="29"/>
      <c r="G388" s="36"/>
      <c r="H388" s="29"/>
      <c r="I388" s="29"/>
      <c r="J388" s="29"/>
      <c r="K388" s="29"/>
      <c r="L388" s="36"/>
      <c r="M388" s="29"/>
      <c r="N388" s="54"/>
      <c r="O388" s="55" t="n">
        <f aca="false">N388*J388</f>
        <v>0</v>
      </c>
    </row>
    <row r="389" customFormat="false" ht="15" hidden="false" customHeight="false" outlineLevel="0" collapsed="false">
      <c r="A389" s="33"/>
      <c r="B389" s="28"/>
      <c r="C389" s="29"/>
      <c r="D389" s="29"/>
      <c r="E389" s="29"/>
      <c r="F389" s="29"/>
      <c r="G389" s="36"/>
      <c r="H389" s="29"/>
      <c r="I389" s="29"/>
      <c r="J389" s="29"/>
      <c r="K389" s="29"/>
      <c r="L389" s="36"/>
      <c r="M389" s="29"/>
      <c r="N389" s="54"/>
      <c r="O389" s="55" t="n">
        <f aca="false">N389*J389</f>
        <v>0</v>
      </c>
    </row>
    <row r="390" customFormat="false" ht="15" hidden="false" customHeight="false" outlineLevel="0" collapsed="false">
      <c r="A390" s="33"/>
      <c r="B390" s="28"/>
      <c r="C390" s="29"/>
      <c r="D390" s="29"/>
      <c r="E390" s="29"/>
      <c r="F390" s="29"/>
      <c r="G390" s="36"/>
      <c r="H390" s="29"/>
      <c r="I390" s="29"/>
      <c r="J390" s="29"/>
      <c r="K390" s="29"/>
      <c r="L390" s="36"/>
      <c r="M390" s="29"/>
      <c r="N390" s="54"/>
      <c r="O390" s="55" t="n">
        <f aca="false">N390*J390</f>
        <v>0</v>
      </c>
    </row>
    <row r="391" customFormat="false" ht="15" hidden="false" customHeight="false" outlineLevel="0" collapsed="false">
      <c r="A391" s="33"/>
      <c r="B391" s="28"/>
      <c r="C391" s="29"/>
      <c r="D391" s="29"/>
      <c r="E391" s="29"/>
      <c r="F391" s="29"/>
      <c r="G391" s="36"/>
      <c r="H391" s="29"/>
      <c r="I391" s="29"/>
      <c r="J391" s="29"/>
      <c r="K391" s="29"/>
      <c r="L391" s="36"/>
      <c r="M391" s="29"/>
      <c r="N391" s="54"/>
      <c r="O391" s="55" t="n">
        <f aca="false">N391*J391</f>
        <v>0</v>
      </c>
    </row>
    <row r="392" customFormat="false" ht="15" hidden="false" customHeight="false" outlineLevel="0" collapsed="false">
      <c r="A392" s="33"/>
      <c r="B392" s="28"/>
      <c r="C392" s="29"/>
      <c r="D392" s="29"/>
      <c r="E392" s="29"/>
      <c r="F392" s="29"/>
      <c r="G392" s="36"/>
      <c r="H392" s="29"/>
      <c r="I392" s="29"/>
      <c r="J392" s="29"/>
      <c r="K392" s="29"/>
      <c r="L392" s="36"/>
      <c r="M392" s="29"/>
      <c r="N392" s="54"/>
      <c r="O392" s="55" t="n">
        <f aca="false">N392*J392</f>
        <v>0</v>
      </c>
    </row>
    <row r="393" customFormat="false" ht="15" hidden="false" customHeight="false" outlineLevel="0" collapsed="false">
      <c r="A393" s="33"/>
      <c r="B393" s="28"/>
      <c r="C393" s="29"/>
      <c r="D393" s="29"/>
      <c r="E393" s="29"/>
      <c r="F393" s="29"/>
      <c r="G393" s="36"/>
      <c r="H393" s="29"/>
      <c r="I393" s="29"/>
      <c r="J393" s="29"/>
      <c r="K393" s="29"/>
      <c r="L393" s="36"/>
      <c r="M393" s="29"/>
      <c r="N393" s="54"/>
      <c r="O393" s="55" t="n">
        <f aca="false">N393*J393</f>
        <v>0</v>
      </c>
    </row>
    <row r="394" customFormat="false" ht="15" hidden="false" customHeight="false" outlineLevel="0" collapsed="false">
      <c r="A394" s="33"/>
      <c r="B394" s="28"/>
      <c r="C394" s="29"/>
      <c r="D394" s="29"/>
      <c r="E394" s="29"/>
      <c r="F394" s="29"/>
      <c r="G394" s="36"/>
      <c r="H394" s="29"/>
      <c r="I394" s="29"/>
      <c r="J394" s="29"/>
      <c r="K394" s="29"/>
      <c r="L394" s="36"/>
      <c r="M394" s="29"/>
      <c r="N394" s="54"/>
      <c r="O394" s="55" t="n">
        <f aca="false">N394*J394</f>
        <v>0</v>
      </c>
    </row>
    <row r="395" customFormat="false" ht="15" hidden="false" customHeight="false" outlineLevel="0" collapsed="false">
      <c r="A395" s="33"/>
      <c r="B395" s="28"/>
      <c r="C395" s="29"/>
      <c r="D395" s="29"/>
      <c r="E395" s="29"/>
      <c r="F395" s="29"/>
      <c r="G395" s="36"/>
      <c r="H395" s="29"/>
      <c r="I395" s="29"/>
      <c r="J395" s="29"/>
      <c r="K395" s="29"/>
      <c r="L395" s="36"/>
      <c r="M395" s="29"/>
      <c r="N395" s="54"/>
      <c r="O395" s="55" t="n">
        <f aca="false">N395*J395</f>
        <v>0</v>
      </c>
    </row>
    <row r="396" customFormat="false" ht="15" hidden="false" customHeight="false" outlineLevel="0" collapsed="false">
      <c r="A396" s="33"/>
      <c r="B396" s="28"/>
      <c r="C396" s="29"/>
      <c r="D396" s="29"/>
      <c r="E396" s="29"/>
      <c r="F396" s="29"/>
      <c r="G396" s="36"/>
      <c r="H396" s="29"/>
      <c r="I396" s="29"/>
      <c r="J396" s="29"/>
      <c r="K396" s="29"/>
      <c r="L396" s="36"/>
      <c r="M396" s="29"/>
      <c r="N396" s="54"/>
      <c r="O396" s="55" t="n">
        <f aca="false">N396*J396</f>
        <v>0</v>
      </c>
    </row>
    <row r="397" customFormat="false" ht="15" hidden="false" customHeight="false" outlineLevel="0" collapsed="false">
      <c r="A397" s="33"/>
      <c r="B397" s="28"/>
      <c r="C397" s="29"/>
      <c r="D397" s="29"/>
      <c r="E397" s="29"/>
      <c r="F397" s="29"/>
      <c r="G397" s="36"/>
      <c r="H397" s="29"/>
      <c r="I397" s="29"/>
      <c r="J397" s="29"/>
      <c r="K397" s="29"/>
      <c r="L397" s="36"/>
      <c r="M397" s="29"/>
      <c r="N397" s="54"/>
      <c r="O397" s="55" t="n">
        <f aca="false">N397*J397</f>
        <v>0</v>
      </c>
    </row>
    <row r="398" customFormat="false" ht="15" hidden="false" customHeight="false" outlineLevel="0" collapsed="false">
      <c r="A398" s="33"/>
      <c r="B398" s="28"/>
      <c r="C398" s="29"/>
      <c r="D398" s="29"/>
      <c r="E398" s="29"/>
      <c r="F398" s="29"/>
      <c r="G398" s="36"/>
      <c r="H398" s="29"/>
      <c r="I398" s="29"/>
      <c r="J398" s="29"/>
      <c r="K398" s="29"/>
      <c r="L398" s="36"/>
      <c r="M398" s="29"/>
      <c r="N398" s="54"/>
      <c r="O398" s="55" t="n">
        <f aca="false">N398*J398</f>
        <v>0</v>
      </c>
    </row>
    <row r="399" customFormat="false" ht="15" hidden="false" customHeight="false" outlineLevel="0" collapsed="false">
      <c r="A399" s="33"/>
      <c r="B399" s="28"/>
      <c r="C399" s="29"/>
      <c r="D399" s="29"/>
      <c r="E399" s="29"/>
      <c r="F399" s="29"/>
      <c r="G399" s="36"/>
      <c r="H399" s="29"/>
      <c r="I399" s="29"/>
      <c r="J399" s="29"/>
      <c r="K399" s="29"/>
      <c r="L399" s="36"/>
      <c r="M399" s="29"/>
      <c r="N399" s="54"/>
      <c r="O399" s="55" t="n">
        <f aca="false">N399*J399</f>
        <v>0</v>
      </c>
    </row>
    <row r="400" customFormat="false" ht="15" hidden="false" customHeight="false" outlineLevel="0" collapsed="false">
      <c r="A400" s="33"/>
      <c r="B400" s="28"/>
      <c r="C400" s="29"/>
      <c r="D400" s="29"/>
      <c r="E400" s="29"/>
      <c r="F400" s="29"/>
      <c r="G400" s="36"/>
      <c r="H400" s="29"/>
      <c r="I400" s="29"/>
      <c r="J400" s="29"/>
      <c r="K400" s="29"/>
      <c r="L400" s="36"/>
      <c r="M400" s="29"/>
      <c r="N400" s="54"/>
      <c r="O400" s="55" t="n">
        <f aca="false">N400*J400</f>
        <v>0</v>
      </c>
    </row>
    <row r="401" customFormat="false" ht="15" hidden="false" customHeight="false" outlineLevel="0" collapsed="false">
      <c r="A401" s="33"/>
      <c r="B401" s="28"/>
      <c r="C401" s="29"/>
      <c r="D401" s="29"/>
      <c r="E401" s="29"/>
      <c r="F401" s="29"/>
      <c r="G401" s="36"/>
      <c r="H401" s="29"/>
      <c r="I401" s="29"/>
      <c r="J401" s="29"/>
      <c r="K401" s="29"/>
      <c r="L401" s="36"/>
      <c r="M401" s="29"/>
      <c r="N401" s="54"/>
      <c r="O401" s="55" t="n">
        <f aca="false">N401*J401</f>
        <v>0</v>
      </c>
    </row>
    <row r="402" customFormat="false" ht="15" hidden="false" customHeight="false" outlineLevel="0" collapsed="false">
      <c r="A402" s="33"/>
      <c r="B402" s="28"/>
      <c r="C402" s="29"/>
      <c r="D402" s="29"/>
      <c r="E402" s="29"/>
      <c r="F402" s="29"/>
      <c r="G402" s="36"/>
      <c r="H402" s="29"/>
      <c r="I402" s="29"/>
      <c r="J402" s="29"/>
      <c r="K402" s="29"/>
      <c r="L402" s="36"/>
      <c r="M402" s="29"/>
      <c r="N402" s="54"/>
      <c r="O402" s="55" t="n">
        <f aca="false">N402*J402</f>
        <v>0</v>
      </c>
    </row>
    <row r="403" customFormat="false" ht="15" hidden="false" customHeight="false" outlineLevel="0" collapsed="false">
      <c r="A403" s="33"/>
      <c r="B403" s="28"/>
      <c r="C403" s="29"/>
      <c r="D403" s="29"/>
      <c r="E403" s="29"/>
      <c r="F403" s="29"/>
      <c r="G403" s="36"/>
      <c r="H403" s="29"/>
      <c r="I403" s="29"/>
      <c r="J403" s="29"/>
      <c r="K403" s="29"/>
      <c r="L403" s="36"/>
      <c r="M403" s="29"/>
      <c r="N403" s="54"/>
      <c r="O403" s="55" t="n">
        <f aca="false">N403*J403</f>
        <v>0</v>
      </c>
    </row>
    <row r="404" customFormat="false" ht="15" hidden="false" customHeight="false" outlineLevel="0" collapsed="false">
      <c r="A404" s="33"/>
      <c r="B404" s="28"/>
      <c r="C404" s="29"/>
      <c r="D404" s="29"/>
      <c r="E404" s="29"/>
      <c r="F404" s="29"/>
      <c r="G404" s="36"/>
      <c r="H404" s="29"/>
      <c r="I404" s="29"/>
      <c r="J404" s="29"/>
      <c r="K404" s="29"/>
      <c r="L404" s="36"/>
      <c r="M404" s="29"/>
      <c r="N404" s="54"/>
      <c r="O404" s="55" t="n">
        <f aca="false">N404*J404</f>
        <v>0</v>
      </c>
    </row>
    <row r="405" customFormat="false" ht="15" hidden="false" customHeight="false" outlineLevel="0" collapsed="false">
      <c r="A405" s="33"/>
      <c r="B405" s="28"/>
      <c r="C405" s="29"/>
      <c r="D405" s="29"/>
      <c r="E405" s="29"/>
      <c r="F405" s="29"/>
      <c r="G405" s="36"/>
      <c r="H405" s="29"/>
      <c r="I405" s="29"/>
      <c r="J405" s="29"/>
      <c r="K405" s="29"/>
      <c r="L405" s="36"/>
      <c r="M405" s="29"/>
      <c r="N405" s="54"/>
      <c r="O405" s="55" t="n">
        <f aca="false">N405*J405</f>
        <v>0</v>
      </c>
    </row>
    <row r="406" customFormat="false" ht="15" hidden="false" customHeight="false" outlineLevel="0" collapsed="false">
      <c r="A406" s="33"/>
      <c r="B406" s="28"/>
      <c r="C406" s="29"/>
      <c r="D406" s="29"/>
      <c r="E406" s="29"/>
      <c r="F406" s="29"/>
      <c r="G406" s="36"/>
      <c r="H406" s="29"/>
      <c r="I406" s="29"/>
      <c r="J406" s="29"/>
      <c r="K406" s="29"/>
      <c r="L406" s="36"/>
      <c r="M406" s="29"/>
      <c r="N406" s="54"/>
      <c r="O406" s="55" t="n">
        <f aca="false">N406*J406</f>
        <v>0</v>
      </c>
    </row>
    <row r="407" customFormat="false" ht="15" hidden="false" customHeight="false" outlineLevel="0" collapsed="false">
      <c r="A407" s="33"/>
      <c r="B407" s="28"/>
      <c r="C407" s="29"/>
      <c r="D407" s="29"/>
      <c r="E407" s="29"/>
      <c r="F407" s="29"/>
      <c r="G407" s="36"/>
      <c r="H407" s="29"/>
      <c r="I407" s="29"/>
      <c r="J407" s="29"/>
      <c r="K407" s="29"/>
      <c r="L407" s="36"/>
      <c r="M407" s="29"/>
      <c r="N407" s="54"/>
      <c r="O407" s="55" t="n">
        <f aca="false">N407*J407</f>
        <v>0</v>
      </c>
    </row>
    <row r="408" customFormat="false" ht="15" hidden="false" customHeight="false" outlineLevel="0" collapsed="false">
      <c r="A408" s="33"/>
      <c r="B408" s="28"/>
      <c r="C408" s="29"/>
      <c r="D408" s="29"/>
      <c r="E408" s="29"/>
      <c r="F408" s="29"/>
      <c r="G408" s="36"/>
      <c r="H408" s="29"/>
      <c r="I408" s="29"/>
      <c r="J408" s="29"/>
      <c r="K408" s="29"/>
      <c r="L408" s="36"/>
      <c r="M408" s="29"/>
      <c r="N408" s="54"/>
      <c r="O408" s="55" t="n">
        <f aca="false">N408*J408</f>
        <v>0</v>
      </c>
    </row>
    <row r="409" customFormat="false" ht="15" hidden="false" customHeight="false" outlineLevel="0" collapsed="false">
      <c r="A409" s="33"/>
      <c r="B409" s="28"/>
      <c r="C409" s="29"/>
      <c r="D409" s="29"/>
      <c r="E409" s="29"/>
      <c r="F409" s="29"/>
      <c r="G409" s="36"/>
      <c r="H409" s="29"/>
      <c r="I409" s="29"/>
      <c r="J409" s="29"/>
      <c r="K409" s="29"/>
      <c r="L409" s="36"/>
      <c r="M409" s="29"/>
      <c r="N409" s="54"/>
      <c r="O409" s="55" t="n">
        <f aca="false">N409*J409</f>
        <v>0</v>
      </c>
    </row>
    <row r="410" customFormat="false" ht="15" hidden="false" customHeight="false" outlineLevel="0" collapsed="false">
      <c r="A410" s="33"/>
      <c r="B410" s="28"/>
      <c r="C410" s="29"/>
      <c r="D410" s="29"/>
      <c r="E410" s="29"/>
      <c r="F410" s="29"/>
      <c r="G410" s="36"/>
      <c r="H410" s="29"/>
      <c r="I410" s="29"/>
      <c r="J410" s="29"/>
      <c r="K410" s="29"/>
      <c r="L410" s="36"/>
      <c r="M410" s="29"/>
      <c r="N410" s="54"/>
      <c r="O410" s="55" t="n">
        <f aca="false">N410*J410</f>
        <v>0</v>
      </c>
    </row>
    <row r="411" customFormat="false" ht="15" hidden="false" customHeight="false" outlineLevel="0" collapsed="false">
      <c r="A411" s="33"/>
      <c r="B411" s="28"/>
      <c r="C411" s="29"/>
      <c r="D411" s="29"/>
      <c r="E411" s="29"/>
      <c r="F411" s="29"/>
      <c r="G411" s="36"/>
      <c r="H411" s="29"/>
      <c r="I411" s="29"/>
      <c r="J411" s="29"/>
      <c r="K411" s="29"/>
      <c r="L411" s="36"/>
      <c r="M411" s="29"/>
      <c r="N411" s="54"/>
      <c r="O411" s="55" t="n">
        <f aca="false">N411*J411</f>
        <v>0</v>
      </c>
    </row>
    <row r="412" customFormat="false" ht="15" hidden="false" customHeight="false" outlineLevel="0" collapsed="false">
      <c r="A412" s="33"/>
      <c r="B412" s="28"/>
      <c r="C412" s="29"/>
      <c r="D412" s="29"/>
      <c r="E412" s="29"/>
      <c r="F412" s="29"/>
      <c r="G412" s="36"/>
      <c r="H412" s="29"/>
      <c r="I412" s="29"/>
      <c r="J412" s="29"/>
      <c r="K412" s="29"/>
      <c r="L412" s="36"/>
      <c r="M412" s="29"/>
      <c r="N412" s="54"/>
      <c r="O412" s="55" t="n">
        <f aca="false">N412*J412</f>
        <v>0</v>
      </c>
    </row>
    <row r="413" customFormat="false" ht="15" hidden="false" customHeight="false" outlineLevel="0" collapsed="false">
      <c r="A413" s="33"/>
      <c r="B413" s="28"/>
      <c r="C413" s="29"/>
      <c r="D413" s="29"/>
      <c r="E413" s="29"/>
      <c r="F413" s="29"/>
      <c r="G413" s="36"/>
      <c r="H413" s="29"/>
      <c r="I413" s="29"/>
      <c r="J413" s="29"/>
      <c r="K413" s="29"/>
      <c r="L413" s="36"/>
      <c r="M413" s="29"/>
      <c r="N413" s="54"/>
      <c r="O413" s="55" t="n">
        <f aca="false">N413*J413</f>
        <v>0</v>
      </c>
    </row>
    <row r="414" customFormat="false" ht="15" hidden="false" customHeight="false" outlineLevel="0" collapsed="false">
      <c r="A414" s="33"/>
      <c r="B414" s="28"/>
      <c r="C414" s="29"/>
      <c r="D414" s="29"/>
      <c r="E414" s="29"/>
      <c r="F414" s="29"/>
      <c r="G414" s="36"/>
      <c r="H414" s="29"/>
      <c r="I414" s="29"/>
      <c r="J414" s="29"/>
      <c r="K414" s="29"/>
      <c r="L414" s="36"/>
      <c r="M414" s="29"/>
      <c r="N414" s="54"/>
      <c r="O414" s="55" t="n">
        <f aca="false">N414*J414</f>
        <v>0</v>
      </c>
    </row>
    <row r="415" customFormat="false" ht="15" hidden="false" customHeight="false" outlineLevel="0" collapsed="false">
      <c r="A415" s="33"/>
      <c r="B415" s="28"/>
      <c r="C415" s="29"/>
      <c r="D415" s="29"/>
      <c r="E415" s="29"/>
      <c r="F415" s="29"/>
      <c r="G415" s="36"/>
      <c r="H415" s="29"/>
      <c r="I415" s="29"/>
      <c r="J415" s="29"/>
      <c r="K415" s="29"/>
      <c r="L415" s="36"/>
      <c r="M415" s="29"/>
      <c r="N415" s="54"/>
      <c r="O415" s="55" t="n">
        <f aca="false">N415*J415</f>
        <v>0</v>
      </c>
    </row>
    <row r="416" customFormat="false" ht="15" hidden="false" customHeight="false" outlineLevel="0" collapsed="false">
      <c r="A416" s="33"/>
      <c r="B416" s="28"/>
      <c r="C416" s="29"/>
      <c r="D416" s="29"/>
      <c r="E416" s="29"/>
      <c r="F416" s="29"/>
      <c r="G416" s="36"/>
      <c r="H416" s="29"/>
      <c r="I416" s="29"/>
      <c r="J416" s="29"/>
      <c r="K416" s="29"/>
      <c r="L416" s="36"/>
      <c r="M416" s="29"/>
      <c r="N416" s="54"/>
      <c r="O416" s="55" t="n">
        <f aca="false">N416*J416</f>
        <v>0</v>
      </c>
    </row>
    <row r="417" customFormat="false" ht="15" hidden="false" customHeight="false" outlineLevel="0" collapsed="false">
      <c r="A417" s="33"/>
      <c r="B417" s="28"/>
      <c r="C417" s="29"/>
      <c r="D417" s="29"/>
      <c r="E417" s="29"/>
      <c r="F417" s="29"/>
      <c r="G417" s="36"/>
      <c r="H417" s="29"/>
      <c r="I417" s="29"/>
      <c r="J417" s="29"/>
      <c r="K417" s="29"/>
      <c r="L417" s="36"/>
      <c r="M417" s="29"/>
      <c r="N417" s="54"/>
      <c r="O417" s="55" t="n">
        <f aca="false">N417*J417</f>
        <v>0</v>
      </c>
    </row>
    <row r="418" customFormat="false" ht="15" hidden="false" customHeight="false" outlineLevel="0" collapsed="false">
      <c r="A418" s="33"/>
      <c r="B418" s="28"/>
      <c r="C418" s="29"/>
      <c r="D418" s="29"/>
      <c r="E418" s="29"/>
      <c r="F418" s="29"/>
      <c r="G418" s="36"/>
      <c r="H418" s="29"/>
      <c r="I418" s="29"/>
      <c r="J418" s="29"/>
      <c r="K418" s="29"/>
      <c r="L418" s="36"/>
      <c r="M418" s="29"/>
      <c r="N418" s="54"/>
      <c r="O418" s="55" t="n">
        <f aca="false">N418*J418</f>
        <v>0</v>
      </c>
    </row>
    <row r="419" customFormat="false" ht="15" hidden="false" customHeight="false" outlineLevel="0" collapsed="false">
      <c r="A419" s="33"/>
      <c r="B419" s="28"/>
      <c r="C419" s="29"/>
      <c r="D419" s="29"/>
      <c r="E419" s="29"/>
      <c r="F419" s="29"/>
      <c r="G419" s="36"/>
      <c r="H419" s="29"/>
      <c r="I419" s="29"/>
      <c r="J419" s="29"/>
      <c r="K419" s="29"/>
      <c r="L419" s="36"/>
      <c r="M419" s="29"/>
      <c r="N419" s="54"/>
      <c r="O419" s="55" t="n">
        <f aca="false">N419*J419</f>
        <v>0</v>
      </c>
    </row>
    <row r="420" customFormat="false" ht="15" hidden="false" customHeight="false" outlineLevel="0" collapsed="false">
      <c r="A420" s="33"/>
      <c r="B420" s="28"/>
      <c r="C420" s="29"/>
      <c r="D420" s="29"/>
      <c r="E420" s="29"/>
      <c r="F420" s="29"/>
      <c r="G420" s="36"/>
      <c r="H420" s="29"/>
      <c r="I420" s="29"/>
      <c r="J420" s="29"/>
      <c r="K420" s="29"/>
      <c r="L420" s="36"/>
      <c r="M420" s="29"/>
      <c r="N420" s="54"/>
      <c r="O420" s="55" t="n">
        <f aca="false">N420*J420</f>
        <v>0</v>
      </c>
    </row>
    <row r="421" customFormat="false" ht="15" hidden="false" customHeight="false" outlineLevel="0" collapsed="false">
      <c r="A421" s="33"/>
      <c r="B421" s="28"/>
      <c r="C421" s="29"/>
      <c r="D421" s="29"/>
      <c r="E421" s="29"/>
      <c r="F421" s="29"/>
      <c r="G421" s="36"/>
      <c r="H421" s="29"/>
      <c r="I421" s="29"/>
      <c r="J421" s="29"/>
      <c r="K421" s="29"/>
      <c r="L421" s="36"/>
      <c r="M421" s="29"/>
      <c r="N421" s="54"/>
      <c r="O421" s="55" t="n">
        <f aca="false">N421*J421</f>
        <v>0</v>
      </c>
    </row>
    <row r="422" customFormat="false" ht="15" hidden="false" customHeight="false" outlineLevel="0" collapsed="false">
      <c r="A422" s="33"/>
      <c r="B422" s="28"/>
      <c r="C422" s="29"/>
      <c r="D422" s="29"/>
      <c r="E422" s="29"/>
      <c r="F422" s="29"/>
      <c r="G422" s="36"/>
      <c r="H422" s="29"/>
      <c r="I422" s="29"/>
      <c r="J422" s="29"/>
      <c r="K422" s="29"/>
      <c r="L422" s="36"/>
      <c r="M422" s="29"/>
      <c r="N422" s="54"/>
      <c r="O422" s="55" t="n">
        <f aca="false">N422*J422</f>
        <v>0</v>
      </c>
    </row>
    <row r="423" customFormat="false" ht="15" hidden="false" customHeight="false" outlineLevel="0" collapsed="false">
      <c r="A423" s="33"/>
      <c r="B423" s="28"/>
      <c r="C423" s="29"/>
      <c r="D423" s="29"/>
      <c r="E423" s="29"/>
      <c r="F423" s="29"/>
      <c r="G423" s="36"/>
      <c r="H423" s="29"/>
      <c r="I423" s="29"/>
      <c r="J423" s="29"/>
      <c r="K423" s="29"/>
      <c r="L423" s="36"/>
      <c r="M423" s="29"/>
      <c r="N423" s="54"/>
      <c r="O423" s="55" t="n">
        <f aca="false">N423*J423</f>
        <v>0</v>
      </c>
    </row>
    <row r="424" customFormat="false" ht="15" hidden="false" customHeight="false" outlineLevel="0" collapsed="false">
      <c r="A424" s="33"/>
      <c r="B424" s="28"/>
      <c r="C424" s="29"/>
      <c r="D424" s="29"/>
      <c r="E424" s="29"/>
      <c r="F424" s="29"/>
      <c r="G424" s="36"/>
      <c r="H424" s="29"/>
      <c r="I424" s="29"/>
      <c r="J424" s="29"/>
      <c r="K424" s="29"/>
      <c r="L424" s="36"/>
      <c r="M424" s="29"/>
      <c r="N424" s="54"/>
      <c r="O424" s="55" t="n">
        <f aca="false">N424*J424</f>
        <v>0</v>
      </c>
    </row>
    <row r="425" customFormat="false" ht="15" hidden="false" customHeight="false" outlineLevel="0" collapsed="false">
      <c r="A425" s="33"/>
      <c r="B425" s="28"/>
      <c r="C425" s="29"/>
      <c r="D425" s="29"/>
      <c r="E425" s="29"/>
      <c r="F425" s="29"/>
      <c r="G425" s="36"/>
      <c r="H425" s="29"/>
      <c r="I425" s="29"/>
      <c r="J425" s="29"/>
      <c r="K425" s="29"/>
      <c r="L425" s="36"/>
      <c r="M425" s="29"/>
      <c r="N425" s="54"/>
      <c r="O425" s="55" t="n">
        <f aca="false">N425*J425</f>
        <v>0</v>
      </c>
    </row>
    <row r="426" customFormat="false" ht="15" hidden="false" customHeight="false" outlineLevel="0" collapsed="false">
      <c r="A426" s="33"/>
      <c r="B426" s="28"/>
      <c r="C426" s="29"/>
      <c r="D426" s="29"/>
      <c r="E426" s="29"/>
      <c r="F426" s="29"/>
      <c r="G426" s="36"/>
      <c r="H426" s="29"/>
      <c r="I426" s="29"/>
      <c r="J426" s="29"/>
      <c r="K426" s="29"/>
      <c r="L426" s="36"/>
      <c r="M426" s="29"/>
      <c r="N426" s="54"/>
      <c r="O426" s="55" t="n">
        <f aca="false">N426*J426</f>
        <v>0</v>
      </c>
    </row>
    <row r="427" customFormat="false" ht="15" hidden="false" customHeight="false" outlineLevel="0" collapsed="false">
      <c r="A427" s="33"/>
      <c r="B427" s="28"/>
      <c r="C427" s="29"/>
      <c r="D427" s="29"/>
      <c r="E427" s="29"/>
      <c r="F427" s="29"/>
      <c r="G427" s="36"/>
      <c r="H427" s="29"/>
      <c r="I427" s="29"/>
      <c r="J427" s="29"/>
      <c r="K427" s="29"/>
      <c r="L427" s="36"/>
      <c r="M427" s="29"/>
      <c r="N427" s="54"/>
      <c r="O427" s="55" t="n">
        <f aca="false">N427*J427</f>
        <v>0</v>
      </c>
    </row>
    <row r="428" customFormat="false" ht="15" hidden="false" customHeight="false" outlineLevel="0" collapsed="false">
      <c r="A428" s="33"/>
      <c r="B428" s="28"/>
      <c r="C428" s="29"/>
      <c r="D428" s="29"/>
      <c r="E428" s="29"/>
      <c r="F428" s="29"/>
      <c r="G428" s="36"/>
      <c r="H428" s="29"/>
      <c r="I428" s="29"/>
      <c r="J428" s="29"/>
      <c r="K428" s="29"/>
      <c r="L428" s="36"/>
      <c r="M428" s="29"/>
      <c r="N428" s="54"/>
      <c r="O428" s="55" t="n">
        <f aca="false">N428*J428</f>
        <v>0</v>
      </c>
    </row>
    <row r="429" customFormat="false" ht="15" hidden="false" customHeight="false" outlineLevel="0" collapsed="false">
      <c r="A429" s="33"/>
      <c r="B429" s="28"/>
      <c r="C429" s="29"/>
      <c r="D429" s="29"/>
      <c r="E429" s="29"/>
      <c r="F429" s="29"/>
      <c r="G429" s="36"/>
      <c r="H429" s="29"/>
      <c r="I429" s="29"/>
      <c r="J429" s="29"/>
      <c r="K429" s="29"/>
      <c r="L429" s="36"/>
      <c r="M429" s="29"/>
      <c r="N429" s="54"/>
      <c r="O429" s="55" t="n">
        <f aca="false">N429*J429</f>
        <v>0</v>
      </c>
    </row>
    <row r="430" customFormat="false" ht="15" hidden="false" customHeight="false" outlineLevel="0" collapsed="false">
      <c r="A430" s="33"/>
      <c r="B430" s="28"/>
      <c r="C430" s="29"/>
      <c r="D430" s="29"/>
      <c r="E430" s="29"/>
      <c r="F430" s="29"/>
      <c r="G430" s="36"/>
      <c r="H430" s="29"/>
      <c r="I430" s="29"/>
      <c r="J430" s="29"/>
      <c r="K430" s="29"/>
      <c r="L430" s="36"/>
      <c r="M430" s="29"/>
      <c r="N430" s="54"/>
      <c r="O430" s="55" t="n">
        <f aca="false">N430*J430</f>
        <v>0</v>
      </c>
    </row>
    <row r="431" customFormat="false" ht="15" hidden="false" customHeight="false" outlineLevel="0" collapsed="false">
      <c r="A431" s="33"/>
      <c r="B431" s="28"/>
      <c r="C431" s="29"/>
      <c r="D431" s="29"/>
      <c r="E431" s="29"/>
      <c r="F431" s="29"/>
      <c r="G431" s="36"/>
      <c r="H431" s="29"/>
      <c r="I431" s="29"/>
      <c r="J431" s="29"/>
      <c r="K431" s="29"/>
      <c r="L431" s="36"/>
      <c r="M431" s="29"/>
      <c r="N431" s="54"/>
      <c r="O431" s="55" t="n">
        <f aca="false">N431*J431</f>
        <v>0</v>
      </c>
    </row>
    <row r="432" customFormat="false" ht="15" hidden="false" customHeight="false" outlineLevel="0" collapsed="false">
      <c r="A432" s="33"/>
      <c r="B432" s="28"/>
      <c r="C432" s="29"/>
      <c r="D432" s="29"/>
      <c r="E432" s="29"/>
      <c r="F432" s="29"/>
      <c r="G432" s="36"/>
      <c r="H432" s="29"/>
      <c r="I432" s="29"/>
      <c r="J432" s="29"/>
      <c r="K432" s="29"/>
      <c r="L432" s="36"/>
      <c r="M432" s="29"/>
      <c r="N432" s="54"/>
      <c r="O432" s="55" t="n">
        <f aca="false">N432*J432</f>
        <v>0</v>
      </c>
    </row>
    <row r="433" customFormat="false" ht="15" hidden="false" customHeight="false" outlineLevel="0" collapsed="false">
      <c r="A433" s="33"/>
      <c r="B433" s="28"/>
      <c r="C433" s="29"/>
      <c r="D433" s="29"/>
      <c r="E433" s="29"/>
      <c r="F433" s="29"/>
      <c r="G433" s="36"/>
      <c r="H433" s="29"/>
      <c r="I433" s="29"/>
      <c r="J433" s="29"/>
      <c r="K433" s="29"/>
      <c r="L433" s="36"/>
      <c r="M433" s="29"/>
      <c r="N433" s="54"/>
      <c r="O433" s="55" t="n">
        <f aca="false">N433*J433</f>
        <v>0</v>
      </c>
    </row>
    <row r="434" customFormat="false" ht="15" hidden="false" customHeight="false" outlineLevel="0" collapsed="false">
      <c r="A434" s="33"/>
      <c r="B434" s="28"/>
      <c r="C434" s="29"/>
      <c r="D434" s="29"/>
      <c r="E434" s="29"/>
      <c r="F434" s="29"/>
      <c r="G434" s="36"/>
      <c r="H434" s="29"/>
      <c r="I434" s="29"/>
      <c r="J434" s="29"/>
      <c r="K434" s="29"/>
      <c r="L434" s="36"/>
      <c r="M434" s="29"/>
      <c r="N434" s="54"/>
      <c r="O434" s="55" t="n">
        <f aca="false">N434*J434</f>
        <v>0</v>
      </c>
    </row>
    <row r="435" customFormat="false" ht="15" hidden="false" customHeight="false" outlineLevel="0" collapsed="false">
      <c r="A435" s="33"/>
      <c r="B435" s="28"/>
      <c r="C435" s="29"/>
      <c r="D435" s="29"/>
      <c r="E435" s="29"/>
      <c r="F435" s="29"/>
      <c r="G435" s="36"/>
      <c r="H435" s="29"/>
      <c r="I435" s="29"/>
      <c r="J435" s="29"/>
      <c r="K435" s="29"/>
      <c r="L435" s="36"/>
      <c r="M435" s="29"/>
      <c r="N435" s="54"/>
      <c r="O435" s="55" t="n">
        <f aca="false">N435*J435</f>
        <v>0</v>
      </c>
    </row>
    <row r="436" customFormat="false" ht="15" hidden="false" customHeight="false" outlineLevel="0" collapsed="false">
      <c r="A436" s="33"/>
      <c r="B436" s="28"/>
      <c r="C436" s="29"/>
      <c r="D436" s="29"/>
      <c r="E436" s="29"/>
      <c r="F436" s="29"/>
      <c r="G436" s="36"/>
      <c r="H436" s="29"/>
      <c r="I436" s="29"/>
      <c r="J436" s="29"/>
      <c r="K436" s="29"/>
      <c r="L436" s="36"/>
      <c r="M436" s="29"/>
      <c r="N436" s="54"/>
      <c r="O436" s="55" t="n">
        <f aca="false">N436*J436</f>
        <v>0</v>
      </c>
    </row>
    <row r="437" customFormat="false" ht="15" hidden="false" customHeight="false" outlineLevel="0" collapsed="false">
      <c r="A437" s="33"/>
      <c r="B437" s="28"/>
      <c r="C437" s="29"/>
      <c r="D437" s="29"/>
      <c r="E437" s="29"/>
      <c r="F437" s="29"/>
      <c r="G437" s="36"/>
      <c r="H437" s="29"/>
      <c r="I437" s="29"/>
      <c r="J437" s="29"/>
      <c r="K437" s="29"/>
      <c r="L437" s="36"/>
      <c r="M437" s="29"/>
      <c r="N437" s="54"/>
      <c r="O437" s="55" t="n">
        <f aca="false">N437*J437</f>
        <v>0</v>
      </c>
    </row>
    <row r="438" customFormat="false" ht="15" hidden="false" customHeight="false" outlineLevel="0" collapsed="false">
      <c r="A438" s="33"/>
      <c r="B438" s="28"/>
      <c r="C438" s="29"/>
      <c r="D438" s="29"/>
      <c r="E438" s="29"/>
      <c r="F438" s="29"/>
      <c r="G438" s="36"/>
      <c r="H438" s="29"/>
      <c r="I438" s="29"/>
      <c r="J438" s="29"/>
      <c r="K438" s="29"/>
      <c r="L438" s="36"/>
      <c r="M438" s="29"/>
      <c r="N438" s="54"/>
      <c r="O438" s="55" t="n">
        <f aca="false">N438*J438</f>
        <v>0</v>
      </c>
    </row>
    <row r="439" customFormat="false" ht="15" hidden="false" customHeight="false" outlineLevel="0" collapsed="false">
      <c r="A439" s="33"/>
      <c r="B439" s="28"/>
      <c r="C439" s="29"/>
      <c r="D439" s="29"/>
      <c r="E439" s="29"/>
      <c r="F439" s="29"/>
      <c r="G439" s="36"/>
      <c r="H439" s="29"/>
      <c r="I439" s="29"/>
      <c r="J439" s="29"/>
      <c r="K439" s="29"/>
      <c r="L439" s="36"/>
      <c r="M439" s="29"/>
      <c r="N439" s="54"/>
      <c r="O439" s="55" t="n">
        <f aca="false">N439*J439</f>
        <v>0</v>
      </c>
    </row>
    <row r="440" customFormat="false" ht="15" hidden="false" customHeight="false" outlineLevel="0" collapsed="false">
      <c r="A440" s="33"/>
      <c r="B440" s="28"/>
      <c r="C440" s="29"/>
      <c r="D440" s="29"/>
      <c r="E440" s="29"/>
      <c r="F440" s="29"/>
      <c r="G440" s="36"/>
      <c r="H440" s="29"/>
      <c r="I440" s="29"/>
      <c r="J440" s="29"/>
      <c r="K440" s="29"/>
      <c r="L440" s="36"/>
      <c r="M440" s="29"/>
      <c r="N440" s="54"/>
      <c r="O440" s="55" t="n">
        <f aca="false">N440*J440</f>
        <v>0</v>
      </c>
    </row>
    <row r="441" customFormat="false" ht="15" hidden="false" customHeight="false" outlineLevel="0" collapsed="false">
      <c r="A441" s="33"/>
      <c r="B441" s="28"/>
      <c r="C441" s="29"/>
      <c r="D441" s="29"/>
      <c r="E441" s="29"/>
      <c r="F441" s="29"/>
      <c r="G441" s="36"/>
      <c r="H441" s="29"/>
      <c r="I441" s="29"/>
      <c r="J441" s="29"/>
      <c r="K441" s="29"/>
      <c r="L441" s="29"/>
      <c r="M441" s="29"/>
      <c r="N441" s="54"/>
      <c r="O441" s="55" t="n">
        <f aca="false">N441*J441</f>
        <v>0</v>
      </c>
    </row>
    <row r="442" customFormat="false" ht="15" hidden="false" customHeight="false" outlineLevel="0" collapsed="false">
      <c r="A442" s="29"/>
      <c r="B442" s="28"/>
      <c r="C442" s="29"/>
      <c r="D442" s="29"/>
      <c r="E442" s="29"/>
      <c r="F442" s="29"/>
      <c r="G442" s="36"/>
      <c r="H442" s="29"/>
      <c r="I442" s="29"/>
      <c r="J442" s="29"/>
      <c r="K442" s="29"/>
      <c r="L442" s="29"/>
      <c r="M442" s="29"/>
      <c r="N442" s="54"/>
      <c r="O442" s="55" t="n">
        <f aca="false">N442*J442</f>
        <v>0</v>
      </c>
    </row>
    <row r="443" customFormat="false" ht="15" hidden="false" customHeight="false" outlineLevel="0" collapsed="false">
      <c r="A443" s="29"/>
      <c r="B443" s="28"/>
      <c r="C443" s="29"/>
      <c r="D443" s="29"/>
      <c r="E443" s="29"/>
      <c r="F443" s="29"/>
      <c r="G443" s="36"/>
      <c r="H443" s="29"/>
      <c r="I443" s="29"/>
      <c r="J443" s="29"/>
      <c r="K443" s="29"/>
      <c r="L443" s="29"/>
      <c r="M443" s="29"/>
      <c r="N443" s="54"/>
      <c r="O443" s="55" t="n">
        <f aca="false">N443*J443</f>
        <v>0</v>
      </c>
    </row>
    <row r="444" customFormat="false" ht="15" hidden="false" customHeight="false" outlineLevel="0" collapsed="false">
      <c r="A444" s="29"/>
      <c r="B444" s="28"/>
      <c r="C444" s="29"/>
      <c r="D444" s="29"/>
      <c r="E444" s="29"/>
      <c r="F444" s="29"/>
      <c r="G444" s="36"/>
      <c r="H444" s="29"/>
      <c r="I444" s="29"/>
      <c r="J444" s="29"/>
      <c r="K444" s="29"/>
      <c r="L444" s="29"/>
      <c r="M444" s="29"/>
      <c r="N444" s="54"/>
      <c r="O444" s="55" t="n">
        <f aca="false">N444*J444</f>
        <v>0</v>
      </c>
    </row>
    <row r="445" customFormat="false" ht="15" hidden="false" customHeight="false" outlineLevel="0" collapsed="false">
      <c r="A445" s="29"/>
      <c r="B445" s="28"/>
      <c r="C445" s="29"/>
      <c r="D445" s="29"/>
      <c r="E445" s="29"/>
      <c r="F445" s="29"/>
      <c r="G445" s="36"/>
      <c r="H445" s="29"/>
      <c r="I445" s="29"/>
      <c r="J445" s="29"/>
      <c r="K445" s="29"/>
      <c r="L445" s="29"/>
      <c r="M445" s="29"/>
      <c r="N445" s="54"/>
      <c r="O445" s="55" t="n">
        <f aca="false">N445*J445</f>
        <v>0</v>
      </c>
    </row>
    <row r="446" customFormat="false" ht="15" hidden="false" customHeight="false" outlineLevel="0" collapsed="false">
      <c r="A446" s="29"/>
      <c r="B446" s="28"/>
      <c r="C446" s="29"/>
      <c r="D446" s="29"/>
      <c r="E446" s="29"/>
      <c r="F446" s="29"/>
      <c r="G446" s="36"/>
      <c r="H446" s="29"/>
      <c r="I446" s="29"/>
      <c r="J446" s="29"/>
      <c r="K446" s="29"/>
      <c r="L446" s="29"/>
      <c r="M446" s="29"/>
      <c r="N446" s="54"/>
      <c r="O446" s="55" t="n">
        <f aca="false">N446*J446</f>
        <v>0</v>
      </c>
    </row>
    <row r="447" customFormat="false" ht="15" hidden="false" customHeight="false" outlineLevel="0" collapsed="false">
      <c r="A447" s="29"/>
      <c r="B447" s="28"/>
      <c r="C447" s="29"/>
      <c r="D447" s="29"/>
      <c r="E447" s="29"/>
      <c r="F447" s="29"/>
      <c r="G447" s="36"/>
      <c r="H447" s="29"/>
      <c r="I447" s="29"/>
      <c r="J447" s="29"/>
      <c r="K447" s="29"/>
      <c r="L447" s="29"/>
      <c r="M447" s="29"/>
      <c r="N447" s="54"/>
      <c r="O447" s="55" t="n">
        <f aca="false">N447*J447</f>
        <v>0</v>
      </c>
    </row>
    <row r="448" customFormat="false" ht="15" hidden="false" customHeight="false" outlineLevel="0" collapsed="false">
      <c r="A448" s="29"/>
      <c r="B448" s="28"/>
      <c r="C448" s="29"/>
      <c r="D448" s="29"/>
      <c r="E448" s="29"/>
      <c r="F448" s="29"/>
      <c r="G448" s="36"/>
      <c r="H448" s="29"/>
      <c r="I448" s="29"/>
      <c r="J448" s="29"/>
      <c r="K448" s="29"/>
      <c r="L448" s="29"/>
      <c r="M448" s="29"/>
      <c r="N448" s="54"/>
      <c r="O448" s="55" t="n">
        <f aca="false">N448*J448</f>
        <v>0</v>
      </c>
    </row>
    <row r="449" customFormat="false" ht="15" hidden="false" customHeight="false" outlineLevel="0" collapsed="false">
      <c r="A449" s="29"/>
      <c r="B449" s="28"/>
      <c r="C449" s="29"/>
      <c r="D449" s="29"/>
      <c r="E449" s="29"/>
      <c r="F449" s="29"/>
      <c r="G449" s="36"/>
      <c r="H449" s="29"/>
      <c r="I449" s="29"/>
      <c r="J449" s="29"/>
      <c r="K449" s="29"/>
      <c r="L449" s="29"/>
      <c r="M449" s="29"/>
      <c r="N449" s="54"/>
      <c r="O449" s="55" t="n">
        <f aca="false">N449*J449</f>
        <v>0</v>
      </c>
    </row>
    <row r="450" customFormat="false" ht="15" hidden="false" customHeight="false" outlineLevel="0" collapsed="false">
      <c r="A450" s="29"/>
      <c r="B450" s="28"/>
      <c r="C450" s="29"/>
      <c r="D450" s="29"/>
      <c r="E450" s="29"/>
      <c r="F450" s="29"/>
      <c r="G450" s="36"/>
      <c r="H450" s="29"/>
      <c r="I450" s="29"/>
      <c r="J450" s="29"/>
      <c r="K450" s="29"/>
      <c r="L450" s="29"/>
      <c r="M450" s="29"/>
      <c r="N450" s="54"/>
      <c r="O450" s="55" t="n">
        <f aca="false">N450*J450</f>
        <v>0</v>
      </c>
    </row>
    <row r="451" customFormat="false" ht="15" hidden="false" customHeight="false" outlineLevel="0" collapsed="false">
      <c r="A451" s="29"/>
      <c r="B451" s="28"/>
      <c r="C451" s="29"/>
      <c r="D451" s="29"/>
      <c r="E451" s="29"/>
      <c r="F451" s="29"/>
      <c r="G451" s="36"/>
      <c r="H451" s="29"/>
      <c r="I451" s="29"/>
      <c r="J451" s="29"/>
      <c r="K451" s="29"/>
      <c r="L451" s="29"/>
      <c r="M451" s="29"/>
      <c r="N451" s="54"/>
      <c r="O451" s="55" t="n">
        <f aca="false">N451*J451</f>
        <v>0</v>
      </c>
    </row>
    <row r="452" customFormat="false" ht="15" hidden="false" customHeight="false" outlineLevel="0" collapsed="false">
      <c r="A452" s="29"/>
      <c r="B452" s="28"/>
      <c r="C452" s="29"/>
      <c r="D452" s="29"/>
      <c r="E452" s="29"/>
      <c r="F452" s="29"/>
      <c r="G452" s="36"/>
      <c r="H452" s="29"/>
      <c r="I452" s="29"/>
      <c r="J452" s="29"/>
      <c r="K452" s="29"/>
      <c r="L452" s="29"/>
      <c r="M452" s="29"/>
      <c r="N452" s="54"/>
      <c r="O452" s="55" t="n">
        <f aca="false">N452*J452</f>
        <v>0</v>
      </c>
    </row>
    <row r="453" customFormat="false" ht="15" hidden="false" customHeight="false" outlineLevel="0" collapsed="false">
      <c r="A453" s="29"/>
      <c r="B453" s="28"/>
      <c r="C453" s="29"/>
      <c r="D453" s="29"/>
      <c r="E453" s="29"/>
      <c r="F453" s="29"/>
      <c r="G453" s="36"/>
      <c r="H453" s="29"/>
      <c r="I453" s="29"/>
      <c r="J453" s="29"/>
      <c r="K453" s="29"/>
      <c r="L453" s="29"/>
      <c r="M453" s="29"/>
      <c r="N453" s="54"/>
      <c r="O453" s="55" t="n">
        <f aca="false">N453*J453</f>
        <v>0</v>
      </c>
    </row>
    <row r="454" customFormat="false" ht="15" hidden="false" customHeight="false" outlineLevel="0" collapsed="false">
      <c r="A454" s="29"/>
      <c r="B454" s="28"/>
      <c r="C454" s="29"/>
      <c r="D454" s="29"/>
      <c r="E454" s="29"/>
      <c r="F454" s="29"/>
      <c r="G454" s="36"/>
      <c r="H454" s="29"/>
      <c r="I454" s="29"/>
      <c r="J454" s="29"/>
      <c r="K454" s="29"/>
      <c r="L454" s="29"/>
      <c r="M454" s="29"/>
      <c r="N454" s="54"/>
      <c r="O454" s="55" t="n">
        <f aca="false">N454*J454</f>
        <v>0</v>
      </c>
    </row>
    <row r="455" customFormat="false" ht="15" hidden="false" customHeight="false" outlineLevel="0" collapsed="false">
      <c r="A455" s="29"/>
      <c r="B455" s="28"/>
      <c r="C455" s="29"/>
      <c r="D455" s="29"/>
      <c r="E455" s="29"/>
      <c r="F455" s="29"/>
      <c r="G455" s="36"/>
      <c r="H455" s="29"/>
      <c r="I455" s="29"/>
      <c r="J455" s="29"/>
      <c r="K455" s="29"/>
      <c r="L455" s="29"/>
      <c r="M455" s="29"/>
      <c r="N455" s="54"/>
      <c r="O455" s="55" t="n">
        <f aca="false">N455*J455</f>
        <v>0</v>
      </c>
    </row>
    <row r="456" customFormat="false" ht="15" hidden="false" customHeight="false" outlineLevel="0" collapsed="false">
      <c r="A456" s="29"/>
      <c r="B456" s="28"/>
      <c r="C456" s="29"/>
      <c r="D456" s="29"/>
      <c r="E456" s="29"/>
      <c r="F456" s="29"/>
      <c r="G456" s="36"/>
      <c r="H456" s="29"/>
      <c r="I456" s="29"/>
      <c r="J456" s="29"/>
      <c r="K456" s="29"/>
      <c r="L456" s="29"/>
      <c r="M456" s="29"/>
      <c r="N456" s="54"/>
      <c r="O456" s="55" t="n">
        <f aca="false">N456*J456</f>
        <v>0</v>
      </c>
    </row>
    <row r="457" customFormat="false" ht="15" hidden="false" customHeight="false" outlineLevel="0" collapsed="false">
      <c r="A457" s="29"/>
      <c r="B457" s="28"/>
      <c r="C457" s="29"/>
      <c r="D457" s="29"/>
      <c r="E457" s="29"/>
      <c r="F457" s="29"/>
      <c r="G457" s="36"/>
      <c r="H457" s="29"/>
      <c r="I457" s="29"/>
      <c r="J457" s="29"/>
      <c r="K457" s="29"/>
      <c r="L457" s="29"/>
      <c r="M457" s="29"/>
      <c r="N457" s="54"/>
      <c r="O457" s="55" t="n">
        <f aca="false">N457*J457</f>
        <v>0</v>
      </c>
    </row>
    <row r="458" customFormat="false" ht="15" hidden="false" customHeight="false" outlineLevel="0" collapsed="false">
      <c r="A458" s="29"/>
      <c r="B458" s="28"/>
      <c r="C458" s="29"/>
      <c r="D458" s="29"/>
      <c r="E458" s="29"/>
      <c r="F458" s="29"/>
      <c r="G458" s="36"/>
      <c r="H458" s="29"/>
      <c r="I458" s="29"/>
      <c r="J458" s="29"/>
      <c r="K458" s="29"/>
      <c r="L458" s="29"/>
      <c r="M458" s="29"/>
      <c r="N458" s="54"/>
      <c r="O458" s="55" t="n">
        <f aca="false">N458*J458</f>
        <v>0</v>
      </c>
    </row>
    <row r="459" customFormat="false" ht="15" hidden="false" customHeight="false" outlineLevel="0" collapsed="false">
      <c r="A459" s="29"/>
      <c r="B459" s="28"/>
      <c r="C459" s="29"/>
      <c r="D459" s="29"/>
      <c r="E459" s="29"/>
      <c r="F459" s="29"/>
      <c r="G459" s="36"/>
      <c r="H459" s="29"/>
      <c r="I459" s="29"/>
      <c r="J459" s="29"/>
      <c r="K459" s="29"/>
      <c r="L459" s="29"/>
      <c r="M459" s="29"/>
      <c r="N459" s="54"/>
      <c r="O459" s="55" t="n">
        <f aca="false">N459*J459</f>
        <v>0</v>
      </c>
    </row>
    <row r="460" customFormat="false" ht="15" hidden="false" customHeight="false" outlineLevel="0" collapsed="false">
      <c r="A460" s="29"/>
      <c r="B460" s="28"/>
      <c r="C460" s="29"/>
      <c r="D460" s="29"/>
      <c r="E460" s="29"/>
      <c r="F460" s="29"/>
      <c r="G460" s="36"/>
      <c r="H460" s="29"/>
      <c r="I460" s="29"/>
      <c r="J460" s="29"/>
      <c r="K460" s="29"/>
      <c r="L460" s="29"/>
      <c r="M460" s="29"/>
      <c r="N460" s="54"/>
      <c r="O460" s="55" t="n">
        <f aca="false">N460*J460</f>
        <v>0</v>
      </c>
    </row>
    <row r="461" customFormat="false" ht="15" hidden="false" customHeight="false" outlineLevel="0" collapsed="false">
      <c r="A461" s="29"/>
      <c r="B461" s="28"/>
      <c r="C461" s="29"/>
      <c r="D461" s="29"/>
      <c r="E461" s="29"/>
      <c r="F461" s="29"/>
      <c r="G461" s="36"/>
      <c r="H461" s="29"/>
      <c r="I461" s="29"/>
      <c r="J461" s="29"/>
      <c r="K461" s="29"/>
      <c r="L461" s="29"/>
      <c r="M461" s="29"/>
      <c r="N461" s="54"/>
      <c r="O461" s="55" t="n">
        <f aca="false">N461*J461</f>
        <v>0</v>
      </c>
    </row>
    <row r="462" customFormat="false" ht="15" hidden="false" customHeight="false" outlineLevel="0" collapsed="false">
      <c r="A462" s="29"/>
      <c r="B462" s="28"/>
      <c r="C462" s="29"/>
      <c r="D462" s="29"/>
      <c r="E462" s="29"/>
      <c r="F462" s="29"/>
      <c r="G462" s="36"/>
      <c r="H462" s="29"/>
      <c r="I462" s="29"/>
      <c r="J462" s="29"/>
      <c r="K462" s="29"/>
      <c r="L462" s="29"/>
      <c r="M462" s="29"/>
      <c r="N462" s="54"/>
      <c r="O462" s="55" t="n">
        <f aca="false">N462*J462</f>
        <v>0</v>
      </c>
    </row>
    <row r="463" customFormat="false" ht="15" hidden="false" customHeight="false" outlineLevel="0" collapsed="false">
      <c r="A463" s="29"/>
      <c r="B463" s="28"/>
      <c r="C463" s="29"/>
      <c r="D463" s="29"/>
      <c r="E463" s="29"/>
      <c r="F463" s="29"/>
      <c r="G463" s="36"/>
      <c r="H463" s="29"/>
      <c r="I463" s="29"/>
      <c r="J463" s="29"/>
      <c r="K463" s="29"/>
      <c r="L463" s="29"/>
      <c r="M463" s="29"/>
      <c r="N463" s="54"/>
      <c r="O463" s="55" t="n">
        <f aca="false">N463*J463</f>
        <v>0</v>
      </c>
    </row>
    <row r="464" customFormat="false" ht="15" hidden="false" customHeight="false" outlineLevel="0" collapsed="false">
      <c r="A464" s="29"/>
      <c r="B464" s="28"/>
      <c r="C464" s="29"/>
      <c r="D464" s="29"/>
      <c r="E464" s="29"/>
      <c r="F464" s="29"/>
      <c r="G464" s="36"/>
      <c r="H464" s="29"/>
      <c r="I464" s="29"/>
      <c r="J464" s="29"/>
      <c r="K464" s="29"/>
      <c r="L464" s="29"/>
      <c r="M464" s="29"/>
      <c r="N464" s="54"/>
      <c r="O464" s="55" t="n">
        <f aca="false">N464*J464</f>
        <v>0</v>
      </c>
    </row>
    <row r="465" customFormat="false" ht="15" hidden="false" customHeight="false" outlineLevel="0" collapsed="false">
      <c r="A465" s="29"/>
      <c r="B465" s="28"/>
      <c r="C465" s="29"/>
      <c r="D465" s="29"/>
      <c r="E465" s="29"/>
      <c r="F465" s="29"/>
      <c r="G465" s="36"/>
      <c r="H465" s="29"/>
      <c r="I465" s="29"/>
      <c r="J465" s="29"/>
      <c r="K465" s="29"/>
      <c r="L465" s="29"/>
      <c r="M465" s="29"/>
      <c r="N465" s="54"/>
      <c r="O465" s="55" t="n">
        <f aca="false">N465*J465</f>
        <v>0</v>
      </c>
    </row>
    <row r="466" customFormat="false" ht="15" hidden="false" customHeight="false" outlineLevel="0" collapsed="false">
      <c r="A466" s="29"/>
      <c r="B466" s="28"/>
      <c r="C466" s="29"/>
      <c r="D466" s="29"/>
      <c r="E466" s="29"/>
      <c r="F466" s="29"/>
      <c r="G466" s="36"/>
      <c r="H466" s="29"/>
      <c r="I466" s="29"/>
      <c r="J466" s="29"/>
      <c r="K466" s="29"/>
      <c r="L466" s="29"/>
      <c r="M466" s="29"/>
      <c r="N466" s="54"/>
      <c r="O466" s="55" t="n">
        <f aca="false">N466*J466</f>
        <v>0</v>
      </c>
    </row>
    <row r="467" customFormat="false" ht="15" hidden="false" customHeight="false" outlineLevel="0" collapsed="false">
      <c r="A467" s="29"/>
      <c r="B467" s="28"/>
      <c r="C467" s="29"/>
      <c r="D467" s="29"/>
      <c r="E467" s="29"/>
      <c r="F467" s="29"/>
      <c r="G467" s="36"/>
      <c r="H467" s="29"/>
      <c r="I467" s="29"/>
      <c r="J467" s="29"/>
      <c r="K467" s="29"/>
      <c r="L467" s="29"/>
      <c r="M467" s="29"/>
      <c r="N467" s="54"/>
      <c r="O467" s="55" t="n">
        <f aca="false">N467*J467</f>
        <v>0</v>
      </c>
    </row>
    <row r="468" customFormat="false" ht="15" hidden="false" customHeight="false" outlineLevel="0" collapsed="false">
      <c r="A468" s="29"/>
      <c r="B468" s="28"/>
      <c r="C468" s="29"/>
      <c r="D468" s="29"/>
      <c r="E468" s="29"/>
      <c r="F468" s="29"/>
      <c r="G468" s="36"/>
      <c r="H468" s="29"/>
      <c r="I468" s="29"/>
      <c r="J468" s="29"/>
      <c r="K468" s="29"/>
      <c r="L468" s="29"/>
      <c r="M468" s="29"/>
      <c r="N468" s="54"/>
      <c r="O468" s="55" t="n">
        <f aca="false">N468*J468</f>
        <v>0</v>
      </c>
    </row>
    <row r="469" customFormat="false" ht="15" hidden="false" customHeight="false" outlineLevel="0" collapsed="false">
      <c r="A469" s="29"/>
      <c r="B469" s="28"/>
      <c r="C469" s="29"/>
      <c r="D469" s="29"/>
      <c r="E469" s="29"/>
      <c r="F469" s="29"/>
      <c r="G469" s="36"/>
      <c r="H469" s="29"/>
      <c r="I469" s="29"/>
      <c r="J469" s="29"/>
      <c r="K469" s="29"/>
      <c r="L469" s="29"/>
      <c r="M469" s="29"/>
      <c r="N469" s="54"/>
      <c r="O469" s="55" t="n">
        <f aca="false">N469*J469</f>
        <v>0</v>
      </c>
    </row>
    <row r="470" customFormat="false" ht="15" hidden="false" customHeight="false" outlineLevel="0" collapsed="false">
      <c r="A470" s="29"/>
      <c r="B470" s="28"/>
      <c r="C470" s="29"/>
      <c r="D470" s="29"/>
      <c r="E470" s="29"/>
      <c r="F470" s="29"/>
      <c r="G470" s="36"/>
      <c r="H470" s="29"/>
      <c r="I470" s="29"/>
      <c r="J470" s="29"/>
      <c r="K470" s="29"/>
      <c r="L470" s="29"/>
      <c r="M470" s="29"/>
      <c r="N470" s="54"/>
      <c r="O470" s="55" t="n">
        <f aca="false">N470*J470</f>
        <v>0</v>
      </c>
    </row>
    <row r="471" customFormat="false" ht="15" hidden="false" customHeight="false" outlineLevel="0" collapsed="false">
      <c r="A471" s="29"/>
      <c r="B471" s="28"/>
      <c r="C471" s="29"/>
      <c r="D471" s="29"/>
      <c r="E471" s="29"/>
      <c r="F471" s="29"/>
      <c r="G471" s="36"/>
      <c r="H471" s="29"/>
      <c r="I471" s="29"/>
      <c r="J471" s="29"/>
      <c r="K471" s="29"/>
      <c r="L471" s="29"/>
      <c r="M471" s="29"/>
      <c r="N471" s="54"/>
      <c r="O471" s="55" t="n">
        <f aca="false">N471*J471</f>
        <v>0</v>
      </c>
    </row>
    <row r="472" customFormat="false" ht="15" hidden="false" customHeight="false" outlineLevel="0" collapsed="false">
      <c r="A472" s="29"/>
      <c r="B472" s="28"/>
      <c r="C472" s="29"/>
      <c r="D472" s="29"/>
      <c r="E472" s="29"/>
      <c r="F472" s="29"/>
      <c r="G472" s="36"/>
      <c r="H472" s="29"/>
      <c r="I472" s="29"/>
      <c r="J472" s="29"/>
      <c r="K472" s="29"/>
      <c r="L472" s="29"/>
      <c r="M472" s="29"/>
      <c r="N472" s="54"/>
      <c r="O472" s="55" t="n">
        <f aca="false">N472*J472</f>
        <v>0</v>
      </c>
    </row>
    <row r="473" customFormat="false" ht="15" hidden="false" customHeight="false" outlineLevel="0" collapsed="false">
      <c r="A473" s="29"/>
      <c r="B473" s="28"/>
      <c r="C473" s="29"/>
      <c r="D473" s="29"/>
      <c r="E473" s="29"/>
      <c r="F473" s="29"/>
      <c r="G473" s="36"/>
      <c r="H473" s="29"/>
      <c r="I473" s="29"/>
      <c r="J473" s="29"/>
      <c r="K473" s="29"/>
      <c r="L473" s="29"/>
      <c r="M473" s="29"/>
      <c r="N473" s="54"/>
      <c r="O473" s="55" t="n">
        <f aca="false">N473*J473</f>
        <v>0</v>
      </c>
    </row>
    <row r="474" customFormat="false" ht="15" hidden="false" customHeight="false" outlineLevel="0" collapsed="false">
      <c r="A474" s="29"/>
      <c r="B474" s="28"/>
      <c r="C474" s="29"/>
      <c r="D474" s="29"/>
      <c r="E474" s="29"/>
      <c r="F474" s="29"/>
      <c r="G474" s="36"/>
      <c r="H474" s="29"/>
      <c r="I474" s="29"/>
      <c r="J474" s="29"/>
      <c r="K474" s="29"/>
      <c r="L474" s="29"/>
      <c r="M474" s="29"/>
      <c r="N474" s="54"/>
      <c r="O474" s="55" t="n">
        <f aca="false">N474*J474</f>
        <v>0</v>
      </c>
    </row>
    <row r="475" customFormat="false" ht="15" hidden="false" customHeight="false" outlineLevel="0" collapsed="false">
      <c r="A475" s="29"/>
      <c r="B475" s="28"/>
      <c r="C475" s="29"/>
      <c r="D475" s="29"/>
      <c r="E475" s="29"/>
      <c r="F475" s="29"/>
      <c r="G475" s="36"/>
      <c r="H475" s="29"/>
      <c r="I475" s="29"/>
      <c r="J475" s="29"/>
      <c r="K475" s="29"/>
      <c r="L475" s="29"/>
      <c r="M475" s="29"/>
      <c r="N475" s="54"/>
      <c r="O475" s="55" t="n">
        <f aca="false">N475*J475</f>
        <v>0</v>
      </c>
    </row>
    <row r="476" customFormat="false" ht="15" hidden="false" customHeight="false" outlineLevel="0" collapsed="false">
      <c r="A476" s="29"/>
      <c r="B476" s="28"/>
      <c r="C476" s="29"/>
      <c r="D476" s="29"/>
      <c r="E476" s="29"/>
      <c r="F476" s="29"/>
      <c r="G476" s="36"/>
      <c r="H476" s="29"/>
      <c r="I476" s="29"/>
      <c r="J476" s="29"/>
      <c r="K476" s="29"/>
      <c r="L476" s="29"/>
      <c r="M476" s="29"/>
      <c r="N476" s="54"/>
      <c r="O476" s="55" t="n">
        <f aca="false">N476*J476</f>
        <v>0</v>
      </c>
    </row>
    <row r="477" customFormat="false" ht="15" hidden="false" customHeight="false" outlineLevel="0" collapsed="false">
      <c r="A477" s="29"/>
      <c r="B477" s="28"/>
      <c r="C477" s="29"/>
      <c r="D477" s="29"/>
      <c r="E477" s="29"/>
      <c r="F477" s="29"/>
      <c r="G477" s="36"/>
      <c r="H477" s="29"/>
      <c r="I477" s="29"/>
      <c r="J477" s="29"/>
      <c r="K477" s="29"/>
      <c r="L477" s="29"/>
      <c r="M477" s="29"/>
      <c r="N477" s="54"/>
      <c r="O477" s="55" t="n">
        <f aca="false">N477*J477</f>
        <v>0</v>
      </c>
    </row>
    <row r="478" customFormat="false" ht="15" hidden="false" customHeight="false" outlineLevel="0" collapsed="false">
      <c r="A478" s="29"/>
      <c r="B478" s="28"/>
      <c r="C478" s="29"/>
      <c r="D478" s="29"/>
      <c r="E478" s="29"/>
      <c r="F478" s="29"/>
      <c r="G478" s="36"/>
      <c r="H478" s="29"/>
      <c r="I478" s="29"/>
      <c r="J478" s="29"/>
      <c r="K478" s="29"/>
      <c r="L478" s="29"/>
      <c r="M478" s="29"/>
      <c r="N478" s="54"/>
      <c r="O478" s="55" t="n">
        <f aca="false">N478*J478</f>
        <v>0</v>
      </c>
    </row>
    <row r="479" customFormat="false" ht="15" hidden="false" customHeight="false" outlineLevel="0" collapsed="false">
      <c r="A479" s="29"/>
      <c r="B479" s="28"/>
      <c r="C479" s="29"/>
      <c r="D479" s="29"/>
      <c r="E479" s="29"/>
      <c r="F479" s="29"/>
      <c r="G479" s="36"/>
      <c r="H479" s="29"/>
      <c r="I479" s="29"/>
      <c r="J479" s="29"/>
      <c r="K479" s="29"/>
      <c r="L479" s="29"/>
      <c r="M479" s="29"/>
      <c r="N479" s="54"/>
      <c r="O479" s="55" t="n">
        <f aca="false">N479*J479</f>
        <v>0</v>
      </c>
    </row>
    <row r="480" customFormat="false" ht="15" hidden="false" customHeight="false" outlineLevel="0" collapsed="false">
      <c r="A480" s="29"/>
      <c r="B480" s="28"/>
      <c r="C480" s="29"/>
      <c r="D480" s="29"/>
      <c r="E480" s="29"/>
      <c r="F480" s="29"/>
      <c r="G480" s="36"/>
      <c r="H480" s="29"/>
      <c r="I480" s="29"/>
      <c r="J480" s="29"/>
      <c r="K480" s="29"/>
      <c r="L480" s="29"/>
      <c r="M480" s="29"/>
      <c r="N480" s="54"/>
      <c r="O480" s="55" t="n">
        <f aca="false">N480*J480</f>
        <v>0</v>
      </c>
    </row>
    <row r="481" customFormat="false" ht="15" hidden="false" customHeight="false" outlineLevel="0" collapsed="false">
      <c r="A481" s="29"/>
      <c r="B481" s="28"/>
      <c r="C481" s="29"/>
      <c r="D481" s="29"/>
      <c r="E481" s="29"/>
      <c r="F481" s="29"/>
      <c r="G481" s="36"/>
      <c r="H481" s="29"/>
      <c r="I481" s="29"/>
      <c r="J481" s="29"/>
      <c r="K481" s="29"/>
      <c r="L481" s="29"/>
      <c r="M481" s="29"/>
      <c r="N481" s="54"/>
      <c r="O481" s="55" t="n">
        <f aca="false">N481*J481</f>
        <v>0</v>
      </c>
    </row>
    <row r="482" customFormat="false" ht="15" hidden="false" customHeight="false" outlineLevel="0" collapsed="false">
      <c r="A482" s="29"/>
      <c r="B482" s="28"/>
      <c r="C482" s="29"/>
      <c r="D482" s="29"/>
      <c r="E482" s="29"/>
      <c r="F482" s="29"/>
      <c r="G482" s="36"/>
      <c r="H482" s="29"/>
      <c r="I482" s="29"/>
      <c r="J482" s="29"/>
      <c r="K482" s="29"/>
      <c r="L482" s="29"/>
      <c r="M482" s="29"/>
      <c r="N482" s="54"/>
      <c r="O482" s="55" t="n">
        <f aca="false">N482*J482</f>
        <v>0</v>
      </c>
    </row>
    <row r="483" customFormat="false" ht="15" hidden="false" customHeight="false" outlineLevel="0" collapsed="false">
      <c r="A483" s="29"/>
      <c r="B483" s="28"/>
      <c r="C483" s="29"/>
      <c r="D483" s="29"/>
      <c r="E483" s="29"/>
      <c r="F483" s="29"/>
      <c r="G483" s="36"/>
      <c r="H483" s="29"/>
      <c r="I483" s="29"/>
      <c r="J483" s="29"/>
      <c r="K483" s="29"/>
      <c r="L483" s="29"/>
      <c r="M483" s="29"/>
      <c r="N483" s="54"/>
      <c r="O483" s="55" t="n">
        <f aca="false">N483*J483</f>
        <v>0</v>
      </c>
    </row>
    <row r="484" customFormat="false" ht="15" hidden="false" customHeight="false" outlineLevel="0" collapsed="false">
      <c r="A484" s="29"/>
      <c r="B484" s="28"/>
      <c r="C484" s="29"/>
      <c r="D484" s="29"/>
      <c r="E484" s="29"/>
      <c r="F484" s="29"/>
      <c r="G484" s="36"/>
      <c r="H484" s="29"/>
      <c r="I484" s="29"/>
      <c r="J484" s="29"/>
      <c r="K484" s="29"/>
      <c r="L484" s="29"/>
      <c r="M484" s="29"/>
      <c r="N484" s="54"/>
      <c r="O484" s="55" t="n">
        <f aca="false">N484*J484</f>
        <v>0</v>
      </c>
    </row>
    <row r="485" customFormat="false" ht="15" hidden="false" customHeight="false" outlineLevel="0" collapsed="false">
      <c r="A485" s="29"/>
      <c r="B485" s="28"/>
      <c r="C485" s="29"/>
      <c r="D485" s="29"/>
      <c r="E485" s="29"/>
      <c r="F485" s="29"/>
      <c r="G485" s="36"/>
      <c r="H485" s="29"/>
      <c r="I485" s="29"/>
      <c r="J485" s="29"/>
      <c r="K485" s="29"/>
      <c r="L485" s="29"/>
      <c r="M485" s="29"/>
      <c r="N485" s="54"/>
      <c r="O485" s="55" t="n">
        <f aca="false">N485*J485</f>
        <v>0</v>
      </c>
    </row>
    <row r="486" customFormat="false" ht="15" hidden="false" customHeight="false" outlineLevel="0" collapsed="false">
      <c r="A486" s="29"/>
      <c r="B486" s="28"/>
      <c r="C486" s="29"/>
      <c r="D486" s="29"/>
      <c r="E486" s="29"/>
      <c r="F486" s="29"/>
      <c r="G486" s="36"/>
      <c r="H486" s="29"/>
      <c r="I486" s="29"/>
      <c r="J486" s="29"/>
      <c r="K486" s="29"/>
      <c r="L486" s="29"/>
      <c r="M486" s="29"/>
      <c r="N486" s="54"/>
      <c r="O486" s="55" t="n">
        <f aca="false">N486*J486</f>
        <v>0</v>
      </c>
    </row>
    <row r="487" customFormat="false" ht="15" hidden="false" customHeight="false" outlineLevel="0" collapsed="false">
      <c r="A487" s="29"/>
      <c r="B487" s="28"/>
      <c r="C487" s="29"/>
      <c r="D487" s="29"/>
      <c r="E487" s="29"/>
      <c r="F487" s="29"/>
      <c r="G487" s="36"/>
      <c r="H487" s="29"/>
      <c r="I487" s="29"/>
      <c r="J487" s="29"/>
      <c r="K487" s="29"/>
      <c r="L487" s="29"/>
      <c r="M487" s="29"/>
      <c r="N487" s="54"/>
      <c r="O487" s="55" t="n">
        <f aca="false">N487*J487</f>
        <v>0</v>
      </c>
    </row>
    <row r="488" customFormat="false" ht="15" hidden="false" customHeight="false" outlineLevel="0" collapsed="false">
      <c r="A488" s="29"/>
      <c r="B488" s="28"/>
      <c r="C488" s="29"/>
      <c r="D488" s="29"/>
      <c r="E488" s="29"/>
      <c r="F488" s="29"/>
      <c r="G488" s="36"/>
      <c r="H488" s="29"/>
      <c r="I488" s="29"/>
      <c r="J488" s="29"/>
      <c r="K488" s="29"/>
      <c r="L488" s="29"/>
      <c r="M488" s="29"/>
      <c r="N488" s="54"/>
      <c r="O488" s="55" t="n">
        <f aca="false">N488*J488</f>
        <v>0</v>
      </c>
    </row>
    <row r="489" customFormat="false" ht="15" hidden="false" customHeight="false" outlineLevel="0" collapsed="false">
      <c r="A489" s="29"/>
      <c r="B489" s="28"/>
      <c r="C489" s="29"/>
      <c r="D489" s="29"/>
      <c r="E489" s="29"/>
      <c r="F489" s="29"/>
      <c r="G489" s="36"/>
      <c r="H489" s="29"/>
      <c r="I489" s="29"/>
      <c r="J489" s="29"/>
      <c r="K489" s="29"/>
      <c r="L489" s="29"/>
      <c r="M489" s="29"/>
      <c r="N489" s="54"/>
      <c r="O489" s="55" t="n">
        <f aca="false">N489*J489</f>
        <v>0</v>
      </c>
    </row>
    <row r="490" customFormat="false" ht="15" hidden="false" customHeight="false" outlineLevel="0" collapsed="false">
      <c r="A490" s="29"/>
      <c r="B490" s="28"/>
      <c r="C490" s="29"/>
      <c r="D490" s="29"/>
      <c r="E490" s="29"/>
      <c r="F490" s="29"/>
      <c r="G490" s="36"/>
      <c r="H490" s="29"/>
      <c r="I490" s="29"/>
      <c r="J490" s="29"/>
      <c r="K490" s="29"/>
      <c r="L490" s="29"/>
      <c r="M490" s="29"/>
      <c r="N490" s="54"/>
      <c r="O490" s="55" t="n">
        <f aca="false">N490*J490</f>
        <v>0</v>
      </c>
    </row>
    <row r="491" customFormat="false" ht="15" hidden="false" customHeight="false" outlineLevel="0" collapsed="false">
      <c r="A491" s="29"/>
      <c r="B491" s="28"/>
      <c r="C491" s="29"/>
      <c r="D491" s="29"/>
      <c r="E491" s="29"/>
      <c r="F491" s="29"/>
      <c r="G491" s="36"/>
      <c r="H491" s="29"/>
      <c r="I491" s="29"/>
      <c r="J491" s="29"/>
      <c r="K491" s="29"/>
      <c r="L491" s="29"/>
      <c r="M491" s="29"/>
      <c r="N491" s="54"/>
      <c r="O491" s="55" t="n">
        <f aca="false">N491*J491</f>
        <v>0</v>
      </c>
    </row>
    <row r="492" customFormat="false" ht="15" hidden="false" customHeight="false" outlineLevel="0" collapsed="false">
      <c r="A492" s="29"/>
      <c r="B492" s="28"/>
      <c r="C492" s="29"/>
      <c r="D492" s="29"/>
      <c r="E492" s="29"/>
      <c r="F492" s="29"/>
      <c r="G492" s="36"/>
      <c r="H492" s="29"/>
      <c r="I492" s="29"/>
      <c r="J492" s="29"/>
      <c r="K492" s="29"/>
      <c r="L492" s="29"/>
      <c r="M492" s="29"/>
      <c r="N492" s="54"/>
      <c r="O492" s="55" t="n">
        <f aca="false">N492*J492</f>
        <v>0</v>
      </c>
    </row>
    <row r="493" customFormat="false" ht="15" hidden="false" customHeight="false" outlineLevel="0" collapsed="false">
      <c r="A493" s="29"/>
      <c r="B493" s="28"/>
      <c r="C493" s="29"/>
      <c r="D493" s="29"/>
      <c r="E493" s="29"/>
      <c r="F493" s="29"/>
      <c r="G493" s="36"/>
      <c r="H493" s="29"/>
      <c r="I493" s="29"/>
      <c r="J493" s="29"/>
      <c r="K493" s="29"/>
      <c r="L493" s="29"/>
      <c r="M493" s="29"/>
      <c r="N493" s="54"/>
      <c r="O493" s="55" t="n">
        <f aca="false">N493*J493</f>
        <v>0</v>
      </c>
    </row>
    <row r="494" customFormat="false" ht="15" hidden="false" customHeight="false" outlineLevel="0" collapsed="false">
      <c r="A494" s="29"/>
      <c r="B494" s="28"/>
      <c r="C494" s="29"/>
      <c r="D494" s="29"/>
      <c r="E494" s="29"/>
      <c r="F494" s="29"/>
      <c r="G494" s="36"/>
      <c r="H494" s="29"/>
      <c r="I494" s="29"/>
      <c r="J494" s="29"/>
      <c r="K494" s="29"/>
      <c r="L494" s="29"/>
      <c r="M494" s="29"/>
      <c r="N494" s="54"/>
      <c r="O494" s="55" t="n">
        <f aca="false">N494*J494</f>
        <v>0</v>
      </c>
    </row>
    <row r="495" customFormat="false" ht="15" hidden="false" customHeight="false" outlineLevel="0" collapsed="false">
      <c r="A495" s="29"/>
      <c r="B495" s="28"/>
      <c r="C495" s="29"/>
      <c r="D495" s="29"/>
      <c r="E495" s="29"/>
      <c r="F495" s="29"/>
      <c r="G495" s="36"/>
      <c r="H495" s="29"/>
      <c r="I495" s="29"/>
      <c r="J495" s="29"/>
      <c r="K495" s="29"/>
      <c r="L495" s="29"/>
      <c r="M495" s="29"/>
      <c r="N495" s="54"/>
      <c r="O495" s="55" t="n">
        <f aca="false">N495*J495</f>
        <v>0</v>
      </c>
    </row>
    <row r="496" customFormat="false" ht="15" hidden="false" customHeight="false" outlineLevel="0" collapsed="false">
      <c r="A496" s="29"/>
      <c r="B496" s="28"/>
      <c r="C496" s="29"/>
      <c r="D496" s="29"/>
      <c r="E496" s="29"/>
      <c r="F496" s="29"/>
      <c r="G496" s="36"/>
      <c r="H496" s="29"/>
      <c r="I496" s="29"/>
      <c r="J496" s="29"/>
      <c r="K496" s="29"/>
      <c r="L496" s="29"/>
      <c r="M496" s="29"/>
      <c r="N496" s="54"/>
      <c r="O496" s="55" t="n">
        <f aca="false">N496*J496</f>
        <v>0</v>
      </c>
    </row>
    <row r="497" customFormat="false" ht="15" hidden="false" customHeight="false" outlineLevel="0" collapsed="false">
      <c r="A497" s="29"/>
      <c r="B497" s="28"/>
      <c r="C497" s="29"/>
      <c r="D497" s="29"/>
      <c r="E497" s="29"/>
      <c r="F497" s="29"/>
      <c r="G497" s="36"/>
      <c r="H497" s="29"/>
      <c r="I497" s="29"/>
      <c r="J497" s="29"/>
      <c r="K497" s="29"/>
      <c r="L497" s="29"/>
      <c r="M497" s="29"/>
      <c r="N497" s="54"/>
      <c r="O497" s="55" t="n">
        <f aca="false">N497*J497</f>
        <v>0</v>
      </c>
    </row>
    <row r="498" customFormat="false" ht="15" hidden="false" customHeight="false" outlineLevel="0" collapsed="false">
      <c r="A498" s="29"/>
      <c r="B498" s="28"/>
      <c r="C498" s="29"/>
      <c r="D498" s="29"/>
      <c r="E498" s="29"/>
      <c r="F498" s="29"/>
      <c r="G498" s="36"/>
      <c r="H498" s="29"/>
      <c r="I498" s="29"/>
      <c r="J498" s="29"/>
      <c r="K498" s="29"/>
      <c r="L498" s="29"/>
      <c r="M498" s="29"/>
      <c r="N498" s="54"/>
      <c r="O498" s="55" t="n">
        <f aca="false">N498*J498</f>
        <v>0</v>
      </c>
    </row>
    <row r="499" customFormat="false" ht="15" hidden="false" customHeight="false" outlineLevel="0" collapsed="false">
      <c r="A499" s="29"/>
      <c r="B499" s="28"/>
      <c r="C499" s="29"/>
      <c r="D499" s="29"/>
      <c r="E499" s="29"/>
      <c r="F499" s="29"/>
      <c r="G499" s="36"/>
      <c r="H499" s="29"/>
      <c r="I499" s="29"/>
      <c r="J499" s="29"/>
      <c r="K499" s="29"/>
      <c r="L499" s="29"/>
      <c r="M499" s="29"/>
      <c r="N499" s="54"/>
      <c r="O499" s="55" t="n">
        <f aca="false">N499*J499</f>
        <v>0</v>
      </c>
    </row>
    <row r="500" customFormat="false" ht="15" hidden="false" customHeight="false" outlineLevel="0" collapsed="false">
      <c r="A500" s="29"/>
      <c r="B500" s="28"/>
      <c r="C500" s="29"/>
      <c r="D500" s="29"/>
      <c r="E500" s="29"/>
      <c r="F500" s="29"/>
      <c r="G500" s="36"/>
      <c r="H500" s="29"/>
      <c r="I500" s="29"/>
      <c r="J500" s="29"/>
      <c r="K500" s="29"/>
      <c r="L500" s="29"/>
      <c r="M500" s="29"/>
      <c r="N500" s="54"/>
      <c r="O500" s="55" t="n">
        <f aca="false">N500*J500</f>
        <v>0</v>
      </c>
    </row>
    <row r="501" customFormat="false" ht="15" hidden="false" customHeight="false" outlineLevel="0" collapsed="false">
      <c r="A501" s="29"/>
      <c r="B501" s="28"/>
      <c r="C501" s="29"/>
      <c r="D501" s="29"/>
      <c r="E501" s="29"/>
      <c r="F501" s="29"/>
      <c r="G501" s="36"/>
      <c r="H501" s="29"/>
      <c r="I501" s="29"/>
      <c r="J501" s="29"/>
      <c r="K501" s="29"/>
      <c r="L501" s="29"/>
      <c r="M501" s="29"/>
      <c r="N501" s="54"/>
      <c r="O501" s="55" t="n">
        <f aca="false">N501*J501</f>
        <v>0</v>
      </c>
    </row>
    <row r="502" customFormat="false" ht="15" hidden="false" customHeight="false" outlineLevel="0" collapsed="false">
      <c r="A502" s="29"/>
      <c r="B502" s="28"/>
      <c r="C502" s="29"/>
      <c r="D502" s="29"/>
      <c r="E502" s="29"/>
      <c r="F502" s="29"/>
      <c r="G502" s="36"/>
      <c r="H502" s="29"/>
      <c r="I502" s="29"/>
      <c r="J502" s="29"/>
      <c r="K502" s="29"/>
      <c r="L502" s="29"/>
      <c r="M502" s="29"/>
      <c r="N502" s="54"/>
      <c r="O502" s="55" t="n">
        <f aca="false">N502*J502</f>
        <v>0</v>
      </c>
    </row>
    <row r="503" customFormat="false" ht="15" hidden="false" customHeight="false" outlineLevel="0" collapsed="false">
      <c r="A503" s="29"/>
      <c r="B503" s="28"/>
      <c r="C503" s="29"/>
      <c r="D503" s="29"/>
      <c r="E503" s="29"/>
      <c r="F503" s="29"/>
      <c r="G503" s="36"/>
      <c r="H503" s="29"/>
      <c r="I503" s="29"/>
      <c r="J503" s="29"/>
      <c r="K503" s="29"/>
      <c r="L503" s="29"/>
      <c r="M503" s="29"/>
      <c r="N503" s="54"/>
      <c r="O503" s="55" t="n">
        <f aca="false">N503*J503</f>
        <v>0</v>
      </c>
    </row>
    <row r="504" customFormat="false" ht="15" hidden="false" customHeight="false" outlineLevel="0" collapsed="false">
      <c r="A504" s="29"/>
      <c r="B504" s="28"/>
      <c r="C504" s="29"/>
      <c r="D504" s="29"/>
      <c r="E504" s="29"/>
      <c r="F504" s="29"/>
      <c r="G504" s="36"/>
      <c r="H504" s="29"/>
      <c r="I504" s="29"/>
      <c r="J504" s="29"/>
      <c r="K504" s="29"/>
      <c r="L504" s="29"/>
      <c r="M504" s="29"/>
      <c r="N504" s="54"/>
      <c r="O504" s="55" t="n">
        <f aca="false">N504*J504</f>
        <v>0</v>
      </c>
    </row>
    <row r="505" customFormat="false" ht="15" hidden="false" customHeight="false" outlineLevel="0" collapsed="false">
      <c r="A505" s="29"/>
      <c r="B505" s="28"/>
      <c r="C505" s="29"/>
      <c r="D505" s="29"/>
      <c r="E505" s="29"/>
      <c r="F505" s="29"/>
      <c r="G505" s="36"/>
      <c r="H505" s="29"/>
      <c r="I505" s="29"/>
      <c r="J505" s="29"/>
      <c r="K505" s="29"/>
      <c r="L505" s="29"/>
      <c r="M505" s="29"/>
      <c r="N505" s="54"/>
      <c r="O505" s="55" t="n">
        <f aca="false">N505*J505</f>
        <v>0</v>
      </c>
    </row>
    <row r="506" customFormat="false" ht="15" hidden="false" customHeight="false" outlineLevel="0" collapsed="false">
      <c r="A506" s="29"/>
      <c r="B506" s="28"/>
      <c r="C506" s="29"/>
      <c r="D506" s="29"/>
      <c r="E506" s="29"/>
      <c r="F506" s="29"/>
      <c r="G506" s="36"/>
      <c r="H506" s="29"/>
      <c r="I506" s="29"/>
      <c r="J506" s="29"/>
      <c r="K506" s="29"/>
      <c r="L506" s="29"/>
      <c r="M506" s="29"/>
      <c r="N506" s="54"/>
      <c r="O506" s="55" t="n">
        <f aca="false">N506*J506</f>
        <v>0</v>
      </c>
    </row>
    <row r="507" customFormat="false" ht="15" hidden="false" customHeight="false" outlineLevel="0" collapsed="false">
      <c r="A507" s="29"/>
      <c r="B507" s="28"/>
      <c r="C507" s="29"/>
      <c r="D507" s="29"/>
      <c r="E507" s="29"/>
      <c r="F507" s="29"/>
      <c r="G507" s="36"/>
      <c r="H507" s="29"/>
      <c r="I507" s="29"/>
      <c r="J507" s="29"/>
      <c r="K507" s="29"/>
      <c r="L507" s="29"/>
      <c r="M507" s="29"/>
      <c r="N507" s="54"/>
      <c r="O507" s="55" t="n">
        <f aca="false">N507*J507</f>
        <v>0</v>
      </c>
    </row>
    <row r="508" customFormat="false" ht="15" hidden="false" customHeight="false" outlineLevel="0" collapsed="false">
      <c r="A508" s="29"/>
      <c r="B508" s="28"/>
      <c r="C508" s="29"/>
      <c r="D508" s="29"/>
      <c r="E508" s="29"/>
      <c r="F508" s="29"/>
      <c r="G508" s="36"/>
      <c r="H508" s="29"/>
      <c r="I508" s="29"/>
      <c r="J508" s="29"/>
      <c r="K508" s="29"/>
      <c r="L508" s="29"/>
      <c r="M508" s="29"/>
      <c r="N508" s="54"/>
      <c r="O508" s="55" t="n">
        <f aca="false">N508*J508</f>
        <v>0</v>
      </c>
    </row>
    <row r="509" customFormat="false" ht="15" hidden="false" customHeight="false" outlineLevel="0" collapsed="false">
      <c r="A509" s="29"/>
      <c r="B509" s="28"/>
      <c r="C509" s="29"/>
      <c r="D509" s="29"/>
      <c r="E509" s="29"/>
      <c r="F509" s="29"/>
      <c r="G509" s="36"/>
      <c r="H509" s="29"/>
      <c r="I509" s="29"/>
      <c r="J509" s="29"/>
      <c r="K509" s="29"/>
      <c r="L509" s="29"/>
      <c r="M509" s="29"/>
      <c r="N509" s="54"/>
      <c r="O509" s="55" t="n">
        <f aca="false">N509*J509</f>
        <v>0</v>
      </c>
    </row>
    <row r="510" customFormat="false" ht="15" hidden="false" customHeight="false" outlineLevel="0" collapsed="false">
      <c r="A510" s="29"/>
      <c r="B510" s="28"/>
      <c r="C510" s="29"/>
      <c r="D510" s="29"/>
      <c r="E510" s="29"/>
      <c r="F510" s="29"/>
      <c r="G510" s="36"/>
      <c r="H510" s="29"/>
      <c r="I510" s="29"/>
      <c r="J510" s="29"/>
      <c r="K510" s="29"/>
      <c r="L510" s="29"/>
      <c r="M510" s="29"/>
      <c r="N510" s="54"/>
      <c r="O510" s="55" t="n">
        <f aca="false">N510*J510</f>
        <v>0</v>
      </c>
    </row>
    <row r="511" customFormat="false" ht="15" hidden="false" customHeight="false" outlineLevel="0" collapsed="false">
      <c r="A511" s="29"/>
      <c r="B511" s="28"/>
      <c r="C511" s="29"/>
      <c r="D511" s="29"/>
      <c r="E511" s="29"/>
      <c r="F511" s="29"/>
      <c r="G511" s="36"/>
      <c r="H511" s="29"/>
      <c r="I511" s="29"/>
      <c r="J511" s="29"/>
      <c r="K511" s="29"/>
      <c r="L511" s="29"/>
      <c r="M511" s="29"/>
      <c r="N511" s="54"/>
      <c r="O511" s="55" t="n">
        <f aca="false">N511*J511</f>
        <v>0</v>
      </c>
    </row>
    <row r="512" customFormat="false" ht="15" hidden="false" customHeight="false" outlineLevel="0" collapsed="false">
      <c r="N512" s="54"/>
      <c r="O512" s="55" t="n">
        <f aca="false">N512*J512</f>
        <v>0</v>
      </c>
    </row>
    <row r="513" customFormat="false" ht="15" hidden="false" customHeight="false" outlineLevel="0" collapsed="false">
      <c r="N513" s="54"/>
      <c r="O513" s="55" t="n">
        <f aca="false">N513*J513</f>
        <v>0</v>
      </c>
    </row>
    <row r="514" customFormat="false" ht="15" hidden="false" customHeight="false" outlineLevel="0" collapsed="false">
      <c r="N514" s="54"/>
      <c r="O514" s="55" t="n">
        <f aca="false">N514*J514</f>
        <v>0</v>
      </c>
    </row>
    <row r="515" customFormat="false" ht="15" hidden="false" customHeight="false" outlineLevel="0" collapsed="false">
      <c r="N515" s="54"/>
      <c r="O515" s="55" t="n">
        <f aca="false">N515*J515</f>
        <v>0</v>
      </c>
    </row>
    <row r="516" customFormat="false" ht="15" hidden="false" customHeight="false" outlineLevel="0" collapsed="false">
      <c r="N516" s="54"/>
      <c r="O516" s="55" t="n">
        <f aca="false">N516*J516</f>
        <v>0</v>
      </c>
    </row>
    <row r="517" customFormat="false" ht="15" hidden="false" customHeight="false" outlineLevel="0" collapsed="false">
      <c r="N517" s="54"/>
      <c r="O517" s="55" t="n">
        <f aca="false">N517*J517</f>
        <v>0</v>
      </c>
    </row>
    <row r="518" customFormat="false" ht="15" hidden="false" customHeight="false" outlineLevel="0" collapsed="false">
      <c r="N518" s="54"/>
      <c r="O518" s="55" t="n">
        <f aca="false">N518*J518</f>
        <v>0</v>
      </c>
    </row>
    <row r="519" customFormat="false" ht="15" hidden="false" customHeight="false" outlineLevel="0" collapsed="false">
      <c r="N519" s="54"/>
      <c r="O519" s="55" t="n">
        <f aca="false">N519*J519</f>
        <v>0</v>
      </c>
    </row>
    <row r="520" customFormat="false" ht="15" hidden="false" customHeight="false" outlineLevel="0" collapsed="false">
      <c r="N520" s="54"/>
      <c r="O520" s="55" t="n">
        <f aca="false">N520*J520</f>
        <v>0</v>
      </c>
    </row>
    <row r="521" customFormat="false" ht="15" hidden="false" customHeight="false" outlineLevel="0" collapsed="false">
      <c r="N521" s="54"/>
      <c r="O521" s="55" t="n">
        <f aca="false">N521*J521</f>
        <v>0</v>
      </c>
    </row>
    <row r="522" customFormat="false" ht="15" hidden="false" customHeight="false" outlineLevel="0" collapsed="false">
      <c r="N522" s="54"/>
      <c r="O522" s="55" t="n">
        <f aca="false">N522*J522</f>
        <v>0</v>
      </c>
    </row>
    <row r="523" customFormat="false" ht="15" hidden="false" customHeight="false" outlineLevel="0" collapsed="false">
      <c r="N523" s="54"/>
      <c r="O523" s="55" t="n">
        <f aca="false">N523*J523</f>
        <v>0</v>
      </c>
    </row>
    <row r="524" customFormat="false" ht="15" hidden="false" customHeight="false" outlineLevel="0" collapsed="false">
      <c r="N524" s="54"/>
      <c r="O524" s="55" t="n">
        <f aca="false">N524*J524</f>
        <v>0</v>
      </c>
    </row>
    <row r="525" customFormat="false" ht="15" hidden="false" customHeight="false" outlineLevel="0" collapsed="false">
      <c r="N525" s="54"/>
      <c r="O525" s="55" t="n">
        <f aca="false">N525*J525</f>
        <v>0</v>
      </c>
    </row>
    <row r="526" customFormat="false" ht="15" hidden="false" customHeight="false" outlineLevel="0" collapsed="false">
      <c r="N526" s="54"/>
      <c r="O526" s="55" t="n">
        <f aca="false">N526*J526</f>
        <v>0</v>
      </c>
    </row>
    <row r="527" customFormat="false" ht="15" hidden="false" customHeight="false" outlineLevel="0" collapsed="false">
      <c r="N527" s="54"/>
      <c r="O527" s="55" t="n">
        <f aca="false">N527*J527</f>
        <v>0</v>
      </c>
    </row>
    <row r="528" customFormat="false" ht="15" hidden="false" customHeight="false" outlineLevel="0" collapsed="false">
      <c r="N528" s="54"/>
      <c r="O528" s="55" t="n">
        <f aca="false">N528*J528</f>
        <v>0</v>
      </c>
    </row>
    <row r="529" customFormat="false" ht="15" hidden="false" customHeight="false" outlineLevel="0" collapsed="false">
      <c r="N529" s="54"/>
      <c r="O529" s="55" t="n">
        <f aca="false">N529*J529</f>
        <v>0</v>
      </c>
    </row>
    <row r="530" customFormat="false" ht="15" hidden="false" customHeight="false" outlineLevel="0" collapsed="false">
      <c r="N530" s="54"/>
      <c r="O530" s="55" t="n">
        <f aca="false">N530*J530</f>
        <v>0</v>
      </c>
    </row>
    <row r="531" customFormat="false" ht="15" hidden="false" customHeight="false" outlineLevel="0" collapsed="false">
      <c r="O531" s="55" t="n">
        <f aca="false">N531*J531</f>
        <v>0</v>
      </c>
    </row>
    <row r="532" customFormat="false" ht="15" hidden="false" customHeight="false" outlineLevel="0" collapsed="false">
      <c r="O532" s="55" t="n">
        <f aca="false">N532*J532</f>
        <v>0</v>
      </c>
    </row>
    <row r="533" customFormat="false" ht="15" hidden="false" customHeight="false" outlineLevel="0" collapsed="false">
      <c r="O533" s="55" t="n">
        <f aca="false">N533*J533</f>
        <v>0</v>
      </c>
    </row>
    <row r="534" customFormat="false" ht="15" hidden="false" customHeight="false" outlineLevel="0" collapsed="false">
      <c r="O534" s="55" t="n">
        <f aca="false">N534*J534</f>
        <v>0</v>
      </c>
    </row>
    <row r="535" customFormat="false" ht="15" hidden="false" customHeight="false" outlineLevel="0" collapsed="false">
      <c r="O535" s="55" t="n">
        <f aca="false">N535*J535</f>
        <v>0</v>
      </c>
    </row>
    <row r="536" customFormat="false" ht="15" hidden="false" customHeight="false" outlineLevel="0" collapsed="false">
      <c r="O536" s="55" t="n">
        <f aca="false">N536*J536</f>
        <v>0</v>
      </c>
    </row>
    <row r="537" customFormat="false" ht="15" hidden="false" customHeight="false" outlineLevel="0" collapsed="false">
      <c r="O537" s="55" t="n">
        <f aca="false">N537*J537</f>
        <v>0</v>
      </c>
    </row>
    <row r="538" customFormat="false" ht="15" hidden="false" customHeight="false" outlineLevel="0" collapsed="false">
      <c r="O538" s="55" t="n">
        <f aca="false">N538*J538</f>
        <v>0</v>
      </c>
    </row>
    <row r="539" customFormat="false" ht="15" hidden="false" customHeight="false" outlineLevel="0" collapsed="false">
      <c r="O539" s="55" t="n">
        <f aca="false">N539*J539</f>
        <v>0</v>
      </c>
    </row>
    <row r="540" customFormat="false" ht="15" hidden="false" customHeight="false" outlineLevel="0" collapsed="false">
      <c r="O540" s="55" t="n">
        <f aca="false">N540*J540</f>
        <v>0</v>
      </c>
    </row>
    <row r="541" customFormat="false" ht="15" hidden="false" customHeight="false" outlineLevel="0" collapsed="false">
      <c r="O541" s="55" t="n">
        <f aca="false">N541*J541</f>
        <v>0</v>
      </c>
    </row>
    <row r="542" customFormat="false" ht="15" hidden="false" customHeight="false" outlineLevel="0" collapsed="false">
      <c r="O542" s="55" t="n">
        <f aca="false">N542*J542</f>
        <v>0</v>
      </c>
    </row>
    <row r="543" customFormat="false" ht="15" hidden="false" customHeight="false" outlineLevel="0" collapsed="false">
      <c r="O543" s="55" t="n">
        <f aca="false">N543*J543</f>
        <v>0</v>
      </c>
    </row>
    <row r="544" customFormat="false" ht="15" hidden="false" customHeight="false" outlineLevel="0" collapsed="false">
      <c r="O544" s="55" t="n">
        <f aca="false">N544*J544</f>
        <v>0</v>
      </c>
    </row>
    <row r="545" customFormat="false" ht="15" hidden="false" customHeight="false" outlineLevel="0" collapsed="false">
      <c r="O545" s="55" t="n">
        <f aca="false">N545*J545</f>
        <v>0</v>
      </c>
    </row>
    <row r="546" customFormat="false" ht="15" hidden="false" customHeight="false" outlineLevel="0" collapsed="false">
      <c r="O546" s="55" t="n">
        <f aca="false">N546*J546</f>
        <v>0</v>
      </c>
    </row>
    <row r="547" customFormat="false" ht="15" hidden="false" customHeight="false" outlineLevel="0" collapsed="false">
      <c r="O547" s="55" t="n">
        <f aca="false">N547*J547</f>
        <v>0</v>
      </c>
    </row>
    <row r="548" customFormat="false" ht="15" hidden="false" customHeight="false" outlineLevel="0" collapsed="false">
      <c r="O548" s="55" t="n">
        <f aca="false">N548*J548</f>
        <v>0</v>
      </c>
    </row>
    <row r="549" customFormat="false" ht="15" hidden="false" customHeight="false" outlineLevel="0" collapsed="false">
      <c r="O549" s="55" t="n">
        <f aca="false">N549*J549</f>
        <v>0</v>
      </c>
    </row>
    <row r="550" customFormat="false" ht="15" hidden="false" customHeight="false" outlineLevel="0" collapsed="false">
      <c r="O550" s="55" t="n">
        <f aca="false">N550*J550</f>
        <v>0</v>
      </c>
    </row>
    <row r="551" customFormat="false" ht="15" hidden="false" customHeight="false" outlineLevel="0" collapsed="false">
      <c r="O551" s="55" t="n">
        <f aca="false">N551*J551</f>
        <v>0</v>
      </c>
    </row>
    <row r="552" customFormat="false" ht="15" hidden="false" customHeight="false" outlineLevel="0" collapsed="false">
      <c r="O552" s="55" t="n">
        <f aca="false">N552*J552</f>
        <v>0</v>
      </c>
    </row>
    <row r="553" customFormat="false" ht="15" hidden="false" customHeight="false" outlineLevel="0" collapsed="false">
      <c r="O553" s="55" t="n">
        <f aca="false">N553*J553</f>
        <v>0</v>
      </c>
    </row>
    <row r="554" customFormat="false" ht="15" hidden="false" customHeight="false" outlineLevel="0" collapsed="false">
      <c r="O554" s="55" t="n">
        <f aca="false">N554*J554</f>
        <v>0</v>
      </c>
    </row>
    <row r="555" customFormat="false" ht="15" hidden="false" customHeight="false" outlineLevel="0" collapsed="false">
      <c r="O555" s="55" t="n">
        <f aca="false">N555*J555</f>
        <v>0</v>
      </c>
    </row>
    <row r="556" customFormat="false" ht="15" hidden="false" customHeight="false" outlineLevel="0" collapsed="false">
      <c r="O556" s="55" t="n">
        <f aca="false">N556*J556</f>
        <v>0</v>
      </c>
    </row>
    <row r="557" customFormat="false" ht="15" hidden="false" customHeight="false" outlineLevel="0" collapsed="false">
      <c r="O557" s="55" t="n">
        <f aca="false">N557*J557</f>
        <v>0</v>
      </c>
    </row>
    <row r="558" customFormat="false" ht="15" hidden="false" customHeight="false" outlineLevel="0" collapsed="false">
      <c r="O558" s="55" t="n">
        <f aca="false">N558*J558</f>
        <v>0</v>
      </c>
    </row>
    <row r="559" customFormat="false" ht="15" hidden="false" customHeight="false" outlineLevel="0" collapsed="false">
      <c r="O559" s="55" t="n">
        <f aca="false">N559*J559</f>
        <v>0</v>
      </c>
    </row>
    <row r="560" customFormat="false" ht="15" hidden="false" customHeight="false" outlineLevel="0" collapsed="false">
      <c r="O560" s="55" t="n">
        <f aca="false">N560*J560</f>
        <v>0</v>
      </c>
    </row>
    <row r="561" customFormat="false" ht="15" hidden="false" customHeight="false" outlineLevel="0" collapsed="false">
      <c r="O561" s="55" t="n">
        <f aca="false">N561*J561</f>
        <v>0</v>
      </c>
    </row>
    <row r="562" customFormat="false" ht="15" hidden="false" customHeight="false" outlineLevel="0" collapsed="false">
      <c r="O562" s="55" t="n">
        <f aca="false">N562*J562</f>
        <v>0</v>
      </c>
    </row>
    <row r="563" customFormat="false" ht="15" hidden="false" customHeight="false" outlineLevel="0" collapsed="false">
      <c r="O563" s="55" t="n">
        <f aca="false">N563*J563</f>
        <v>0</v>
      </c>
    </row>
    <row r="564" customFormat="false" ht="15" hidden="false" customHeight="false" outlineLevel="0" collapsed="false">
      <c r="O564" s="55" t="n">
        <f aca="false">N564*J564</f>
        <v>0</v>
      </c>
    </row>
    <row r="565" customFormat="false" ht="15" hidden="false" customHeight="false" outlineLevel="0" collapsed="false">
      <c r="O565" s="55" t="n">
        <f aca="false">N565*J565</f>
        <v>0</v>
      </c>
    </row>
    <row r="566" customFormat="false" ht="15" hidden="false" customHeight="false" outlineLevel="0" collapsed="false">
      <c r="O566" s="55" t="n">
        <f aca="false">N566*J566</f>
        <v>0</v>
      </c>
    </row>
    <row r="567" customFormat="false" ht="15" hidden="false" customHeight="false" outlineLevel="0" collapsed="false">
      <c r="O567" s="55" t="n">
        <f aca="false">N567*J567</f>
        <v>0</v>
      </c>
    </row>
    <row r="568" customFormat="false" ht="15" hidden="false" customHeight="false" outlineLevel="0" collapsed="false">
      <c r="O568" s="55" t="n">
        <f aca="false">N568*J568</f>
        <v>0</v>
      </c>
    </row>
    <row r="569" customFormat="false" ht="15" hidden="false" customHeight="false" outlineLevel="0" collapsed="false">
      <c r="O569" s="55" t="n">
        <f aca="false">N569*J569</f>
        <v>0</v>
      </c>
    </row>
    <row r="570" customFormat="false" ht="15" hidden="false" customHeight="false" outlineLevel="0" collapsed="false">
      <c r="O570" s="55" t="n">
        <f aca="false">N570*J570</f>
        <v>0</v>
      </c>
    </row>
    <row r="571" customFormat="false" ht="15" hidden="false" customHeight="false" outlineLevel="0" collapsed="false">
      <c r="O571" s="55" t="n">
        <f aca="false">N571*J571</f>
        <v>0</v>
      </c>
    </row>
    <row r="572" customFormat="false" ht="15" hidden="false" customHeight="false" outlineLevel="0" collapsed="false">
      <c r="O572" s="55" t="n">
        <f aca="false">N572*J572</f>
        <v>0</v>
      </c>
    </row>
    <row r="573" customFormat="false" ht="15" hidden="false" customHeight="false" outlineLevel="0" collapsed="false">
      <c r="O573" s="55" t="n">
        <f aca="false">N573*J573</f>
        <v>0</v>
      </c>
    </row>
    <row r="574" customFormat="false" ht="15" hidden="false" customHeight="false" outlineLevel="0" collapsed="false">
      <c r="O574" s="55" t="n">
        <f aca="false">N574*J574</f>
        <v>0</v>
      </c>
    </row>
    <row r="575" customFormat="false" ht="15" hidden="false" customHeight="false" outlineLevel="0" collapsed="false">
      <c r="O575" s="55" t="n">
        <f aca="false">N575*J575</f>
        <v>0</v>
      </c>
    </row>
    <row r="576" customFormat="false" ht="15" hidden="false" customHeight="false" outlineLevel="0" collapsed="false">
      <c r="O576" s="55" t="n">
        <f aca="false">N576*J576</f>
        <v>0</v>
      </c>
    </row>
    <row r="577" customFormat="false" ht="15" hidden="false" customHeight="false" outlineLevel="0" collapsed="false">
      <c r="O577" s="55" t="n">
        <f aca="false">N577*J577</f>
        <v>0</v>
      </c>
    </row>
    <row r="578" customFormat="false" ht="15" hidden="false" customHeight="false" outlineLevel="0" collapsed="false">
      <c r="O578" s="55" t="n">
        <f aca="false">N578*J578</f>
        <v>0</v>
      </c>
    </row>
    <row r="579" customFormat="false" ht="15" hidden="false" customHeight="false" outlineLevel="0" collapsed="false">
      <c r="O579" s="55" t="n">
        <f aca="false">N579*J579</f>
        <v>0</v>
      </c>
    </row>
    <row r="580" customFormat="false" ht="15" hidden="false" customHeight="false" outlineLevel="0" collapsed="false">
      <c r="O580" s="55" t="n">
        <f aca="false">N580*J580</f>
        <v>0</v>
      </c>
    </row>
    <row r="581" customFormat="false" ht="15" hidden="false" customHeight="false" outlineLevel="0" collapsed="false">
      <c r="O581" s="55" t="n">
        <f aca="false">N581*J581</f>
        <v>0</v>
      </c>
    </row>
    <row r="582" customFormat="false" ht="15" hidden="false" customHeight="false" outlineLevel="0" collapsed="false">
      <c r="O582" s="55" t="n">
        <f aca="false">N582*J582</f>
        <v>0</v>
      </c>
    </row>
    <row r="583" customFormat="false" ht="15" hidden="false" customHeight="false" outlineLevel="0" collapsed="false">
      <c r="O583" s="55" t="n">
        <f aca="false">N583*J583</f>
        <v>0</v>
      </c>
    </row>
    <row r="584" customFormat="false" ht="15" hidden="false" customHeight="false" outlineLevel="0" collapsed="false">
      <c r="O584" s="55" t="n">
        <f aca="false">N584*J584</f>
        <v>0</v>
      </c>
    </row>
    <row r="585" customFormat="false" ht="15" hidden="false" customHeight="false" outlineLevel="0" collapsed="false">
      <c r="O585" s="55" t="n">
        <f aca="false">N585*J585</f>
        <v>0</v>
      </c>
    </row>
    <row r="586" customFormat="false" ht="15" hidden="false" customHeight="false" outlineLevel="0" collapsed="false">
      <c r="O586" s="55" t="n">
        <f aca="false">N586*J586</f>
        <v>0</v>
      </c>
    </row>
    <row r="587" customFormat="false" ht="15" hidden="false" customHeight="false" outlineLevel="0" collapsed="false">
      <c r="O587" s="55" t="n">
        <f aca="false">N587*J587</f>
        <v>0</v>
      </c>
    </row>
    <row r="588" customFormat="false" ht="15" hidden="false" customHeight="false" outlineLevel="0" collapsed="false">
      <c r="O588" s="55" t="n">
        <f aca="false">N588*J588</f>
        <v>0</v>
      </c>
    </row>
    <row r="589" customFormat="false" ht="15" hidden="false" customHeight="false" outlineLevel="0" collapsed="false">
      <c r="O589" s="55" t="n">
        <f aca="false">N589*J589</f>
        <v>0</v>
      </c>
    </row>
    <row r="590" customFormat="false" ht="15" hidden="false" customHeight="false" outlineLevel="0" collapsed="false">
      <c r="O590" s="55" t="n">
        <f aca="false">N590*J590</f>
        <v>0</v>
      </c>
    </row>
    <row r="591" customFormat="false" ht="15" hidden="false" customHeight="false" outlineLevel="0" collapsed="false">
      <c r="O591" s="55" t="n">
        <f aca="false">N591*J591</f>
        <v>0</v>
      </c>
    </row>
    <row r="592" customFormat="false" ht="15" hidden="false" customHeight="false" outlineLevel="0" collapsed="false">
      <c r="O592" s="55" t="n">
        <f aca="false">N592*J592</f>
        <v>0</v>
      </c>
    </row>
    <row r="593" customFormat="false" ht="15" hidden="false" customHeight="false" outlineLevel="0" collapsed="false">
      <c r="O593" s="55" t="n">
        <f aca="false">N593*J593</f>
        <v>0</v>
      </c>
    </row>
    <row r="594" customFormat="false" ht="15" hidden="false" customHeight="false" outlineLevel="0" collapsed="false">
      <c r="O594" s="55" t="n">
        <f aca="false">N594*J594</f>
        <v>0</v>
      </c>
    </row>
    <row r="595" customFormat="false" ht="15" hidden="false" customHeight="false" outlineLevel="0" collapsed="false">
      <c r="O595" s="55" t="n">
        <f aca="false">N595*J595</f>
        <v>0</v>
      </c>
    </row>
    <row r="596" customFormat="false" ht="15" hidden="false" customHeight="false" outlineLevel="0" collapsed="false">
      <c r="O596" s="55" t="n">
        <f aca="false">N596*J596</f>
        <v>0</v>
      </c>
    </row>
    <row r="597" customFormat="false" ht="15" hidden="false" customHeight="false" outlineLevel="0" collapsed="false">
      <c r="O597" s="55" t="n">
        <f aca="false">N597*J597</f>
        <v>0</v>
      </c>
    </row>
    <row r="598" customFormat="false" ht="15" hidden="false" customHeight="false" outlineLevel="0" collapsed="false">
      <c r="O598" s="55" t="n">
        <f aca="false">N598*J598</f>
        <v>0</v>
      </c>
    </row>
    <row r="599" customFormat="false" ht="15" hidden="false" customHeight="false" outlineLevel="0" collapsed="false">
      <c r="O599" s="55" t="n">
        <f aca="false">N599*J599</f>
        <v>0</v>
      </c>
    </row>
    <row r="600" customFormat="false" ht="15" hidden="false" customHeight="false" outlineLevel="0" collapsed="false">
      <c r="O600" s="55" t="n">
        <f aca="false">N600*J600</f>
        <v>0</v>
      </c>
    </row>
    <row r="601" customFormat="false" ht="15" hidden="false" customHeight="false" outlineLevel="0" collapsed="false">
      <c r="O601" s="55" t="n">
        <f aca="false">N601*J601</f>
        <v>0</v>
      </c>
    </row>
    <row r="602" customFormat="false" ht="15" hidden="false" customHeight="false" outlineLevel="0" collapsed="false">
      <c r="O602" s="55" t="n">
        <f aca="false">N602*J602</f>
        <v>0</v>
      </c>
    </row>
    <row r="603" customFormat="false" ht="15" hidden="false" customHeight="false" outlineLevel="0" collapsed="false">
      <c r="O603" s="55" t="n">
        <f aca="false">N603*J603</f>
        <v>0</v>
      </c>
    </row>
    <row r="604" customFormat="false" ht="15" hidden="false" customHeight="false" outlineLevel="0" collapsed="false">
      <c r="O604" s="55" t="n">
        <f aca="false">N604*J604</f>
        <v>0</v>
      </c>
    </row>
    <row r="605" customFormat="false" ht="15" hidden="false" customHeight="false" outlineLevel="0" collapsed="false">
      <c r="O605" s="55" t="n">
        <f aca="false">N605*J605</f>
        <v>0</v>
      </c>
    </row>
    <row r="606" customFormat="false" ht="15" hidden="false" customHeight="false" outlineLevel="0" collapsed="false">
      <c r="O606" s="55" t="n">
        <f aca="false">N606*J606</f>
        <v>0</v>
      </c>
    </row>
    <row r="607" customFormat="false" ht="15" hidden="false" customHeight="false" outlineLevel="0" collapsed="false">
      <c r="O607" s="55" t="n">
        <f aca="false">N607*J607</f>
        <v>0</v>
      </c>
    </row>
    <row r="608" customFormat="false" ht="15" hidden="false" customHeight="false" outlineLevel="0" collapsed="false">
      <c r="O608" s="55" t="n">
        <f aca="false">N608*J608</f>
        <v>0</v>
      </c>
    </row>
    <row r="609" customFormat="false" ht="15" hidden="false" customHeight="false" outlineLevel="0" collapsed="false">
      <c r="O609" s="55" t="n">
        <f aca="false">N609*J609</f>
        <v>0</v>
      </c>
    </row>
    <row r="610" customFormat="false" ht="15" hidden="false" customHeight="false" outlineLevel="0" collapsed="false">
      <c r="O610" s="55" t="n">
        <f aca="false">N610*J610</f>
        <v>0</v>
      </c>
    </row>
    <row r="611" customFormat="false" ht="15" hidden="false" customHeight="false" outlineLevel="0" collapsed="false">
      <c r="O611" s="55" t="n">
        <f aca="false">N611*J611</f>
        <v>0</v>
      </c>
    </row>
    <row r="612" customFormat="false" ht="15" hidden="false" customHeight="false" outlineLevel="0" collapsed="false">
      <c r="O612" s="55" t="n">
        <f aca="false">N612*J612</f>
        <v>0</v>
      </c>
    </row>
    <row r="613" customFormat="false" ht="15" hidden="false" customHeight="false" outlineLevel="0" collapsed="false">
      <c r="O613" s="55" t="n">
        <f aca="false">N613*J613</f>
        <v>0</v>
      </c>
    </row>
    <row r="614" customFormat="false" ht="15" hidden="false" customHeight="false" outlineLevel="0" collapsed="false">
      <c r="O614" s="55" t="n">
        <f aca="false">N614*J614</f>
        <v>0</v>
      </c>
    </row>
    <row r="615" customFormat="false" ht="15" hidden="false" customHeight="false" outlineLevel="0" collapsed="false">
      <c r="O615" s="55" t="n">
        <f aca="false">N615*J615</f>
        <v>0</v>
      </c>
    </row>
    <row r="616" customFormat="false" ht="15" hidden="false" customHeight="false" outlineLevel="0" collapsed="false">
      <c r="O616" s="55" t="n">
        <f aca="false">N616*J616</f>
        <v>0</v>
      </c>
    </row>
    <row r="617" customFormat="false" ht="15" hidden="false" customHeight="false" outlineLevel="0" collapsed="false">
      <c r="O617" s="55" t="n">
        <f aca="false">N617*J617</f>
        <v>0</v>
      </c>
    </row>
    <row r="618" customFormat="false" ht="15" hidden="false" customHeight="false" outlineLevel="0" collapsed="false">
      <c r="O618" s="55" t="n">
        <f aca="false">N618*J618</f>
        <v>0</v>
      </c>
    </row>
    <row r="619" customFormat="false" ht="15" hidden="false" customHeight="false" outlineLevel="0" collapsed="false">
      <c r="O619" s="55" t="n">
        <f aca="false">N619*J619</f>
        <v>0</v>
      </c>
    </row>
    <row r="620" customFormat="false" ht="15" hidden="false" customHeight="false" outlineLevel="0" collapsed="false">
      <c r="O620" s="55" t="n">
        <f aca="false">N620*J620</f>
        <v>0</v>
      </c>
    </row>
    <row r="621" customFormat="false" ht="15" hidden="false" customHeight="false" outlineLevel="0" collapsed="false">
      <c r="O621" s="55" t="n">
        <f aca="false">N621*J621</f>
        <v>0</v>
      </c>
    </row>
    <row r="622" customFormat="false" ht="15" hidden="false" customHeight="false" outlineLevel="0" collapsed="false">
      <c r="O622" s="55" t="n">
        <f aca="false">N622*J622</f>
        <v>0</v>
      </c>
    </row>
    <row r="623" customFormat="false" ht="15" hidden="false" customHeight="false" outlineLevel="0" collapsed="false">
      <c r="O623" s="55" t="n">
        <f aca="false">N623*J623</f>
        <v>0</v>
      </c>
    </row>
    <row r="624" customFormat="false" ht="15" hidden="false" customHeight="false" outlineLevel="0" collapsed="false">
      <c r="O624" s="55" t="n">
        <f aca="false">N624*J624</f>
        <v>0</v>
      </c>
    </row>
    <row r="625" customFormat="false" ht="15" hidden="false" customHeight="false" outlineLevel="0" collapsed="false">
      <c r="O625" s="55" t="n">
        <f aca="false">N625*J625</f>
        <v>0</v>
      </c>
    </row>
    <row r="626" customFormat="false" ht="15" hidden="false" customHeight="false" outlineLevel="0" collapsed="false">
      <c r="O626" s="55" t="n">
        <f aca="false">N626*J626</f>
        <v>0</v>
      </c>
    </row>
    <row r="627" customFormat="false" ht="15" hidden="false" customHeight="false" outlineLevel="0" collapsed="false">
      <c r="O627" s="55" t="n">
        <f aca="false">N627*J627</f>
        <v>0</v>
      </c>
    </row>
    <row r="628" customFormat="false" ht="15" hidden="false" customHeight="false" outlineLevel="0" collapsed="false">
      <c r="O628" s="55" t="n">
        <f aca="false">N628*J628</f>
        <v>0</v>
      </c>
    </row>
    <row r="629" customFormat="false" ht="15" hidden="false" customHeight="false" outlineLevel="0" collapsed="false">
      <c r="O629" s="55" t="n">
        <f aca="false">N629*J629</f>
        <v>0</v>
      </c>
    </row>
    <row r="630" customFormat="false" ht="15" hidden="false" customHeight="false" outlineLevel="0" collapsed="false">
      <c r="O630" s="55" t="n">
        <f aca="false">N630*J630</f>
        <v>0</v>
      </c>
    </row>
    <row r="631" customFormat="false" ht="15" hidden="false" customHeight="false" outlineLevel="0" collapsed="false">
      <c r="O631" s="55" t="n">
        <f aca="false">N631*J631</f>
        <v>0</v>
      </c>
    </row>
    <row r="632" customFormat="false" ht="15" hidden="false" customHeight="false" outlineLevel="0" collapsed="false">
      <c r="O632" s="55" t="n">
        <f aca="false">N632*J632</f>
        <v>0</v>
      </c>
    </row>
    <row r="633" customFormat="false" ht="15" hidden="false" customHeight="false" outlineLevel="0" collapsed="false">
      <c r="O633" s="55" t="n">
        <f aca="false">N633*J633</f>
        <v>0</v>
      </c>
    </row>
    <row r="634" customFormat="false" ht="15" hidden="false" customHeight="false" outlineLevel="0" collapsed="false">
      <c r="O634" s="55" t="n">
        <f aca="false">N634*J634</f>
        <v>0</v>
      </c>
    </row>
    <row r="635" customFormat="false" ht="15" hidden="false" customHeight="false" outlineLevel="0" collapsed="false">
      <c r="O635" s="55" t="n">
        <f aca="false">N635*J635</f>
        <v>0</v>
      </c>
    </row>
    <row r="636" customFormat="false" ht="15" hidden="false" customHeight="false" outlineLevel="0" collapsed="false">
      <c r="O636" s="55" t="n">
        <f aca="false">N636*J636</f>
        <v>0</v>
      </c>
    </row>
    <row r="637" customFormat="false" ht="15" hidden="false" customHeight="false" outlineLevel="0" collapsed="false">
      <c r="O637" s="55" t="n">
        <f aca="false">N637*J637</f>
        <v>0</v>
      </c>
    </row>
    <row r="638" customFormat="false" ht="15" hidden="false" customHeight="false" outlineLevel="0" collapsed="false">
      <c r="O638" s="55" t="n">
        <f aca="false">N638*J638</f>
        <v>0</v>
      </c>
    </row>
    <row r="639" customFormat="false" ht="15" hidden="false" customHeight="false" outlineLevel="0" collapsed="false">
      <c r="O639" s="55" t="n">
        <f aca="false">N639*J639</f>
        <v>0</v>
      </c>
    </row>
    <row r="640" customFormat="false" ht="15" hidden="false" customHeight="false" outlineLevel="0" collapsed="false">
      <c r="O640" s="55" t="n">
        <f aca="false">N640*J640</f>
        <v>0</v>
      </c>
    </row>
    <row r="641" customFormat="false" ht="15" hidden="false" customHeight="false" outlineLevel="0" collapsed="false">
      <c r="O641" s="55" t="n">
        <f aca="false">N641*J641</f>
        <v>0</v>
      </c>
    </row>
    <row r="642" customFormat="false" ht="15" hidden="false" customHeight="false" outlineLevel="0" collapsed="false">
      <c r="O642" s="55" t="n">
        <f aca="false">N642*J642</f>
        <v>0</v>
      </c>
    </row>
    <row r="643" customFormat="false" ht="15" hidden="false" customHeight="false" outlineLevel="0" collapsed="false">
      <c r="O643" s="55" t="n">
        <f aca="false">N643*J643</f>
        <v>0</v>
      </c>
    </row>
    <row r="644" customFormat="false" ht="15" hidden="false" customHeight="false" outlineLevel="0" collapsed="false">
      <c r="O644" s="55" t="n">
        <f aca="false">N644*J644</f>
        <v>0</v>
      </c>
    </row>
    <row r="645" customFormat="false" ht="15" hidden="false" customHeight="false" outlineLevel="0" collapsed="false">
      <c r="O645" s="55" t="n">
        <f aca="false">N645*J645</f>
        <v>0</v>
      </c>
    </row>
    <row r="646" customFormat="false" ht="15" hidden="false" customHeight="false" outlineLevel="0" collapsed="false">
      <c r="O646" s="55" t="n">
        <f aca="false">N646*J646</f>
        <v>0</v>
      </c>
    </row>
    <row r="647" customFormat="false" ht="15" hidden="false" customHeight="false" outlineLevel="0" collapsed="false">
      <c r="O647" s="55" t="n">
        <f aca="false">N647*J647</f>
        <v>0</v>
      </c>
    </row>
    <row r="648" customFormat="false" ht="15" hidden="false" customHeight="false" outlineLevel="0" collapsed="false">
      <c r="O648" s="55" t="n">
        <f aca="false">N648*J648</f>
        <v>0</v>
      </c>
    </row>
    <row r="649" customFormat="false" ht="15" hidden="false" customHeight="false" outlineLevel="0" collapsed="false">
      <c r="O649" s="55" t="n">
        <f aca="false">N649*J649</f>
        <v>0</v>
      </c>
    </row>
    <row r="650" customFormat="false" ht="15" hidden="false" customHeight="false" outlineLevel="0" collapsed="false">
      <c r="O650" s="45" t="e">
        <f aca="false">N650*#REF!</f>
        <v>#REF!</v>
      </c>
    </row>
    <row r="651" customFormat="false" ht="15" hidden="false" customHeight="false" outlineLevel="0" collapsed="false">
      <c r="O651" s="45" t="e">
        <f aca="false">N651*#REF!</f>
        <v>#REF!</v>
      </c>
    </row>
    <row r="652" customFormat="false" ht="15" hidden="false" customHeight="false" outlineLevel="0" collapsed="false">
      <c r="O652" s="45" t="e">
        <f aca="false">N652*#REF!</f>
        <v>#REF!</v>
      </c>
    </row>
    <row r="653" customFormat="false" ht="15" hidden="false" customHeight="false" outlineLevel="0" collapsed="false">
      <c r="O653" s="45" t="e">
        <f aca="false">N653*#REF!</f>
        <v>#REF!</v>
      </c>
    </row>
    <row r="654" customFormat="false" ht="15" hidden="false" customHeight="false" outlineLevel="0" collapsed="false">
      <c r="O654" s="45" t="e">
        <f aca="false">N654*#REF!</f>
        <v>#REF!</v>
      </c>
    </row>
    <row r="655" customFormat="false" ht="15" hidden="false" customHeight="false" outlineLevel="0" collapsed="false">
      <c r="O655" s="45" t="e">
        <f aca="false">N655*#REF!</f>
        <v>#REF!</v>
      </c>
    </row>
  </sheetData>
  <mergeCells count="1">
    <mergeCell ref="N1:O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tabColor rgb="FFCCFF66"/>
    <pageSetUpPr fitToPage="false"/>
  </sheetPr>
  <dimension ref="A1:IA689"/>
  <sheetViews>
    <sheetView showFormulas="false" showGridLines="true" showRowColHeaders="true" showZeros="true" rightToLeft="false" tabSelected="false" showOutlineSymbols="true" defaultGridColor="true" view="normal" topLeftCell="A1" colorId="64" zoomScale="60" zoomScaleNormal="60" zoomScalePageLayoutView="100" workbookViewId="0">
      <pane xSplit="0" ySplit="2" topLeftCell="A100" activePane="bottomLeft" state="frozen"/>
      <selection pane="topLeft" activeCell="A1" activeCellId="0" sqref="A1"/>
      <selection pane="bottomLeft" activeCell="H214" activeCellId="0" sqref="H214"/>
    </sheetView>
  </sheetViews>
  <sheetFormatPr defaultColWidth="8.8359375" defaultRowHeight="15" zeroHeight="false" outlineLevelRow="0" outlineLevelCol="0"/>
  <cols>
    <col collapsed="false" customWidth="true" hidden="false" outlineLevel="0" max="1" min="1" style="1" width="15.33"/>
    <col collapsed="false" customWidth="true" hidden="false" outlineLevel="0" max="2" min="2" style="1" width="13.51"/>
    <col collapsed="false" customWidth="true" hidden="false" outlineLevel="0" max="3" min="3" style="1" width="18.83"/>
    <col collapsed="false" customWidth="true" hidden="false" outlineLevel="0" max="4" min="4" style="1" width="15.83"/>
    <col collapsed="false" customWidth="true" hidden="false" outlineLevel="0" max="6" min="5" style="1" width="15.33"/>
    <col collapsed="false" customWidth="true" hidden="false" outlineLevel="0" max="7" min="7" style="2" width="14"/>
    <col collapsed="false" customWidth="true" hidden="false" outlineLevel="0" max="8" min="8" style="1" width="13.51"/>
    <col collapsed="false" customWidth="true" hidden="false" outlineLevel="0" max="9" min="9" style="1" width="10.51"/>
    <col collapsed="false" customWidth="true" hidden="false" outlineLevel="0" max="10" min="10" style="1" width="13.83"/>
    <col collapsed="false" customWidth="true" hidden="false" outlineLevel="0" max="11" min="11" style="1" width="12.17"/>
    <col collapsed="false" customWidth="true" hidden="false" outlineLevel="0" max="12" min="12" style="1" width="13.33"/>
    <col collapsed="false" customWidth="true" hidden="false" outlineLevel="0" max="13" min="13" style="1" width="11"/>
    <col collapsed="false" customWidth="true" hidden="false" outlineLevel="0" max="14" min="14" style="4" width="10.51"/>
    <col collapsed="false" customWidth="true" hidden="false" outlineLevel="0" max="15" min="15" style="5" width="10.66"/>
    <col collapsed="false" customWidth="false" hidden="false" outlineLevel="0" max="16" min="16" style="6" width="8.83"/>
    <col collapsed="false" customWidth="true" hidden="true" outlineLevel="0" max="17" min="17" style="46" width="12.83"/>
    <col collapsed="false" customWidth="true" hidden="true" outlineLevel="0" max="18" min="18" style="0" width="9.17"/>
  </cols>
  <sheetData>
    <row r="1" customFormat="false" ht="75" hidden="false" customHeight="true" outlineLevel="0" collapsed="false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8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7" t="s">
        <v>12</v>
      </c>
      <c r="N1" s="10" t="s">
        <v>13</v>
      </c>
      <c r="O1" s="10"/>
      <c r="P1" s="11" t="s">
        <v>14</v>
      </c>
      <c r="Q1" s="47" t="s">
        <v>22</v>
      </c>
      <c r="T1" s="27"/>
      <c r="U1" s="27"/>
      <c r="V1" s="27"/>
      <c r="W1" s="27"/>
      <c r="X1" s="27"/>
      <c r="Y1" s="27"/>
      <c r="Z1" s="27"/>
      <c r="AA1" s="27"/>
      <c r="AB1" s="27"/>
      <c r="AC1" s="27"/>
      <c r="AD1" s="27"/>
      <c r="AE1" s="27"/>
      <c r="AF1" s="27"/>
      <c r="AG1" s="27"/>
      <c r="AH1" s="27"/>
      <c r="AI1" s="27"/>
      <c r="AJ1" s="27"/>
      <c r="AK1" s="27"/>
      <c r="AL1" s="27"/>
      <c r="AM1" s="27"/>
      <c r="AN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</row>
    <row r="2" customFormat="false" ht="74.25" hidden="false" customHeight="true" outlineLevel="0" collapsed="false">
      <c r="A2" s="48" t="s">
        <v>15</v>
      </c>
      <c r="B2" s="48"/>
      <c r="C2" s="48"/>
      <c r="D2" s="48"/>
      <c r="E2" s="48"/>
      <c r="F2" s="48" t="n">
        <f aca="false">SUM(F3:F464)</f>
        <v>0</v>
      </c>
      <c r="G2" s="14" t="n">
        <f aca="false">SUM(G3:G464)</f>
        <v>0</v>
      </c>
      <c r="H2" s="48"/>
      <c r="I2" s="48"/>
      <c r="J2" s="48"/>
      <c r="K2" s="48"/>
      <c r="L2" s="14" t="n">
        <f aca="false">SUM(L3:L464)</f>
        <v>0</v>
      </c>
      <c r="M2" s="14"/>
      <c r="N2" s="49" t="s">
        <v>16</v>
      </c>
      <c r="O2" s="49" t="s">
        <v>17</v>
      </c>
      <c r="P2" s="60"/>
      <c r="Q2" s="51"/>
      <c r="S2" s="27"/>
      <c r="T2" s="27"/>
      <c r="U2" s="27"/>
      <c r="V2" s="27"/>
      <c r="W2" s="27"/>
      <c r="X2" s="27"/>
      <c r="Y2" s="27"/>
      <c r="Z2" s="27"/>
      <c r="AA2" s="27"/>
      <c r="AB2" s="27"/>
      <c r="AC2" s="27"/>
      <c r="AD2" s="27"/>
      <c r="AE2" s="27"/>
      <c r="AF2" s="27"/>
      <c r="AG2" s="27"/>
      <c r="AH2" s="27"/>
      <c r="AI2" s="27"/>
      <c r="AJ2" s="27"/>
      <c r="AK2" s="27"/>
      <c r="AL2" s="27"/>
      <c r="AM2" s="27"/>
      <c r="AN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</row>
    <row r="3" s="6" customFormat="true" ht="15" hidden="false" customHeight="false" outlineLevel="0" collapsed="false">
      <c r="A3" s="17"/>
      <c r="B3" s="18" t="s">
        <v>23</v>
      </c>
      <c r="C3" s="29"/>
      <c r="D3" s="29"/>
      <c r="E3" s="61"/>
      <c r="F3" s="29"/>
      <c r="G3" s="34"/>
      <c r="H3" s="29"/>
      <c r="I3" s="29"/>
      <c r="J3" s="29"/>
      <c r="K3" s="53"/>
      <c r="L3" s="36"/>
      <c r="M3" s="19" t="n">
        <v>-25</v>
      </c>
      <c r="N3" s="37"/>
      <c r="O3" s="30" t="n">
        <f aca="false">N3*J3</f>
        <v>0</v>
      </c>
      <c r="Q3" s="46"/>
      <c r="S3" s="27"/>
      <c r="T3" s="27"/>
      <c r="U3" s="27"/>
      <c r="V3" s="27"/>
      <c r="W3" s="27"/>
      <c r="X3" s="27"/>
      <c r="Y3" s="27"/>
      <c r="Z3" s="27"/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  <c r="AL3" s="27"/>
      <c r="AM3" s="27"/>
      <c r="AN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  <c r="BR3" s="27"/>
      <c r="BS3" s="27"/>
      <c r="BT3" s="27"/>
      <c r="BU3" s="27"/>
      <c r="BV3" s="27"/>
      <c r="BW3" s="27"/>
      <c r="BX3" s="27"/>
      <c r="BY3" s="27"/>
      <c r="BZ3" s="27"/>
      <c r="CA3" s="27"/>
      <c r="CB3" s="27"/>
      <c r="CC3" s="27"/>
      <c r="CD3" s="27"/>
      <c r="CE3" s="27"/>
      <c r="CF3" s="27"/>
      <c r="CG3" s="27"/>
      <c r="CH3" s="27"/>
      <c r="CI3" s="27"/>
      <c r="CJ3" s="27"/>
      <c r="CK3" s="27"/>
      <c r="CL3" s="27"/>
      <c r="CM3" s="27"/>
      <c r="CN3" s="27"/>
      <c r="CO3" s="27"/>
      <c r="CP3" s="27"/>
      <c r="CQ3" s="27"/>
      <c r="CR3" s="27"/>
      <c r="CS3" s="27"/>
      <c r="CT3" s="27"/>
      <c r="CU3" s="27"/>
      <c r="CV3" s="27"/>
      <c r="CW3" s="27"/>
      <c r="CX3" s="27"/>
      <c r="CY3" s="27"/>
      <c r="CZ3" s="27"/>
      <c r="DA3" s="27"/>
      <c r="DB3" s="27"/>
      <c r="DC3" s="27"/>
      <c r="DD3" s="27"/>
      <c r="DE3" s="27"/>
      <c r="DF3" s="27"/>
      <c r="DG3" s="27"/>
      <c r="DH3" s="27"/>
      <c r="DI3" s="27"/>
      <c r="DJ3" s="27"/>
      <c r="DK3" s="27"/>
      <c r="DL3" s="27"/>
      <c r="DM3" s="27"/>
      <c r="DN3" s="27"/>
      <c r="DO3" s="27"/>
      <c r="DP3" s="27"/>
      <c r="DQ3" s="27"/>
      <c r="DR3" s="27"/>
      <c r="DS3" s="27"/>
      <c r="DT3" s="27"/>
      <c r="DU3" s="27"/>
      <c r="DV3" s="27"/>
      <c r="DW3" s="27"/>
      <c r="DX3" s="27"/>
      <c r="DY3" s="27"/>
      <c r="DZ3" s="27"/>
      <c r="EA3" s="27"/>
      <c r="EB3" s="27"/>
      <c r="EC3" s="27"/>
      <c r="ED3" s="27"/>
      <c r="EE3" s="27"/>
      <c r="EF3" s="27"/>
      <c r="EG3" s="27"/>
      <c r="EH3" s="27"/>
      <c r="EI3" s="27"/>
      <c r="EJ3" s="27"/>
      <c r="EK3" s="27"/>
      <c r="EL3" s="27"/>
      <c r="EM3" s="27"/>
      <c r="EN3" s="27"/>
      <c r="EO3" s="27"/>
      <c r="EP3" s="27"/>
      <c r="EQ3" s="27"/>
      <c r="ER3" s="27"/>
      <c r="ES3" s="27"/>
      <c r="ET3" s="27"/>
      <c r="EU3" s="27"/>
      <c r="EV3" s="27"/>
      <c r="EW3" s="27"/>
      <c r="EX3" s="27"/>
      <c r="EY3" s="27"/>
      <c r="EZ3" s="27"/>
      <c r="FA3" s="27"/>
      <c r="FB3" s="27"/>
      <c r="FC3" s="27"/>
      <c r="FD3" s="27"/>
      <c r="FE3" s="27"/>
      <c r="FF3" s="27"/>
      <c r="FG3" s="27"/>
      <c r="FH3" s="27"/>
      <c r="FI3" s="27"/>
      <c r="FJ3" s="27"/>
      <c r="FK3" s="27"/>
      <c r="FL3" s="27"/>
      <c r="FM3" s="27"/>
      <c r="FN3" s="27"/>
      <c r="FO3" s="27"/>
      <c r="FP3" s="27"/>
      <c r="FQ3" s="27"/>
      <c r="FR3" s="27"/>
      <c r="FS3" s="27"/>
      <c r="FT3" s="27"/>
      <c r="FU3" s="27"/>
      <c r="FV3" s="27"/>
      <c r="FW3" s="27"/>
      <c r="FX3" s="27"/>
      <c r="FY3" s="27"/>
      <c r="FZ3" s="27"/>
      <c r="GA3" s="27"/>
      <c r="GB3" s="27"/>
      <c r="GC3" s="27"/>
      <c r="GD3" s="27"/>
      <c r="GE3" s="27"/>
      <c r="GF3" s="27"/>
      <c r="GG3" s="27"/>
      <c r="GH3" s="27"/>
      <c r="GI3" s="27"/>
      <c r="GJ3" s="27"/>
      <c r="GK3" s="27"/>
      <c r="GL3" s="27"/>
      <c r="GM3" s="27"/>
      <c r="GN3" s="27"/>
      <c r="GO3" s="27"/>
      <c r="GP3" s="27"/>
      <c r="GQ3" s="27"/>
      <c r="GR3" s="27"/>
      <c r="GS3" s="27"/>
      <c r="GT3" s="27"/>
      <c r="GU3" s="27"/>
      <c r="GV3" s="27"/>
      <c r="GW3" s="27"/>
      <c r="GX3" s="27"/>
      <c r="GY3" s="27"/>
      <c r="GZ3" s="27"/>
      <c r="HA3" s="27"/>
      <c r="HB3" s="27"/>
      <c r="HC3" s="27"/>
      <c r="HD3" s="27"/>
      <c r="HE3" s="27"/>
      <c r="HF3" s="27"/>
      <c r="HG3" s="27"/>
      <c r="HH3" s="27"/>
      <c r="HI3" s="27"/>
      <c r="HJ3" s="27"/>
      <c r="HK3" s="27"/>
      <c r="HL3" s="27"/>
      <c r="HM3" s="27"/>
      <c r="HN3" s="27"/>
      <c r="HO3" s="27"/>
      <c r="HP3" s="27"/>
      <c r="HQ3" s="27"/>
      <c r="HR3" s="27"/>
      <c r="HS3" s="27"/>
      <c r="HT3" s="27"/>
      <c r="HU3" s="27"/>
      <c r="HV3" s="27"/>
      <c r="HW3" s="27"/>
      <c r="HX3" s="27"/>
      <c r="HY3" s="27"/>
      <c r="HZ3" s="27"/>
      <c r="IA3" s="27"/>
    </row>
    <row r="4" s="6" customFormat="true" ht="15" hidden="false" customHeight="false" outlineLevel="0" collapsed="false">
      <c r="A4" s="17"/>
      <c r="B4" s="18" t="s">
        <v>23</v>
      </c>
      <c r="C4" s="29"/>
      <c r="D4" s="29"/>
      <c r="E4" s="61"/>
      <c r="F4" s="29"/>
      <c r="G4" s="34"/>
      <c r="H4" s="29"/>
      <c r="I4" s="29"/>
      <c r="J4" s="29"/>
      <c r="K4" s="53"/>
      <c r="L4" s="36"/>
      <c r="M4" s="19" t="n">
        <v>-25</v>
      </c>
      <c r="N4" s="37"/>
      <c r="O4" s="30" t="n">
        <f aca="false">N4*J4</f>
        <v>0</v>
      </c>
      <c r="Q4" s="46"/>
      <c r="S4" s="27"/>
      <c r="T4" s="27"/>
      <c r="U4" s="27"/>
      <c r="V4" s="27"/>
      <c r="W4" s="27"/>
      <c r="X4" s="27"/>
      <c r="Y4" s="27"/>
      <c r="Z4" s="27"/>
      <c r="AA4" s="27"/>
      <c r="AB4" s="27"/>
      <c r="AC4" s="27"/>
      <c r="AD4" s="27"/>
      <c r="AE4" s="27"/>
      <c r="AF4" s="27"/>
      <c r="AG4" s="27"/>
      <c r="AH4" s="27"/>
      <c r="AI4" s="27"/>
      <c r="AJ4" s="27"/>
      <c r="AK4" s="27"/>
      <c r="AL4" s="27"/>
      <c r="AM4" s="27"/>
      <c r="AN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  <c r="BR4" s="27"/>
      <c r="BS4" s="27"/>
      <c r="BT4" s="27"/>
      <c r="BU4" s="27"/>
      <c r="BV4" s="27"/>
      <c r="BW4" s="27"/>
      <c r="BX4" s="27"/>
      <c r="BY4" s="27"/>
      <c r="BZ4" s="27"/>
      <c r="CA4" s="27"/>
      <c r="CB4" s="27"/>
      <c r="CC4" s="27"/>
      <c r="CD4" s="27"/>
      <c r="CE4" s="27"/>
      <c r="CF4" s="27"/>
      <c r="CG4" s="27"/>
      <c r="CH4" s="27"/>
      <c r="CI4" s="27"/>
      <c r="CJ4" s="27"/>
      <c r="CK4" s="27"/>
      <c r="CL4" s="27"/>
      <c r="CM4" s="27"/>
      <c r="CN4" s="27"/>
      <c r="CO4" s="27"/>
      <c r="CP4" s="27"/>
      <c r="CQ4" s="27"/>
      <c r="CR4" s="27"/>
      <c r="CS4" s="27"/>
      <c r="CT4" s="27"/>
      <c r="CU4" s="27"/>
      <c r="CV4" s="27"/>
      <c r="CW4" s="27"/>
      <c r="CX4" s="27"/>
      <c r="CY4" s="27"/>
      <c r="CZ4" s="27"/>
      <c r="DA4" s="27"/>
      <c r="DB4" s="27"/>
      <c r="DC4" s="27"/>
      <c r="DD4" s="27"/>
      <c r="DE4" s="27"/>
      <c r="DF4" s="27"/>
      <c r="DG4" s="27"/>
      <c r="DH4" s="27"/>
      <c r="DI4" s="27"/>
      <c r="DJ4" s="27"/>
      <c r="DK4" s="27"/>
      <c r="DL4" s="27"/>
      <c r="DM4" s="27"/>
      <c r="DN4" s="27"/>
      <c r="DO4" s="27"/>
      <c r="DP4" s="27"/>
      <c r="DQ4" s="27"/>
      <c r="DR4" s="27"/>
      <c r="DS4" s="27"/>
      <c r="DT4" s="27"/>
      <c r="DU4" s="27"/>
      <c r="DV4" s="27"/>
      <c r="DW4" s="27"/>
      <c r="DX4" s="27"/>
      <c r="DY4" s="27"/>
      <c r="DZ4" s="27"/>
      <c r="EA4" s="27"/>
      <c r="EB4" s="27"/>
      <c r="EC4" s="27"/>
      <c r="ED4" s="27"/>
      <c r="EE4" s="27"/>
      <c r="EF4" s="27"/>
      <c r="EG4" s="27"/>
      <c r="EH4" s="27"/>
      <c r="EI4" s="27"/>
      <c r="EJ4" s="27"/>
      <c r="EK4" s="27"/>
      <c r="EL4" s="27"/>
      <c r="EM4" s="27"/>
      <c r="EN4" s="27"/>
      <c r="EO4" s="27"/>
      <c r="EP4" s="27"/>
      <c r="EQ4" s="27"/>
      <c r="ER4" s="27"/>
      <c r="ES4" s="27"/>
      <c r="ET4" s="27"/>
      <c r="EU4" s="27"/>
      <c r="EV4" s="27"/>
      <c r="EW4" s="27"/>
      <c r="EX4" s="27"/>
      <c r="EY4" s="27"/>
      <c r="EZ4" s="27"/>
      <c r="FA4" s="27"/>
      <c r="FB4" s="27"/>
      <c r="FC4" s="27"/>
      <c r="FD4" s="27"/>
      <c r="FE4" s="27"/>
      <c r="FF4" s="27"/>
      <c r="FG4" s="27"/>
      <c r="FH4" s="27"/>
      <c r="FI4" s="27"/>
      <c r="FJ4" s="27"/>
      <c r="FK4" s="27"/>
      <c r="FL4" s="27"/>
      <c r="FM4" s="27"/>
      <c r="FN4" s="27"/>
      <c r="FO4" s="27"/>
      <c r="FP4" s="27"/>
      <c r="FQ4" s="27"/>
      <c r="FR4" s="27"/>
      <c r="FS4" s="27"/>
      <c r="FT4" s="27"/>
      <c r="FU4" s="27"/>
      <c r="FV4" s="27"/>
      <c r="FW4" s="27"/>
      <c r="FX4" s="27"/>
      <c r="FY4" s="27"/>
      <c r="FZ4" s="27"/>
      <c r="GA4" s="27"/>
      <c r="GB4" s="27"/>
      <c r="GC4" s="27"/>
      <c r="GD4" s="27"/>
      <c r="GE4" s="27"/>
      <c r="GF4" s="27"/>
      <c r="GG4" s="27"/>
      <c r="GH4" s="27"/>
      <c r="GI4" s="27"/>
      <c r="GJ4" s="27"/>
      <c r="GK4" s="27"/>
      <c r="GL4" s="27"/>
      <c r="GM4" s="27"/>
      <c r="GN4" s="27"/>
      <c r="GO4" s="27"/>
      <c r="GP4" s="27"/>
      <c r="GQ4" s="27"/>
      <c r="GR4" s="27"/>
      <c r="GS4" s="27"/>
      <c r="GT4" s="27"/>
      <c r="GU4" s="27"/>
      <c r="GV4" s="27"/>
      <c r="GW4" s="27"/>
      <c r="GX4" s="27"/>
      <c r="GY4" s="27"/>
      <c r="GZ4" s="27"/>
      <c r="HA4" s="27"/>
      <c r="HB4" s="27"/>
      <c r="HC4" s="27"/>
      <c r="HD4" s="27"/>
      <c r="HE4" s="27"/>
      <c r="HF4" s="27"/>
      <c r="HG4" s="27"/>
      <c r="HH4" s="27"/>
      <c r="HI4" s="27"/>
      <c r="HJ4" s="27"/>
      <c r="HK4" s="27"/>
      <c r="HL4" s="27"/>
      <c r="HM4" s="27"/>
      <c r="HN4" s="27"/>
      <c r="HO4" s="27"/>
      <c r="HP4" s="27"/>
      <c r="HQ4" s="27"/>
      <c r="HR4" s="27"/>
      <c r="HS4" s="27"/>
      <c r="HT4" s="27"/>
      <c r="HU4" s="27"/>
      <c r="HV4" s="27"/>
      <c r="HW4" s="27"/>
      <c r="HX4" s="27"/>
      <c r="HY4" s="27"/>
      <c r="HZ4" s="27"/>
      <c r="IA4" s="27"/>
    </row>
    <row r="5" s="6" customFormat="true" ht="15" hidden="false" customHeight="false" outlineLevel="0" collapsed="false">
      <c r="A5" s="17"/>
      <c r="B5" s="18" t="s">
        <v>23</v>
      </c>
      <c r="C5" s="29"/>
      <c r="D5" s="29"/>
      <c r="E5" s="61"/>
      <c r="F5" s="29"/>
      <c r="G5" s="34"/>
      <c r="H5" s="29"/>
      <c r="I5" s="29"/>
      <c r="J5" s="29"/>
      <c r="K5" s="53"/>
      <c r="L5" s="36"/>
      <c r="M5" s="19" t="n">
        <v>-10</v>
      </c>
      <c r="N5" s="37"/>
      <c r="O5" s="30" t="n">
        <f aca="false">N5*J5</f>
        <v>0</v>
      </c>
      <c r="Q5" s="46"/>
      <c r="S5" s="27"/>
      <c r="T5" s="27"/>
      <c r="U5" s="27"/>
      <c r="V5" s="27"/>
      <c r="W5" s="27"/>
      <c r="X5" s="27"/>
      <c r="Y5" s="27"/>
      <c r="Z5" s="27"/>
      <c r="AA5" s="27"/>
      <c r="AB5" s="27"/>
      <c r="AC5" s="27"/>
      <c r="AD5" s="27"/>
      <c r="AE5" s="27"/>
      <c r="AF5" s="27"/>
      <c r="AG5" s="27"/>
      <c r="AH5" s="27"/>
      <c r="AI5" s="27"/>
      <c r="AJ5" s="27"/>
      <c r="AK5" s="27"/>
      <c r="AL5" s="27"/>
      <c r="AM5" s="27"/>
      <c r="AN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7"/>
      <c r="BR5" s="27"/>
      <c r="BS5" s="27"/>
      <c r="BT5" s="27"/>
      <c r="BU5" s="27"/>
      <c r="BV5" s="27"/>
      <c r="BW5" s="27"/>
      <c r="BX5" s="27"/>
      <c r="BY5" s="27"/>
      <c r="BZ5" s="27"/>
      <c r="CA5" s="27"/>
      <c r="CB5" s="27"/>
      <c r="CC5" s="27"/>
      <c r="CD5" s="27"/>
      <c r="CE5" s="27"/>
      <c r="CF5" s="27"/>
      <c r="CG5" s="27"/>
      <c r="CH5" s="27"/>
      <c r="CI5" s="27"/>
      <c r="CJ5" s="27"/>
      <c r="CK5" s="27"/>
      <c r="CL5" s="27"/>
      <c r="CM5" s="27"/>
      <c r="CN5" s="27"/>
      <c r="CO5" s="27"/>
      <c r="CP5" s="27"/>
      <c r="CQ5" s="27"/>
      <c r="CR5" s="27"/>
      <c r="CS5" s="27"/>
      <c r="CT5" s="27"/>
      <c r="CU5" s="27"/>
      <c r="CV5" s="27"/>
      <c r="CW5" s="27"/>
      <c r="CX5" s="27"/>
      <c r="CY5" s="27"/>
      <c r="CZ5" s="27"/>
      <c r="DA5" s="27"/>
      <c r="DB5" s="27"/>
      <c r="DC5" s="27"/>
      <c r="DD5" s="27"/>
      <c r="DE5" s="27"/>
      <c r="DF5" s="27"/>
      <c r="DG5" s="27"/>
      <c r="DH5" s="27"/>
      <c r="DI5" s="27"/>
      <c r="DJ5" s="27"/>
      <c r="DK5" s="27"/>
      <c r="DL5" s="27"/>
      <c r="DM5" s="27"/>
      <c r="DN5" s="27"/>
      <c r="DO5" s="27"/>
      <c r="DP5" s="27"/>
      <c r="DQ5" s="27"/>
      <c r="DR5" s="27"/>
      <c r="DS5" s="27"/>
      <c r="DT5" s="27"/>
      <c r="DU5" s="27"/>
      <c r="DV5" s="27"/>
      <c r="DW5" s="27"/>
      <c r="DX5" s="27"/>
      <c r="DY5" s="27"/>
      <c r="DZ5" s="27"/>
      <c r="EA5" s="27"/>
      <c r="EB5" s="27"/>
      <c r="EC5" s="27"/>
      <c r="ED5" s="27"/>
      <c r="EE5" s="27"/>
      <c r="EF5" s="27"/>
      <c r="EG5" s="27"/>
      <c r="EH5" s="27"/>
      <c r="EI5" s="27"/>
      <c r="EJ5" s="27"/>
      <c r="EK5" s="27"/>
      <c r="EL5" s="27"/>
      <c r="EM5" s="27"/>
      <c r="EN5" s="27"/>
      <c r="EO5" s="27"/>
      <c r="EP5" s="27"/>
      <c r="EQ5" s="27"/>
      <c r="ER5" s="27"/>
      <c r="ES5" s="27"/>
      <c r="ET5" s="27"/>
      <c r="EU5" s="27"/>
      <c r="EV5" s="27"/>
      <c r="EW5" s="27"/>
      <c r="EX5" s="27"/>
      <c r="EY5" s="27"/>
      <c r="EZ5" s="27"/>
      <c r="FA5" s="27"/>
      <c r="FB5" s="27"/>
      <c r="FC5" s="27"/>
      <c r="FD5" s="27"/>
      <c r="FE5" s="27"/>
      <c r="FF5" s="27"/>
      <c r="FG5" s="27"/>
      <c r="FH5" s="27"/>
      <c r="FI5" s="27"/>
      <c r="FJ5" s="27"/>
      <c r="FK5" s="27"/>
      <c r="FL5" s="27"/>
      <c r="FM5" s="27"/>
      <c r="FN5" s="27"/>
      <c r="FO5" s="27"/>
      <c r="FP5" s="27"/>
      <c r="FQ5" s="27"/>
      <c r="FR5" s="27"/>
      <c r="FS5" s="27"/>
      <c r="FT5" s="27"/>
      <c r="FU5" s="27"/>
      <c r="FV5" s="27"/>
      <c r="FW5" s="27"/>
      <c r="FX5" s="27"/>
      <c r="FY5" s="27"/>
      <c r="FZ5" s="27"/>
      <c r="GA5" s="27"/>
      <c r="GB5" s="27"/>
      <c r="GC5" s="27"/>
      <c r="GD5" s="27"/>
      <c r="GE5" s="27"/>
      <c r="GF5" s="27"/>
      <c r="GG5" s="27"/>
      <c r="GH5" s="27"/>
      <c r="GI5" s="27"/>
      <c r="GJ5" s="27"/>
      <c r="GK5" s="27"/>
      <c r="GL5" s="27"/>
      <c r="GM5" s="27"/>
      <c r="GN5" s="27"/>
      <c r="GO5" s="27"/>
      <c r="GP5" s="27"/>
      <c r="GQ5" s="27"/>
      <c r="GR5" s="27"/>
      <c r="GS5" s="27"/>
      <c r="GT5" s="27"/>
      <c r="GU5" s="27"/>
      <c r="GV5" s="27"/>
      <c r="GW5" s="27"/>
      <c r="GX5" s="27"/>
      <c r="GY5" s="27"/>
      <c r="GZ5" s="27"/>
      <c r="HA5" s="27"/>
      <c r="HB5" s="27"/>
      <c r="HC5" s="27"/>
      <c r="HD5" s="27"/>
      <c r="HE5" s="27"/>
      <c r="HF5" s="27"/>
      <c r="HG5" s="27"/>
      <c r="HH5" s="27"/>
      <c r="HI5" s="27"/>
      <c r="HJ5" s="27"/>
      <c r="HK5" s="27"/>
      <c r="HL5" s="27"/>
      <c r="HM5" s="27"/>
      <c r="HN5" s="27"/>
      <c r="HO5" s="27"/>
      <c r="HP5" s="27"/>
      <c r="HQ5" s="27"/>
      <c r="HR5" s="27"/>
      <c r="HS5" s="27"/>
      <c r="HT5" s="27"/>
      <c r="HU5" s="27"/>
      <c r="HV5" s="27"/>
      <c r="HW5" s="27"/>
      <c r="HX5" s="27"/>
      <c r="HY5" s="27"/>
      <c r="HZ5" s="27"/>
      <c r="IA5" s="27"/>
    </row>
    <row r="6" s="6" customFormat="true" ht="15" hidden="false" customHeight="false" outlineLevel="0" collapsed="false">
      <c r="A6" s="17"/>
      <c r="B6" s="18" t="s">
        <v>23</v>
      </c>
      <c r="C6" s="29"/>
      <c r="D6" s="29"/>
      <c r="E6" s="61"/>
      <c r="F6" s="29"/>
      <c r="G6" s="34"/>
      <c r="H6" s="29"/>
      <c r="I6" s="29"/>
      <c r="J6" s="29"/>
      <c r="K6" s="53"/>
      <c r="L6" s="36"/>
      <c r="M6" s="19" t="n">
        <v>-10</v>
      </c>
      <c r="N6" s="37"/>
      <c r="O6" s="30" t="n">
        <f aca="false">N6*J6</f>
        <v>0</v>
      </c>
      <c r="Q6" s="46"/>
      <c r="S6" s="27"/>
      <c r="T6" s="27"/>
      <c r="U6" s="27"/>
      <c r="V6" s="27"/>
      <c r="W6" s="27"/>
      <c r="X6" s="27"/>
      <c r="Y6" s="27"/>
      <c r="Z6" s="27"/>
      <c r="AA6" s="27"/>
      <c r="AB6" s="27"/>
      <c r="AC6" s="27"/>
      <c r="AD6" s="27"/>
      <c r="AE6" s="27"/>
      <c r="AF6" s="27"/>
      <c r="AG6" s="27"/>
      <c r="AH6" s="27"/>
      <c r="AI6" s="27"/>
      <c r="AJ6" s="27"/>
      <c r="AK6" s="27"/>
      <c r="AL6" s="27"/>
      <c r="AM6" s="27"/>
      <c r="AN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  <c r="BK6" s="27"/>
      <c r="BL6" s="27"/>
      <c r="BM6" s="27"/>
      <c r="BN6" s="27"/>
      <c r="BO6" s="27"/>
      <c r="BP6" s="27"/>
      <c r="BQ6" s="27"/>
      <c r="BR6" s="27"/>
      <c r="BS6" s="27"/>
      <c r="BT6" s="27"/>
      <c r="BU6" s="27"/>
      <c r="BV6" s="27"/>
      <c r="BW6" s="27"/>
      <c r="BX6" s="27"/>
      <c r="BY6" s="27"/>
      <c r="BZ6" s="27"/>
      <c r="CA6" s="27"/>
      <c r="CB6" s="27"/>
      <c r="CC6" s="27"/>
      <c r="CD6" s="27"/>
      <c r="CE6" s="27"/>
      <c r="CF6" s="27"/>
      <c r="CG6" s="27"/>
      <c r="CH6" s="27"/>
      <c r="CI6" s="27"/>
      <c r="CJ6" s="27"/>
      <c r="CK6" s="27"/>
      <c r="CL6" s="27"/>
      <c r="CM6" s="27"/>
      <c r="CN6" s="27"/>
      <c r="CO6" s="27"/>
      <c r="CP6" s="27"/>
      <c r="CQ6" s="27"/>
      <c r="CR6" s="27"/>
      <c r="CS6" s="27"/>
      <c r="CT6" s="27"/>
      <c r="CU6" s="27"/>
      <c r="CV6" s="27"/>
      <c r="CW6" s="27"/>
      <c r="CX6" s="27"/>
      <c r="CY6" s="27"/>
      <c r="CZ6" s="27"/>
      <c r="DA6" s="27"/>
      <c r="DB6" s="27"/>
      <c r="DC6" s="27"/>
      <c r="DD6" s="27"/>
      <c r="DE6" s="27"/>
      <c r="DF6" s="27"/>
      <c r="DG6" s="27"/>
      <c r="DH6" s="27"/>
      <c r="DI6" s="27"/>
      <c r="DJ6" s="27"/>
      <c r="DK6" s="27"/>
      <c r="DL6" s="27"/>
      <c r="DM6" s="27"/>
      <c r="DN6" s="27"/>
      <c r="DO6" s="27"/>
      <c r="DP6" s="27"/>
      <c r="DQ6" s="27"/>
      <c r="DR6" s="27"/>
      <c r="DS6" s="27"/>
      <c r="DT6" s="27"/>
      <c r="DU6" s="27"/>
      <c r="DV6" s="27"/>
      <c r="DW6" s="27"/>
      <c r="DX6" s="27"/>
      <c r="DY6" s="27"/>
      <c r="DZ6" s="27"/>
      <c r="EA6" s="27"/>
      <c r="EB6" s="27"/>
      <c r="EC6" s="27"/>
      <c r="ED6" s="27"/>
      <c r="EE6" s="27"/>
      <c r="EF6" s="27"/>
      <c r="EG6" s="27"/>
      <c r="EH6" s="27"/>
      <c r="EI6" s="27"/>
      <c r="EJ6" s="27"/>
      <c r="EK6" s="27"/>
      <c r="EL6" s="27"/>
      <c r="EM6" s="27"/>
      <c r="EN6" s="27"/>
      <c r="EO6" s="27"/>
      <c r="EP6" s="27"/>
      <c r="EQ6" s="27"/>
      <c r="ER6" s="27"/>
      <c r="ES6" s="27"/>
      <c r="ET6" s="27"/>
      <c r="EU6" s="27"/>
      <c r="EV6" s="27"/>
      <c r="EW6" s="27"/>
      <c r="EX6" s="27"/>
      <c r="EY6" s="27"/>
      <c r="EZ6" s="27"/>
      <c r="FA6" s="27"/>
      <c r="FB6" s="27"/>
      <c r="FC6" s="27"/>
      <c r="FD6" s="27"/>
      <c r="FE6" s="27"/>
      <c r="FF6" s="27"/>
      <c r="FG6" s="27"/>
      <c r="FH6" s="27"/>
      <c r="FI6" s="27"/>
      <c r="FJ6" s="27"/>
      <c r="FK6" s="27"/>
      <c r="FL6" s="27"/>
      <c r="FM6" s="27"/>
      <c r="FN6" s="27"/>
      <c r="FO6" s="27"/>
      <c r="FP6" s="27"/>
      <c r="FQ6" s="27"/>
      <c r="FR6" s="27"/>
      <c r="FS6" s="27"/>
      <c r="FT6" s="27"/>
      <c r="FU6" s="27"/>
      <c r="FV6" s="27"/>
      <c r="FW6" s="27"/>
      <c r="FX6" s="27"/>
      <c r="FY6" s="27"/>
      <c r="FZ6" s="27"/>
      <c r="GA6" s="27"/>
      <c r="GB6" s="27"/>
      <c r="GC6" s="27"/>
      <c r="GD6" s="27"/>
      <c r="GE6" s="27"/>
      <c r="GF6" s="27"/>
      <c r="GG6" s="27"/>
      <c r="GH6" s="27"/>
      <c r="GI6" s="27"/>
      <c r="GJ6" s="27"/>
      <c r="GK6" s="27"/>
      <c r="GL6" s="27"/>
      <c r="GM6" s="27"/>
      <c r="GN6" s="27"/>
      <c r="GO6" s="27"/>
      <c r="GP6" s="27"/>
      <c r="GQ6" s="27"/>
      <c r="GR6" s="27"/>
      <c r="GS6" s="27"/>
      <c r="GT6" s="27"/>
      <c r="GU6" s="27"/>
      <c r="GV6" s="27"/>
      <c r="GW6" s="27"/>
      <c r="GX6" s="27"/>
      <c r="GY6" s="27"/>
      <c r="GZ6" s="27"/>
      <c r="HA6" s="27"/>
      <c r="HB6" s="27"/>
      <c r="HC6" s="27"/>
      <c r="HD6" s="27"/>
      <c r="HE6" s="27"/>
      <c r="HF6" s="27"/>
      <c r="HG6" s="27"/>
      <c r="HH6" s="27"/>
      <c r="HI6" s="27"/>
      <c r="HJ6" s="27"/>
      <c r="HK6" s="27"/>
      <c r="HL6" s="27"/>
      <c r="HM6" s="27"/>
      <c r="HN6" s="27"/>
      <c r="HO6" s="27"/>
      <c r="HP6" s="27"/>
      <c r="HQ6" s="27"/>
      <c r="HR6" s="27"/>
      <c r="HS6" s="27"/>
      <c r="HT6" s="27"/>
      <c r="HU6" s="27"/>
      <c r="HV6" s="27"/>
      <c r="HW6" s="27"/>
      <c r="HX6" s="27"/>
      <c r="HY6" s="27"/>
      <c r="HZ6" s="27"/>
      <c r="IA6" s="27"/>
    </row>
    <row r="7" s="6" customFormat="true" ht="15" hidden="false" customHeight="false" outlineLevel="0" collapsed="false">
      <c r="A7" s="17"/>
      <c r="B7" s="18" t="s">
        <v>23</v>
      </c>
      <c r="C7" s="29"/>
      <c r="D7" s="29"/>
      <c r="E7" s="61"/>
      <c r="F7" s="29"/>
      <c r="G7" s="34"/>
      <c r="H7" s="29"/>
      <c r="I7" s="29"/>
      <c r="J7" s="29"/>
      <c r="K7" s="53"/>
      <c r="L7" s="36"/>
      <c r="M7" s="19" t="n">
        <v>-10</v>
      </c>
      <c r="N7" s="37"/>
      <c r="O7" s="30" t="n">
        <f aca="false">N7*J7</f>
        <v>0</v>
      </c>
      <c r="Q7" s="46"/>
      <c r="S7" s="27"/>
      <c r="T7" s="27"/>
      <c r="U7" s="27"/>
      <c r="V7" s="27"/>
      <c r="W7" s="27"/>
      <c r="X7" s="27"/>
      <c r="Y7" s="27"/>
      <c r="Z7" s="27"/>
      <c r="AA7" s="27"/>
      <c r="AB7" s="27"/>
      <c r="AC7" s="27"/>
      <c r="AD7" s="27"/>
      <c r="AE7" s="27"/>
      <c r="AF7" s="27"/>
      <c r="AG7" s="27"/>
      <c r="AH7" s="27"/>
      <c r="AI7" s="27"/>
      <c r="AJ7" s="27"/>
      <c r="AK7" s="27"/>
      <c r="AL7" s="27"/>
      <c r="AM7" s="27"/>
      <c r="AN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  <c r="BM7" s="27"/>
      <c r="BN7" s="27"/>
      <c r="BO7" s="27"/>
      <c r="BP7" s="27"/>
      <c r="BQ7" s="27"/>
      <c r="BR7" s="27"/>
      <c r="BS7" s="27"/>
      <c r="BT7" s="27"/>
      <c r="BU7" s="27"/>
      <c r="BV7" s="27"/>
      <c r="BW7" s="27"/>
      <c r="BX7" s="27"/>
      <c r="BY7" s="27"/>
      <c r="BZ7" s="27"/>
      <c r="CA7" s="27"/>
      <c r="CB7" s="27"/>
      <c r="CC7" s="27"/>
      <c r="CD7" s="27"/>
      <c r="CE7" s="27"/>
      <c r="CF7" s="27"/>
      <c r="CG7" s="27"/>
      <c r="CH7" s="27"/>
      <c r="CI7" s="27"/>
      <c r="CJ7" s="27"/>
      <c r="CK7" s="27"/>
      <c r="CL7" s="27"/>
      <c r="CM7" s="27"/>
      <c r="CN7" s="27"/>
      <c r="CO7" s="27"/>
      <c r="CP7" s="27"/>
      <c r="CQ7" s="27"/>
      <c r="CR7" s="27"/>
      <c r="CS7" s="27"/>
      <c r="CT7" s="27"/>
      <c r="CU7" s="27"/>
      <c r="CV7" s="27"/>
      <c r="CW7" s="27"/>
      <c r="CX7" s="27"/>
      <c r="CY7" s="27"/>
      <c r="CZ7" s="27"/>
      <c r="DA7" s="27"/>
      <c r="DB7" s="27"/>
      <c r="DC7" s="27"/>
      <c r="DD7" s="27"/>
      <c r="DE7" s="27"/>
      <c r="DF7" s="27"/>
      <c r="DG7" s="27"/>
      <c r="DH7" s="27"/>
      <c r="DI7" s="27"/>
      <c r="DJ7" s="27"/>
      <c r="DK7" s="27"/>
      <c r="DL7" s="27"/>
      <c r="DM7" s="27"/>
      <c r="DN7" s="27"/>
      <c r="DO7" s="27"/>
      <c r="DP7" s="27"/>
      <c r="DQ7" s="27"/>
      <c r="DR7" s="27"/>
      <c r="DS7" s="27"/>
      <c r="DT7" s="27"/>
      <c r="DU7" s="27"/>
      <c r="DV7" s="27"/>
      <c r="DW7" s="27"/>
      <c r="DX7" s="27"/>
      <c r="DY7" s="27"/>
      <c r="DZ7" s="27"/>
      <c r="EA7" s="27"/>
      <c r="EB7" s="27"/>
      <c r="EC7" s="27"/>
      <c r="ED7" s="27"/>
      <c r="EE7" s="27"/>
      <c r="EF7" s="27"/>
      <c r="EG7" s="27"/>
      <c r="EH7" s="27"/>
      <c r="EI7" s="27"/>
      <c r="EJ7" s="27"/>
      <c r="EK7" s="27"/>
      <c r="EL7" s="27"/>
      <c r="EM7" s="27"/>
      <c r="EN7" s="27"/>
      <c r="EO7" s="27"/>
      <c r="EP7" s="27"/>
      <c r="EQ7" s="27"/>
      <c r="ER7" s="27"/>
      <c r="ES7" s="27"/>
      <c r="ET7" s="27"/>
      <c r="EU7" s="27"/>
      <c r="EV7" s="27"/>
      <c r="EW7" s="27"/>
      <c r="EX7" s="27"/>
      <c r="EY7" s="27"/>
      <c r="EZ7" s="27"/>
      <c r="FA7" s="27"/>
      <c r="FB7" s="27"/>
      <c r="FC7" s="27"/>
      <c r="FD7" s="27"/>
      <c r="FE7" s="27"/>
      <c r="FF7" s="27"/>
      <c r="FG7" s="27"/>
      <c r="FH7" s="27"/>
      <c r="FI7" s="27"/>
      <c r="FJ7" s="27"/>
      <c r="FK7" s="27"/>
      <c r="FL7" s="27"/>
      <c r="FM7" s="27"/>
      <c r="FN7" s="27"/>
      <c r="FO7" s="27"/>
      <c r="FP7" s="27"/>
      <c r="FQ7" s="27"/>
      <c r="FR7" s="27"/>
      <c r="FS7" s="27"/>
      <c r="FT7" s="27"/>
      <c r="FU7" s="27"/>
      <c r="FV7" s="27"/>
      <c r="FW7" s="27"/>
      <c r="FX7" s="27"/>
      <c r="FY7" s="27"/>
      <c r="FZ7" s="27"/>
      <c r="GA7" s="27"/>
      <c r="GB7" s="27"/>
      <c r="GC7" s="27"/>
      <c r="GD7" s="27"/>
      <c r="GE7" s="27"/>
      <c r="GF7" s="27"/>
      <c r="GG7" s="27"/>
      <c r="GH7" s="27"/>
      <c r="GI7" s="27"/>
      <c r="GJ7" s="27"/>
      <c r="GK7" s="27"/>
      <c r="GL7" s="27"/>
      <c r="GM7" s="27"/>
      <c r="GN7" s="27"/>
      <c r="GO7" s="27"/>
      <c r="GP7" s="27"/>
      <c r="GQ7" s="27"/>
      <c r="GR7" s="27"/>
      <c r="GS7" s="27"/>
      <c r="GT7" s="27"/>
      <c r="GU7" s="27"/>
      <c r="GV7" s="27"/>
      <c r="GW7" s="27"/>
      <c r="GX7" s="27"/>
      <c r="GY7" s="27"/>
      <c r="GZ7" s="27"/>
      <c r="HA7" s="27"/>
      <c r="HB7" s="27"/>
      <c r="HC7" s="27"/>
      <c r="HD7" s="27"/>
      <c r="HE7" s="27"/>
      <c r="HF7" s="27"/>
      <c r="HG7" s="27"/>
      <c r="HH7" s="27"/>
      <c r="HI7" s="27"/>
      <c r="HJ7" s="27"/>
      <c r="HK7" s="27"/>
      <c r="HL7" s="27"/>
      <c r="HM7" s="27"/>
      <c r="HN7" s="27"/>
      <c r="HO7" s="27"/>
      <c r="HP7" s="27"/>
      <c r="HQ7" s="27"/>
      <c r="HR7" s="27"/>
      <c r="HS7" s="27"/>
      <c r="HT7" s="27"/>
      <c r="HU7" s="27"/>
      <c r="HV7" s="27"/>
      <c r="HW7" s="27"/>
      <c r="HX7" s="27"/>
      <c r="HY7" s="27"/>
      <c r="HZ7" s="27"/>
      <c r="IA7" s="27"/>
    </row>
    <row r="8" s="6" customFormat="true" ht="15" hidden="false" customHeight="false" outlineLevel="0" collapsed="false">
      <c r="A8" s="17"/>
      <c r="B8" s="18" t="s">
        <v>23</v>
      </c>
      <c r="C8" s="29"/>
      <c r="D8" s="29"/>
      <c r="E8" s="61"/>
      <c r="F8" s="29"/>
      <c r="G8" s="34"/>
      <c r="H8" s="29"/>
      <c r="I8" s="29"/>
      <c r="J8" s="29"/>
      <c r="K8" s="53"/>
      <c r="L8" s="36"/>
      <c r="M8" s="19" t="n">
        <v>-10</v>
      </c>
      <c r="N8" s="37"/>
      <c r="O8" s="30" t="n">
        <f aca="false">N8*J8</f>
        <v>0</v>
      </c>
      <c r="Q8" s="46"/>
      <c r="S8" s="27"/>
      <c r="T8" s="27"/>
      <c r="U8" s="27"/>
      <c r="V8" s="27"/>
      <c r="W8" s="27"/>
      <c r="X8" s="27"/>
      <c r="Y8" s="27"/>
      <c r="Z8" s="27"/>
      <c r="AA8" s="27"/>
      <c r="AB8" s="27"/>
      <c r="AC8" s="27"/>
      <c r="AD8" s="27"/>
      <c r="AE8" s="27"/>
      <c r="AF8" s="27"/>
      <c r="AG8" s="27"/>
      <c r="AH8" s="27"/>
      <c r="AI8" s="27"/>
      <c r="AJ8" s="27"/>
      <c r="AK8" s="27"/>
      <c r="AL8" s="27"/>
      <c r="AM8" s="27"/>
      <c r="AN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27"/>
      <c r="BN8" s="27"/>
      <c r="BO8" s="27"/>
      <c r="BP8" s="27"/>
      <c r="BQ8" s="27"/>
      <c r="BR8" s="27"/>
      <c r="BS8" s="27"/>
      <c r="BT8" s="27"/>
      <c r="BU8" s="27"/>
      <c r="BV8" s="27"/>
      <c r="BW8" s="27"/>
      <c r="BX8" s="27"/>
      <c r="BY8" s="27"/>
      <c r="BZ8" s="27"/>
      <c r="CA8" s="27"/>
      <c r="CB8" s="27"/>
      <c r="CC8" s="27"/>
      <c r="CD8" s="27"/>
      <c r="CE8" s="27"/>
      <c r="CF8" s="27"/>
      <c r="CG8" s="27"/>
      <c r="CH8" s="27"/>
      <c r="CI8" s="27"/>
      <c r="CJ8" s="27"/>
      <c r="CK8" s="27"/>
      <c r="CL8" s="27"/>
      <c r="CM8" s="27"/>
      <c r="CN8" s="27"/>
      <c r="CO8" s="27"/>
      <c r="CP8" s="27"/>
      <c r="CQ8" s="27"/>
      <c r="CR8" s="27"/>
      <c r="CS8" s="27"/>
      <c r="CT8" s="27"/>
      <c r="CU8" s="27"/>
      <c r="CV8" s="27"/>
      <c r="CW8" s="27"/>
      <c r="CX8" s="27"/>
      <c r="CY8" s="27"/>
      <c r="CZ8" s="27"/>
      <c r="DA8" s="27"/>
      <c r="DB8" s="27"/>
      <c r="DC8" s="27"/>
      <c r="DD8" s="27"/>
      <c r="DE8" s="27"/>
      <c r="DF8" s="27"/>
      <c r="DG8" s="27"/>
      <c r="DH8" s="27"/>
      <c r="DI8" s="27"/>
      <c r="DJ8" s="27"/>
      <c r="DK8" s="27"/>
      <c r="DL8" s="27"/>
      <c r="DM8" s="27"/>
      <c r="DN8" s="27"/>
      <c r="DO8" s="27"/>
      <c r="DP8" s="27"/>
      <c r="DQ8" s="27"/>
      <c r="DR8" s="27"/>
      <c r="DS8" s="27"/>
      <c r="DT8" s="27"/>
      <c r="DU8" s="27"/>
      <c r="DV8" s="27"/>
      <c r="DW8" s="27"/>
      <c r="DX8" s="27"/>
      <c r="DY8" s="27"/>
      <c r="DZ8" s="27"/>
      <c r="EA8" s="27"/>
      <c r="EB8" s="27"/>
      <c r="EC8" s="27"/>
      <c r="ED8" s="27"/>
      <c r="EE8" s="27"/>
      <c r="EF8" s="27"/>
      <c r="EG8" s="27"/>
      <c r="EH8" s="27"/>
      <c r="EI8" s="27"/>
      <c r="EJ8" s="27"/>
      <c r="EK8" s="27"/>
      <c r="EL8" s="27"/>
      <c r="EM8" s="27"/>
      <c r="EN8" s="27"/>
      <c r="EO8" s="27"/>
      <c r="EP8" s="27"/>
      <c r="EQ8" s="27"/>
      <c r="ER8" s="27"/>
      <c r="ES8" s="27"/>
      <c r="ET8" s="27"/>
      <c r="EU8" s="27"/>
      <c r="EV8" s="27"/>
      <c r="EW8" s="27"/>
      <c r="EX8" s="27"/>
      <c r="EY8" s="27"/>
      <c r="EZ8" s="27"/>
      <c r="FA8" s="27"/>
      <c r="FB8" s="27"/>
      <c r="FC8" s="27"/>
      <c r="FD8" s="27"/>
      <c r="FE8" s="27"/>
      <c r="FF8" s="27"/>
      <c r="FG8" s="27"/>
      <c r="FH8" s="27"/>
      <c r="FI8" s="27"/>
      <c r="FJ8" s="27"/>
      <c r="FK8" s="27"/>
      <c r="FL8" s="27"/>
      <c r="FM8" s="27"/>
      <c r="FN8" s="27"/>
      <c r="FO8" s="27"/>
      <c r="FP8" s="27"/>
      <c r="FQ8" s="27"/>
      <c r="FR8" s="27"/>
      <c r="FS8" s="27"/>
      <c r="FT8" s="27"/>
      <c r="FU8" s="27"/>
      <c r="FV8" s="27"/>
      <c r="FW8" s="27"/>
      <c r="FX8" s="27"/>
      <c r="FY8" s="27"/>
      <c r="FZ8" s="27"/>
      <c r="GA8" s="27"/>
      <c r="GB8" s="27"/>
      <c r="GC8" s="27"/>
      <c r="GD8" s="27"/>
      <c r="GE8" s="27"/>
      <c r="GF8" s="27"/>
      <c r="GG8" s="27"/>
      <c r="GH8" s="27"/>
      <c r="GI8" s="27"/>
      <c r="GJ8" s="27"/>
      <c r="GK8" s="27"/>
      <c r="GL8" s="27"/>
      <c r="GM8" s="27"/>
      <c r="GN8" s="27"/>
      <c r="GO8" s="27"/>
      <c r="GP8" s="27"/>
      <c r="GQ8" s="27"/>
      <c r="GR8" s="27"/>
      <c r="GS8" s="27"/>
      <c r="GT8" s="27"/>
      <c r="GU8" s="27"/>
      <c r="GV8" s="27"/>
      <c r="GW8" s="27"/>
      <c r="GX8" s="27"/>
      <c r="GY8" s="27"/>
      <c r="GZ8" s="27"/>
      <c r="HA8" s="27"/>
      <c r="HB8" s="27"/>
      <c r="HC8" s="27"/>
      <c r="HD8" s="27"/>
      <c r="HE8" s="27"/>
      <c r="HF8" s="27"/>
      <c r="HG8" s="27"/>
      <c r="HH8" s="27"/>
      <c r="HI8" s="27"/>
      <c r="HJ8" s="27"/>
      <c r="HK8" s="27"/>
      <c r="HL8" s="27"/>
      <c r="HM8" s="27"/>
      <c r="HN8" s="27"/>
      <c r="HO8" s="27"/>
      <c r="HP8" s="27"/>
      <c r="HQ8" s="27"/>
      <c r="HR8" s="27"/>
      <c r="HS8" s="27"/>
      <c r="HT8" s="27"/>
      <c r="HU8" s="27"/>
      <c r="HV8" s="27"/>
      <c r="HW8" s="27"/>
      <c r="HX8" s="27"/>
      <c r="HY8" s="27"/>
      <c r="HZ8" s="27"/>
      <c r="IA8" s="27"/>
    </row>
    <row r="9" s="6" customFormat="true" ht="15" hidden="false" customHeight="false" outlineLevel="0" collapsed="false">
      <c r="A9" s="17"/>
      <c r="B9" s="18" t="s">
        <v>23</v>
      </c>
      <c r="C9" s="29"/>
      <c r="D9" s="29"/>
      <c r="E9" s="61"/>
      <c r="F9" s="29"/>
      <c r="G9" s="34"/>
      <c r="H9" s="29"/>
      <c r="I9" s="29"/>
      <c r="J9" s="29"/>
      <c r="K9" s="53"/>
      <c r="L9" s="36"/>
      <c r="M9" s="19" t="n">
        <v>-10</v>
      </c>
      <c r="N9" s="37"/>
      <c r="O9" s="30" t="n">
        <f aca="false">N9*J9</f>
        <v>0</v>
      </c>
      <c r="Q9" s="46"/>
      <c r="S9" s="27"/>
      <c r="T9" s="27"/>
      <c r="U9" s="27"/>
      <c r="V9" s="27"/>
      <c r="W9" s="27"/>
      <c r="X9" s="27"/>
      <c r="Y9" s="27"/>
      <c r="Z9" s="27"/>
      <c r="AA9" s="27"/>
      <c r="AB9" s="27"/>
      <c r="AC9" s="27"/>
      <c r="AD9" s="27"/>
      <c r="AE9" s="27"/>
      <c r="AF9" s="27"/>
      <c r="AG9" s="27"/>
      <c r="AH9" s="27"/>
      <c r="AI9" s="27"/>
      <c r="AJ9" s="27"/>
      <c r="AK9" s="27"/>
      <c r="AL9" s="27"/>
      <c r="AM9" s="27"/>
      <c r="AN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27"/>
      <c r="BH9" s="27"/>
      <c r="BI9" s="27"/>
      <c r="BJ9" s="27"/>
      <c r="BK9" s="27"/>
      <c r="BL9" s="27"/>
      <c r="BM9" s="27"/>
      <c r="BN9" s="27"/>
      <c r="BO9" s="27"/>
      <c r="BP9" s="27"/>
      <c r="BQ9" s="27"/>
      <c r="BR9" s="27"/>
      <c r="BS9" s="27"/>
      <c r="BT9" s="27"/>
      <c r="BU9" s="27"/>
      <c r="BV9" s="27"/>
      <c r="BW9" s="27"/>
      <c r="BX9" s="27"/>
      <c r="BY9" s="27"/>
      <c r="BZ9" s="27"/>
      <c r="CA9" s="27"/>
      <c r="CB9" s="27"/>
      <c r="CC9" s="27"/>
      <c r="CD9" s="27"/>
      <c r="CE9" s="27"/>
      <c r="CF9" s="27"/>
      <c r="CG9" s="27"/>
      <c r="CH9" s="27"/>
      <c r="CI9" s="27"/>
      <c r="CJ9" s="27"/>
      <c r="CK9" s="27"/>
      <c r="CL9" s="27"/>
      <c r="CM9" s="27"/>
      <c r="CN9" s="27"/>
      <c r="CO9" s="27"/>
      <c r="CP9" s="27"/>
      <c r="CQ9" s="27"/>
      <c r="CR9" s="27"/>
      <c r="CS9" s="27"/>
      <c r="CT9" s="27"/>
      <c r="CU9" s="27"/>
      <c r="CV9" s="27"/>
      <c r="CW9" s="27"/>
      <c r="CX9" s="27"/>
      <c r="CY9" s="27"/>
      <c r="CZ9" s="27"/>
      <c r="DA9" s="27"/>
      <c r="DB9" s="27"/>
      <c r="DC9" s="27"/>
      <c r="DD9" s="27"/>
      <c r="DE9" s="27"/>
      <c r="DF9" s="27"/>
      <c r="DG9" s="27"/>
      <c r="DH9" s="27"/>
      <c r="DI9" s="27"/>
      <c r="DJ9" s="27"/>
      <c r="DK9" s="27"/>
      <c r="DL9" s="27"/>
      <c r="DM9" s="27"/>
      <c r="DN9" s="27"/>
      <c r="DO9" s="27"/>
      <c r="DP9" s="27"/>
      <c r="DQ9" s="27"/>
      <c r="DR9" s="27"/>
      <c r="DS9" s="27"/>
      <c r="DT9" s="27"/>
      <c r="DU9" s="27"/>
      <c r="DV9" s="27"/>
      <c r="DW9" s="27"/>
      <c r="DX9" s="27"/>
      <c r="DY9" s="27"/>
      <c r="DZ9" s="27"/>
      <c r="EA9" s="27"/>
      <c r="EB9" s="27"/>
      <c r="EC9" s="27"/>
      <c r="ED9" s="27"/>
      <c r="EE9" s="27"/>
      <c r="EF9" s="27"/>
      <c r="EG9" s="27"/>
      <c r="EH9" s="27"/>
      <c r="EI9" s="27"/>
      <c r="EJ9" s="27"/>
      <c r="EK9" s="27"/>
      <c r="EL9" s="27"/>
      <c r="EM9" s="27"/>
      <c r="EN9" s="27"/>
      <c r="EO9" s="27"/>
      <c r="EP9" s="27"/>
      <c r="EQ9" s="27"/>
      <c r="ER9" s="27"/>
      <c r="ES9" s="27"/>
      <c r="ET9" s="27"/>
      <c r="EU9" s="27"/>
      <c r="EV9" s="27"/>
      <c r="EW9" s="27"/>
      <c r="EX9" s="27"/>
      <c r="EY9" s="27"/>
      <c r="EZ9" s="27"/>
      <c r="FA9" s="27"/>
      <c r="FB9" s="27"/>
      <c r="FC9" s="27"/>
      <c r="FD9" s="27"/>
      <c r="FE9" s="27"/>
      <c r="FF9" s="27"/>
      <c r="FG9" s="27"/>
      <c r="FH9" s="27"/>
      <c r="FI9" s="27"/>
      <c r="FJ9" s="27"/>
      <c r="FK9" s="27"/>
      <c r="FL9" s="27"/>
      <c r="FM9" s="27"/>
      <c r="FN9" s="27"/>
      <c r="FO9" s="27"/>
      <c r="FP9" s="27"/>
      <c r="FQ9" s="27"/>
      <c r="FR9" s="27"/>
      <c r="FS9" s="27"/>
      <c r="FT9" s="27"/>
      <c r="FU9" s="27"/>
      <c r="FV9" s="27"/>
      <c r="FW9" s="27"/>
      <c r="FX9" s="27"/>
      <c r="FY9" s="27"/>
      <c r="FZ9" s="27"/>
      <c r="GA9" s="27"/>
      <c r="GB9" s="27"/>
      <c r="GC9" s="27"/>
      <c r="GD9" s="27"/>
      <c r="GE9" s="27"/>
      <c r="GF9" s="27"/>
      <c r="GG9" s="27"/>
      <c r="GH9" s="27"/>
      <c r="GI9" s="27"/>
      <c r="GJ9" s="27"/>
      <c r="GK9" s="27"/>
      <c r="GL9" s="27"/>
      <c r="GM9" s="27"/>
      <c r="GN9" s="27"/>
      <c r="GO9" s="27"/>
      <c r="GP9" s="27"/>
      <c r="GQ9" s="27"/>
      <c r="GR9" s="27"/>
      <c r="GS9" s="27"/>
      <c r="GT9" s="27"/>
      <c r="GU9" s="27"/>
      <c r="GV9" s="27"/>
      <c r="GW9" s="27"/>
      <c r="GX9" s="27"/>
      <c r="GY9" s="27"/>
      <c r="GZ9" s="27"/>
      <c r="HA9" s="27"/>
      <c r="HB9" s="27"/>
      <c r="HC9" s="27"/>
      <c r="HD9" s="27"/>
      <c r="HE9" s="27"/>
      <c r="HF9" s="27"/>
      <c r="HG9" s="27"/>
      <c r="HH9" s="27"/>
      <c r="HI9" s="27"/>
      <c r="HJ9" s="27"/>
      <c r="HK9" s="27"/>
      <c r="HL9" s="27"/>
      <c r="HM9" s="27"/>
      <c r="HN9" s="27"/>
      <c r="HO9" s="27"/>
      <c r="HP9" s="27"/>
      <c r="HQ9" s="27"/>
      <c r="HR9" s="27"/>
      <c r="HS9" s="27"/>
      <c r="HT9" s="27"/>
      <c r="HU9" s="27"/>
      <c r="HV9" s="27"/>
      <c r="HW9" s="27"/>
      <c r="HX9" s="27"/>
      <c r="HY9" s="27"/>
      <c r="HZ9" s="27"/>
      <c r="IA9" s="27"/>
    </row>
    <row r="10" s="6" customFormat="true" ht="15" hidden="false" customHeight="false" outlineLevel="0" collapsed="false">
      <c r="A10" s="17"/>
      <c r="B10" s="18" t="s">
        <v>23</v>
      </c>
      <c r="C10" s="29"/>
      <c r="D10" s="29"/>
      <c r="E10" s="61"/>
      <c r="F10" s="29"/>
      <c r="G10" s="34"/>
      <c r="H10" s="29"/>
      <c r="I10" s="29"/>
      <c r="J10" s="29"/>
      <c r="K10" s="53"/>
      <c r="L10" s="36"/>
      <c r="M10" s="19" t="n">
        <v>-10</v>
      </c>
      <c r="N10" s="37"/>
      <c r="O10" s="30" t="n">
        <f aca="false">N10*J10</f>
        <v>0</v>
      </c>
      <c r="Q10" s="46"/>
      <c r="S10" s="27"/>
      <c r="T10" s="27"/>
      <c r="U10" s="27"/>
      <c r="V10" s="27"/>
      <c r="W10" s="27"/>
      <c r="X10" s="27"/>
      <c r="Y10" s="27"/>
      <c r="Z10" s="27"/>
      <c r="AA10" s="27"/>
      <c r="AB10" s="27"/>
      <c r="AC10" s="27"/>
      <c r="AD10" s="27"/>
      <c r="AE10" s="27"/>
      <c r="AF10" s="27"/>
      <c r="AG10" s="27"/>
      <c r="AH10" s="27"/>
      <c r="AI10" s="27"/>
      <c r="AJ10" s="27"/>
      <c r="AK10" s="27"/>
      <c r="AL10" s="27"/>
      <c r="AM10" s="27"/>
      <c r="AN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27"/>
      <c r="BN10" s="27"/>
      <c r="BO10" s="27"/>
      <c r="BP10" s="27"/>
      <c r="BQ10" s="27"/>
      <c r="BR10" s="27"/>
      <c r="BS10" s="27"/>
      <c r="BT10" s="27"/>
      <c r="BU10" s="27"/>
      <c r="BV10" s="27"/>
      <c r="BW10" s="27"/>
      <c r="BX10" s="27"/>
      <c r="BY10" s="27"/>
      <c r="BZ10" s="27"/>
      <c r="CA10" s="27"/>
      <c r="CB10" s="27"/>
      <c r="CC10" s="27"/>
      <c r="CD10" s="27"/>
      <c r="CE10" s="27"/>
      <c r="CF10" s="27"/>
      <c r="CG10" s="27"/>
      <c r="CH10" s="27"/>
      <c r="CI10" s="27"/>
      <c r="CJ10" s="27"/>
      <c r="CK10" s="27"/>
      <c r="CL10" s="27"/>
      <c r="CM10" s="27"/>
      <c r="CN10" s="27"/>
      <c r="CO10" s="27"/>
      <c r="CP10" s="27"/>
      <c r="CQ10" s="27"/>
      <c r="CR10" s="27"/>
      <c r="CS10" s="27"/>
      <c r="CT10" s="27"/>
      <c r="CU10" s="27"/>
      <c r="CV10" s="27"/>
      <c r="CW10" s="27"/>
      <c r="CX10" s="27"/>
      <c r="CY10" s="27"/>
      <c r="CZ10" s="27"/>
      <c r="DA10" s="27"/>
      <c r="DB10" s="27"/>
      <c r="DC10" s="27"/>
      <c r="DD10" s="27"/>
      <c r="DE10" s="27"/>
      <c r="DF10" s="27"/>
      <c r="DG10" s="27"/>
      <c r="DH10" s="27"/>
      <c r="DI10" s="27"/>
      <c r="DJ10" s="27"/>
      <c r="DK10" s="27"/>
      <c r="DL10" s="27"/>
      <c r="DM10" s="27"/>
      <c r="DN10" s="27"/>
      <c r="DO10" s="27"/>
      <c r="DP10" s="27"/>
      <c r="DQ10" s="27"/>
      <c r="DR10" s="27"/>
      <c r="DS10" s="27"/>
      <c r="DT10" s="27"/>
      <c r="DU10" s="27"/>
      <c r="DV10" s="27"/>
      <c r="DW10" s="27"/>
      <c r="DX10" s="27"/>
      <c r="DY10" s="27"/>
      <c r="DZ10" s="27"/>
      <c r="EA10" s="27"/>
      <c r="EB10" s="27"/>
      <c r="EC10" s="27"/>
      <c r="ED10" s="27"/>
      <c r="EE10" s="27"/>
      <c r="EF10" s="27"/>
      <c r="EG10" s="27"/>
      <c r="EH10" s="27"/>
      <c r="EI10" s="27"/>
      <c r="EJ10" s="27"/>
      <c r="EK10" s="27"/>
      <c r="EL10" s="27"/>
      <c r="EM10" s="27"/>
      <c r="EN10" s="27"/>
      <c r="EO10" s="27"/>
      <c r="EP10" s="27"/>
      <c r="EQ10" s="27"/>
      <c r="ER10" s="27"/>
      <c r="ES10" s="27"/>
      <c r="ET10" s="27"/>
      <c r="EU10" s="27"/>
      <c r="EV10" s="27"/>
      <c r="EW10" s="27"/>
      <c r="EX10" s="27"/>
      <c r="EY10" s="27"/>
      <c r="EZ10" s="27"/>
      <c r="FA10" s="27"/>
      <c r="FB10" s="27"/>
      <c r="FC10" s="27"/>
      <c r="FD10" s="27"/>
      <c r="FE10" s="27"/>
      <c r="FF10" s="27"/>
      <c r="FG10" s="27"/>
      <c r="FH10" s="27"/>
      <c r="FI10" s="27"/>
      <c r="FJ10" s="27"/>
      <c r="FK10" s="27"/>
      <c r="FL10" s="27"/>
      <c r="FM10" s="27"/>
      <c r="FN10" s="27"/>
      <c r="FO10" s="27"/>
      <c r="FP10" s="27"/>
      <c r="FQ10" s="27"/>
      <c r="FR10" s="27"/>
      <c r="FS10" s="27"/>
      <c r="FT10" s="27"/>
      <c r="FU10" s="27"/>
      <c r="FV10" s="27"/>
      <c r="FW10" s="27"/>
      <c r="FX10" s="27"/>
      <c r="FY10" s="27"/>
      <c r="FZ10" s="27"/>
      <c r="GA10" s="27"/>
      <c r="GB10" s="27"/>
      <c r="GC10" s="27"/>
      <c r="GD10" s="27"/>
      <c r="GE10" s="27"/>
      <c r="GF10" s="27"/>
      <c r="GG10" s="27"/>
      <c r="GH10" s="27"/>
      <c r="GI10" s="27"/>
      <c r="GJ10" s="27"/>
      <c r="GK10" s="27"/>
      <c r="GL10" s="27"/>
      <c r="GM10" s="27"/>
      <c r="GN10" s="27"/>
      <c r="GO10" s="27"/>
      <c r="GP10" s="27"/>
      <c r="GQ10" s="27"/>
      <c r="GR10" s="27"/>
      <c r="GS10" s="27"/>
      <c r="GT10" s="27"/>
      <c r="GU10" s="27"/>
      <c r="GV10" s="27"/>
      <c r="GW10" s="27"/>
      <c r="GX10" s="27"/>
      <c r="GY10" s="27"/>
      <c r="GZ10" s="27"/>
      <c r="HA10" s="27"/>
      <c r="HB10" s="27"/>
      <c r="HC10" s="27"/>
      <c r="HD10" s="27"/>
      <c r="HE10" s="27"/>
      <c r="HF10" s="27"/>
      <c r="HG10" s="27"/>
      <c r="HH10" s="27"/>
      <c r="HI10" s="27"/>
      <c r="HJ10" s="27"/>
      <c r="HK10" s="27"/>
      <c r="HL10" s="27"/>
      <c r="HM10" s="27"/>
      <c r="HN10" s="27"/>
      <c r="HO10" s="27"/>
      <c r="HP10" s="27"/>
      <c r="HQ10" s="27"/>
      <c r="HR10" s="27"/>
      <c r="HS10" s="27"/>
      <c r="HT10" s="27"/>
      <c r="HU10" s="27"/>
      <c r="HV10" s="27"/>
      <c r="HW10" s="27"/>
      <c r="HX10" s="27"/>
      <c r="HY10" s="27"/>
      <c r="HZ10" s="27"/>
      <c r="IA10" s="27"/>
    </row>
    <row r="11" s="6" customFormat="true" ht="15" hidden="false" customHeight="false" outlineLevel="0" collapsed="false">
      <c r="A11" s="17"/>
      <c r="B11" s="18" t="s">
        <v>23</v>
      </c>
      <c r="C11" s="29"/>
      <c r="D11" s="29"/>
      <c r="E11" s="61"/>
      <c r="F11" s="29"/>
      <c r="G11" s="34"/>
      <c r="H11" s="29"/>
      <c r="I11" s="29"/>
      <c r="J11" s="29"/>
      <c r="K11" s="53"/>
      <c r="L11" s="36"/>
      <c r="M11" s="19" t="n">
        <v>-10</v>
      </c>
      <c r="N11" s="37"/>
      <c r="O11" s="30" t="n">
        <f aca="false">N11*J11</f>
        <v>0</v>
      </c>
      <c r="Q11" s="46"/>
      <c r="S11" s="27"/>
      <c r="T11" s="27"/>
      <c r="U11" s="27"/>
      <c r="V11" s="27"/>
      <c r="W11" s="27"/>
      <c r="X11" s="27"/>
      <c r="Y11" s="27"/>
      <c r="Z11" s="27"/>
      <c r="AA11" s="27"/>
      <c r="AB11" s="27"/>
      <c r="AC11" s="27"/>
      <c r="AD11" s="27"/>
      <c r="AE11" s="27"/>
      <c r="AF11" s="27"/>
      <c r="AG11" s="27"/>
      <c r="AH11" s="27"/>
      <c r="AI11" s="27"/>
      <c r="AJ11" s="27"/>
      <c r="AK11" s="27"/>
      <c r="AL11" s="27"/>
      <c r="AM11" s="27"/>
      <c r="AN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  <c r="BH11" s="27"/>
      <c r="BI11" s="27"/>
      <c r="BJ11" s="27"/>
      <c r="BK11" s="27"/>
      <c r="BL11" s="27"/>
      <c r="BM11" s="27"/>
      <c r="BN11" s="27"/>
      <c r="BO11" s="27"/>
      <c r="BP11" s="27"/>
      <c r="BQ11" s="27"/>
      <c r="BR11" s="27"/>
      <c r="BS11" s="27"/>
      <c r="BT11" s="27"/>
      <c r="BU11" s="27"/>
      <c r="BV11" s="27"/>
      <c r="BW11" s="27"/>
      <c r="BX11" s="27"/>
      <c r="BY11" s="27"/>
      <c r="BZ11" s="27"/>
      <c r="CA11" s="27"/>
      <c r="CB11" s="27"/>
      <c r="CC11" s="27"/>
      <c r="CD11" s="27"/>
      <c r="CE11" s="27"/>
      <c r="CF11" s="27"/>
      <c r="CG11" s="27"/>
      <c r="CH11" s="27"/>
      <c r="CI11" s="27"/>
      <c r="CJ11" s="27"/>
      <c r="CK11" s="27"/>
      <c r="CL11" s="27"/>
      <c r="CM11" s="27"/>
      <c r="CN11" s="27"/>
      <c r="CO11" s="27"/>
      <c r="CP11" s="27"/>
      <c r="CQ11" s="27"/>
      <c r="CR11" s="27"/>
      <c r="CS11" s="27"/>
      <c r="CT11" s="27"/>
      <c r="CU11" s="27"/>
      <c r="CV11" s="27"/>
      <c r="CW11" s="27"/>
      <c r="CX11" s="27"/>
      <c r="CY11" s="27"/>
      <c r="CZ11" s="27"/>
      <c r="DA11" s="27"/>
      <c r="DB11" s="27"/>
      <c r="DC11" s="27"/>
      <c r="DD11" s="27"/>
      <c r="DE11" s="27"/>
      <c r="DF11" s="27"/>
      <c r="DG11" s="27"/>
      <c r="DH11" s="27"/>
      <c r="DI11" s="27"/>
      <c r="DJ11" s="27"/>
      <c r="DK11" s="27"/>
      <c r="DL11" s="27"/>
      <c r="DM11" s="27"/>
      <c r="DN11" s="27"/>
      <c r="DO11" s="27"/>
      <c r="DP11" s="27"/>
      <c r="DQ11" s="27"/>
      <c r="DR11" s="27"/>
      <c r="DS11" s="27"/>
      <c r="DT11" s="27"/>
      <c r="DU11" s="27"/>
      <c r="DV11" s="27"/>
      <c r="DW11" s="27"/>
      <c r="DX11" s="27"/>
      <c r="DY11" s="27"/>
      <c r="DZ11" s="27"/>
      <c r="EA11" s="27"/>
      <c r="EB11" s="27"/>
      <c r="EC11" s="27"/>
      <c r="ED11" s="27"/>
      <c r="EE11" s="27"/>
      <c r="EF11" s="27"/>
      <c r="EG11" s="27"/>
      <c r="EH11" s="27"/>
      <c r="EI11" s="27"/>
      <c r="EJ11" s="27"/>
      <c r="EK11" s="27"/>
      <c r="EL11" s="27"/>
      <c r="EM11" s="27"/>
      <c r="EN11" s="27"/>
      <c r="EO11" s="27"/>
      <c r="EP11" s="27"/>
      <c r="EQ11" s="27"/>
      <c r="ER11" s="27"/>
      <c r="ES11" s="27"/>
      <c r="ET11" s="27"/>
      <c r="EU11" s="27"/>
      <c r="EV11" s="27"/>
      <c r="EW11" s="27"/>
      <c r="EX11" s="27"/>
      <c r="EY11" s="27"/>
      <c r="EZ11" s="27"/>
      <c r="FA11" s="27"/>
      <c r="FB11" s="27"/>
      <c r="FC11" s="27"/>
      <c r="FD11" s="27"/>
      <c r="FE11" s="27"/>
      <c r="FF11" s="27"/>
      <c r="FG11" s="27"/>
      <c r="FH11" s="27"/>
      <c r="FI11" s="27"/>
      <c r="FJ11" s="27"/>
      <c r="FK11" s="27"/>
      <c r="FL11" s="27"/>
      <c r="FM11" s="27"/>
      <c r="FN11" s="27"/>
      <c r="FO11" s="27"/>
      <c r="FP11" s="27"/>
      <c r="FQ11" s="27"/>
      <c r="FR11" s="27"/>
      <c r="FS11" s="27"/>
      <c r="FT11" s="27"/>
      <c r="FU11" s="27"/>
      <c r="FV11" s="27"/>
      <c r="FW11" s="27"/>
      <c r="FX11" s="27"/>
      <c r="FY11" s="27"/>
      <c r="FZ11" s="27"/>
      <c r="GA11" s="27"/>
      <c r="GB11" s="27"/>
      <c r="GC11" s="27"/>
      <c r="GD11" s="27"/>
      <c r="GE11" s="27"/>
      <c r="GF11" s="27"/>
      <c r="GG11" s="27"/>
      <c r="GH11" s="27"/>
      <c r="GI11" s="27"/>
      <c r="GJ11" s="27"/>
      <c r="GK11" s="27"/>
      <c r="GL11" s="27"/>
      <c r="GM11" s="27"/>
      <c r="GN11" s="27"/>
      <c r="GO11" s="27"/>
      <c r="GP11" s="27"/>
      <c r="GQ11" s="27"/>
      <c r="GR11" s="27"/>
      <c r="GS11" s="27"/>
      <c r="GT11" s="27"/>
      <c r="GU11" s="27"/>
      <c r="GV11" s="27"/>
      <c r="GW11" s="27"/>
      <c r="GX11" s="27"/>
      <c r="GY11" s="27"/>
      <c r="GZ11" s="27"/>
      <c r="HA11" s="27"/>
      <c r="HB11" s="27"/>
      <c r="HC11" s="27"/>
      <c r="HD11" s="27"/>
      <c r="HE11" s="27"/>
      <c r="HF11" s="27"/>
      <c r="HG11" s="27"/>
      <c r="HH11" s="27"/>
      <c r="HI11" s="27"/>
      <c r="HJ11" s="27"/>
      <c r="HK11" s="27"/>
      <c r="HL11" s="27"/>
      <c r="HM11" s="27"/>
      <c r="HN11" s="27"/>
      <c r="HO11" s="27"/>
      <c r="HP11" s="27"/>
      <c r="HQ11" s="27"/>
      <c r="HR11" s="27"/>
      <c r="HS11" s="27"/>
      <c r="HT11" s="27"/>
      <c r="HU11" s="27"/>
      <c r="HV11" s="27"/>
      <c r="HW11" s="27"/>
      <c r="HX11" s="27"/>
      <c r="HY11" s="27"/>
      <c r="HZ11" s="27"/>
      <c r="IA11" s="27"/>
    </row>
    <row r="12" s="6" customFormat="true" ht="15" hidden="false" customHeight="false" outlineLevel="0" collapsed="false">
      <c r="A12" s="17"/>
      <c r="B12" s="18" t="s">
        <v>23</v>
      </c>
      <c r="C12" s="29"/>
      <c r="D12" s="29"/>
      <c r="E12" s="61"/>
      <c r="F12" s="29"/>
      <c r="G12" s="34"/>
      <c r="H12" s="29"/>
      <c r="I12" s="29"/>
      <c r="J12" s="29"/>
      <c r="K12" s="53"/>
      <c r="L12" s="36"/>
      <c r="M12" s="19" t="n">
        <v>-10</v>
      </c>
      <c r="N12" s="37"/>
      <c r="O12" s="30" t="n">
        <f aca="false">N12*J12</f>
        <v>0</v>
      </c>
      <c r="Q12" s="46"/>
      <c r="S12" s="27"/>
      <c r="T12" s="27"/>
      <c r="U12" s="27"/>
      <c r="V12" s="27"/>
      <c r="W12" s="27"/>
      <c r="X12" s="27"/>
      <c r="Y12" s="27"/>
      <c r="Z12" s="27"/>
      <c r="AA12" s="27"/>
      <c r="AB12" s="27"/>
      <c r="AC12" s="27"/>
      <c r="AD12" s="27"/>
      <c r="AE12" s="27"/>
      <c r="AF12" s="27"/>
      <c r="AG12" s="27"/>
      <c r="AH12" s="27"/>
      <c r="AI12" s="27"/>
      <c r="AJ12" s="27"/>
      <c r="AK12" s="27"/>
      <c r="AL12" s="27"/>
      <c r="AM12" s="27"/>
      <c r="AN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27"/>
      <c r="BN12" s="27"/>
      <c r="BO12" s="27"/>
      <c r="BP12" s="27"/>
      <c r="BQ12" s="27"/>
      <c r="BR12" s="27"/>
      <c r="BS12" s="27"/>
      <c r="BT12" s="27"/>
      <c r="BU12" s="27"/>
      <c r="BV12" s="27"/>
      <c r="BW12" s="27"/>
      <c r="BX12" s="27"/>
      <c r="BY12" s="27"/>
      <c r="BZ12" s="27"/>
      <c r="CA12" s="27"/>
      <c r="CB12" s="27"/>
      <c r="CC12" s="27"/>
      <c r="CD12" s="27"/>
      <c r="CE12" s="27"/>
      <c r="CF12" s="27"/>
      <c r="CG12" s="27"/>
      <c r="CH12" s="27"/>
      <c r="CI12" s="27"/>
      <c r="CJ12" s="27"/>
      <c r="CK12" s="27"/>
      <c r="CL12" s="27"/>
      <c r="CM12" s="27"/>
      <c r="CN12" s="27"/>
      <c r="CO12" s="27"/>
      <c r="CP12" s="27"/>
      <c r="CQ12" s="27"/>
      <c r="CR12" s="27"/>
      <c r="CS12" s="27"/>
      <c r="CT12" s="27"/>
      <c r="CU12" s="27"/>
      <c r="CV12" s="27"/>
      <c r="CW12" s="27"/>
      <c r="CX12" s="27"/>
      <c r="CY12" s="27"/>
      <c r="CZ12" s="27"/>
      <c r="DA12" s="27"/>
      <c r="DB12" s="27"/>
      <c r="DC12" s="27"/>
      <c r="DD12" s="27"/>
      <c r="DE12" s="27"/>
      <c r="DF12" s="27"/>
      <c r="DG12" s="27"/>
      <c r="DH12" s="27"/>
      <c r="DI12" s="27"/>
      <c r="DJ12" s="27"/>
      <c r="DK12" s="27"/>
      <c r="DL12" s="27"/>
      <c r="DM12" s="27"/>
      <c r="DN12" s="27"/>
      <c r="DO12" s="27"/>
      <c r="DP12" s="27"/>
      <c r="DQ12" s="27"/>
      <c r="DR12" s="27"/>
      <c r="DS12" s="27"/>
      <c r="DT12" s="27"/>
      <c r="DU12" s="27"/>
      <c r="DV12" s="27"/>
      <c r="DW12" s="27"/>
      <c r="DX12" s="27"/>
      <c r="DY12" s="27"/>
      <c r="DZ12" s="27"/>
      <c r="EA12" s="27"/>
      <c r="EB12" s="27"/>
      <c r="EC12" s="27"/>
      <c r="ED12" s="27"/>
      <c r="EE12" s="27"/>
      <c r="EF12" s="27"/>
      <c r="EG12" s="27"/>
      <c r="EH12" s="27"/>
      <c r="EI12" s="27"/>
      <c r="EJ12" s="27"/>
      <c r="EK12" s="27"/>
      <c r="EL12" s="27"/>
      <c r="EM12" s="27"/>
      <c r="EN12" s="27"/>
      <c r="EO12" s="27"/>
      <c r="EP12" s="27"/>
      <c r="EQ12" s="27"/>
      <c r="ER12" s="27"/>
      <c r="ES12" s="27"/>
      <c r="ET12" s="27"/>
      <c r="EU12" s="27"/>
      <c r="EV12" s="27"/>
      <c r="EW12" s="27"/>
      <c r="EX12" s="27"/>
      <c r="EY12" s="27"/>
      <c r="EZ12" s="27"/>
      <c r="FA12" s="27"/>
      <c r="FB12" s="27"/>
      <c r="FC12" s="27"/>
      <c r="FD12" s="27"/>
      <c r="FE12" s="27"/>
      <c r="FF12" s="27"/>
      <c r="FG12" s="27"/>
      <c r="FH12" s="27"/>
      <c r="FI12" s="27"/>
      <c r="FJ12" s="27"/>
      <c r="FK12" s="27"/>
      <c r="FL12" s="27"/>
      <c r="FM12" s="27"/>
      <c r="FN12" s="27"/>
      <c r="FO12" s="27"/>
      <c r="FP12" s="27"/>
      <c r="FQ12" s="27"/>
      <c r="FR12" s="27"/>
      <c r="FS12" s="27"/>
      <c r="FT12" s="27"/>
      <c r="FU12" s="27"/>
      <c r="FV12" s="27"/>
      <c r="FW12" s="27"/>
      <c r="FX12" s="27"/>
      <c r="FY12" s="27"/>
      <c r="FZ12" s="27"/>
      <c r="GA12" s="27"/>
      <c r="GB12" s="27"/>
      <c r="GC12" s="27"/>
      <c r="GD12" s="27"/>
      <c r="GE12" s="27"/>
      <c r="GF12" s="27"/>
      <c r="GG12" s="27"/>
      <c r="GH12" s="27"/>
      <c r="GI12" s="27"/>
      <c r="GJ12" s="27"/>
      <c r="GK12" s="27"/>
      <c r="GL12" s="27"/>
      <c r="GM12" s="27"/>
      <c r="GN12" s="27"/>
      <c r="GO12" s="27"/>
      <c r="GP12" s="27"/>
      <c r="GQ12" s="27"/>
      <c r="GR12" s="27"/>
      <c r="GS12" s="27"/>
      <c r="GT12" s="27"/>
      <c r="GU12" s="27"/>
      <c r="GV12" s="27"/>
      <c r="GW12" s="27"/>
      <c r="GX12" s="27"/>
      <c r="GY12" s="27"/>
      <c r="GZ12" s="27"/>
      <c r="HA12" s="27"/>
      <c r="HB12" s="27"/>
      <c r="HC12" s="27"/>
      <c r="HD12" s="27"/>
      <c r="HE12" s="27"/>
      <c r="HF12" s="27"/>
      <c r="HG12" s="27"/>
      <c r="HH12" s="27"/>
      <c r="HI12" s="27"/>
      <c r="HJ12" s="27"/>
      <c r="HK12" s="27"/>
      <c r="HL12" s="27"/>
      <c r="HM12" s="27"/>
      <c r="HN12" s="27"/>
      <c r="HO12" s="27"/>
      <c r="HP12" s="27"/>
      <c r="HQ12" s="27"/>
      <c r="HR12" s="27"/>
      <c r="HS12" s="27"/>
      <c r="HT12" s="27"/>
      <c r="HU12" s="27"/>
      <c r="HV12" s="27"/>
      <c r="HW12" s="27"/>
      <c r="HX12" s="27"/>
      <c r="HY12" s="27"/>
      <c r="HZ12" s="27"/>
      <c r="IA12" s="27"/>
    </row>
    <row r="13" s="6" customFormat="true" ht="15" hidden="false" customHeight="false" outlineLevel="0" collapsed="false">
      <c r="A13" s="17"/>
      <c r="B13" s="18" t="s">
        <v>23</v>
      </c>
      <c r="C13" s="29"/>
      <c r="D13" s="29"/>
      <c r="E13" s="61"/>
      <c r="F13" s="29"/>
      <c r="G13" s="34"/>
      <c r="H13" s="29"/>
      <c r="I13" s="29"/>
      <c r="J13" s="29"/>
      <c r="K13" s="53"/>
      <c r="L13" s="36"/>
      <c r="M13" s="19" t="n">
        <v>-10</v>
      </c>
      <c r="N13" s="37"/>
      <c r="O13" s="30" t="n">
        <f aca="false">N13*J13</f>
        <v>0</v>
      </c>
      <c r="Q13" s="46"/>
      <c r="S13" s="27"/>
      <c r="T13" s="27"/>
      <c r="U13" s="27"/>
      <c r="V13" s="27"/>
      <c r="W13" s="27"/>
      <c r="X13" s="27"/>
      <c r="Y13" s="27"/>
      <c r="Z13" s="27"/>
      <c r="AA13" s="27"/>
      <c r="AB13" s="27"/>
      <c r="AC13" s="27"/>
      <c r="AD13" s="27"/>
      <c r="AE13" s="27"/>
      <c r="AF13" s="27"/>
      <c r="AG13" s="27"/>
      <c r="AH13" s="27"/>
      <c r="AI13" s="27"/>
      <c r="AJ13" s="27"/>
      <c r="AK13" s="27"/>
      <c r="AL13" s="27"/>
      <c r="AM13" s="27"/>
      <c r="AN13" s="27"/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  <c r="BH13" s="27"/>
      <c r="BI13" s="27"/>
      <c r="BJ13" s="27"/>
      <c r="BK13" s="27"/>
      <c r="BL13" s="27"/>
      <c r="BM13" s="27"/>
      <c r="BN13" s="27"/>
      <c r="BO13" s="27"/>
      <c r="BP13" s="27"/>
      <c r="BQ13" s="27"/>
      <c r="BR13" s="27"/>
      <c r="BS13" s="27"/>
      <c r="BT13" s="27"/>
      <c r="BU13" s="27"/>
      <c r="BV13" s="27"/>
      <c r="BW13" s="27"/>
      <c r="BX13" s="27"/>
      <c r="BY13" s="27"/>
      <c r="BZ13" s="27"/>
      <c r="CA13" s="27"/>
      <c r="CB13" s="27"/>
      <c r="CC13" s="27"/>
      <c r="CD13" s="27"/>
      <c r="CE13" s="27"/>
      <c r="CF13" s="27"/>
      <c r="CG13" s="27"/>
      <c r="CH13" s="27"/>
      <c r="CI13" s="27"/>
      <c r="CJ13" s="27"/>
      <c r="CK13" s="27"/>
      <c r="CL13" s="27"/>
      <c r="CM13" s="27"/>
      <c r="CN13" s="27"/>
      <c r="CO13" s="27"/>
      <c r="CP13" s="27"/>
      <c r="CQ13" s="27"/>
      <c r="CR13" s="27"/>
      <c r="CS13" s="27"/>
      <c r="CT13" s="27"/>
      <c r="CU13" s="27"/>
      <c r="CV13" s="27"/>
      <c r="CW13" s="27"/>
      <c r="CX13" s="27"/>
      <c r="CY13" s="27"/>
      <c r="CZ13" s="27"/>
      <c r="DA13" s="27"/>
      <c r="DB13" s="27"/>
      <c r="DC13" s="27"/>
      <c r="DD13" s="27"/>
      <c r="DE13" s="27"/>
      <c r="DF13" s="27"/>
      <c r="DG13" s="27"/>
      <c r="DH13" s="27"/>
      <c r="DI13" s="27"/>
      <c r="DJ13" s="27"/>
      <c r="DK13" s="27"/>
      <c r="DL13" s="27"/>
      <c r="DM13" s="27"/>
      <c r="DN13" s="27"/>
      <c r="DO13" s="27"/>
      <c r="DP13" s="27"/>
      <c r="DQ13" s="27"/>
      <c r="DR13" s="27"/>
      <c r="DS13" s="27"/>
      <c r="DT13" s="27"/>
      <c r="DU13" s="27"/>
      <c r="DV13" s="27"/>
      <c r="DW13" s="27"/>
      <c r="DX13" s="27"/>
      <c r="DY13" s="27"/>
      <c r="DZ13" s="27"/>
      <c r="EA13" s="27"/>
      <c r="EB13" s="27"/>
      <c r="EC13" s="27"/>
      <c r="ED13" s="27"/>
      <c r="EE13" s="27"/>
      <c r="EF13" s="27"/>
      <c r="EG13" s="27"/>
      <c r="EH13" s="27"/>
      <c r="EI13" s="27"/>
      <c r="EJ13" s="27"/>
      <c r="EK13" s="27"/>
      <c r="EL13" s="27"/>
      <c r="EM13" s="27"/>
      <c r="EN13" s="27"/>
      <c r="EO13" s="27"/>
      <c r="EP13" s="27"/>
      <c r="EQ13" s="27"/>
      <c r="ER13" s="27"/>
      <c r="ES13" s="27"/>
      <c r="ET13" s="27"/>
      <c r="EU13" s="27"/>
      <c r="EV13" s="27"/>
      <c r="EW13" s="27"/>
      <c r="EX13" s="27"/>
      <c r="EY13" s="27"/>
      <c r="EZ13" s="27"/>
      <c r="FA13" s="27"/>
      <c r="FB13" s="27"/>
      <c r="FC13" s="27"/>
      <c r="FD13" s="27"/>
      <c r="FE13" s="27"/>
      <c r="FF13" s="27"/>
      <c r="FG13" s="27"/>
      <c r="FH13" s="27"/>
      <c r="FI13" s="27"/>
      <c r="FJ13" s="27"/>
      <c r="FK13" s="27"/>
      <c r="FL13" s="27"/>
      <c r="FM13" s="27"/>
      <c r="FN13" s="27"/>
      <c r="FO13" s="27"/>
      <c r="FP13" s="27"/>
      <c r="FQ13" s="27"/>
      <c r="FR13" s="27"/>
      <c r="FS13" s="27"/>
      <c r="FT13" s="27"/>
      <c r="FU13" s="27"/>
      <c r="FV13" s="27"/>
      <c r="FW13" s="27"/>
      <c r="FX13" s="27"/>
      <c r="FY13" s="27"/>
      <c r="FZ13" s="27"/>
      <c r="GA13" s="27"/>
      <c r="GB13" s="27"/>
      <c r="GC13" s="27"/>
      <c r="GD13" s="27"/>
      <c r="GE13" s="27"/>
      <c r="GF13" s="27"/>
      <c r="GG13" s="27"/>
      <c r="GH13" s="27"/>
      <c r="GI13" s="27"/>
      <c r="GJ13" s="27"/>
      <c r="GK13" s="27"/>
      <c r="GL13" s="27"/>
      <c r="GM13" s="27"/>
      <c r="GN13" s="27"/>
      <c r="GO13" s="27"/>
      <c r="GP13" s="27"/>
      <c r="GQ13" s="27"/>
      <c r="GR13" s="27"/>
      <c r="GS13" s="27"/>
      <c r="GT13" s="27"/>
      <c r="GU13" s="27"/>
      <c r="GV13" s="27"/>
      <c r="GW13" s="27"/>
      <c r="GX13" s="27"/>
      <c r="GY13" s="27"/>
      <c r="GZ13" s="27"/>
      <c r="HA13" s="27"/>
      <c r="HB13" s="27"/>
      <c r="HC13" s="27"/>
      <c r="HD13" s="27"/>
      <c r="HE13" s="27"/>
      <c r="HF13" s="27"/>
      <c r="HG13" s="27"/>
      <c r="HH13" s="27"/>
      <c r="HI13" s="27"/>
      <c r="HJ13" s="27"/>
      <c r="HK13" s="27"/>
      <c r="HL13" s="27"/>
      <c r="HM13" s="27"/>
      <c r="HN13" s="27"/>
      <c r="HO13" s="27"/>
      <c r="HP13" s="27"/>
      <c r="HQ13" s="27"/>
      <c r="HR13" s="27"/>
      <c r="HS13" s="27"/>
      <c r="HT13" s="27"/>
      <c r="HU13" s="27"/>
      <c r="HV13" s="27"/>
      <c r="HW13" s="27"/>
      <c r="HX13" s="27"/>
      <c r="HY13" s="27"/>
      <c r="HZ13" s="27"/>
      <c r="IA13" s="27"/>
    </row>
    <row r="14" s="6" customFormat="true" ht="15" hidden="false" customHeight="false" outlineLevel="0" collapsed="false">
      <c r="A14" s="17"/>
      <c r="B14" s="18" t="s">
        <v>23</v>
      </c>
      <c r="C14" s="29"/>
      <c r="D14" s="29"/>
      <c r="E14" s="61"/>
      <c r="F14" s="29"/>
      <c r="G14" s="34"/>
      <c r="H14" s="29"/>
      <c r="I14" s="29"/>
      <c r="J14" s="29"/>
      <c r="K14" s="53"/>
      <c r="L14" s="36"/>
      <c r="M14" s="19" t="n">
        <v>-10</v>
      </c>
      <c r="N14" s="37"/>
      <c r="O14" s="30" t="n">
        <f aca="false">N14*J14</f>
        <v>0</v>
      </c>
      <c r="Q14" s="46"/>
      <c r="S14" s="27"/>
      <c r="T14" s="27"/>
      <c r="U14" s="27"/>
      <c r="V14" s="27"/>
      <c r="W14" s="27"/>
      <c r="X14" s="27"/>
      <c r="Y14" s="27"/>
      <c r="Z14" s="27"/>
      <c r="AA14" s="27"/>
      <c r="AB14" s="27"/>
      <c r="AC14" s="27"/>
      <c r="AD14" s="27"/>
      <c r="AE14" s="27"/>
      <c r="AF14" s="27"/>
      <c r="AG14" s="27"/>
      <c r="AH14" s="27"/>
      <c r="AI14" s="27"/>
      <c r="AJ14" s="27"/>
      <c r="AK14" s="27"/>
      <c r="AL14" s="27"/>
      <c r="AM14" s="27"/>
      <c r="AN14" s="27"/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  <c r="BH14" s="27"/>
      <c r="BI14" s="27"/>
      <c r="BJ14" s="27"/>
      <c r="BK14" s="27"/>
      <c r="BL14" s="27"/>
      <c r="BM14" s="27"/>
      <c r="BN14" s="27"/>
      <c r="BO14" s="27"/>
      <c r="BP14" s="27"/>
      <c r="BQ14" s="27"/>
      <c r="BR14" s="27"/>
      <c r="BS14" s="27"/>
      <c r="BT14" s="27"/>
      <c r="BU14" s="27"/>
      <c r="BV14" s="27"/>
      <c r="BW14" s="27"/>
      <c r="BX14" s="27"/>
      <c r="BY14" s="27"/>
      <c r="BZ14" s="27"/>
      <c r="CA14" s="27"/>
      <c r="CB14" s="27"/>
      <c r="CC14" s="27"/>
      <c r="CD14" s="27"/>
      <c r="CE14" s="27"/>
      <c r="CF14" s="27"/>
      <c r="CG14" s="27"/>
      <c r="CH14" s="27"/>
      <c r="CI14" s="27"/>
      <c r="CJ14" s="27"/>
      <c r="CK14" s="27"/>
      <c r="CL14" s="27"/>
      <c r="CM14" s="27"/>
      <c r="CN14" s="27"/>
      <c r="CO14" s="27"/>
      <c r="CP14" s="27"/>
      <c r="CQ14" s="27"/>
      <c r="CR14" s="27"/>
      <c r="CS14" s="27"/>
      <c r="CT14" s="27"/>
      <c r="CU14" s="27"/>
      <c r="CV14" s="27"/>
      <c r="CW14" s="27"/>
      <c r="CX14" s="27"/>
      <c r="CY14" s="27"/>
      <c r="CZ14" s="27"/>
      <c r="DA14" s="27"/>
      <c r="DB14" s="27"/>
      <c r="DC14" s="27"/>
      <c r="DD14" s="27"/>
      <c r="DE14" s="27"/>
      <c r="DF14" s="27"/>
      <c r="DG14" s="27"/>
      <c r="DH14" s="27"/>
      <c r="DI14" s="27"/>
      <c r="DJ14" s="27"/>
      <c r="DK14" s="27"/>
      <c r="DL14" s="27"/>
      <c r="DM14" s="27"/>
      <c r="DN14" s="27"/>
      <c r="DO14" s="27"/>
      <c r="DP14" s="27"/>
      <c r="DQ14" s="27"/>
      <c r="DR14" s="27"/>
      <c r="DS14" s="27"/>
      <c r="DT14" s="27"/>
      <c r="DU14" s="27"/>
      <c r="DV14" s="27"/>
      <c r="DW14" s="27"/>
      <c r="DX14" s="27"/>
      <c r="DY14" s="27"/>
      <c r="DZ14" s="27"/>
      <c r="EA14" s="27"/>
      <c r="EB14" s="27"/>
      <c r="EC14" s="27"/>
      <c r="ED14" s="27"/>
      <c r="EE14" s="27"/>
      <c r="EF14" s="27"/>
      <c r="EG14" s="27"/>
      <c r="EH14" s="27"/>
      <c r="EI14" s="27"/>
      <c r="EJ14" s="27"/>
      <c r="EK14" s="27"/>
      <c r="EL14" s="27"/>
      <c r="EM14" s="27"/>
      <c r="EN14" s="27"/>
      <c r="EO14" s="27"/>
      <c r="EP14" s="27"/>
      <c r="EQ14" s="27"/>
      <c r="ER14" s="27"/>
      <c r="ES14" s="27"/>
      <c r="ET14" s="27"/>
      <c r="EU14" s="27"/>
      <c r="EV14" s="27"/>
      <c r="EW14" s="27"/>
      <c r="EX14" s="27"/>
      <c r="EY14" s="27"/>
      <c r="EZ14" s="27"/>
      <c r="FA14" s="27"/>
      <c r="FB14" s="27"/>
      <c r="FC14" s="27"/>
      <c r="FD14" s="27"/>
      <c r="FE14" s="27"/>
      <c r="FF14" s="27"/>
      <c r="FG14" s="27"/>
      <c r="FH14" s="27"/>
      <c r="FI14" s="27"/>
      <c r="FJ14" s="27"/>
      <c r="FK14" s="27"/>
      <c r="FL14" s="27"/>
      <c r="FM14" s="27"/>
      <c r="FN14" s="27"/>
      <c r="FO14" s="27"/>
      <c r="FP14" s="27"/>
      <c r="FQ14" s="27"/>
      <c r="FR14" s="27"/>
      <c r="FS14" s="27"/>
      <c r="FT14" s="27"/>
      <c r="FU14" s="27"/>
      <c r="FV14" s="27"/>
      <c r="FW14" s="27"/>
      <c r="FX14" s="27"/>
      <c r="FY14" s="27"/>
      <c r="FZ14" s="27"/>
      <c r="GA14" s="27"/>
      <c r="GB14" s="27"/>
      <c r="GC14" s="27"/>
      <c r="GD14" s="27"/>
      <c r="GE14" s="27"/>
      <c r="GF14" s="27"/>
      <c r="GG14" s="27"/>
      <c r="GH14" s="27"/>
      <c r="GI14" s="27"/>
      <c r="GJ14" s="27"/>
      <c r="GK14" s="27"/>
      <c r="GL14" s="27"/>
      <c r="GM14" s="27"/>
      <c r="GN14" s="27"/>
      <c r="GO14" s="27"/>
      <c r="GP14" s="27"/>
      <c r="GQ14" s="27"/>
      <c r="GR14" s="27"/>
      <c r="GS14" s="27"/>
      <c r="GT14" s="27"/>
      <c r="GU14" s="27"/>
      <c r="GV14" s="27"/>
      <c r="GW14" s="27"/>
      <c r="GX14" s="27"/>
      <c r="GY14" s="27"/>
      <c r="GZ14" s="27"/>
      <c r="HA14" s="27"/>
      <c r="HB14" s="27"/>
      <c r="HC14" s="27"/>
      <c r="HD14" s="27"/>
      <c r="HE14" s="27"/>
      <c r="HF14" s="27"/>
      <c r="HG14" s="27"/>
      <c r="HH14" s="27"/>
      <c r="HI14" s="27"/>
      <c r="HJ14" s="27"/>
      <c r="HK14" s="27"/>
      <c r="HL14" s="27"/>
      <c r="HM14" s="27"/>
      <c r="HN14" s="27"/>
      <c r="HO14" s="27"/>
      <c r="HP14" s="27"/>
      <c r="HQ14" s="27"/>
      <c r="HR14" s="27"/>
      <c r="HS14" s="27"/>
      <c r="HT14" s="27"/>
      <c r="HU14" s="27"/>
      <c r="HV14" s="27"/>
      <c r="HW14" s="27"/>
      <c r="HX14" s="27"/>
      <c r="HY14" s="27"/>
      <c r="HZ14" s="27"/>
      <c r="IA14" s="27"/>
    </row>
    <row r="15" s="6" customFormat="true" ht="15" hidden="false" customHeight="false" outlineLevel="0" collapsed="false">
      <c r="A15" s="17"/>
      <c r="B15" s="18" t="s">
        <v>23</v>
      </c>
      <c r="C15" s="29"/>
      <c r="D15" s="29"/>
      <c r="E15" s="61"/>
      <c r="F15" s="29"/>
      <c r="G15" s="34"/>
      <c r="H15" s="29"/>
      <c r="I15" s="29"/>
      <c r="J15" s="29"/>
      <c r="K15" s="53"/>
      <c r="L15" s="36"/>
      <c r="M15" s="19" t="n">
        <v>-10</v>
      </c>
      <c r="N15" s="37"/>
      <c r="O15" s="30" t="n">
        <f aca="false">N15*J15</f>
        <v>0</v>
      </c>
      <c r="Q15" s="46"/>
      <c r="S15" s="27"/>
      <c r="T15" s="32"/>
      <c r="U15" s="27"/>
      <c r="V15" s="27"/>
      <c r="W15" s="27"/>
      <c r="X15" s="27"/>
      <c r="Y15" s="27"/>
      <c r="Z15" s="27"/>
      <c r="AA15" s="27"/>
      <c r="AB15" s="27"/>
      <c r="AC15" s="27"/>
      <c r="AD15" s="27"/>
      <c r="AE15" s="27"/>
      <c r="AF15" s="27"/>
      <c r="AG15" s="27"/>
      <c r="AH15" s="27"/>
      <c r="AI15" s="27"/>
      <c r="AJ15" s="27"/>
      <c r="AK15" s="27"/>
      <c r="AL15" s="27"/>
      <c r="AM15" s="27"/>
      <c r="AN15" s="27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  <c r="BH15" s="27"/>
      <c r="BI15" s="27"/>
      <c r="BJ15" s="27"/>
      <c r="BK15" s="27"/>
      <c r="BL15" s="27"/>
      <c r="BM15" s="27"/>
      <c r="BN15" s="27"/>
      <c r="BO15" s="27"/>
      <c r="BP15" s="27"/>
      <c r="BQ15" s="27"/>
      <c r="BR15" s="27"/>
      <c r="BS15" s="27"/>
      <c r="BT15" s="27"/>
      <c r="BU15" s="27"/>
      <c r="BV15" s="27"/>
      <c r="BW15" s="27"/>
      <c r="BX15" s="27"/>
      <c r="BY15" s="27"/>
      <c r="BZ15" s="27"/>
      <c r="CA15" s="27"/>
      <c r="CB15" s="27"/>
      <c r="CC15" s="27"/>
      <c r="CD15" s="27"/>
      <c r="CE15" s="27"/>
      <c r="CF15" s="27"/>
      <c r="CG15" s="27"/>
      <c r="CH15" s="27"/>
      <c r="CI15" s="27"/>
      <c r="CJ15" s="27"/>
      <c r="CK15" s="27"/>
      <c r="CL15" s="27"/>
      <c r="CM15" s="27"/>
      <c r="CN15" s="27"/>
      <c r="CO15" s="27"/>
      <c r="CP15" s="27"/>
      <c r="CQ15" s="27"/>
      <c r="CR15" s="27"/>
      <c r="CS15" s="27"/>
      <c r="CT15" s="27"/>
      <c r="CU15" s="27"/>
      <c r="CV15" s="27"/>
      <c r="CW15" s="27"/>
      <c r="CX15" s="27"/>
      <c r="CY15" s="27"/>
      <c r="CZ15" s="27"/>
      <c r="DA15" s="27"/>
      <c r="DB15" s="27"/>
      <c r="DC15" s="27"/>
      <c r="DD15" s="27"/>
      <c r="DE15" s="27"/>
      <c r="DF15" s="27"/>
      <c r="DG15" s="27"/>
      <c r="DH15" s="27"/>
      <c r="DI15" s="27"/>
      <c r="DJ15" s="27"/>
      <c r="DK15" s="27"/>
      <c r="DL15" s="27"/>
      <c r="DM15" s="27"/>
      <c r="DN15" s="27"/>
      <c r="DO15" s="27"/>
      <c r="DP15" s="27"/>
      <c r="DQ15" s="27"/>
      <c r="DR15" s="27"/>
      <c r="DS15" s="27"/>
      <c r="DT15" s="27"/>
      <c r="DU15" s="27"/>
      <c r="DV15" s="27"/>
      <c r="DW15" s="27"/>
      <c r="DX15" s="27"/>
      <c r="DY15" s="27"/>
      <c r="DZ15" s="27"/>
      <c r="EA15" s="27"/>
      <c r="EB15" s="27"/>
      <c r="EC15" s="27"/>
      <c r="ED15" s="27"/>
      <c r="EE15" s="27"/>
      <c r="EF15" s="27"/>
      <c r="EG15" s="27"/>
      <c r="EH15" s="27"/>
      <c r="EI15" s="27"/>
      <c r="EJ15" s="27"/>
      <c r="EK15" s="27"/>
      <c r="EL15" s="27"/>
      <c r="EM15" s="27"/>
      <c r="EN15" s="27"/>
      <c r="EO15" s="27"/>
      <c r="EP15" s="27"/>
      <c r="EQ15" s="27"/>
      <c r="ER15" s="27"/>
      <c r="ES15" s="27"/>
      <c r="ET15" s="27"/>
      <c r="EU15" s="27"/>
      <c r="EV15" s="27"/>
      <c r="EW15" s="27"/>
      <c r="EX15" s="27"/>
      <c r="EY15" s="27"/>
      <c r="EZ15" s="27"/>
      <c r="FA15" s="27"/>
      <c r="FB15" s="27"/>
      <c r="FC15" s="27"/>
      <c r="FD15" s="27"/>
      <c r="FE15" s="27"/>
      <c r="FF15" s="27"/>
      <c r="FG15" s="27"/>
      <c r="FH15" s="27"/>
      <c r="FI15" s="27"/>
      <c r="FJ15" s="27"/>
      <c r="FK15" s="27"/>
      <c r="FL15" s="27"/>
      <c r="FM15" s="27"/>
      <c r="FN15" s="27"/>
      <c r="FO15" s="27"/>
      <c r="FP15" s="27"/>
      <c r="FQ15" s="27"/>
      <c r="FR15" s="27"/>
      <c r="FS15" s="27"/>
      <c r="FT15" s="27"/>
      <c r="FU15" s="27"/>
      <c r="FV15" s="27"/>
      <c r="FW15" s="27"/>
      <c r="FX15" s="27"/>
      <c r="FY15" s="27"/>
      <c r="FZ15" s="27"/>
      <c r="GA15" s="27"/>
      <c r="GB15" s="27"/>
      <c r="GC15" s="27"/>
      <c r="GD15" s="27"/>
      <c r="GE15" s="27"/>
      <c r="GF15" s="27"/>
      <c r="GG15" s="27"/>
      <c r="GH15" s="27"/>
      <c r="GI15" s="27"/>
      <c r="GJ15" s="27"/>
      <c r="GK15" s="27"/>
      <c r="GL15" s="27"/>
      <c r="GM15" s="27"/>
      <c r="GN15" s="27"/>
      <c r="GO15" s="27"/>
      <c r="GP15" s="27"/>
      <c r="GQ15" s="27"/>
      <c r="GR15" s="27"/>
      <c r="GS15" s="27"/>
      <c r="GT15" s="27"/>
      <c r="GU15" s="27"/>
      <c r="GV15" s="27"/>
      <c r="GW15" s="27"/>
      <c r="GX15" s="27"/>
      <c r="GY15" s="27"/>
      <c r="GZ15" s="27"/>
      <c r="HA15" s="27"/>
      <c r="HB15" s="27"/>
      <c r="HC15" s="27"/>
      <c r="HD15" s="27"/>
      <c r="HE15" s="27"/>
      <c r="HF15" s="27"/>
      <c r="HG15" s="27"/>
      <c r="HH15" s="27"/>
      <c r="HI15" s="27"/>
      <c r="HJ15" s="27"/>
      <c r="HK15" s="27"/>
      <c r="HL15" s="27"/>
      <c r="HM15" s="27"/>
      <c r="HN15" s="27"/>
      <c r="HO15" s="27"/>
      <c r="HP15" s="27"/>
      <c r="HQ15" s="27"/>
      <c r="HR15" s="27"/>
      <c r="HS15" s="27"/>
      <c r="HT15" s="27"/>
      <c r="HU15" s="27"/>
      <c r="HV15" s="27"/>
      <c r="HW15" s="27"/>
      <c r="HX15" s="27"/>
      <c r="HY15" s="27"/>
      <c r="HZ15" s="27"/>
      <c r="IA15" s="27"/>
    </row>
    <row r="16" s="6" customFormat="true" ht="15" hidden="false" customHeight="false" outlineLevel="0" collapsed="false">
      <c r="A16" s="17"/>
      <c r="B16" s="18" t="s">
        <v>23</v>
      </c>
      <c r="C16" s="29"/>
      <c r="D16" s="29"/>
      <c r="E16" s="61"/>
      <c r="F16" s="29"/>
      <c r="G16" s="34"/>
      <c r="H16" s="29"/>
      <c r="I16" s="29"/>
      <c r="J16" s="29"/>
      <c r="K16" s="53"/>
      <c r="L16" s="36"/>
      <c r="M16" s="19" t="n">
        <v>-10</v>
      </c>
      <c r="N16" s="37"/>
      <c r="O16" s="30" t="n">
        <f aca="false">N16*J16</f>
        <v>0</v>
      </c>
      <c r="Q16" s="46"/>
      <c r="S16" s="27"/>
      <c r="T16" s="27"/>
      <c r="U16" s="27"/>
      <c r="V16" s="27"/>
      <c r="W16" s="27"/>
      <c r="X16" s="27"/>
      <c r="Y16" s="27"/>
      <c r="Z16" s="27"/>
      <c r="AA16" s="27"/>
      <c r="AB16" s="27"/>
      <c r="AC16" s="27"/>
      <c r="AD16" s="27"/>
      <c r="AE16" s="27"/>
      <c r="AF16" s="27"/>
      <c r="AG16" s="27"/>
      <c r="AH16" s="27"/>
      <c r="AI16" s="27"/>
      <c r="AJ16" s="27"/>
      <c r="AK16" s="27"/>
      <c r="AL16" s="27"/>
      <c r="AM16" s="27"/>
      <c r="AN16" s="27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27"/>
      <c r="BN16" s="27"/>
      <c r="BO16" s="27"/>
      <c r="BP16" s="27"/>
      <c r="BQ16" s="27"/>
      <c r="BR16" s="27"/>
      <c r="BS16" s="27"/>
      <c r="BT16" s="27"/>
      <c r="BU16" s="27"/>
      <c r="BV16" s="27"/>
      <c r="BW16" s="27"/>
      <c r="BX16" s="27"/>
      <c r="BY16" s="27"/>
      <c r="BZ16" s="27"/>
      <c r="CA16" s="27"/>
      <c r="CB16" s="27"/>
      <c r="CC16" s="27"/>
      <c r="CD16" s="27"/>
      <c r="CE16" s="27"/>
      <c r="CF16" s="27"/>
      <c r="CG16" s="27"/>
      <c r="CH16" s="27"/>
      <c r="CI16" s="27"/>
      <c r="CJ16" s="27"/>
      <c r="CK16" s="27"/>
      <c r="CL16" s="27"/>
      <c r="CM16" s="27"/>
      <c r="CN16" s="27"/>
      <c r="CO16" s="27"/>
      <c r="CP16" s="27"/>
      <c r="CQ16" s="27"/>
      <c r="CR16" s="27"/>
      <c r="CS16" s="27"/>
      <c r="CT16" s="27"/>
      <c r="CU16" s="27"/>
      <c r="CV16" s="27"/>
      <c r="CW16" s="27"/>
      <c r="CX16" s="27"/>
      <c r="CY16" s="27"/>
      <c r="CZ16" s="27"/>
      <c r="DA16" s="27"/>
      <c r="DB16" s="27"/>
      <c r="DC16" s="27"/>
      <c r="DD16" s="27"/>
      <c r="DE16" s="27"/>
      <c r="DF16" s="27"/>
      <c r="DG16" s="27"/>
      <c r="DH16" s="27"/>
      <c r="DI16" s="27"/>
      <c r="DJ16" s="27"/>
      <c r="DK16" s="27"/>
      <c r="DL16" s="27"/>
      <c r="DM16" s="27"/>
      <c r="DN16" s="27"/>
      <c r="DO16" s="27"/>
      <c r="DP16" s="27"/>
      <c r="DQ16" s="27"/>
      <c r="DR16" s="27"/>
      <c r="DS16" s="27"/>
      <c r="DT16" s="27"/>
      <c r="DU16" s="27"/>
      <c r="DV16" s="27"/>
      <c r="DW16" s="27"/>
      <c r="DX16" s="27"/>
      <c r="DY16" s="27"/>
      <c r="DZ16" s="27"/>
      <c r="EA16" s="27"/>
      <c r="EB16" s="27"/>
      <c r="EC16" s="27"/>
      <c r="ED16" s="27"/>
      <c r="EE16" s="27"/>
      <c r="EF16" s="27"/>
      <c r="EG16" s="27"/>
      <c r="EH16" s="27"/>
      <c r="EI16" s="27"/>
      <c r="EJ16" s="27"/>
      <c r="EK16" s="27"/>
      <c r="EL16" s="27"/>
      <c r="EM16" s="27"/>
      <c r="EN16" s="27"/>
      <c r="EO16" s="27"/>
      <c r="EP16" s="27"/>
      <c r="EQ16" s="27"/>
      <c r="ER16" s="27"/>
      <c r="ES16" s="27"/>
      <c r="ET16" s="27"/>
      <c r="EU16" s="27"/>
      <c r="EV16" s="27"/>
      <c r="EW16" s="27"/>
      <c r="EX16" s="27"/>
      <c r="EY16" s="27"/>
      <c r="EZ16" s="27"/>
      <c r="FA16" s="27"/>
      <c r="FB16" s="27"/>
      <c r="FC16" s="27"/>
      <c r="FD16" s="27"/>
      <c r="FE16" s="27"/>
      <c r="FF16" s="27"/>
      <c r="FG16" s="27"/>
      <c r="FH16" s="27"/>
      <c r="FI16" s="27"/>
      <c r="FJ16" s="27"/>
      <c r="FK16" s="27"/>
      <c r="FL16" s="27"/>
      <c r="FM16" s="27"/>
      <c r="FN16" s="27"/>
      <c r="FO16" s="27"/>
      <c r="FP16" s="27"/>
      <c r="FQ16" s="27"/>
      <c r="FR16" s="27"/>
      <c r="FS16" s="27"/>
      <c r="FT16" s="27"/>
      <c r="FU16" s="27"/>
      <c r="FV16" s="27"/>
      <c r="FW16" s="27"/>
      <c r="FX16" s="27"/>
      <c r="FY16" s="27"/>
      <c r="FZ16" s="27"/>
      <c r="GA16" s="27"/>
      <c r="GB16" s="27"/>
      <c r="GC16" s="27"/>
      <c r="GD16" s="27"/>
      <c r="GE16" s="27"/>
      <c r="GF16" s="27"/>
      <c r="GG16" s="27"/>
      <c r="GH16" s="27"/>
      <c r="GI16" s="27"/>
      <c r="GJ16" s="27"/>
      <c r="GK16" s="27"/>
      <c r="GL16" s="27"/>
      <c r="GM16" s="27"/>
      <c r="GN16" s="27"/>
      <c r="GO16" s="27"/>
      <c r="GP16" s="27"/>
      <c r="GQ16" s="27"/>
      <c r="GR16" s="27"/>
      <c r="GS16" s="27"/>
      <c r="GT16" s="27"/>
      <c r="GU16" s="27"/>
      <c r="GV16" s="27"/>
      <c r="GW16" s="27"/>
      <c r="GX16" s="27"/>
      <c r="GY16" s="27"/>
      <c r="GZ16" s="27"/>
      <c r="HA16" s="27"/>
      <c r="HB16" s="27"/>
      <c r="HC16" s="27"/>
      <c r="HD16" s="27"/>
      <c r="HE16" s="27"/>
      <c r="HF16" s="27"/>
      <c r="HG16" s="27"/>
      <c r="HH16" s="27"/>
      <c r="HI16" s="27"/>
      <c r="HJ16" s="27"/>
      <c r="HK16" s="27"/>
      <c r="HL16" s="27"/>
      <c r="HM16" s="27"/>
      <c r="HN16" s="27"/>
      <c r="HO16" s="27"/>
      <c r="HP16" s="27"/>
      <c r="HQ16" s="27"/>
      <c r="HR16" s="27"/>
      <c r="HS16" s="27"/>
      <c r="HT16" s="27"/>
      <c r="HU16" s="27"/>
      <c r="HV16" s="27"/>
      <c r="HW16" s="27"/>
      <c r="HX16" s="27"/>
      <c r="HY16" s="27"/>
      <c r="HZ16" s="27"/>
      <c r="IA16" s="27"/>
    </row>
    <row r="17" s="6" customFormat="true" ht="15" hidden="false" customHeight="false" outlineLevel="0" collapsed="false">
      <c r="A17" s="17"/>
      <c r="B17" s="18" t="s">
        <v>23</v>
      </c>
      <c r="C17" s="29"/>
      <c r="D17" s="29"/>
      <c r="E17" s="61"/>
      <c r="F17" s="29"/>
      <c r="G17" s="34"/>
      <c r="H17" s="29"/>
      <c r="I17" s="29"/>
      <c r="J17" s="29"/>
      <c r="K17" s="53"/>
      <c r="L17" s="36"/>
      <c r="M17" s="19" t="n">
        <v>-10</v>
      </c>
      <c r="N17" s="37"/>
      <c r="O17" s="30" t="n">
        <f aca="false">N17*J17</f>
        <v>0</v>
      </c>
      <c r="Q17" s="46"/>
      <c r="S17" s="27"/>
      <c r="T17" s="27"/>
      <c r="U17" s="27"/>
      <c r="V17" s="27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7"/>
      <c r="BR17" s="27"/>
      <c r="BS17" s="27"/>
      <c r="BT17" s="27"/>
      <c r="BU17" s="27"/>
      <c r="BV17" s="27"/>
      <c r="BW17" s="27"/>
      <c r="BX17" s="27"/>
      <c r="BY17" s="27"/>
      <c r="BZ17" s="27"/>
      <c r="CA17" s="27"/>
      <c r="CB17" s="27"/>
      <c r="CC17" s="27"/>
      <c r="CD17" s="27"/>
      <c r="CE17" s="27"/>
      <c r="CF17" s="27"/>
      <c r="CG17" s="27"/>
      <c r="CH17" s="27"/>
      <c r="CI17" s="27"/>
      <c r="CJ17" s="27"/>
      <c r="CK17" s="27"/>
      <c r="CL17" s="27"/>
      <c r="CM17" s="27"/>
      <c r="CN17" s="27"/>
      <c r="CO17" s="27"/>
      <c r="CP17" s="27"/>
      <c r="CQ17" s="27"/>
      <c r="CR17" s="27"/>
      <c r="CS17" s="27"/>
      <c r="CT17" s="27"/>
      <c r="CU17" s="27"/>
      <c r="CV17" s="27"/>
      <c r="CW17" s="27"/>
      <c r="CX17" s="27"/>
      <c r="CY17" s="27"/>
      <c r="CZ17" s="27"/>
      <c r="DA17" s="27"/>
      <c r="DB17" s="27"/>
      <c r="DC17" s="27"/>
      <c r="DD17" s="27"/>
      <c r="DE17" s="27"/>
      <c r="DF17" s="27"/>
      <c r="DG17" s="27"/>
      <c r="DH17" s="27"/>
      <c r="DI17" s="27"/>
      <c r="DJ17" s="27"/>
      <c r="DK17" s="27"/>
      <c r="DL17" s="27"/>
      <c r="DM17" s="27"/>
      <c r="DN17" s="27"/>
      <c r="DO17" s="27"/>
      <c r="DP17" s="27"/>
      <c r="DQ17" s="27"/>
      <c r="DR17" s="27"/>
      <c r="DS17" s="27"/>
      <c r="DT17" s="27"/>
      <c r="DU17" s="27"/>
      <c r="DV17" s="27"/>
      <c r="DW17" s="27"/>
      <c r="DX17" s="27"/>
      <c r="DY17" s="27"/>
      <c r="DZ17" s="27"/>
      <c r="EA17" s="27"/>
      <c r="EB17" s="27"/>
      <c r="EC17" s="27"/>
      <c r="ED17" s="27"/>
      <c r="EE17" s="27"/>
      <c r="EF17" s="27"/>
      <c r="EG17" s="27"/>
      <c r="EH17" s="27"/>
      <c r="EI17" s="27"/>
      <c r="EJ17" s="27"/>
      <c r="EK17" s="27"/>
      <c r="EL17" s="27"/>
      <c r="EM17" s="27"/>
      <c r="EN17" s="27"/>
      <c r="EO17" s="27"/>
      <c r="EP17" s="27"/>
      <c r="EQ17" s="27"/>
      <c r="ER17" s="27"/>
      <c r="ES17" s="27"/>
      <c r="ET17" s="27"/>
      <c r="EU17" s="27"/>
      <c r="EV17" s="27"/>
      <c r="EW17" s="27"/>
      <c r="EX17" s="27"/>
      <c r="EY17" s="27"/>
      <c r="EZ17" s="27"/>
      <c r="FA17" s="27"/>
      <c r="FB17" s="27"/>
      <c r="FC17" s="27"/>
      <c r="FD17" s="27"/>
      <c r="FE17" s="27"/>
      <c r="FF17" s="27"/>
      <c r="FG17" s="27"/>
      <c r="FH17" s="27"/>
      <c r="FI17" s="27"/>
      <c r="FJ17" s="27"/>
      <c r="FK17" s="27"/>
      <c r="FL17" s="27"/>
      <c r="FM17" s="27"/>
      <c r="FN17" s="27"/>
      <c r="FO17" s="27"/>
      <c r="FP17" s="27"/>
      <c r="FQ17" s="27"/>
      <c r="FR17" s="27"/>
      <c r="FS17" s="27"/>
      <c r="FT17" s="27"/>
      <c r="FU17" s="27"/>
      <c r="FV17" s="27"/>
      <c r="FW17" s="27"/>
      <c r="FX17" s="27"/>
      <c r="FY17" s="27"/>
      <c r="FZ17" s="27"/>
      <c r="GA17" s="27"/>
      <c r="GB17" s="27"/>
      <c r="GC17" s="27"/>
      <c r="GD17" s="27"/>
      <c r="GE17" s="27"/>
      <c r="GF17" s="27"/>
      <c r="GG17" s="27"/>
      <c r="GH17" s="27"/>
      <c r="GI17" s="27"/>
      <c r="GJ17" s="27"/>
      <c r="GK17" s="27"/>
      <c r="GL17" s="27"/>
      <c r="GM17" s="27"/>
      <c r="GN17" s="27"/>
      <c r="GO17" s="27"/>
      <c r="GP17" s="27"/>
      <c r="GQ17" s="27"/>
      <c r="GR17" s="27"/>
      <c r="GS17" s="27"/>
      <c r="GT17" s="27"/>
      <c r="GU17" s="27"/>
      <c r="GV17" s="27"/>
      <c r="GW17" s="27"/>
      <c r="GX17" s="27"/>
      <c r="GY17" s="27"/>
      <c r="GZ17" s="27"/>
      <c r="HA17" s="27"/>
      <c r="HB17" s="27"/>
      <c r="HC17" s="27"/>
      <c r="HD17" s="27"/>
      <c r="HE17" s="27"/>
      <c r="HF17" s="27"/>
      <c r="HG17" s="27"/>
      <c r="HH17" s="27"/>
      <c r="HI17" s="27"/>
      <c r="HJ17" s="27"/>
      <c r="HK17" s="27"/>
      <c r="HL17" s="27"/>
      <c r="HM17" s="27"/>
      <c r="HN17" s="27"/>
      <c r="HO17" s="27"/>
      <c r="HP17" s="27"/>
      <c r="HQ17" s="27"/>
      <c r="HR17" s="27"/>
      <c r="HS17" s="27"/>
      <c r="HT17" s="27"/>
      <c r="HU17" s="27"/>
      <c r="HV17" s="27"/>
      <c r="HW17" s="27"/>
      <c r="HX17" s="27"/>
      <c r="HY17" s="27"/>
      <c r="HZ17" s="27"/>
      <c r="IA17" s="27"/>
    </row>
    <row r="18" s="6" customFormat="true" ht="15" hidden="false" customHeight="false" outlineLevel="0" collapsed="false">
      <c r="A18" s="17"/>
      <c r="B18" s="18" t="s">
        <v>23</v>
      </c>
      <c r="C18" s="29"/>
      <c r="D18" s="29"/>
      <c r="E18" s="61"/>
      <c r="F18" s="29"/>
      <c r="G18" s="34"/>
      <c r="H18" s="29"/>
      <c r="I18" s="29"/>
      <c r="J18" s="29"/>
      <c r="K18" s="53"/>
      <c r="L18" s="36"/>
      <c r="M18" s="19" t="n">
        <v>-10</v>
      </c>
      <c r="N18" s="37"/>
      <c r="O18" s="30" t="n">
        <f aca="false">N18*J18</f>
        <v>0</v>
      </c>
      <c r="Q18" s="46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27"/>
      <c r="BN18" s="27"/>
      <c r="BO18" s="27"/>
      <c r="BP18" s="27"/>
      <c r="BQ18" s="27"/>
      <c r="BR18" s="27"/>
      <c r="BS18" s="27"/>
      <c r="BT18" s="27"/>
      <c r="BU18" s="27"/>
      <c r="BV18" s="27"/>
      <c r="BW18" s="27"/>
      <c r="BX18" s="27"/>
      <c r="BY18" s="27"/>
      <c r="BZ18" s="27"/>
      <c r="CA18" s="27"/>
      <c r="CB18" s="27"/>
      <c r="CC18" s="27"/>
      <c r="CD18" s="27"/>
      <c r="CE18" s="27"/>
      <c r="CF18" s="27"/>
      <c r="CG18" s="27"/>
      <c r="CH18" s="27"/>
      <c r="CI18" s="27"/>
      <c r="CJ18" s="27"/>
      <c r="CK18" s="27"/>
      <c r="CL18" s="27"/>
      <c r="CM18" s="27"/>
      <c r="CN18" s="27"/>
      <c r="CO18" s="27"/>
      <c r="CP18" s="27"/>
      <c r="CQ18" s="27"/>
      <c r="CR18" s="27"/>
      <c r="CS18" s="27"/>
      <c r="CT18" s="27"/>
      <c r="CU18" s="27"/>
      <c r="CV18" s="27"/>
      <c r="CW18" s="27"/>
      <c r="CX18" s="27"/>
      <c r="CY18" s="27"/>
      <c r="CZ18" s="27"/>
      <c r="DA18" s="27"/>
      <c r="DB18" s="27"/>
      <c r="DC18" s="27"/>
      <c r="DD18" s="27"/>
      <c r="DE18" s="27"/>
      <c r="DF18" s="27"/>
      <c r="DG18" s="27"/>
      <c r="DH18" s="27"/>
      <c r="DI18" s="27"/>
      <c r="DJ18" s="27"/>
      <c r="DK18" s="27"/>
      <c r="DL18" s="27"/>
      <c r="DM18" s="27"/>
      <c r="DN18" s="27"/>
      <c r="DO18" s="27"/>
      <c r="DP18" s="27"/>
      <c r="DQ18" s="27"/>
      <c r="DR18" s="27"/>
      <c r="DS18" s="27"/>
      <c r="DT18" s="27"/>
      <c r="DU18" s="27"/>
      <c r="DV18" s="27"/>
      <c r="DW18" s="27"/>
      <c r="DX18" s="27"/>
      <c r="DY18" s="27"/>
      <c r="DZ18" s="27"/>
      <c r="EA18" s="27"/>
      <c r="EB18" s="27"/>
      <c r="EC18" s="27"/>
      <c r="ED18" s="27"/>
      <c r="EE18" s="27"/>
      <c r="EF18" s="27"/>
      <c r="EG18" s="27"/>
      <c r="EH18" s="27"/>
      <c r="EI18" s="27"/>
      <c r="EJ18" s="27"/>
      <c r="EK18" s="27"/>
      <c r="EL18" s="27"/>
      <c r="EM18" s="27"/>
      <c r="EN18" s="27"/>
      <c r="EO18" s="27"/>
      <c r="EP18" s="27"/>
      <c r="EQ18" s="27"/>
      <c r="ER18" s="27"/>
      <c r="ES18" s="27"/>
      <c r="ET18" s="27"/>
      <c r="EU18" s="27"/>
      <c r="EV18" s="27"/>
      <c r="EW18" s="27"/>
      <c r="EX18" s="27"/>
      <c r="EY18" s="27"/>
      <c r="EZ18" s="27"/>
      <c r="FA18" s="27"/>
      <c r="FB18" s="27"/>
      <c r="FC18" s="27"/>
      <c r="FD18" s="27"/>
      <c r="FE18" s="27"/>
      <c r="FF18" s="27"/>
      <c r="FG18" s="27"/>
      <c r="FH18" s="27"/>
      <c r="FI18" s="27"/>
      <c r="FJ18" s="27"/>
      <c r="FK18" s="27"/>
      <c r="FL18" s="27"/>
      <c r="FM18" s="27"/>
      <c r="FN18" s="27"/>
      <c r="FO18" s="27"/>
      <c r="FP18" s="27"/>
      <c r="FQ18" s="27"/>
      <c r="FR18" s="27"/>
      <c r="FS18" s="27"/>
      <c r="FT18" s="27"/>
      <c r="FU18" s="27"/>
      <c r="FV18" s="27"/>
      <c r="FW18" s="27"/>
      <c r="FX18" s="27"/>
      <c r="FY18" s="27"/>
      <c r="FZ18" s="27"/>
      <c r="GA18" s="27"/>
      <c r="GB18" s="27"/>
      <c r="GC18" s="27"/>
      <c r="GD18" s="27"/>
      <c r="GE18" s="27"/>
      <c r="GF18" s="27"/>
      <c r="GG18" s="27"/>
      <c r="GH18" s="27"/>
      <c r="GI18" s="27"/>
      <c r="GJ18" s="27"/>
      <c r="GK18" s="27"/>
      <c r="GL18" s="27"/>
      <c r="GM18" s="27"/>
      <c r="GN18" s="27"/>
      <c r="GO18" s="27"/>
      <c r="GP18" s="27"/>
      <c r="GQ18" s="27"/>
      <c r="GR18" s="27"/>
      <c r="GS18" s="27"/>
      <c r="GT18" s="27"/>
      <c r="GU18" s="27"/>
      <c r="GV18" s="27"/>
      <c r="GW18" s="27"/>
      <c r="GX18" s="27"/>
      <c r="GY18" s="27"/>
      <c r="GZ18" s="27"/>
      <c r="HA18" s="27"/>
      <c r="HB18" s="27"/>
      <c r="HC18" s="27"/>
      <c r="HD18" s="27"/>
      <c r="HE18" s="27"/>
      <c r="HF18" s="27"/>
      <c r="HG18" s="27"/>
      <c r="HH18" s="27"/>
      <c r="HI18" s="27"/>
      <c r="HJ18" s="27"/>
      <c r="HK18" s="27"/>
      <c r="HL18" s="27"/>
      <c r="HM18" s="27"/>
      <c r="HN18" s="27"/>
      <c r="HO18" s="27"/>
      <c r="HP18" s="27"/>
      <c r="HQ18" s="27"/>
      <c r="HR18" s="27"/>
      <c r="HS18" s="27"/>
      <c r="HT18" s="27"/>
      <c r="HU18" s="27"/>
      <c r="HV18" s="27"/>
      <c r="HW18" s="27"/>
      <c r="HX18" s="27"/>
      <c r="HY18" s="27"/>
      <c r="HZ18" s="27"/>
      <c r="IA18" s="27"/>
    </row>
    <row r="19" s="6" customFormat="true" ht="15" hidden="false" customHeight="false" outlineLevel="0" collapsed="false">
      <c r="A19" s="17"/>
      <c r="B19" s="18" t="s">
        <v>23</v>
      </c>
      <c r="C19" s="29"/>
      <c r="D19" s="29"/>
      <c r="E19" s="61"/>
      <c r="F19" s="29"/>
      <c r="G19" s="34"/>
      <c r="H19" s="29"/>
      <c r="I19" s="29"/>
      <c r="J19" s="29"/>
      <c r="K19" s="53"/>
      <c r="L19" s="36"/>
      <c r="M19" s="19" t="n">
        <v>-10</v>
      </c>
      <c r="N19" s="37"/>
      <c r="O19" s="30" t="n">
        <f aca="false">N19*J19</f>
        <v>0</v>
      </c>
      <c r="Q19" s="46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  <c r="BR19" s="27"/>
      <c r="BS19" s="27"/>
      <c r="BT19" s="27"/>
      <c r="BU19" s="27"/>
      <c r="BV19" s="27"/>
      <c r="BW19" s="27"/>
      <c r="BX19" s="27"/>
      <c r="BY19" s="27"/>
      <c r="BZ19" s="27"/>
      <c r="CA19" s="27"/>
      <c r="CB19" s="27"/>
      <c r="CC19" s="27"/>
      <c r="CD19" s="27"/>
      <c r="CE19" s="27"/>
      <c r="CF19" s="27"/>
      <c r="CG19" s="27"/>
      <c r="CH19" s="27"/>
      <c r="CI19" s="27"/>
      <c r="CJ19" s="27"/>
      <c r="CK19" s="27"/>
      <c r="CL19" s="27"/>
      <c r="CM19" s="27"/>
      <c r="CN19" s="27"/>
      <c r="CO19" s="27"/>
      <c r="CP19" s="27"/>
      <c r="CQ19" s="27"/>
      <c r="CR19" s="27"/>
      <c r="CS19" s="27"/>
      <c r="CT19" s="27"/>
      <c r="CU19" s="27"/>
      <c r="CV19" s="27"/>
      <c r="CW19" s="27"/>
      <c r="CX19" s="27"/>
      <c r="CY19" s="27"/>
      <c r="CZ19" s="27"/>
      <c r="DA19" s="27"/>
      <c r="DB19" s="27"/>
      <c r="DC19" s="27"/>
      <c r="DD19" s="27"/>
      <c r="DE19" s="27"/>
      <c r="DF19" s="27"/>
      <c r="DG19" s="27"/>
      <c r="DH19" s="27"/>
      <c r="DI19" s="27"/>
      <c r="DJ19" s="27"/>
      <c r="DK19" s="27"/>
      <c r="DL19" s="27"/>
      <c r="DM19" s="27"/>
      <c r="DN19" s="27"/>
      <c r="DO19" s="27"/>
      <c r="DP19" s="27"/>
      <c r="DQ19" s="27"/>
      <c r="DR19" s="27"/>
      <c r="DS19" s="27"/>
      <c r="DT19" s="27"/>
      <c r="DU19" s="27"/>
      <c r="DV19" s="27"/>
      <c r="DW19" s="27"/>
      <c r="DX19" s="27"/>
      <c r="DY19" s="27"/>
      <c r="DZ19" s="27"/>
      <c r="EA19" s="27"/>
      <c r="EB19" s="27"/>
      <c r="EC19" s="27"/>
      <c r="ED19" s="27"/>
      <c r="EE19" s="27"/>
      <c r="EF19" s="27"/>
      <c r="EG19" s="27"/>
      <c r="EH19" s="27"/>
      <c r="EI19" s="27"/>
      <c r="EJ19" s="27"/>
      <c r="EK19" s="27"/>
      <c r="EL19" s="27"/>
      <c r="EM19" s="27"/>
      <c r="EN19" s="27"/>
      <c r="EO19" s="27"/>
      <c r="EP19" s="27"/>
      <c r="EQ19" s="27"/>
      <c r="ER19" s="27"/>
      <c r="ES19" s="27"/>
      <c r="ET19" s="27"/>
      <c r="EU19" s="27"/>
      <c r="EV19" s="27"/>
      <c r="EW19" s="27"/>
      <c r="EX19" s="27"/>
      <c r="EY19" s="27"/>
      <c r="EZ19" s="27"/>
      <c r="FA19" s="27"/>
      <c r="FB19" s="27"/>
      <c r="FC19" s="27"/>
      <c r="FD19" s="27"/>
      <c r="FE19" s="27"/>
      <c r="FF19" s="27"/>
      <c r="FG19" s="27"/>
      <c r="FH19" s="27"/>
      <c r="FI19" s="27"/>
      <c r="FJ19" s="27"/>
      <c r="FK19" s="27"/>
      <c r="FL19" s="27"/>
      <c r="FM19" s="27"/>
      <c r="FN19" s="27"/>
      <c r="FO19" s="27"/>
      <c r="FP19" s="27"/>
      <c r="FQ19" s="27"/>
      <c r="FR19" s="27"/>
      <c r="FS19" s="27"/>
      <c r="FT19" s="27"/>
      <c r="FU19" s="27"/>
      <c r="FV19" s="27"/>
      <c r="FW19" s="27"/>
      <c r="FX19" s="27"/>
      <c r="FY19" s="27"/>
      <c r="FZ19" s="27"/>
      <c r="GA19" s="27"/>
      <c r="GB19" s="27"/>
      <c r="GC19" s="27"/>
      <c r="GD19" s="27"/>
      <c r="GE19" s="27"/>
      <c r="GF19" s="27"/>
      <c r="GG19" s="27"/>
      <c r="GH19" s="27"/>
      <c r="GI19" s="27"/>
      <c r="GJ19" s="27"/>
      <c r="GK19" s="27"/>
      <c r="GL19" s="27"/>
      <c r="GM19" s="27"/>
      <c r="GN19" s="27"/>
      <c r="GO19" s="27"/>
      <c r="GP19" s="27"/>
      <c r="GQ19" s="27"/>
      <c r="GR19" s="27"/>
      <c r="GS19" s="27"/>
      <c r="GT19" s="27"/>
      <c r="GU19" s="27"/>
      <c r="GV19" s="27"/>
      <c r="GW19" s="27"/>
      <c r="GX19" s="27"/>
      <c r="GY19" s="27"/>
      <c r="GZ19" s="27"/>
      <c r="HA19" s="27"/>
      <c r="HB19" s="27"/>
      <c r="HC19" s="27"/>
      <c r="HD19" s="27"/>
      <c r="HE19" s="27"/>
      <c r="HF19" s="27"/>
      <c r="HG19" s="27"/>
      <c r="HH19" s="27"/>
      <c r="HI19" s="27"/>
      <c r="HJ19" s="27"/>
      <c r="HK19" s="27"/>
      <c r="HL19" s="27"/>
      <c r="HM19" s="27"/>
      <c r="HN19" s="27"/>
      <c r="HO19" s="27"/>
      <c r="HP19" s="27"/>
      <c r="HQ19" s="27"/>
      <c r="HR19" s="27"/>
      <c r="HS19" s="27"/>
      <c r="HT19" s="27"/>
      <c r="HU19" s="27"/>
      <c r="HV19" s="27"/>
      <c r="HW19" s="27"/>
      <c r="HX19" s="27"/>
      <c r="HY19" s="27"/>
      <c r="HZ19" s="27"/>
      <c r="IA19" s="27"/>
    </row>
    <row r="20" s="6" customFormat="true" ht="15" hidden="false" customHeight="false" outlineLevel="0" collapsed="false">
      <c r="A20" s="17"/>
      <c r="B20" s="18" t="s">
        <v>23</v>
      </c>
      <c r="C20" s="29"/>
      <c r="D20" s="29"/>
      <c r="E20" s="61"/>
      <c r="F20" s="29"/>
      <c r="G20" s="34"/>
      <c r="H20" s="29"/>
      <c r="I20" s="29"/>
      <c r="J20" s="29"/>
      <c r="K20" s="53"/>
      <c r="L20" s="36"/>
      <c r="M20" s="19" t="n">
        <v>-10</v>
      </c>
      <c r="N20" s="37"/>
      <c r="O20" s="30" t="n">
        <f aca="false">N20*J20</f>
        <v>0</v>
      </c>
      <c r="Q20" s="46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  <c r="BR20" s="27"/>
      <c r="BS20" s="27"/>
      <c r="BT20" s="27"/>
      <c r="BU20" s="27"/>
      <c r="BV20" s="27"/>
      <c r="BW20" s="27"/>
      <c r="BX20" s="27"/>
      <c r="BY20" s="27"/>
      <c r="BZ20" s="27"/>
      <c r="CA20" s="27"/>
      <c r="CB20" s="27"/>
      <c r="CC20" s="27"/>
      <c r="CD20" s="27"/>
      <c r="CE20" s="27"/>
      <c r="CF20" s="27"/>
      <c r="CG20" s="27"/>
      <c r="CH20" s="27"/>
      <c r="CI20" s="27"/>
      <c r="CJ20" s="27"/>
      <c r="CK20" s="27"/>
      <c r="CL20" s="27"/>
      <c r="CM20" s="27"/>
      <c r="CN20" s="27"/>
      <c r="CO20" s="27"/>
      <c r="CP20" s="27"/>
      <c r="CQ20" s="27"/>
      <c r="CR20" s="27"/>
      <c r="CS20" s="27"/>
      <c r="CT20" s="27"/>
      <c r="CU20" s="27"/>
      <c r="CV20" s="27"/>
      <c r="CW20" s="27"/>
      <c r="CX20" s="27"/>
      <c r="CY20" s="27"/>
      <c r="CZ20" s="27"/>
      <c r="DA20" s="27"/>
      <c r="DB20" s="27"/>
      <c r="DC20" s="27"/>
      <c r="DD20" s="27"/>
      <c r="DE20" s="27"/>
      <c r="DF20" s="27"/>
      <c r="DG20" s="27"/>
      <c r="DH20" s="27"/>
      <c r="DI20" s="27"/>
      <c r="DJ20" s="27"/>
      <c r="DK20" s="27"/>
      <c r="DL20" s="27"/>
      <c r="DM20" s="27"/>
      <c r="DN20" s="27"/>
      <c r="DO20" s="27"/>
      <c r="DP20" s="27"/>
      <c r="DQ20" s="27"/>
      <c r="DR20" s="27"/>
      <c r="DS20" s="27"/>
      <c r="DT20" s="27"/>
      <c r="DU20" s="27"/>
      <c r="DV20" s="27"/>
      <c r="DW20" s="27"/>
      <c r="DX20" s="27"/>
      <c r="DY20" s="27"/>
      <c r="DZ20" s="27"/>
      <c r="EA20" s="27"/>
      <c r="EB20" s="27"/>
      <c r="EC20" s="27"/>
      <c r="ED20" s="27"/>
      <c r="EE20" s="27"/>
      <c r="EF20" s="27"/>
      <c r="EG20" s="27"/>
      <c r="EH20" s="27"/>
      <c r="EI20" s="27"/>
      <c r="EJ20" s="27"/>
      <c r="EK20" s="27"/>
      <c r="EL20" s="27"/>
      <c r="EM20" s="27"/>
      <c r="EN20" s="27"/>
      <c r="EO20" s="27"/>
      <c r="EP20" s="27"/>
      <c r="EQ20" s="27"/>
      <c r="ER20" s="27"/>
      <c r="ES20" s="27"/>
      <c r="ET20" s="27"/>
      <c r="EU20" s="27"/>
      <c r="EV20" s="27"/>
      <c r="EW20" s="27"/>
      <c r="EX20" s="27"/>
      <c r="EY20" s="27"/>
      <c r="EZ20" s="27"/>
      <c r="FA20" s="27"/>
      <c r="FB20" s="27"/>
      <c r="FC20" s="27"/>
      <c r="FD20" s="27"/>
      <c r="FE20" s="27"/>
      <c r="FF20" s="27"/>
      <c r="FG20" s="27"/>
      <c r="FH20" s="27"/>
      <c r="FI20" s="27"/>
      <c r="FJ20" s="27"/>
      <c r="FK20" s="27"/>
      <c r="FL20" s="27"/>
      <c r="FM20" s="27"/>
      <c r="FN20" s="27"/>
      <c r="FO20" s="27"/>
      <c r="FP20" s="27"/>
      <c r="FQ20" s="27"/>
      <c r="FR20" s="27"/>
      <c r="FS20" s="27"/>
      <c r="FT20" s="27"/>
      <c r="FU20" s="27"/>
      <c r="FV20" s="27"/>
      <c r="FW20" s="27"/>
      <c r="FX20" s="27"/>
      <c r="FY20" s="27"/>
      <c r="FZ20" s="27"/>
      <c r="GA20" s="27"/>
      <c r="GB20" s="27"/>
      <c r="GC20" s="27"/>
      <c r="GD20" s="27"/>
      <c r="GE20" s="27"/>
      <c r="GF20" s="27"/>
      <c r="GG20" s="27"/>
      <c r="GH20" s="27"/>
      <c r="GI20" s="27"/>
      <c r="GJ20" s="27"/>
      <c r="GK20" s="27"/>
      <c r="GL20" s="27"/>
      <c r="GM20" s="27"/>
      <c r="GN20" s="27"/>
      <c r="GO20" s="27"/>
      <c r="GP20" s="27"/>
      <c r="GQ20" s="27"/>
      <c r="GR20" s="27"/>
      <c r="GS20" s="27"/>
      <c r="GT20" s="27"/>
      <c r="GU20" s="27"/>
      <c r="GV20" s="27"/>
      <c r="GW20" s="27"/>
      <c r="GX20" s="27"/>
      <c r="GY20" s="27"/>
      <c r="GZ20" s="27"/>
      <c r="HA20" s="27"/>
      <c r="HB20" s="27"/>
      <c r="HC20" s="27"/>
      <c r="HD20" s="27"/>
      <c r="HE20" s="27"/>
      <c r="HF20" s="27"/>
      <c r="HG20" s="27"/>
      <c r="HH20" s="27"/>
      <c r="HI20" s="27"/>
      <c r="HJ20" s="27"/>
      <c r="HK20" s="27"/>
      <c r="HL20" s="27"/>
      <c r="HM20" s="27"/>
      <c r="HN20" s="27"/>
      <c r="HO20" s="27"/>
      <c r="HP20" s="27"/>
      <c r="HQ20" s="27"/>
      <c r="HR20" s="27"/>
      <c r="HS20" s="27"/>
      <c r="HT20" s="27"/>
      <c r="HU20" s="27"/>
      <c r="HV20" s="27"/>
      <c r="HW20" s="27"/>
      <c r="HX20" s="27"/>
      <c r="HY20" s="27"/>
      <c r="HZ20" s="27"/>
      <c r="IA20" s="27"/>
    </row>
    <row r="21" s="6" customFormat="true" ht="15" hidden="false" customHeight="false" outlineLevel="0" collapsed="false">
      <c r="A21" s="17"/>
      <c r="B21" s="18" t="s">
        <v>23</v>
      </c>
      <c r="C21" s="29"/>
      <c r="D21" s="29"/>
      <c r="E21" s="61"/>
      <c r="F21" s="29"/>
      <c r="G21" s="34"/>
      <c r="H21" s="29"/>
      <c r="I21" s="29"/>
      <c r="J21" s="29"/>
      <c r="K21" s="53"/>
      <c r="L21" s="36"/>
      <c r="M21" s="19" t="n">
        <v>-10</v>
      </c>
      <c r="N21" s="37"/>
      <c r="O21" s="30" t="n">
        <f aca="false">N21*J21</f>
        <v>0</v>
      </c>
      <c r="Q21" s="46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  <c r="BR21" s="27"/>
      <c r="BS21" s="27"/>
      <c r="BT21" s="27"/>
      <c r="BU21" s="27"/>
      <c r="BV21" s="27"/>
      <c r="BW21" s="27"/>
      <c r="BX21" s="27"/>
      <c r="BY21" s="27"/>
      <c r="BZ21" s="27"/>
      <c r="CA21" s="27"/>
      <c r="CB21" s="27"/>
      <c r="CC21" s="27"/>
      <c r="CD21" s="27"/>
      <c r="CE21" s="27"/>
      <c r="CF21" s="27"/>
      <c r="CG21" s="27"/>
      <c r="CH21" s="27"/>
      <c r="CI21" s="27"/>
      <c r="CJ21" s="27"/>
      <c r="CK21" s="27"/>
      <c r="CL21" s="27"/>
      <c r="CM21" s="27"/>
      <c r="CN21" s="27"/>
      <c r="CO21" s="27"/>
      <c r="CP21" s="27"/>
      <c r="CQ21" s="27"/>
      <c r="CR21" s="27"/>
      <c r="CS21" s="27"/>
      <c r="CT21" s="27"/>
      <c r="CU21" s="27"/>
      <c r="CV21" s="27"/>
      <c r="CW21" s="27"/>
      <c r="CX21" s="27"/>
      <c r="CY21" s="27"/>
      <c r="CZ21" s="27"/>
      <c r="DA21" s="27"/>
      <c r="DB21" s="27"/>
      <c r="DC21" s="27"/>
      <c r="DD21" s="27"/>
      <c r="DE21" s="27"/>
      <c r="DF21" s="27"/>
      <c r="DG21" s="27"/>
      <c r="DH21" s="27"/>
      <c r="DI21" s="27"/>
      <c r="DJ21" s="27"/>
      <c r="DK21" s="27"/>
      <c r="DL21" s="27"/>
      <c r="DM21" s="27"/>
      <c r="DN21" s="27"/>
      <c r="DO21" s="27"/>
      <c r="DP21" s="27"/>
      <c r="DQ21" s="27"/>
      <c r="DR21" s="27"/>
      <c r="DS21" s="27"/>
      <c r="DT21" s="27"/>
      <c r="DU21" s="27"/>
      <c r="DV21" s="27"/>
      <c r="DW21" s="27"/>
      <c r="DX21" s="27"/>
      <c r="DY21" s="27"/>
      <c r="DZ21" s="27"/>
      <c r="EA21" s="27"/>
      <c r="EB21" s="27"/>
      <c r="EC21" s="27"/>
      <c r="ED21" s="27"/>
      <c r="EE21" s="27"/>
      <c r="EF21" s="27"/>
      <c r="EG21" s="27"/>
      <c r="EH21" s="27"/>
      <c r="EI21" s="27"/>
      <c r="EJ21" s="27"/>
      <c r="EK21" s="27"/>
      <c r="EL21" s="27"/>
      <c r="EM21" s="27"/>
      <c r="EN21" s="27"/>
      <c r="EO21" s="27"/>
      <c r="EP21" s="27"/>
      <c r="EQ21" s="27"/>
      <c r="ER21" s="27"/>
      <c r="ES21" s="27"/>
      <c r="ET21" s="27"/>
      <c r="EU21" s="27"/>
      <c r="EV21" s="27"/>
      <c r="EW21" s="27"/>
      <c r="EX21" s="27"/>
      <c r="EY21" s="27"/>
      <c r="EZ21" s="27"/>
      <c r="FA21" s="27"/>
      <c r="FB21" s="27"/>
      <c r="FC21" s="27"/>
      <c r="FD21" s="27"/>
      <c r="FE21" s="27"/>
      <c r="FF21" s="27"/>
      <c r="FG21" s="27"/>
      <c r="FH21" s="27"/>
      <c r="FI21" s="27"/>
      <c r="FJ21" s="27"/>
      <c r="FK21" s="27"/>
      <c r="FL21" s="27"/>
      <c r="FM21" s="27"/>
      <c r="FN21" s="27"/>
      <c r="FO21" s="27"/>
      <c r="FP21" s="27"/>
      <c r="FQ21" s="27"/>
      <c r="FR21" s="27"/>
      <c r="FS21" s="27"/>
      <c r="FT21" s="27"/>
      <c r="FU21" s="27"/>
      <c r="FV21" s="27"/>
      <c r="FW21" s="27"/>
      <c r="FX21" s="27"/>
      <c r="FY21" s="27"/>
      <c r="FZ21" s="27"/>
      <c r="GA21" s="27"/>
      <c r="GB21" s="27"/>
      <c r="GC21" s="27"/>
      <c r="GD21" s="27"/>
      <c r="GE21" s="27"/>
      <c r="GF21" s="27"/>
      <c r="GG21" s="27"/>
      <c r="GH21" s="27"/>
      <c r="GI21" s="27"/>
      <c r="GJ21" s="27"/>
      <c r="GK21" s="27"/>
      <c r="GL21" s="27"/>
      <c r="GM21" s="27"/>
      <c r="GN21" s="27"/>
      <c r="GO21" s="27"/>
      <c r="GP21" s="27"/>
      <c r="GQ21" s="27"/>
      <c r="GR21" s="27"/>
      <c r="GS21" s="27"/>
      <c r="GT21" s="27"/>
      <c r="GU21" s="27"/>
      <c r="GV21" s="27"/>
      <c r="GW21" s="27"/>
      <c r="GX21" s="27"/>
      <c r="GY21" s="27"/>
      <c r="GZ21" s="27"/>
      <c r="HA21" s="27"/>
      <c r="HB21" s="27"/>
      <c r="HC21" s="27"/>
      <c r="HD21" s="27"/>
      <c r="HE21" s="27"/>
      <c r="HF21" s="27"/>
      <c r="HG21" s="27"/>
      <c r="HH21" s="27"/>
      <c r="HI21" s="27"/>
      <c r="HJ21" s="27"/>
      <c r="HK21" s="27"/>
      <c r="HL21" s="27"/>
      <c r="HM21" s="27"/>
      <c r="HN21" s="27"/>
      <c r="HO21" s="27"/>
      <c r="HP21" s="27"/>
      <c r="HQ21" s="27"/>
      <c r="HR21" s="27"/>
      <c r="HS21" s="27"/>
      <c r="HT21" s="27"/>
      <c r="HU21" s="27"/>
      <c r="HV21" s="27"/>
      <c r="HW21" s="27"/>
      <c r="HX21" s="27"/>
      <c r="HY21" s="27"/>
      <c r="HZ21" s="27"/>
      <c r="IA21" s="27"/>
    </row>
    <row r="22" s="6" customFormat="true" ht="15" hidden="false" customHeight="false" outlineLevel="0" collapsed="false">
      <c r="A22" s="17"/>
      <c r="B22" s="18" t="s">
        <v>23</v>
      </c>
      <c r="C22" s="29"/>
      <c r="D22" s="29"/>
      <c r="E22" s="61"/>
      <c r="F22" s="29"/>
      <c r="G22" s="34"/>
      <c r="H22" s="29"/>
      <c r="I22" s="29"/>
      <c r="J22" s="29"/>
      <c r="K22" s="53"/>
      <c r="L22" s="36"/>
      <c r="M22" s="19" t="n">
        <v>-10</v>
      </c>
      <c r="N22" s="37"/>
      <c r="O22" s="30" t="n">
        <f aca="false">N22*J22</f>
        <v>0</v>
      </c>
      <c r="Q22" s="46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  <c r="BG22" s="27"/>
      <c r="BH22" s="27"/>
      <c r="BI22" s="27"/>
      <c r="BJ22" s="27"/>
      <c r="BK22" s="27"/>
      <c r="BL22" s="27"/>
      <c r="BM22" s="27"/>
      <c r="BN22" s="27"/>
      <c r="BO22" s="27"/>
      <c r="BP22" s="27"/>
      <c r="BQ22" s="27"/>
      <c r="BR22" s="27"/>
      <c r="BS22" s="27"/>
      <c r="BT22" s="27"/>
      <c r="BU22" s="27"/>
      <c r="BV22" s="27"/>
      <c r="BW22" s="27"/>
      <c r="BX22" s="27"/>
      <c r="BY22" s="27"/>
      <c r="BZ22" s="27"/>
      <c r="CA22" s="27"/>
      <c r="CB22" s="27"/>
      <c r="CC22" s="27"/>
      <c r="CD22" s="27"/>
      <c r="CE22" s="27"/>
      <c r="CF22" s="27"/>
      <c r="CG22" s="27"/>
      <c r="CH22" s="27"/>
      <c r="CI22" s="27"/>
      <c r="CJ22" s="27"/>
      <c r="CK22" s="27"/>
      <c r="CL22" s="27"/>
      <c r="CM22" s="27"/>
      <c r="CN22" s="27"/>
      <c r="CO22" s="27"/>
      <c r="CP22" s="27"/>
      <c r="CQ22" s="27"/>
      <c r="CR22" s="27"/>
      <c r="CS22" s="27"/>
      <c r="CT22" s="27"/>
      <c r="CU22" s="27"/>
      <c r="CV22" s="27"/>
      <c r="CW22" s="27"/>
      <c r="CX22" s="27"/>
      <c r="CY22" s="27"/>
      <c r="CZ22" s="27"/>
      <c r="DA22" s="27"/>
      <c r="DB22" s="27"/>
      <c r="DC22" s="27"/>
      <c r="DD22" s="27"/>
      <c r="DE22" s="27"/>
      <c r="DF22" s="27"/>
      <c r="DG22" s="27"/>
      <c r="DH22" s="27"/>
      <c r="DI22" s="27"/>
      <c r="DJ22" s="27"/>
      <c r="DK22" s="27"/>
      <c r="DL22" s="27"/>
      <c r="DM22" s="27"/>
      <c r="DN22" s="27"/>
      <c r="DO22" s="27"/>
      <c r="DP22" s="27"/>
      <c r="DQ22" s="27"/>
      <c r="DR22" s="27"/>
      <c r="DS22" s="27"/>
      <c r="DT22" s="27"/>
      <c r="DU22" s="27"/>
      <c r="DV22" s="27"/>
      <c r="DW22" s="27"/>
      <c r="DX22" s="27"/>
      <c r="DY22" s="27"/>
      <c r="DZ22" s="27"/>
      <c r="EA22" s="27"/>
      <c r="EB22" s="27"/>
      <c r="EC22" s="27"/>
      <c r="ED22" s="27"/>
      <c r="EE22" s="27"/>
      <c r="EF22" s="27"/>
      <c r="EG22" s="27"/>
      <c r="EH22" s="27"/>
      <c r="EI22" s="27"/>
      <c r="EJ22" s="27"/>
      <c r="EK22" s="27"/>
      <c r="EL22" s="27"/>
      <c r="EM22" s="27"/>
      <c r="EN22" s="27"/>
      <c r="EO22" s="27"/>
      <c r="EP22" s="27"/>
      <c r="EQ22" s="27"/>
      <c r="ER22" s="27"/>
      <c r="ES22" s="27"/>
      <c r="ET22" s="27"/>
      <c r="EU22" s="27"/>
      <c r="EV22" s="27"/>
      <c r="EW22" s="27"/>
      <c r="EX22" s="27"/>
      <c r="EY22" s="27"/>
      <c r="EZ22" s="27"/>
      <c r="FA22" s="27"/>
      <c r="FB22" s="27"/>
      <c r="FC22" s="27"/>
      <c r="FD22" s="27"/>
      <c r="FE22" s="27"/>
      <c r="FF22" s="27"/>
      <c r="FG22" s="27"/>
      <c r="FH22" s="27"/>
      <c r="FI22" s="27"/>
      <c r="FJ22" s="27"/>
      <c r="FK22" s="27"/>
      <c r="FL22" s="27"/>
      <c r="FM22" s="27"/>
      <c r="FN22" s="27"/>
      <c r="FO22" s="27"/>
      <c r="FP22" s="27"/>
      <c r="FQ22" s="27"/>
      <c r="FR22" s="27"/>
      <c r="FS22" s="27"/>
      <c r="FT22" s="27"/>
      <c r="FU22" s="27"/>
      <c r="FV22" s="27"/>
      <c r="FW22" s="27"/>
      <c r="FX22" s="27"/>
      <c r="FY22" s="27"/>
      <c r="FZ22" s="27"/>
      <c r="GA22" s="27"/>
      <c r="GB22" s="27"/>
      <c r="GC22" s="27"/>
      <c r="GD22" s="27"/>
      <c r="GE22" s="27"/>
      <c r="GF22" s="27"/>
      <c r="GG22" s="27"/>
      <c r="GH22" s="27"/>
      <c r="GI22" s="27"/>
      <c r="GJ22" s="27"/>
      <c r="GK22" s="27"/>
      <c r="GL22" s="27"/>
      <c r="GM22" s="27"/>
      <c r="GN22" s="27"/>
      <c r="GO22" s="27"/>
      <c r="GP22" s="27"/>
      <c r="GQ22" s="27"/>
      <c r="GR22" s="27"/>
      <c r="GS22" s="27"/>
      <c r="GT22" s="27"/>
      <c r="GU22" s="27"/>
      <c r="GV22" s="27"/>
      <c r="GW22" s="27"/>
      <c r="GX22" s="27"/>
      <c r="GY22" s="27"/>
      <c r="GZ22" s="27"/>
      <c r="HA22" s="27"/>
      <c r="HB22" s="27"/>
      <c r="HC22" s="27"/>
      <c r="HD22" s="27"/>
      <c r="HE22" s="27"/>
      <c r="HF22" s="27"/>
      <c r="HG22" s="27"/>
      <c r="HH22" s="27"/>
      <c r="HI22" s="27"/>
      <c r="HJ22" s="27"/>
      <c r="HK22" s="27"/>
      <c r="HL22" s="27"/>
      <c r="HM22" s="27"/>
      <c r="HN22" s="27"/>
      <c r="HO22" s="27"/>
      <c r="HP22" s="27"/>
      <c r="HQ22" s="27"/>
      <c r="HR22" s="27"/>
      <c r="HS22" s="27"/>
      <c r="HT22" s="27"/>
      <c r="HU22" s="27"/>
      <c r="HV22" s="27"/>
      <c r="HW22" s="27"/>
      <c r="HX22" s="27"/>
      <c r="HY22" s="27"/>
      <c r="HZ22" s="27"/>
      <c r="IA22" s="27"/>
    </row>
    <row r="23" s="6" customFormat="true" ht="15" hidden="false" customHeight="false" outlineLevel="0" collapsed="false">
      <c r="A23" s="17"/>
      <c r="B23" s="18" t="s">
        <v>23</v>
      </c>
      <c r="C23" s="29"/>
      <c r="D23" s="29"/>
      <c r="E23" s="61"/>
      <c r="F23" s="29"/>
      <c r="G23" s="34"/>
      <c r="H23" s="29"/>
      <c r="I23" s="29"/>
      <c r="J23" s="29"/>
      <c r="K23" s="53"/>
      <c r="L23" s="36"/>
      <c r="M23" s="19" t="n">
        <v>-10</v>
      </c>
      <c r="N23" s="37"/>
      <c r="O23" s="30" t="n">
        <f aca="false">N23*J23</f>
        <v>0</v>
      </c>
      <c r="Q23" s="46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  <c r="BG23" s="27"/>
      <c r="BH23" s="27"/>
      <c r="BI23" s="27"/>
      <c r="BJ23" s="27"/>
      <c r="BK23" s="27"/>
      <c r="BL23" s="27"/>
      <c r="BM23" s="27"/>
      <c r="BN23" s="27"/>
      <c r="BO23" s="27"/>
      <c r="BP23" s="27"/>
      <c r="BQ23" s="27"/>
      <c r="BR23" s="27"/>
      <c r="BS23" s="27"/>
      <c r="BT23" s="27"/>
      <c r="BU23" s="27"/>
      <c r="BV23" s="27"/>
      <c r="BW23" s="27"/>
      <c r="BX23" s="27"/>
      <c r="BY23" s="27"/>
      <c r="BZ23" s="27"/>
      <c r="CA23" s="27"/>
      <c r="CB23" s="27"/>
      <c r="CC23" s="27"/>
      <c r="CD23" s="27"/>
      <c r="CE23" s="27"/>
      <c r="CF23" s="27"/>
      <c r="CG23" s="27"/>
      <c r="CH23" s="27"/>
      <c r="CI23" s="27"/>
      <c r="CJ23" s="27"/>
      <c r="CK23" s="27"/>
      <c r="CL23" s="27"/>
      <c r="CM23" s="27"/>
      <c r="CN23" s="27"/>
      <c r="CO23" s="27"/>
      <c r="CP23" s="27"/>
      <c r="CQ23" s="27"/>
      <c r="CR23" s="27"/>
      <c r="CS23" s="27"/>
      <c r="CT23" s="27"/>
      <c r="CU23" s="27"/>
      <c r="CV23" s="27"/>
      <c r="CW23" s="27"/>
      <c r="CX23" s="27"/>
      <c r="CY23" s="27"/>
      <c r="CZ23" s="27"/>
      <c r="DA23" s="27"/>
      <c r="DB23" s="27"/>
      <c r="DC23" s="27"/>
      <c r="DD23" s="27"/>
      <c r="DE23" s="27"/>
      <c r="DF23" s="27"/>
      <c r="DG23" s="27"/>
      <c r="DH23" s="27"/>
      <c r="DI23" s="27"/>
      <c r="DJ23" s="27"/>
      <c r="DK23" s="27"/>
      <c r="DL23" s="27"/>
      <c r="DM23" s="27"/>
      <c r="DN23" s="27"/>
      <c r="DO23" s="27"/>
      <c r="DP23" s="27"/>
      <c r="DQ23" s="27"/>
      <c r="DR23" s="27"/>
      <c r="DS23" s="27"/>
      <c r="DT23" s="27"/>
      <c r="DU23" s="27"/>
      <c r="DV23" s="27"/>
      <c r="DW23" s="27"/>
      <c r="DX23" s="27"/>
      <c r="DY23" s="27"/>
      <c r="DZ23" s="27"/>
      <c r="EA23" s="27"/>
      <c r="EB23" s="27"/>
      <c r="EC23" s="27"/>
      <c r="ED23" s="27"/>
      <c r="EE23" s="27"/>
      <c r="EF23" s="27"/>
      <c r="EG23" s="27"/>
      <c r="EH23" s="27"/>
      <c r="EI23" s="27"/>
      <c r="EJ23" s="27"/>
      <c r="EK23" s="27"/>
      <c r="EL23" s="27"/>
      <c r="EM23" s="27"/>
      <c r="EN23" s="27"/>
      <c r="EO23" s="27"/>
      <c r="EP23" s="27"/>
      <c r="EQ23" s="27"/>
      <c r="ER23" s="27"/>
      <c r="ES23" s="27"/>
      <c r="ET23" s="27"/>
      <c r="EU23" s="27"/>
      <c r="EV23" s="27"/>
      <c r="EW23" s="27"/>
      <c r="EX23" s="27"/>
      <c r="EY23" s="27"/>
      <c r="EZ23" s="27"/>
      <c r="FA23" s="27"/>
      <c r="FB23" s="27"/>
      <c r="FC23" s="27"/>
      <c r="FD23" s="27"/>
      <c r="FE23" s="27"/>
      <c r="FF23" s="27"/>
      <c r="FG23" s="27"/>
      <c r="FH23" s="27"/>
      <c r="FI23" s="27"/>
      <c r="FJ23" s="27"/>
      <c r="FK23" s="27"/>
      <c r="FL23" s="27"/>
      <c r="FM23" s="27"/>
      <c r="FN23" s="27"/>
      <c r="FO23" s="27"/>
      <c r="FP23" s="27"/>
      <c r="FQ23" s="27"/>
      <c r="FR23" s="27"/>
      <c r="FS23" s="27"/>
      <c r="FT23" s="27"/>
      <c r="FU23" s="27"/>
      <c r="FV23" s="27"/>
      <c r="FW23" s="27"/>
      <c r="FX23" s="27"/>
      <c r="FY23" s="27"/>
      <c r="FZ23" s="27"/>
      <c r="GA23" s="27"/>
      <c r="GB23" s="27"/>
      <c r="GC23" s="27"/>
      <c r="GD23" s="27"/>
      <c r="GE23" s="27"/>
      <c r="GF23" s="27"/>
      <c r="GG23" s="27"/>
      <c r="GH23" s="27"/>
      <c r="GI23" s="27"/>
      <c r="GJ23" s="27"/>
      <c r="GK23" s="27"/>
      <c r="GL23" s="27"/>
      <c r="GM23" s="27"/>
      <c r="GN23" s="27"/>
      <c r="GO23" s="27"/>
      <c r="GP23" s="27"/>
      <c r="GQ23" s="27"/>
      <c r="GR23" s="27"/>
      <c r="GS23" s="27"/>
      <c r="GT23" s="27"/>
      <c r="GU23" s="27"/>
      <c r="GV23" s="27"/>
      <c r="GW23" s="27"/>
      <c r="GX23" s="27"/>
      <c r="GY23" s="27"/>
      <c r="GZ23" s="27"/>
      <c r="HA23" s="27"/>
      <c r="HB23" s="27"/>
      <c r="HC23" s="27"/>
      <c r="HD23" s="27"/>
      <c r="HE23" s="27"/>
      <c r="HF23" s="27"/>
      <c r="HG23" s="27"/>
      <c r="HH23" s="27"/>
      <c r="HI23" s="27"/>
      <c r="HJ23" s="27"/>
      <c r="HK23" s="27"/>
      <c r="HL23" s="27"/>
      <c r="HM23" s="27"/>
      <c r="HN23" s="27"/>
      <c r="HO23" s="27"/>
      <c r="HP23" s="27"/>
      <c r="HQ23" s="27"/>
      <c r="HR23" s="27"/>
      <c r="HS23" s="27"/>
      <c r="HT23" s="27"/>
      <c r="HU23" s="27"/>
      <c r="HV23" s="27"/>
      <c r="HW23" s="27"/>
      <c r="HX23" s="27"/>
      <c r="HY23" s="27"/>
      <c r="HZ23" s="27"/>
      <c r="IA23" s="27"/>
    </row>
    <row r="24" s="6" customFormat="true" ht="15" hidden="false" customHeight="false" outlineLevel="0" collapsed="false">
      <c r="A24" s="17"/>
      <c r="B24" s="18" t="s">
        <v>23</v>
      </c>
      <c r="C24" s="29"/>
      <c r="D24" s="29"/>
      <c r="E24" s="61"/>
      <c r="F24" s="29"/>
      <c r="G24" s="34"/>
      <c r="H24" s="29"/>
      <c r="I24" s="29"/>
      <c r="J24" s="29"/>
      <c r="K24" s="53"/>
      <c r="L24" s="36"/>
      <c r="M24" s="19" t="n">
        <v>-10</v>
      </c>
      <c r="N24" s="37"/>
      <c r="O24" s="30" t="n">
        <f aca="false">N24*J24</f>
        <v>0</v>
      </c>
      <c r="Q24" s="46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27"/>
      <c r="BN24" s="27"/>
      <c r="BO24" s="27"/>
      <c r="BP24" s="27"/>
      <c r="BQ24" s="27"/>
      <c r="BR24" s="27"/>
      <c r="BS24" s="27"/>
      <c r="BT24" s="27"/>
      <c r="BU24" s="27"/>
      <c r="BV24" s="27"/>
      <c r="BW24" s="27"/>
      <c r="BX24" s="27"/>
      <c r="BY24" s="27"/>
      <c r="BZ24" s="27"/>
      <c r="CA24" s="27"/>
      <c r="CB24" s="27"/>
      <c r="CC24" s="27"/>
      <c r="CD24" s="27"/>
      <c r="CE24" s="27"/>
      <c r="CF24" s="27"/>
      <c r="CG24" s="27"/>
      <c r="CH24" s="27"/>
      <c r="CI24" s="27"/>
      <c r="CJ24" s="27"/>
      <c r="CK24" s="27"/>
      <c r="CL24" s="27"/>
      <c r="CM24" s="27"/>
      <c r="CN24" s="27"/>
      <c r="CO24" s="27"/>
      <c r="CP24" s="27"/>
      <c r="CQ24" s="27"/>
      <c r="CR24" s="27"/>
      <c r="CS24" s="27"/>
      <c r="CT24" s="27"/>
      <c r="CU24" s="27"/>
      <c r="CV24" s="27"/>
      <c r="CW24" s="27"/>
      <c r="CX24" s="27"/>
      <c r="CY24" s="27"/>
      <c r="CZ24" s="27"/>
      <c r="DA24" s="27"/>
      <c r="DB24" s="27"/>
      <c r="DC24" s="27"/>
      <c r="DD24" s="27"/>
      <c r="DE24" s="27"/>
      <c r="DF24" s="27"/>
      <c r="DG24" s="27"/>
      <c r="DH24" s="27"/>
      <c r="DI24" s="27"/>
      <c r="DJ24" s="27"/>
      <c r="DK24" s="27"/>
      <c r="DL24" s="27"/>
      <c r="DM24" s="27"/>
      <c r="DN24" s="27"/>
      <c r="DO24" s="27"/>
      <c r="DP24" s="27"/>
      <c r="DQ24" s="27"/>
      <c r="DR24" s="27"/>
      <c r="DS24" s="27"/>
      <c r="DT24" s="27"/>
      <c r="DU24" s="27"/>
      <c r="DV24" s="27"/>
      <c r="DW24" s="27"/>
      <c r="DX24" s="27"/>
      <c r="DY24" s="27"/>
      <c r="DZ24" s="27"/>
      <c r="EA24" s="27"/>
      <c r="EB24" s="27"/>
      <c r="EC24" s="27"/>
      <c r="ED24" s="27"/>
      <c r="EE24" s="27"/>
      <c r="EF24" s="27"/>
      <c r="EG24" s="27"/>
      <c r="EH24" s="27"/>
      <c r="EI24" s="27"/>
      <c r="EJ24" s="27"/>
      <c r="EK24" s="27"/>
      <c r="EL24" s="27"/>
      <c r="EM24" s="27"/>
      <c r="EN24" s="27"/>
      <c r="EO24" s="27"/>
      <c r="EP24" s="27"/>
      <c r="EQ24" s="27"/>
      <c r="ER24" s="27"/>
      <c r="ES24" s="27"/>
      <c r="ET24" s="27"/>
      <c r="EU24" s="27"/>
      <c r="EV24" s="27"/>
      <c r="EW24" s="27"/>
      <c r="EX24" s="27"/>
      <c r="EY24" s="27"/>
      <c r="EZ24" s="27"/>
      <c r="FA24" s="27"/>
      <c r="FB24" s="27"/>
      <c r="FC24" s="27"/>
      <c r="FD24" s="27"/>
      <c r="FE24" s="27"/>
      <c r="FF24" s="27"/>
      <c r="FG24" s="27"/>
      <c r="FH24" s="27"/>
      <c r="FI24" s="27"/>
      <c r="FJ24" s="27"/>
      <c r="FK24" s="27"/>
      <c r="FL24" s="27"/>
      <c r="FM24" s="27"/>
      <c r="FN24" s="27"/>
      <c r="FO24" s="27"/>
      <c r="FP24" s="27"/>
      <c r="FQ24" s="27"/>
      <c r="FR24" s="27"/>
      <c r="FS24" s="27"/>
      <c r="FT24" s="27"/>
      <c r="FU24" s="27"/>
      <c r="FV24" s="27"/>
      <c r="FW24" s="27"/>
      <c r="FX24" s="27"/>
      <c r="FY24" s="27"/>
      <c r="FZ24" s="27"/>
      <c r="GA24" s="27"/>
      <c r="GB24" s="27"/>
      <c r="GC24" s="27"/>
      <c r="GD24" s="27"/>
      <c r="GE24" s="27"/>
      <c r="GF24" s="27"/>
      <c r="GG24" s="27"/>
      <c r="GH24" s="27"/>
      <c r="GI24" s="27"/>
      <c r="GJ24" s="27"/>
      <c r="GK24" s="27"/>
      <c r="GL24" s="27"/>
      <c r="GM24" s="27"/>
      <c r="GN24" s="27"/>
      <c r="GO24" s="27"/>
      <c r="GP24" s="27"/>
      <c r="GQ24" s="27"/>
      <c r="GR24" s="27"/>
      <c r="GS24" s="27"/>
      <c r="GT24" s="27"/>
      <c r="GU24" s="27"/>
      <c r="GV24" s="27"/>
      <c r="GW24" s="27"/>
      <c r="GX24" s="27"/>
      <c r="GY24" s="27"/>
      <c r="GZ24" s="27"/>
      <c r="HA24" s="27"/>
      <c r="HB24" s="27"/>
      <c r="HC24" s="27"/>
      <c r="HD24" s="27"/>
      <c r="HE24" s="27"/>
      <c r="HF24" s="27"/>
      <c r="HG24" s="27"/>
      <c r="HH24" s="27"/>
      <c r="HI24" s="27"/>
      <c r="HJ24" s="27"/>
      <c r="HK24" s="27"/>
      <c r="HL24" s="27"/>
      <c r="HM24" s="27"/>
      <c r="HN24" s="27"/>
      <c r="HO24" s="27"/>
      <c r="HP24" s="27"/>
      <c r="HQ24" s="27"/>
      <c r="HR24" s="27"/>
      <c r="HS24" s="27"/>
      <c r="HT24" s="27"/>
      <c r="HU24" s="27"/>
      <c r="HV24" s="27"/>
      <c r="HW24" s="27"/>
      <c r="HX24" s="27"/>
      <c r="HY24" s="27"/>
      <c r="HZ24" s="27"/>
      <c r="IA24" s="27"/>
    </row>
    <row r="25" s="6" customFormat="true" ht="15" hidden="false" customHeight="false" outlineLevel="0" collapsed="false">
      <c r="A25" s="17"/>
      <c r="B25" s="18" t="s">
        <v>23</v>
      </c>
      <c r="C25" s="29"/>
      <c r="D25" s="29"/>
      <c r="E25" s="61"/>
      <c r="F25" s="29"/>
      <c r="G25" s="34"/>
      <c r="H25" s="29"/>
      <c r="I25" s="29"/>
      <c r="J25" s="29"/>
      <c r="K25" s="53"/>
      <c r="L25" s="36"/>
      <c r="M25" s="19" t="n">
        <v>-10</v>
      </c>
      <c r="N25" s="37"/>
      <c r="O25" s="30" t="n">
        <f aca="false">N25*J25</f>
        <v>0</v>
      </c>
      <c r="Q25" s="46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  <c r="BG25" s="27"/>
      <c r="BH25" s="27"/>
      <c r="BI25" s="27"/>
      <c r="BJ25" s="27"/>
      <c r="BK25" s="27"/>
      <c r="BL25" s="27"/>
      <c r="BM25" s="27"/>
      <c r="BN25" s="27"/>
      <c r="BO25" s="27"/>
      <c r="BP25" s="27"/>
      <c r="BQ25" s="27"/>
      <c r="BR25" s="27"/>
      <c r="BS25" s="27"/>
      <c r="BT25" s="27"/>
      <c r="BU25" s="27"/>
      <c r="BV25" s="27"/>
      <c r="BW25" s="27"/>
      <c r="BX25" s="27"/>
      <c r="BY25" s="27"/>
      <c r="BZ25" s="27"/>
      <c r="CA25" s="27"/>
      <c r="CB25" s="27"/>
      <c r="CC25" s="27"/>
      <c r="CD25" s="27"/>
      <c r="CE25" s="27"/>
      <c r="CF25" s="27"/>
      <c r="CG25" s="27"/>
      <c r="CH25" s="27"/>
      <c r="CI25" s="27"/>
      <c r="CJ25" s="27"/>
      <c r="CK25" s="27"/>
      <c r="CL25" s="27"/>
      <c r="CM25" s="27"/>
      <c r="CN25" s="27"/>
      <c r="CO25" s="27"/>
      <c r="CP25" s="27"/>
      <c r="CQ25" s="27"/>
      <c r="CR25" s="27"/>
      <c r="CS25" s="27"/>
      <c r="CT25" s="27"/>
      <c r="CU25" s="27"/>
      <c r="CV25" s="27"/>
      <c r="CW25" s="27"/>
      <c r="CX25" s="27"/>
      <c r="CY25" s="27"/>
      <c r="CZ25" s="27"/>
      <c r="DA25" s="27"/>
      <c r="DB25" s="27"/>
      <c r="DC25" s="27"/>
      <c r="DD25" s="27"/>
      <c r="DE25" s="27"/>
      <c r="DF25" s="27"/>
      <c r="DG25" s="27"/>
      <c r="DH25" s="27"/>
      <c r="DI25" s="27"/>
      <c r="DJ25" s="27"/>
      <c r="DK25" s="27"/>
      <c r="DL25" s="27"/>
      <c r="DM25" s="27"/>
      <c r="DN25" s="27"/>
      <c r="DO25" s="27"/>
      <c r="DP25" s="27"/>
      <c r="DQ25" s="27"/>
      <c r="DR25" s="27"/>
      <c r="DS25" s="27"/>
      <c r="DT25" s="27"/>
      <c r="DU25" s="27"/>
      <c r="DV25" s="27"/>
      <c r="DW25" s="27"/>
      <c r="DX25" s="27"/>
      <c r="DY25" s="27"/>
      <c r="DZ25" s="27"/>
      <c r="EA25" s="27"/>
      <c r="EB25" s="27"/>
      <c r="EC25" s="27"/>
      <c r="ED25" s="27"/>
      <c r="EE25" s="27"/>
      <c r="EF25" s="27"/>
      <c r="EG25" s="27"/>
      <c r="EH25" s="27"/>
      <c r="EI25" s="27"/>
      <c r="EJ25" s="27"/>
      <c r="EK25" s="27"/>
      <c r="EL25" s="27"/>
      <c r="EM25" s="27"/>
      <c r="EN25" s="27"/>
      <c r="EO25" s="27"/>
      <c r="EP25" s="27"/>
      <c r="EQ25" s="27"/>
      <c r="ER25" s="27"/>
      <c r="ES25" s="27"/>
      <c r="ET25" s="27"/>
      <c r="EU25" s="27"/>
      <c r="EV25" s="27"/>
      <c r="EW25" s="27"/>
      <c r="EX25" s="27"/>
      <c r="EY25" s="27"/>
      <c r="EZ25" s="27"/>
      <c r="FA25" s="27"/>
      <c r="FB25" s="27"/>
      <c r="FC25" s="27"/>
      <c r="FD25" s="27"/>
      <c r="FE25" s="27"/>
      <c r="FF25" s="27"/>
      <c r="FG25" s="27"/>
      <c r="FH25" s="27"/>
      <c r="FI25" s="27"/>
      <c r="FJ25" s="27"/>
      <c r="FK25" s="27"/>
      <c r="FL25" s="27"/>
      <c r="FM25" s="27"/>
      <c r="FN25" s="27"/>
      <c r="FO25" s="27"/>
      <c r="FP25" s="27"/>
      <c r="FQ25" s="27"/>
      <c r="FR25" s="27"/>
      <c r="FS25" s="27"/>
      <c r="FT25" s="27"/>
      <c r="FU25" s="27"/>
      <c r="FV25" s="27"/>
      <c r="FW25" s="27"/>
      <c r="FX25" s="27"/>
      <c r="FY25" s="27"/>
      <c r="FZ25" s="27"/>
      <c r="GA25" s="27"/>
      <c r="GB25" s="27"/>
      <c r="GC25" s="27"/>
      <c r="GD25" s="27"/>
      <c r="GE25" s="27"/>
      <c r="GF25" s="27"/>
      <c r="GG25" s="27"/>
      <c r="GH25" s="27"/>
      <c r="GI25" s="27"/>
      <c r="GJ25" s="27"/>
      <c r="GK25" s="27"/>
      <c r="GL25" s="27"/>
      <c r="GM25" s="27"/>
      <c r="GN25" s="27"/>
      <c r="GO25" s="27"/>
      <c r="GP25" s="27"/>
      <c r="GQ25" s="27"/>
      <c r="GR25" s="27"/>
      <c r="GS25" s="27"/>
      <c r="GT25" s="27"/>
      <c r="GU25" s="27"/>
      <c r="GV25" s="27"/>
      <c r="GW25" s="27"/>
      <c r="GX25" s="27"/>
      <c r="GY25" s="27"/>
      <c r="GZ25" s="27"/>
      <c r="HA25" s="27"/>
      <c r="HB25" s="27"/>
      <c r="HC25" s="27"/>
      <c r="HD25" s="27"/>
      <c r="HE25" s="27"/>
      <c r="HF25" s="27"/>
      <c r="HG25" s="27"/>
      <c r="HH25" s="27"/>
      <c r="HI25" s="27"/>
      <c r="HJ25" s="27"/>
      <c r="HK25" s="27"/>
      <c r="HL25" s="27"/>
      <c r="HM25" s="27"/>
      <c r="HN25" s="27"/>
      <c r="HO25" s="27"/>
      <c r="HP25" s="27"/>
      <c r="HQ25" s="27"/>
      <c r="HR25" s="27"/>
      <c r="HS25" s="27"/>
      <c r="HT25" s="27"/>
      <c r="HU25" s="27"/>
      <c r="HV25" s="27"/>
      <c r="HW25" s="27"/>
      <c r="HX25" s="27"/>
      <c r="HY25" s="27"/>
      <c r="HZ25" s="27"/>
      <c r="IA25" s="27"/>
    </row>
    <row r="26" s="6" customFormat="true" ht="15" hidden="false" customHeight="false" outlineLevel="0" collapsed="false">
      <c r="A26" s="17"/>
      <c r="B26" s="18" t="s">
        <v>23</v>
      </c>
      <c r="C26" s="29"/>
      <c r="D26" s="29"/>
      <c r="E26" s="61"/>
      <c r="F26" s="29"/>
      <c r="G26" s="34"/>
      <c r="H26" s="29"/>
      <c r="I26" s="29"/>
      <c r="J26" s="29"/>
      <c r="K26" s="53"/>
      <c r="L26" s="36"/>
      <c r="M26" s="19" t="n">
        <v>-9</v>
      </c>
      <c r="N26" s="37"/>
      <c r="O26" s="30" t="n">
        <f aca="false">N26*J26</f>
        <v>0</v>
      </c>
      <c r="Q26" s="46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  <c r="BG26" s="27"/>
      <c r="BH26" s="27"/>
      <c r="BI26" s="27"/>
      <c r="BJ26" s="27"/>
      <c r="BK26" s="27"/>
      <c r="BL26" s="27"/>
      <c r="BM26" s="27"/>
      <c r="BN26" s="27"/>
      <c r="BO26" s="27"/>
      <c r="BP26" s="27"/>
      <c r="BQ26" s="27"/>
      <c r="BR26" s="27"/>
      <c r="BS26" s="27"/>
      <c r="BT26" s="27"/>
      <c r="BU26" s="27"/>
      <c r="BV26" s="27"/>
      <c r="BW26" s="27"/>
      <c r="BX26" s="27"/>
      <c r="BY26" s="27"/>
      <c r="BZ26" s="27"/>
      <c r="CA26" s="27"/>
      <c r="CB26" s="27"/>
      <c r="CC26" s="27"/>
      <c r="CD26" s="27"/>
      <c r="CE26" s="27"/>
      <c r="CF26" s="27"/>
      <c r="CG26" s="27"/>
      <c r="CH26" s="27"/>
      <c r="CI26" s="27"/>
      <c r="CJ26" s="27"/>
      <c r="CK26" s="27"/>
      <c r="CL26" s="27"/>
      <c r="CM26" s="27"/>
      <c r="CN26" s="27"/>
      <c r="CO26" s="27"/>
      <c r="CP26" s="27"/>
      <c r="CQ26" s="27"/>
      <c r="CR26" s="27"/>
      <c r="CS26" s="27"/>
      <c r="CT26" s="27"/>
      <c r="CU26" s="27"/>
      <c r="CV26" s="27"/>
      <c r="CW26" s="27"/>
      <c r="CX26" s="27"/>
      <c r="CY26" s="27"/>
      <c r="CZ26" s="27"/>
      <c r="DA26" s="27"/>
      <c r="DB26" s="27"/>
      <c r="DC26" s="27"/>
      <c r="DD26" s="27"/>
      <c r="DE26" s="27"/>
      <c r="DF26" s="27"/>
      <c r="DG26" s="27"/>
      <c r="DH26" s="27"/>
      <c r="DI26" s="27"/>
      <c r="DJ26" s="27"/>
      <c r="DK26" s="27"/>
      <c r="DL26" s="27"/>
      <c r="DM26" s="27"/>
      <c r="DN26" s="27"/>
      <c r="DO26" s="27"/>
      <c r="DP26" s="27"/>
      <c r="DQ26" s="27"/>
      <c r="DR26" s="27"/>
      <c r="DS26" s="27"/>
      <c r="DT26" s="27"/>
      <c r="DU26" s="27"/>
      <c r="DV26" s="27"/>
      <c r="DW26" s="27"/>
      <c r="DX26" s="27"/>
      <c r="DY26" s="27"/>
      <c r="DZ26" s="27"/>
      <c r="EA26" s="27"/>
      <c r="EB26" s="27"/>
      <c r="EC26" s="27"/>
      <c r="ED26" s="27"/>
      <c r="EE26" s="27"/>
      <c r="EF26" s="27"/>
      <c r="EG26" s="27"/>
      <c r="EH26" s="27"/>
      <c r="EI26" s="27"/>
      <c r="EJ26" s="27"/>
      <c r="EK26" s="27"/>
      <c r="EL26" s="27"/>
      <c r="EM26" s="27"/>
      <c r="EN26" s="27"/>
      <c r="EO26" s="27"/>
      <c r="EP26" s="27"/>
      <c r="EQ26" s="27"/>
      <c r="ER26" s="27"/>
      <c r="ES26" s="27"/>
      <c r="ET26" s="27"/>
      <c r="EU26" s="27"/>
      <c r="EV26" s="27"/>
      <c r="EW26" s="27"/>
      <c r="EX26" s="27"/>
      <c r="EY26" s="27"/>
      <c r="EZ26" s="27"/>
      <c r="FA26" s="27"/>
      <c r="FB26" s="27"/>
      <c r="FC26" s="27"/>
      <c r="FD26" s="27"/>
      <c r="FE26" s="27"/>
      <c r="FF26" s="27"/>
      <c r="FG26" s="27"/>
      <c r="FH26" s="27"/>
      <c r="FI26" s="27"/>
      <c r="FJ26" s="27"/>
      <c r="FK26" s="27"/>
      <c r="FL26" s="27"/>
      <c r="FM26" s="27"/>
      <c r="FN26" s="27"/>
      <c r="FO26" s="27"/>
      <c r="FP26" s="27"/>
      <c r="FQ26" s="27"/>
      <c r="FR26" s="27"/>
      <c r="FS26" s="27"/>
      <c r="FT26" s="27"/>
      <c r="FU26" s="27"/>
      <c r="FV26" s="27"/>
      <c r="FW26" s="27"/>
      <c r="FX26" s="27"/>
      <c r="FY26" s="27"/>
      <c r="FZ26" s="27"/>
      <c r="GA26" s="27"/>
      <c r="GB26" s="27"/>
      <c r="GC26" s="27"/>
      <c r="GD26" s="27"/>
      <c r="GE26" s="27"/>
      <c r="GF26" s="27"/>
      <c r="GG26" s="27"/>
      <c r="GH26" s="27"/>
      <c r="GI26" s="27"/>
      <c r="GJ26" s="27"/>
      <c r="GK26" s="27"/>
      <c r="GL26" s="27"/>
      <c r="GM26" s="27"/>
      <c r="GN26" s="27"/>
      <c r="GO26" s="27"/>
      <c r="GP26" s="27"/>
      <c r="GQ26" s="27"/>
      <c r="GR26" s="27"/>
      <c r="GS26" s="27"/>
      <c r="GT26" s="27"/>
      <c r="GU26" s="27"/>
      <c r="GV26" s="27"/>
      <c r="GW26" s="27"/>
      <c r="GX26" s="27"/>
      <c r="GY26" s="27"/>
      <c r="GZ26" s="27"/>
      <c r="HA26" s="27"/>
      <c r="HB26" s="27"/>
      <c r="HC26" s="27"/>
      <c r="HD26" s="27"/>
      <c r="HE26" s="27"/>
      <c r="HF26" s="27"/>
      <c r="HG26" s="27"/>
      <c r="HH26" s="27"/>
      <c r="HI26" s="27"/>
      <c r="HJ26" s="27"/>
      <c r="HK26" s="27"/>
      <c r="HL26" s="27"/>
      <c r="HM26" s="27"/>
      <c r="HN26" s="27"/>
      <c r="HO26" s="27"/>
      <c r="HP26" s="27"/>
      <c r="HQ26" s="27"/>
      <c r="HR26" s="27"/>
      <c r="HS26" s="27"/>
      <c r="HT26" s="27"/>
      <c r="HU26" s="27"/>
      <c r="HV26" s="27"/>
      <c r="HW26" s="27"/>
      <c r="HX26" s="27"/>
      <c r="HY26" s="27"/>
      <c r="HZ26" s="27"/>
      <c r="IA26" s="27"/>
    </row>
    <row r="27" s="6" customFormat="true" ht="15" hidden="false" customHeight="false" outlineLevel="0" collapsed="false">
      <c r="A27" s="17"/>
      <c r="B27" s="18" t="s">
        <v>23</v>
      </c>
      <c r="C27" s="29"/>
      <c r="D27" s="29"/>
      <c r="E27" s="61"/>
      <c r="F27" s="29"/>
      <c r="G27" s="34"/>
      <c r="H27" s="29"/>
      <c r="I27" s="29"/>
      <c r="J27" s="29"/>
      <c r="K27" s="53"/>
      <c r="L27" s="36"/>
      <c r="M27" s="19" t="n">
        <v>-8</v>
      </c>
      <c r="N27" s="37"/>
      <c r="O27" s="30" t="n">
        <f aca="false">N27*J27</f>
        <v>0</v>
      </c>
      <c r="Q27" s="46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  <c r="BG27" s="27"/>
      <c r="BH27" s="27"/>
      <c r="BI27" s="27"/>
      <c r="BJ27" s="27"/>
      <c r="BK27" s="27"/>
      <c r="BL27" s="27"/>
      <c r="BM27" s="27"/>
      <c r="BN27" s="27"/>
      <c r="BO27" s="27"/>
      <c r="BP27" s="27"/>
      <c r="BQ27" s="27"/>
      <c r="BR27" s="27"/>
      <c r="BS27" s="27"/>
      <c r="BT27" s="27"/>
      <c r="BU27" s="27"/>
      <c r="BV27" s="27"/>
      <c r="BW27" s="27"/>
      <c r="BX27" s="27"/>
      <c r="BY27" s="27"/>
      <c r="BZ27" s="27"/>
      <c r="CA27" s="27"/>
      <c r="CB27" s="27"/>
      <c r="CC27" s="27"/>
      <c r="CD27" s="27"/>
      <c r="CE27" s="27"/>
      <c r="CF27" s="27"/>
      <c r="CG27" s="27"/>
      <c r="CH27" s="27"/>
      <c r="CI27" s="27"/>
      <c r="CJ27" s="27"/>
      <c r="CK27" s="27"/>
      <c r="CL27" s="27"/>
      <c r="CM27" s="27"/>
      <c r="CN27" s="27"/>
      <c r="CO27" s="27"/>
      <c r="CP27" s="27"/>
      <c r="CQ27" s="27"/>
      <c r="CR27" s="27"/>
      <c r="CS27" s="27"/>
      <c r="CT27" s="27"/>
      <c r="CU27" s="27"/>
      <c r="CV27" s="27"/>
      <c r="CW27" s="27"/>
      <c r="CX27" s="27"/>
      <c r="CY27" s="27"/>
      <c r="CZ27" s="27"/>
      <c r="DA27" s="27"/>
      <c r="DB27" s="27"/>
      <c r="DC27" s="27"/>
      <c r="DD27" s="27"/>
      <c r="DE27" s="27"/>
      <c r="DF27" s="27"/>
      <c r="DG27" s="27"/>
      <c r="DH27" s="27"/>
      <c r="DI27" s="27"/>
      <c r="DJ27" s="27"/>
      <c r="DK27" s="27"/>
      <c r="DL27" s="27"/>
      <c r="DM27" s="27"/>
      <c r="DN27" s="27"/>
      <c r="DO27" s="27"/>
      <c r="DP27" s="27"/>
      <c r="DQ27" s="27"/>
      <c r="DR27" s="27"/>
      <c r="DS27" s="27"/>
      <c r="DT27" s="27"/>
      <c r="DU27" s="27"/>
      <c r="DV27" s="27"/>
      <c r="DW27" s="27"/>
      <c r="DX27" s="27"/>
      <c r="DY27" s="27"/>
      <c r="DZ27" s="27"/>
      <c r="EA27" s="27"/>
      <c r="EB27" s="27"/>
      <c r="EC27" s="27"/>
      <c r="ED27" s="27"/>
      <c r="EE27" s="27"/>
      <c r="EF27" s="27"/>
      <c r="EG27" s="27"/>
      <c r="EH27" s="27"/>
      <c r="EI27" s="27"/>
      <c r="EJ27" s="27"/>
      <c r="EK27" s="27"/>
      <c r="EL27" s="27"/>
      <c r="EM27" s="27"/>
      <c r="EN27" s="27"/>
      <c r="EO27" s="27"/>
      <c r="EP27" s="27"/>
      <c r="EQ27" s="27"/>
      <c r="ER27" s="27"/>
      <c r="ES27" s="27"/>
      <c r="ET27" s="27"/>
      <c r="EU27" s="27"/>
      <c r="EV27" s="27"/>
      <c r="EW27" s="27"/>
      <c r="EX27" s="27"/>
      <c r="EY27" s="27"/>
      <c r="EZ27" s="27"/>
      <c r="FA27" s="27"/>
      <c r="FB27" s="27"/>
      <c r="FC27" s="27"/>
      <c r="FD27" s="27"/>
      <c r="FE27" s="27"/>
      <c r="FF27" s="27"/>
      <c r="FG27" s="27"/>
      <c r="FH27" s="27"/>
      <c r="FI27" s="27"/>
      <c r="FJ27" s="27"/>
      <c r="FK27" s="27"/>
      <c r="FL27" s="27"/>
      <c r="FM27" s="27"/>
      <c r="FN27" s="27"/>
      <c r="FO27" s="27"/>
      <c r="FP27" s="27"/>
      <c r="FQ27" s="27"/>
      <c r="FR27" s="27"/>
      <c r="FS27" s="27"/>
      <c r="FT27" s="27"/>
      <c r="FU27" s="27"/>
      <c r="FV27" s="27"/>
      <c r="FW27" s="27"/>
      <c r="FX27" s="27"/>
      <c r="FY27" s="27"/>
      <c r="FZ27" s="27"/>
      <c r="GA27" s="27"/>
      <c r="GB27" s="27"/>
      <c r="GC27" s="27"/>
      <c r="GD27" s="27"/>
      <c r="GE27" s="27"/>
      <c r="GF27" s="27"/>
      <c r="GG27" s="27"/>
      <c r="GH27" s="27"/>
      <c r="GI27" s="27"/>
      <c r="GJ27" s="27"/>
      <c r="GK27" s="27"/>
      <c r="GL27" s="27"/>
      <c r="GM27" s="27"/>
      <c r="GN27" s="27"/>
      <c r="GO27" s="27"/>
      <c r="GP27" s="27"/>
      <c r="GQ27" s="27"/>
      <c r="GR27" s="27"/>
      <c r="GS27" s="27"/>
      <c r="GT27" s="27"/>
      <c r="GU27" s="27"/>
      <c r="GV27" s="27"/>
      <c r="GW27" s="27"/>
      <c r="GX27" s="27"/>
      <c r="GY27" s="27"/>
      <c r="GZ27" s="27"/>
      <c r="HA27" s="27"/>
      <c r="HB27" s="27"/>
      <c r="HC27" s="27"/>
      <c r="HD27" s="27"/>
      <c r="HE27" s="27"/>
      <c r="HF27" s="27"/>
      <c r="HG27" s="27"/>
      <c r="HH27" s="27"/>
      <c r="HI27" s="27"/>
      <c r="HJ27" s="27"/>
      <c r="HK27" s="27"/>
      <c r="HL27" s="27"/>
      <c r="HM27" s="27"/>
      <c r="HN27" s="27"/>
      <c r="HO27" s="27"/>
      <c r="HP27" s="27"/>
      <c r="HQ27" s="27"/>
      <c r="HR27" s="27"/>
      <c r="HS27" s="27"/>
      <c r="HT27" s="27"/>
      <c r="HU27" s="27"/>
      <c r="HV27" s="27"/>
      <c r="HW27" s="27"/>
      <c r="HX27" s="27"/>
      <c r="HY27" s="27"/>
      <c r="HZ27" s="27"/>
      <c r="IA27" s="27"/>
    </row>
    <row r="28" s="6" customFormat="true" ht="15" hidden="false" customHeight="false" outlineLevel="0" collapsed="false">
      <c r="A28" s="17"/>
      <c r="B28" s="18" t="s">
        <v>23</v>
      </c>
      <c r="C28" s="29"/>
      <c r="D28" s="29"/>
      <c r="E28" s="61"/>
      <c r="F28" s="29"/>
      <c r="G28" s="34"/>
      <c r="H28" s="29"/>
      <c r="I28" s="29"/>
      <c r="J28" s="29"/>
      <c r="K28" s="53"/>
      <c r="L28" s="36"/>
      <c r="M28" s="19" t="n">
        <v>-7</v>
      </c>
      <c r="N28" s="37"/>
      <c r="O28" s="30" t="n">
        <f aca="false">N28*J28</f>
        <v>0</v>
      </c>
      <c r="Q28" s="46"/>
      <c r="S28" s="27"/>
      <c r="T28" s="27"/>
      <c r="U28" s="27"/>
      <c r="V28" s="27"/>
      <c r="W28" s="27"/>
      <c r="X28" s="27"/>
      <c r="Y28" s="27"/>
      <c r="Z28" s="27"/>
      <c r="AA28" s="27"/>
      <c r="AB28" s="27"/>
      <c r="AC28" s="27"/>
      <c r="AD28" s="27"/>
      <c r="AE28" s="27"/>
      <c r="AF28" s="27"/>
      <c r="AG28" s="27"/>
      <c r="AH28" s="27"/>
      <c r="AI28" s="27"/>
      <c r="AJ28" s="27"/>
      <c r="AK28" s="27"/>
      <c r="AL28" s="27"/>
      <c r="AM28" s="27"/>
      <c r="AN28" s="27"/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  <c r="BG28" s="27"/>
      <c r="BH28" s="27"/>
      <c r="BI28" s="27"/>
      <c r="BJ28" s="27"/>
      <c r="BK28" s="27"/>
      <c r="BL28" s="27"/>
      <c r="BM28" s="27"/>
      <c r="BN28" s="27"/>
      <c r="BO28" s="27"/>
      <c r="BP28" s="27"/>
      <c r="BQ28" s="27"/>
      <c r="BR28" s="27"/>
      <c r="BS28" s="27"/>
      <c r="BT28" s="27"/>
      <c r="BU28" s="27"/>
      <c r="BV28" s="27"/>
      <c r="BW28" s="27"/>
      <c r="BX28" s="27"/>
      <c r="BY28" s="27"/>
      <c r="BZ28" s="27"/>
      <c r="CA28" s="27"/>
      <c r="CB28" s="27"/>
      <c r="CC28" s="27"/>
      <c r="CD28" s="27"/>
      <c r="CE28" s="27"/>
      <c r="CF28" s="27"/>
      <c r="CG28" s="27"/>
      <c r="CH28" s="27"/>
      <c r="CI28" s="27"/>
      <c r="CJ28" s="27"/>
      <c r="CK28" s="27"/>
      <c r="CL28" s="27"/>
      <c r="CM28" s="27"/>
      <c r="CN28" s="27"/>
      <c r="CO28" s="27"/>
      <c r="CP28" s="27"/>
      <c r="CQ28" s="27"/>
      <c r="CR28" s="27"/>
      <c r="CS28" s="27"/>
      <c r="CT28" s="27"/>
      <c r="CU28" s="27"/>
      <c r="CV28" s="27"/>
      <c r="CW28" s="27"/>
      <c r="CX28" s="27"/>
      <c r="CY28" s="27"/>
      <c r="CZ28" s="27"/>
      <c r="DA28" s="27"/>
      <c r="DB28" s="27"/>
      <c r="DC28" s="27"/>
      <c r="DD28" s="27"/>
      <c r="DE28" s="27"/>
      <c r="DF28" s="27"/>
      <c r="DG28" s="27"/>
      <c r="DH28" s="27"/>
      <c r="DI28" s="27"/>
      <c r="DJ28" s="27"/>
      <c r="DK28" s="27"/>
      <c r="DL28" s="27"/>
      <c r="DM28" s="27"/>
      <c r="DN28" s="27"/>
      <c r="DO28" s="27"/>
      <c r="DP28" s="27"/>
      <c r="DQ28" s="27"/>
      <c r="DR28" s="27"/>
      <c r="DS28" s="27"/>
      <c r="DT28" s="27"/>
      <c r="DU28" s="27"/>
      <c r="DV28" s="27"/>
      <c r="DW28" s="27"/>
      <c r="DX28" s="27"/>
      <c r="DY28" s="27"/>
      <c r="DZ28" s="27"/>
      <c r="EA28" s="27"/>
      <c r="EB28" s="27"/>
      <c r="EC28" s="27"/>
      <c r="ED28" s="27"/>
      <c r="EE28" s="27"/>
      <c r="EF28" s="27"/>
      <c r="EG28" s="27"/>
      <c r="EH28" s="27"/>
      <c r="EI28" s="27"/>
      <c r="EJ28" s="27"/>
      <c r="EK28" s="27"/>
      <c r="EL28" s="27"/>
      <c r="EM28" s="27"/>
      <c r="EN28" s="27"/>
      <c r="EO28" s="27"/>
      <c r="EP28" s="27"/>
      <c r="EQ28" s="27"/>
      <c r="ER28" s="27"/>
      <c r="ES28" s="27"/>
      <c r="ET28" s="27"/>
      <c r="EU28" s="27"/>
      <c r="EV28" s="27"/>
      <c r="EW28" s="27"/>
      <c r="EX28" s="27"/>
      <c r="EY28" s="27"/>
      <c r="EZ28" s="27"/>
      <c r="FA28" s="27"/>
      <c r="FB28" s="27"/>
      <c r="FC28" s="27"/>
      <c r="FD28" s="27"/>
      <c r="FE28" s="27"/>
      <c r="FF28" s="27"/>
      <c r="FG28" s="27"/>
      <c r="FH28" s="27"/>
      <c r="FI28" s="27"/>
      <c r="FJ28" s="27"/>
      <c r="FK28" s="27"/>
      <c r="FL28" s="27"/>
      <c r="FM28" s="27"/>
      <c r="FN28" s="27"/>
      <c r="FO28" s="27"/>
      <c r="FP28" s="27"/>
      <c r="FQ28" s="27"/>
      <c r="FR28" s="27"/>
      <c r="FS28" s="27"/>
      <c r="FT28" s="27"/>
      <c r="FU28" s="27"/>
      <c r="FV28" s="27"/>
      <c r="FW28" s="27"/>
      <c r="FX28" s="27"/>
      <c r="FY28" s="27"/>
      <c r="FZ28" s="27"/>
      <c r="GA28" s="27"/>
      <c r="GB28" s="27"/>
      <c r="GC28" s="27"/>
      <c r="GD28" s="27"/>
      <c r="GE28" s="27"/>
      <c r="GF28" s="27"/>
      <c r="GG28" s="27"/>
      <c r="GH28" s="27"/>
      <c r="GI28" s="27"/>
      <c r="GJ28" s="27"/>
      <c r="GK28" s="27"/>
      <c r="GL28" s="27"/>
      <c r="GM28" s="27"/>
      <c r="GN28" s="27"/>
      <c r="GO28" s="27"/>
      <c r="GP28" s="27"/>
      <c r="GQ28" s="27"/>
      <c r="GR28" s="27"/>
      <c r="GS28" s="27"/>
      <c r="GT28" s="27"/>
      <c r="GU28" s="27"/>
      <c r="GV28" s="27"/>
      <c r="GW28" s="27"/>
      <c r="GX28" s="27"/>
      <c r="GY28" s="27"/>
      <c r="GZ28" s="27"/>
      <c r="HA28" s="27"/>
      <c r="HB28" s="27"/>
      <c r="HC28" s="27"/>
      <c r="HD28" s="27"/>
      <c r="HE28" s="27"/>
      <c r="HF28" s="27"/>
      <c r="HG28" s="27"/>
      <c r="HH28" s="27"/>
      <c r="HI28" s="27"/>
      <c r="HJ28" s="27"/>
      <c r="HK28" s="27"/>
      <c r="HL28" s="27"/>
      <c r="HM28" s="27"/>
      <c r="HN28" s="27"/>
      <c r="HO28" s="27"/>
      <c r="HP28" s="27"/>
      <c r="HQ28" s="27"/>
      <c r="HR28" s="27"/>
      <c r="HS28" s="27"/>
      <c r="HT28" s="27"/>
      <c r="HU28" s="27"/>
      <c r="HV28" s="27"/>
      <c r="HW28" s="27"/>
      <c r="HX28" s="27"/>
      <c r="HY28" s="27"/>
      <c r="HZ28" s="27"/>
      <c r="IA28" s="27"/>
    </row>
    <row r="29" s="6" customFormat="true" ht="15" hidden="false" customHeight="false" outlineLevel="0" collapsed="false">
      <c r="A29" s="17"/>
      <c r="B29" s="18" t="s">
        <v>23</v>
      </c>
      <c r="C29" s="29"/>
      <c r="D29" s="29"/>
      <c r="E29" s="61"/>
      <c r="F29" s="29"/>
      <c r="G29" s="34"/>
      <c r="H29" s="29"/>
      <c r="I29" s="29"/>
      <c r="J29" s="29"/>
      <c r="K29" s="53"/>
      <c r="L29" s="36"/>
      <c r="M29" s="19" t="n">
        <v>-6</v>
      </c>
      <c r="N29" s="37"/>
      <c r="O29" s="30" t="n">
        <f aca="false">N29*J29</f>
        <v>0</v>
      </c>
      <c r="Q29" s="46"/>
      <c r="S29" s="27"/>
      <c r="T29" s="27"/>
      <c r="U29" s="27"/>
      <c r="V29" s="27"/>
      <c r="W29" s="27"/>
      <c r="X29" s="27"/>
      <c r="Y29" s="27"/>
      <c r="Z29" s="27"/>
      <c r="AA29" s="27"/>
      <c r="AB29" s="27"/>
      <c r="AC29" s="27"/>
      <c r="AD29" s="27"/>
      <c r="AE29" s="27"/>
      <c r="AF29" s="27"/>
      <c r="AG29" s="27"/>
      <c r="AH29" s="27"/>
      <c r="AI29" s="27"/>
      <c r="AJ29" s="27"/>
      <c r="AK29" s="27"/>
      <c r="AL29" s="27"/>
      <c r="AM29" s="27"/>
      <c r="AN29" s="27"/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  <c r="BG29" s="27"/>
      <c r="BH29" s="27"/>
      <c r="BI29" s="27"/>
      <c r="BJ29" s="27"/>
      <c r="BK29" s="27"/>
      <c r="BL29" s="27"/>
      <c r="BM29" s="27"/>
      <c r="BN29" s="27"/>
      <c r="BO29" s="27"/>
      <c r="BP29" s="27"/>
      <c r="BQ29" s="27"/>
      <c r="BR29" s="27"/>
      <c r="BS29" s="27"/>
      <c r="BT29" s="27"/>
      <c r="BU29" s="27"/>
      <c r="BV29" s="27"/>
      <c r="BW29" s="27"/>
      <c r="BX29" s="27"/>
      <c r="BY29" s="27"/>
      <c r="BZ29" s="27"/>
      <c r="CA29" s="27"/>
      <c r="CB29" s="27"/>
      <c r="CC29" s="27"/>
      <c r="CD29" s="27"/>
      <c r="CE29" s="27"/>
      <c r="CF29" s="27"/>
      <c r="CG29" s="27"/>
      <c r="CH29" s="27"/>
      <c r="CI29" s="27"/>
      <c r="CJ29" s="27"/>
      <c r="CK29" s="27"/>
      <c r="CL29" s="27"/>
      <c r="CM29" s="27"/>
      <c r="CN29" s="27"/>
      <c r="CO29" s="27"/>
      <c r="CP29" s="27"/>
      <c r="CQ29" s="27"/>
      <c r="CR29" s="27"/>
      <c r="CS29" s="27"/>
      <c r="CT29" s="27"/>
      <c r="CU29" s="27"/>
      <c r="CV29" s="27"/>
      <c r="CW29" s="27"/>
      <c r="CX29" s="27"/>
      <c r="CY29" s="27"/>
      <c r="CZ29" s="27"/>
      <c r="DA29" s="27"/>
      <c r="DB29" s="27"/>
      <c r="DC29" s="27"/>
      <c r="DD29" s="27"/>
      <c r="DE29" s="27"/>
      <c r="DF29" s="27"/>
      <c r="DG29" s="27"/>
      <c r="DH29" s="27"/>
      <c r="DI29" s="27"/>
      <c r="DJ29" s="27"/>
      <c r="DK29" s="27"/>
      <c r="DL29" s="27"/>
      <c r="DM29" s="27"/>
      <c r="DN29" s="27"/>
      <c r="DO29" s="27"/>
      <c r="DP29" s="27"/>
      <c r="DQ29" s="27"/>
      <c r="DR29" s="27"/>
      <c r="DS29" s="27"/>
      <c r="DT29" s="27"/>
      <c r="DU29" s="27"/>
      <c r="DV29" s="27"/>
      <c r="DW29" s="27"/>
      <c r="DX29" s="27"/>
      <c r="DY29" s="27"/>
      <c r="DZ29" s="27"/>
      <c r="EA29" s="27"/>
      <c r="EB29" s="27"/>
      <c r="EC29" s="27"/>
      <c r="ED29" s="27"/>
      <c r="EE29" s="27"/>
      <c r="EF29" s="27"/>
      <c r="EG29" s="27"/>
      <c r="EH29" s="27"/>
      <c r="EI29" s="27"/>
      <c r="EJ29" s="27"/>
      <c r="EK29" s="27"/>
      <c r="EL29" s="27"/>
      <c r="EM29" s="27"/>
      <c r="EN29" s="27"/>
      <c r="EO29" s="27"/>
      <c r="EP29" s="27"/>
      <c r="EQ29" s="27"/>
      <c r="ER29" s="27"/>
      <c r="ES29" s="27"/>
      <c r="ET29" s="27"/>
      <c r="EU29" s="27"/>
      <c r="EV29" s="27"/>
      <c r="EW29" s="27"/>
      <c r="EX29" s="27"/>
      <c r="EY29" s="27"/>
      <c r="EZ29" s="27"/>
      <c r="FA29" s="27"/>
      <c r="FB29" s="27"/>
      <c r="FC29" s="27"/>
      <c r="FD29" s="27"/>
      <c r="FE29" s="27"/>
      <c r="FF29" s="27"/>
      <c r="FG29" s="27"/>
      <c r="FH29" s="27"/>
      <c r="FI29" s="27"/>
      <c r="FJ29" s="27"/>
      <c r="FK29" s="27"/>
      <c r="FL29" s="27"/>
      <c r="FM29" s="27"/>
      <c r="FN29" s="27"/>
      <c r="FO29" s="27"/>
      <c r="FP29" s="27"/>
      <c r="FQ29" s="27"/>
      <c r="FR29" s="27"/>
      <c r="FS29" s="27"/>
      <c r="FT29" s="27"/>
      <c r="FU29" s="27"/>
      <c r="FV29" s="27"/>
      <c r="FW29" s="27"/>
      <c r="FX29" s="27"/>
      <c r="FY29" s="27"/>
      <c r="FZ29" s="27"/>
      <c r="GA29" s="27"/>
      <c r="GB29" s="27"/>
      <c r="GC29" s="27"/>
      <c r="GD29" s="27"/>
      <c r="GE29" s="27"/>
      <c r="GF29" s="27"/>
      <c r="GG29" s="27"/>
      <c r="GH29" s="27"/>
      <c r="GI29" s="27"/>
      <c r="GJ29" s="27"/>
      <c r="GK29" s="27"/>
      <c r="GL29" s="27"/>
      <c r="GM29" s="27"/>
      <c r="GN29" s="27"/>
      <c r="GO29" s="27"/>
      <c r="GP29" s="27"/>
      <c r="GQ29" s="27"/>
      <c r="GR29" s="27"/>
      <c r="GS29" s="27"/>
      <c r="GT29" s="27"/>
      <c r="GU29" s="27"/>
      <c r="GV29" s="27"/>
      <c r="GW29" s="27"/>
      <c r="GX29" s="27"/>
      <c r="GY29" s="27"/>
      <c r="GZ29" s="27"/>
      <c r="HA29" s="27"/>
      <c r="HB29" s="27"/>
      <c r="HC29" s="27"/>
      <c r="HD29" s="27"/>
      <c r="HE29" s="27"/>
      <c r="HF29" s="27"/>
      <c r="HG29" s="27"/>
      <c r="HH29" s="27"/>
      <c r="HI29" s="27"/>
      <c r="HJ29" s="27"/>
      <c r="HK29" s="27"/>
      <c r="HL29" s="27"/>
      <c r="HM29" s="27"/>
      <c r="HN29" s="27"/>
      <c r="HO29" s="27"/>
      <c r="HP29" s="27"/>
      <c r="HQ29" s="27"/>
      <c r="HR29" s="27"/>
      <c r="HS29" s="27"/>
      <c r="HT29" s="27"/>
      <c r="HU29" s="27"/>
      <c r="HV29" s="27"/>
      <c r="HW29" s="27"/>
      <c r="HX29" s="27"/>
      <c r="HY29" s="27"/>
      <c r="HZ29" s="27"/>
      <c r="IA29" s="27"/>
    </row>
    <row r="30" s="6" customFormat="true" ht="15" hidden="false" customHeight="false" outlineLevel="0" collapsed="false">
      <c r="A30" s="17"/>
      <c r="B30" s="18" t="s">
        <v>23</v>
      </c>
      <c r="C30" s="29"/>
      <c r="D30" s="29"/>
      <c r="E30" s="61"/>
      <c r="F30" s="29"/>
      <c r="G30" s="34"/>
      <c r="H30" s="29"/>
      <c r="I30" s="29"/>
      <c r="J30" s="29"/>
      <c r="K30" s="53"/>
      <c r="L30" s="36"/>
      <c r="M30" s="19" t="n">
        <v>-5</v>
      </c>
      <c r="N30" s="37"/>
      <c r="O30" s="30" t="n">
        <f aca="false">N30*J30</f>
        <v>0</v>
      </c>
      <c r="Q30" s="46"/>
      <c r="S30" s="27"/>
      <c r="T30" s="27"/>
      <c r="U30" s="27"/>
      <c r="V30" s="27"/>
      <c r="W30" s="27"/>
      <c r="X30" s="27"/>
      <c r="Y30" s="27"/>
      <c r="Z30" s="27"/>
      <c r="AA30" s="27"/>
      <c r="AB30" s="27"/>
      <c r="AC30" s="27"/>
      <c r="AD30" s="27"/>
      <c r="AE30" s="27"/>
      <c r="AF30" s="27"/>
      <c r="AG30" s="27"/>
      <c r="AH30" s="27"/>
      <c r="AI30" s="27"/>
      <c r="AJ30" s="27"/>
      <c r="AK30" s="27"/>
      <c r="AL30" s="27"/>
      <c r="AM30" s="27"/>
      <c r="AN30" s="27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  <c r="BG30" s="27"/>
      <c r="BH30" s="27"/>
      <c r="BI30" s="27"/>
      <c r="BJ30" s="27"/>
      <c r="BK30" s="27"/>
      <c r="BL30" s="27"/>
      <c r="BM30" s="27"/>
      <c r="BN30" s="27"/>
      <c r="BO30" s="27"/>
      <c r="BP30" s="27"/>
      <c r="BQ30" s="27"/>
      <c r="BR30" s="27"/>
      <c r="BS30" s="27"/>
      <c r="BT30" s="27"/>
      <c r="BU30" s="27"/>
      <c r="BV30" s="27"/>
      <c r="BW30" s="27"/>
      <c r="BX30" s="27"/>
      <c r="BY30" s="27"/>
      <c r="BZ30" s="27"/>
      <c r="CA30" s="27"/>
      <c r="CB30" s="27"/>
      <c r="CC30" s="27"/>
      <c r="CD30" s="27"/>
      <c r="CE30" s="27"/>
      <c r="CF30" s="27"/>
      <c r="CG30" s="27"/>
      <c r="CH30" s="27"/>
      <c r="CI30" s="27"/>
      <c r="CJ30" s="27"/>
      <c r="CK30" s="27"/>
      <c r="CL30" s="27"/>
      <c r="CM30" s="27"/>
      <c r="CN30" s="27"/>
      <c r="CO30" s="27"/>
      <c r="CP30" s="27"/>
      <c r="CQ30" s="27"/>
      <c r="CR30" s="27"/>
      <c r="CS30" s="27"/>
      <c r="CT30" s="27"/>
      <c r="CU30" s="27"/>
      <c r="CV30" s="27"/>
      <c r="CW30" s="27"/>
      <c r="CX30" s="27"/>
      <c r="CY30" s="27"/>
      <c r="CZ30" s="27"/>
      <c r="DA30" s="27"/>
      <c r="DB30" s="27"/>
      <c r="DC30" s="27"/>
      <c r="DD30" s="27"/>
      <c r="DE30" s="27"/>
      <c r="DF30" s="27"/>
      <c r="DG30" s="27"/>
      <c r="DH30" s="27"/>
      <c r="DI30" s="27"/>
      <c r="DJ30" s="27"/>
      <c r="DK30" s="27"/>
      <c r="DL30" s="27"/>
      <c r="DM30" s="27"/>
      <c r="DN30" s="27"/>
      <c r="DO30" s="27"/>
      <c r="DP30" s="27"/>
      <c r="DQ30" s="27"/>
      <c r="DR30" s="27"/>
      <c r="DS30" s="27"/>
      <c r="DT30" s="27"/>
      <c r="DU30" s="27"/>
      <c r="DV30" s="27"/>
      <c r="DW30" s="27"/>
      <c r="DX30" s="27"/>
      <c r="DY30" s="27"/>
      <c r="DZ30" s="27"/>
      <c r="EA30" s="27"/>
      <c r="EB30" s="27"/>
      <c r="EC30" s="27"/>
      <c r="ED30" s="27"/>
      <c r="EE30" s="27"/>
      <c r="EF30" s="27"/>
      <c r="EG30" s="27"/>
      <c r="EH30" s="27"/>
      <c r="EI30" s="27"/>
      <c r="EJ30" s="27"/>
      <c r="EK30" s="27"/>
      <c r="EL30" s="27"/>
      <c r="EM30" s="27"/>
      <c r="EN30" s="27"/>
      <c r="EO30" s="27"/>
      <c r="EP30" s="27"/>
      <c r="EQ30" s="27"/>
      <c r="ER30" s="27"/>
      <c r="ES30" s="27"/>
      <c r="ET30" s="27"/>
      <c r="EU30" s="27"/>
      <c r="EV30" s="27"/>
      <c r="EW30" s="27"/>
      <c r="EX30" s="27"/>
      <c r="EY30" s="27"/>
      <c r="EZ30" s="27"/>
      <c r="FA30" s="27"/>
      <c r="FB30" s="27"/>
      <c r="FC30" s="27"/>
      <c r="FD30" s="27"/>
      <c r="FE30" s="27"/>
      <c r="FF30" s="27"/>
      <c r="FG30" s="27"/>
      <c r="FH30" s="27"/>
      <c r="FI30" s="27"/>
      <c r="FJ30" s="27"/>
      <c r="FK30" s="27"/>
      <c r="FL30" s="27"/>
      <c r="FM30" s="27"/>
      <c r="FN30" s="27"/>
      <c r="FO30" s="27"/>
      <c r="FP30" s="27"/>
      <c r="FQ30" s="27"/>
      <c r="FR30" s="27"/>
      <c r="FS30" s="27"/>
      <c r="FT30" s="27"/>
      <c r="FU30" s="27"/>
      <c r="FV30" s="27"/>
      <c r="FW30" s="27"/>
      <c r="FX30" s="27"/>
      <c r="FY30" s="27"/>
      <c r="FZ30" s="27"/>
      <c r="GA30" s="27"/>
      <c r="GB30" s="27"/>
      <c r="GC30" s="27"/>
      <c r="GD30" s="27"/>
      <c r="GE30" s="27"/>
      <c r="GF30" s="27"/>
      <c r="GG30" s="27"/>
      <c r="GH30" s="27"/>
      <c r="GI30" s="27"/>
      <c r="GJ30" s="27"/>
      <c r="GK30" s="27"/>
      <c r="GL30" s="27"/>
      <c r="GM30" s="27"/>
      <c r="GN30" s="27"/>
      <c r="GO30" s="27"/>
      <c r="GP30" s="27"/>
      <c r="GQ30" s="27"/>
      <c r="GR30" s="27"/>
      <c r="GS30" s="27"/>
      <c r="GT30" s="27"/>
      <c r="GU30" s="27"/>
      <c r="GV30" s="27"/>
      <c r="GW30" s="27"/>
      <c r="GX30" s="27"/>
      <c r="GY30" s="27"/>
      <c r="GZ30" s="27"/>
      <c r="HA30" s="27"/>
      <c r="HB30" s="27"/>
      <c r="HC30" s="27"/>
      <c r="HD30" s="27"/>
      <c r="HE30" s="27"/>
      <c r="HF30" s="27"/>
      <c r="HG30" s="27"/>
      <c r="HH30" s="27"/>
      <c r="HI30" s="27"/>
      <c r="HJ30" s="27"/>
      <c r="HK30" s="27"/>
      <c r="HL30" s="27"/>
      <c r="HM30" s="27"/>
      <c r="HN30" s="27"/>
      <c r="HO30" s="27"/>
      <c r="HP30" s="27"/>
      <c r="HQ30" s="27"/>
      <c r="HR30" s="27"/>
      <c r="HS30" s="27"/>
      <c r="HT30" s="27"/>
      <c r="HU30" s="27"/>
      <c r="HV30" s="27"/>
      <c r="HW30" s="27"/>
      <c r="HX30" s="27"/>
      <c r="HY30" s="27"/>
      <c r="HZ30" s="27"/>
      <c r="IA30" s="27"/>
    </row>
    <row r="31" s="6" customFormat="true" ht="15" hidden="false" customHeight="false" outlineLevel="0" collapsed="false">
      <c r="A31" s="17"/>
      <c r="B31" s="18" t="s">
        <v>23</v>
      </c>
      <c r="C31" s="29"/>
      <c r="D31" s="29"/>
      <c r="E31" s="61"/>
      <c r="F31" s="29"/>
      <c r="G31" s="34"/>
      <c r="H31" s="29"/>
      <c r="I31" s="29"/>
      <c r="J31" s="29"/>
      <c r="K31" s="53"/>
      <c r="L31" s="36"/>
      <c r="M31" s="19" t="n">
        <v>-4</v>
      </c>
      <c r="N31" s="37"/>
      <c r="O31" s="30" t="n">
        <f aca="false">N31*J31</f>
        <v>0</v>
      </c>
      <c r="Q31" s="46"/>
      <c r="S31" s="27"/>
      <c r="T31" s="27"/>
      <c r="U31" s="27"/>
      <c r="V31" s="27"/>
      <c r="W31" s="27"/>
      <c r="X31" s="27"/>
      <c r="Y31" s="27"/>
      <c r="Z31" s="27"/>
      <c r="AA31" s="27"/>
      <c r="AB31" s="27"/>
      <c r="AC31" s="27"/>
      <c r="AD31" s="27"/>
      <c r="AE31" s="27"/>
      <c r="AF31" s="27"/>
      <c r="AG31" s="27"/>
      <c r="AH31" s="27"/>
      <c r="AI31" s="27"/>
      <c r="AJ31" s="27"/>
      <c r="AK31" s="27"/>
      <c r="AL31" s="27"/>
      <c r="AM31" s="27"/>
      <c r="AN31" s="27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  <c r="BG31" s="27"/>
      <c r="BH31" s="27"/>
      <c r="BI31" s="27"/>
      <c r="BJ31" s="27"/>
      <c r="BK31" s="27"/>
      <c r="BL31" s="27"/>
      <c r="BM31" s="27"/>
      <c r="BN31" s="27"/>
      <c r="BO31" s="27"/>
      <c r="BP31" s="27"/>
      <c r="BQ31" s="27"/>
      <c r="BR31" s="27"/>
      <c r="BS31" s="27"/>
      <c r="BT31" s="27"/>
      <c r="BU31" s="27"/>
      <c r="BV31" s="27"/>
      <c r="BW31" s="27"/>
      <c r="BX31" s="27"/>
      <c r="BY31" s="27"/>
      <c r="BZ31" s="27"/>
      <c r="CA31" s="27"/>
      <c r="CB31" s="27"/>
      <c r="CC31" s="27"/>
      <c r="CD31" s="27"/>
      <c r="CE31" s="27"/>
      <c r="CF31" s="27"/>
      <c r="CG31" s="27"/>
      <c r="CH31" s="27"/>
      <c r="CI31" s="27"/>
      <c r="CJ31" s="27"/>
      <c r="CK31" s="27"/>
      <c r="CL31" s="27"/>
      <c r="CM31" s="27"/>
      <c r="CN31" s="27"/>
      <c r="CO31" s="27"/>
      <c r="CP31" s="27"/>
      <c r="CQ31" s="27"/>
      <c r="CR31" s="27"/>
      <c r="CS31" s="27"/>
      <c r="CT31" s="27"/>
      <c r="CU31" s="27"/>
      <c r="CV31" s="27"/>
      <c r="CW31" s="27"/>
      <c r="CX31" s="27"/>
      <c r="CY31" s="27"/>
      <c r="CZ31" s="27"/>
      <c r="DA31" s="27"/>
      <c r="DB31" s="27"/>
      <c r="DC31" s="27"/>
      <c r="DD31" s="27"/>
      <c r="DE31" s="27"/>
      <c r="DF31" s="27"/>
      <c r="DG31" s="27"/>
      <c r="DH31" s="27"/>
      <c r="DI31" s="27"/>
      <c r="DJ31" s="27"/>
      <c r="DK31" s="27"/>
      <c r="DL31" s="27"/>
      <c r="DM31" s="27"/>
      <c r="DN31" s="27"/>
      <c r="DO31" s="27"/>
      <c r="DP31" s="27"/>
      <c r="DQ31" s="27"/>
      <c r="DR31" s="27"/>
      <c r="DS31" s="27"/>
      <c r="DT31" s="27"/>
      <c r="DU31" s="27"/>
      <c r="DV31" s="27"/>
      <c r="DW31" s="27"/>
      <c r="DX31" s="27"/>
      <c r="DY31" s="27"/>
      <c r="DZ31" s="27"/>
      <c r="EA31" s="27"/>
      <c r="EB31" s="27"/>
      <c r="EC31" s="27"/>
      <c r="ED31" s="27"/>
      <c r="EE31" s="27"/>
      <c r="EF31" s="27"/>
      <c r="EG31" s="27"/>
      <c r="EH31" s="27"/>
      <c r="EI31" s="27"/>
      <c r="EJ31" s="27"/>
      <c r="EK31" s="27"/>
      <c r="EL31" s="27"/>
      <c r="EM31" s="27"/>
      <c r="EN31" s="27"/>
      <c r="EO31" s="27"/>
      <c r="EP31" s="27"/>
      <c r="EQ31" s="27"/>
      <c r="ER31" s="27"/>
      <c r="ES31" s="27"/>
      <c r="ET31" s="27"/>
      <c r="EU31" s="27"/>
      <c r="EV31" s="27"/>
      <c r="EW31" s="27"/>
      <c r="EX31" s="27"/>
      <c r="EY31" s="27"/>
      <c r="EZ31" s="27"/>
      <c r="FA31" s="27"/>
      <c r="FB31" s="27"/>
      <c r="FC31" s="27"/>
      <c r="FD31" s="27"/>
      <c r="FE31" s="27"/>
      <c r="FF31" s="27"/>
      <c r="FG31" s="27"/>
      <c r="FH31" s="27"/>
      <c r="FI31" s="27"/>
      <c r="FJ31" s="27"/>
      <c r="FK31" s="27"/>
      <c r="FL31" s="27"/>
      <c r="FM31" s="27"/>
      <c r="FN31" s="27"/>
      <c r="FO31" s="27"/>
      <c r="FP31" s="27"/>
      <c r="FQ31" s="27"/>
      <c r="FR31" s="27"/>
      <c r="FS31" s="27"/>
      <c r="FT31" s="27"/>
      <c r="FU31" s="27"/>
      <c r="FV31" s="27"/>
      <c r="FW31" s="27"/>
      <c r="FX31" s="27"/>
      <c r="FY31" s="27"/>
      <c r="FZ31" s="27"/>
      <c r="GA31" s="27"/>
      <c r="GB31" s="27"/>
      <c r="GC31" s="27"/>
      <c r="GD31" s="27"/>
      <c r="GE31" s="27"/>
      <c r="GF31" s="27"/>
      <c r="GG31" s="27"/>
      <c r="GH31" s="27"/>
      <c r="GI31" s="27"/>
      <c r="GJ31" s="27"/>
      <c r="GK31" s="27"/>
      <c r="GL31" s="27"/>
      <c r="GM31" s="27"/>
      <c r="GN31" s="27"/>
      <c r="GO31" s="27"/>
      <c r="GP31" s="27"/>
      <c r="GQ31" s="27"/>
      <c r="GR31" s="27"/>
      <c r="GS31" s="27"/>
      <c r="GT31" s="27"/>
      <c r="GU31" s="27"/>
      <c r="GV31" s="27"/>
      <c r="GW31" s="27"/>
      <c r="GX31" s="27"/>
      <c r="GY31" s="27"/>
      <c r="GZ31" s="27"/>
      <c r="HA31" s="27"/>
      <c r="HB31" s="27"/>
      <c r="HC31" s="27"/>
      <c r="HD31" s="27"/>
      <c r="HE31" s="27"/>
      <c r="HF31" s="27"/>
      <c r="HG31" s="27"/>
      <c r="HH31" s="27"/>
      <c r="HI31" s="27"/>
      <c r="HJ31" s="27"/>
      <c r="HK31" s="27"/>
      <c r="HL31" s="27"/>
      <c r="HM31" s="27"/>
      <c r="HN31" s="27"/>
      <c r="HO31" s="27"/>
      <c r="HP31" s="27"/>
      <c r="HQ31" s="27"/>
      <c r="HR31" s="27"/>
      <c r="HS31" s="27"/>
      <c r="HT31" s="27"/>
      <c r="HU31" s="27"/>
      <c r="HV31" s="27"/>
      <c r="HW31" s="27"/>
      <c r="HX31" s="27"/>
      <c r="HY31" s="27"/>
      <c r="HZ31" s="27"/>
      <c r="IA31" s="27"/>
    </row>
    <row r="32" s="6" customFormat="true" ht="15" hidden="false" customHeight="false" outlineLevel="0" collapsed="false">
      <c r="A32" s="17"/>
      <c r="B32" s="18" t="s">
        <v>23</v>
      </c>
      <c r="C32" s="29"/>
      <c r="D32" s="29"/>
      <c r="E32" s="61"/>
      <c r="F32" s="29"/>
      <c r="G32" s="34"/>
      <c r="H32" s="29"/>
      <c r="I32" s="29"/>
      <c r="J32" s="29"/>
      <c r="K32" s="53"/>
      <c r="L32" s="36"/>
      <c r="M32" s="19" t="n">
        <v>-3</v>
      </c>
      <c r="N32" s="37"/>
      <c r="O32" s="30" t="n">
        <f aca="false">N32*J32</f>
        <v>0</v>
      </c>
      <c r="Q32" s="46"/>
      <c r="S32" s="27"/>
      <c r="T32" s="27"/>
      <c r="U32" s="27"/>
      <c r="V32" s="27"/>
      <c r="W32" s="27"/>
      <c r="X32" s="27"/>
      <c r="Y32" s="27"/>
      <c r="Z32" s="27"/>
      <c r="AA32" s="27"/>
      <c r="AB32" s="27"/>
      <c r="AC32" s="27"/>
      <c r="AD32" s="27"/>
      <c r="AE32" s="27"/>
      <c r="AF32" s="27"/>
      <c r="AG32" s="27"/>
      <c r="AH32" s="27"/>
      <c r="AI32" s="27"/>
      <c r="AJ32" s="27"/>
      <c r="AK32" s="27"/>
      <c r="AL32" s="27"/>
      <c r="AM32" s="27"/>
      <c r="AN32" s="27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  <c r="BG32" s="27"/>
      <c r="BH32" s="27"/>
      <c r="BI32" s="27"/>
      <c r="BJ32" s="27"/>
      <c r="BK32" s="27"/>
      <c r="BL32" s="27"/>
      <c r="BM32" s="27"/>
      <c r="BN32" s="27"/>
      <c r="BO32" s="27"/>
      <c r="BP32" s="27"/>
      <c r="BQ32" s="27"/>
      <c r="BR32" s="27"/>
      <c r="BS32" s="27"/>
      <c r="BT32" s="27"/>
      <c r="BU32" s="27"/>
      <c r="BV32" s="27"/>
      <c r="BW32" s="27"/>
      <c r="BX32" s="27"/>
      <c r="BY32" s="27"/>
      <c r="BZ32" s="27"/>
      <c r="CA32" s="27"/>
      <c r="CB32" s="27"/>
      <c r="CC32" s="27"/>
      <c r="CD32" s="27"/>
      <c r="CE32" s="27"/>
      <c r="CF32" s="27"/>
      <c r="CG32" s="27"/>
      <c r="CH32" s="27"/>
      <c r="CI32" s="27"/>
      <c r="CJ32" s="27"/>
      <c r="CK32" s="27"/>
      <c r="CL32" s="27"/>
      <c r="CM32" s="27"/>
      <c r="CN32" s="27"/>
      <c r="CO32" s="27"/>
      <c r="CP32" s="27"/>
      <c r="CQ32" s="27"/>
      <c r="CR32" s="27"/>
      <c r="CS32" s="27"/>
      <c r="CT32" s="27"/>
      <c r="CU32" s="27"/>
      <c r="CV32" s="27"/>
      <c r="CW32" s="27"/>
      <c r="CX32" s="27"/>
      <c r="CY32" s="27"/>
      <c r="CZ32" s="27"/>
      <c r="DA32" s="27"/>
      <c r="DB32" s="27"/>
      <c r="DC32" s="27"/>
      <c r="DD32" s="27"/>
      <c r="DE32" s="27"/>
      <c r="DF32" s="27"/>
      <c r="DG32" s="27"/>
      <c r="DH32" s="27"/>
      <c r="DI32" s="27"/>
      <c r="DJ32" s="27"/>
      <c r="DK32" s="27"/>
      <c r="DL32" s="27"/>
      <c r="DM32" s="27"/>
      <c r="DN32" s="27"/>
      <c r="DO32" s="27"/>
      <c r="DP32" s="27"/>
      <c r="DQ32" s="27"/>
      <c r="DR32" s="27"/>
      <c r="DS32" s="27"/>
      <c r="DT32" s="27"/>
      <c r="DU32" s="27"/>
      <c r="DV32" s="27"/>
      <c r="DW32" s="27"/>
      <c r="DX32" s="27"/>
      <c r="DY32" s="27"/>
      <c r="DZ32" s="27"/>
      <c r="EA32" s="27"/>
      <c r="EB32" s="27"/>
      <c r="EC32" s="27"/>
      <c r="ED32" s="27"/>
      <c r="EE32" s="27"/>
      <c r="EF32" s="27"/>
      <c r="EG32" s="27"/>
      <c r="EH32" s="27"/>
      <c r="EI32" s="27"/>
      <c r="EJ32" s="27"/>
      <c r="EK32" s="27"/>
      <c r="EL32" s="27"/>
      <c r="EM32" s="27"/>
      <c r="EN32" s="27"/>
      <c r="EO32" s="27"/>
      <c r="EP32" s="27"/>
      <c r="EQ32" s="27"/>
      <c r="ER32" s="27"/>
      <c r="ES32" s="27"/>
      <c r="ET32" s="27"/>
      <c r="EU32" s="27"/>
      <c r="EV32" s="27"/>
      <c r="EW32" s="27"/>
      <c r="EX32" s="27"/>
      <c r="EY32" s="27"/>
      <c r="EZ32" s="27"/>
      <c r="FA32" s="27"/>
      <c r="FB32" s="27"/>
      <c r="FC32" s="27"/>
      <c r="FD32" s="27"/>
      <c r="FE32" s="27"/>
      <c r="FF32" s="27"/>
      <c r="FG32" s="27"/>
      <c r="FH32" s="27"/>
      <c r="FI32" s="27"/>
      <c r="FJ32" s="27"/>
      <c r="FK32" s="27"/>
      <c r="FL32" s="27"/>
      <c r="FM32" s="27"/>
      <c r="FN32" s="27"/>
      <c r="FO32" s="27"/>
      <c r="FP32" s="27"/>
      <c r="FQ32" s="27"/>
      <c r="FR32" s="27"/>
      <c r="FS32" s="27"/>
      <c r="FT32" s="27"/>
      <c r="FU32" s="27"/>
      <c r="FV32" s="27"/>
      <c r="FW32" s="27"/>
      <c r="FX32" s="27"/>
      <c r="FY32" s="27"/>
      <c r="FZ32" s="27"/>
      <c r="GA32" s="27"/>
      <c r="GB32" s="27"/>
      <c r="GC32" s="27"/>
      <c r="GD32" s="27"/>
      <c r="GE32" s="27"/>
      <c r="GF32" s="27"/>
      <c r="GG32" s="27"/>
      <c r="GH32" s="27"/>
      <c r="GI32" s="27"/>
      <c r="GJ32" s="27"/>
      <c r="GK32" s="27"/>
      <c r="GL32" s="27"/>
      <c r="GM32" s="27"/>
      <c r="GN32" s="27"/>
      <c r="GO32" s="27"/>
      <c r="GP32" s="27"/>
      <c r="GQ32" s="27"/>
      <c r="GR32" s="27"/>
      <c r="GS32" s="27"/>
      <c r="GT32" s="27"/>
      <c r="GU32" s="27"/>
      <c r="GV32" s="27"/>
      <c r="GW32" s="27"/>
      <c r="GX32" s="27"/>
      <c r="GY32" s="27"/>
      <c r="GZ32" s="27"/>
      <c r="HA32" s="27"/>
      <c r="HB32" s="27"/>
      <c r="HC32" s="27"/>
      <c r="HD32" s="27"/>
      <c r="HE32" s="27"/>
      <c r="HF32" s="27"/>
      <c r="HG32" s="27"/>
      <c r="HH32" s="27"/>
      <c r="HI32" s="27"/>
      <c r="HJ32" s="27"/>
      <c r="HK32" s="27"/>
      <c r="HL32" s="27"/>
      <c r="HM32" s="27"/>
      <c r="HN32" s="27"/>
      <c r="HO32" s="27"/>
      <c r="HP32" s="27"/>
      <c r="HQ32" s="27"/>
      <c r="HR32" s="27"/>
      <c r="HS32" s="27"/>
      <c r="HT32" s="27"/>
      <c r="HU32" s="27"/>
      <c r="HV32" s="27"/>
      <c r="HW32" s="27"/>
      <c r="HX32" s="27"/>
      <c r="HY32" s="27"/>
      <c r="HZ32" s="27"/>
      <c r="IA32" s="27"/>
    </row>
    <row r="33" s="6" customFormat="true" ht="15" hidden="false" customHeight="false" outlineLevel="0" collapsed="false">
      <c r="A33" s="17"/>
      <c r="B33" s="18" t="s">
        <v>23</v>
      </c>
      <c r="C33" s="29"/>
      <c r="D33" s="29"/>
      <c r="E33" s="61"/>
      <c r="F33" s="29"/>
      <c r="G33" s="34"/>
      <c r="H33" s="29"/>
      <c r="I33" s="29"/>
      <c r="J33" s="29"/>
      <c r="K33" s="53"/>
      <c r="L33" s="36"/>
      <c r="M33" s="19" t="n">
        <v>-2</v>
      </c>
      <c r="N33" s="37"/>
      <c r="O33" s="30" t="n">
        <f aca="false">N33*J33</f>
        <v>0</v>
      </c>
      <c r="Q33" s="46"/>
      <c r="S33" s="27"/>
      <c r="T33" s="27"/>
      <c r="U33" s="27"/>
      <c r="V33" s="27"/>
      <c r="W33" s="27"/>
      <c r="X33" s="27"/>
      <c r="Y33" s="27"/>
      <c r="Z33" s="27"/>
      <c r="AA33" s="27"/>
      <c r="AB33" s="27"/>
      <c r="AC33" s="27"/>
      <c r="AD33" s="27"/>
      <c r="AE33" s="27"/>
      <c r="AF33" s="27"/>
      <c r="AG33" s="27"/>
      <c r="AH33" s="27"/>
      <c r="AI33" s="27"/>
      <c r="AJ33" s="27"/>
      <c r="AK33" s="27"/>
      <c r="AL33" s="27"/>
      <c r="AM33" s="27"/>
      <c r="AN33" s="27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  <c r="BG33" s="27"/>
      <c r="BH33" s="27"/>
      <c r="BI33" s="27"/>
      <c r="BJ33" s="27"/>
      <c r="BK33" s="27"/>
      <c r="BL33" s="27"/>
      <c r="BM33" s="27"/>
      <c r="BN33" s="27"/>
      <c r="BO33" s="27"/>
      <c r="BP33" s="27"/>
      <c r="BQ33" s="27"/>
      <c r="BR33" s="27"/>
      <c r="BS33" s="27"/>
      <c r="BT33" s="27"/>
      <c r="BU33" s="27"/>
      <c r="BV33" s="27"/>
      <c r="BW33" s="27"/>
      <c r="BX33" s="27"/>
      <c r="BY33" s="27"/>
      <c r="BZ33" s="27"/>
      <c r="CA33" s="27"/>
      <c r="CB33" s="27"/>
      <c r="CC33" s="27"/>
      <c r="CD33" s="27"/>
      <c r="CE33" s="27"/>
      <c r="CF33" s="27"/>
      <c r="CG33" s="27"/>
      <c r="CH33" s="27"/>
      <c r="CI33" s="27"/>
      <c r="CJ33" s="27"/>
      <c r="CK33" s="27"/>
      <c r="CL33" s="27"/>
      <c r="CM33" s="27"/>
      <c r="CN33" s="27"/>
      <c r="CO33" s="27"/>
      <c r="CP33" s="27"/>
      <c r="CQ33" s="27"/>
      <c r="CR33" s="27"/>
      <c r="CS33" s="27"/>
      <c r="CT33" s="27"/>
      <c r="CU33" s="27"/>
      <c r="CV33" s="27"/>
      <c r="CW33" s="27"/>
      <c r="CX33" s="27"/>
      <c r="CY33" s="27"/>
      <c r="CZ33" s="27"/>
      <c r="DA33" s="27"/>
      <c r="DB33" s="27"/>
      <c r="DC33" s="27"/>
      <c r="DD33" s="27"/>
      <c r="DE33" s="27"/>
      <c r="DF33" s="27"/>
      <c r="DG33" s="27"/>
      <c r="DH33" s="27"/>
      <c r="DI33" s="27"/>
      <c r="DJ33" s="27"/>
      <c r="DK33" s="27"/>
      <c r="DL33" s="27"/>
      <c r="DM33" s="27"/>
      <c r="DN33" s="27"/>
      <c r="DO33" s="27"/>
      <c r="DP33" s="27"/>
      <c r="DQ33" s="27"/>
      <c r="DR33" s="27"/>
      <c r="DS33" s="27"/>
      <c r="DT33" s="27"/>
      <c r="DU33" s="27"/>
      <c r="DV33" s="27"/>
      <c r="DW33" s="27"/>
      <c r="DX33" s="27"/>
      <c r="DY33" s="27"/>
      <c r="DZ33" s="27"/>
      <c r="EA33" s="27"/>
      <c r="EB33" s="27"/>
      <c r="EC33" s="27"/>
      <c r="ED33" s="27"/>
      <c r="EE33" s="27"/>
      <c r="EF33" s="27"/>
      <c r="EG33" s="27"/>
      <c r="EH33" s="27"/>
      <c r="EI33" s="27"/>
      <c r="EJ33" s="27"/>
      <c r="EK33" s="27"/>
      <c r="EL33" s="27"/>
      <c r="EM33" s="27"/>
      <c r="EN33" s="27"/>
      <c r="EO33" s="27"/>
      <c r="EP33" s="27"/>
      <c r="EQ33" s="27"/>
      <c r="ER33" s="27"/>
      <c r="ES33" s="27"/>
      <c r="ET33" s="27"/>
      <c r="EU33" s="27"/>
      <c r="EV33" s="27"/>
      <c r="EW33" s="27"/>
      <c r="EX33" s="27"/>
      <c r="EY33" s="27"/>
      <c r="EZ33" s="27"/>
      <c r="FA33" s="27"/>
      <c r="FB33" s="27"/>
      <c r="FC33" s="27"/>
      <c r="FD33" s="27"/>
      <c r="FE33" s="27"/>
      <c r="FF33" s="27"/>
      <c r="FG33" s="27"/>
      <c r="FH33" s="27"/>
      <c r="FI33" s="27"/>
      <c r="FJ33" s="27"/>
      <c r="FK33" s="27"/>
      <c r="FL33" s="27"/>
      <c r="FM33" s="27"/>
      <c r="FN33" s="27"/>
      <c r="FO33" s="27"/>
      <c r="FP33" s="27"/>
      <c r="FQ33" s="27"/>
      <c r="FR33" s="27"/>
      <c r="FS33" s="27"/>
      <c r="FT33" s="27"/>
      <c r="FU33" s="27"/>
      <c r="FV33" s="27"/>
      <c r="FW33" s="27"/>
      <c r="FX33" s="27"/>
      <c r="FY33" s="27"/>
      <c r="FZ33" s="27"/>
      <c r="GA33" s="27"/>
      <c r="GB33" s="27"/>
      <c r="GC33" s="27"/>
      <c r="GD33" s="27"/>
      <c r="GE33" s="27"/>
      <c r="GF33" s="27"/>
      <c r="GG33" s="27"/>
      <c r="GH33" s="27"/>
      <c r="GI33" s="27"/>
      <c r="GJ33" s="27"/>
      <c r="GK33" s="27"/>
      <c r="GL33" s="27"/>
      <c r="GM33" s="27"/>
      <c r="GN33" s="27"/>
      <c r="GO33" s="27"/>
      <c r="GP33" s="27"/>
      <c r="GQ33" s="27"/>
      <c r="GR33" s="27"/>
      <c r="GS33" s="27"/>
      <c r="GT33" s="27"/>
      <c r="GU33" s="27"/>
      <c r="GV33" s="27"/>
      <c r="GW33" s="27"/>
      <c r="GX33" s="27"/>
      <c r="GY33" s="27"/>
      <c r="GZ33" s="27"/>
      <c r="HA33" s="27"/>
      <c r="HB33" s="27"/>
      <c r="HC33" s="27"/>
      <c r="HD33" s="27"/>
      <c r="HE33" s="27"/>
      <c r="HF33" s="27"/>
      <c r="HG33" s="27"/>
      <c r="HH33" s="27"/>
      <c r="HI33" s="27"/>
      <c r="HJ33" s="27"/>
      <c r="HK33" s="27"/>
      <c r="HL33" s="27"/>
      <c r="HM33" s="27"/>
      <c r="HN33" s="27"/>
      <c r="HO33" s="27"/>
      <c r="HP33" s="27"/>
      <c r="HQ33" s="27"/>
      <c r="HR33" s="27"/>
      <c r="HS33" s="27"/>
      <c r="HT33" s="27"/>
      <c r="HU33" s="27"/>
      <c r="HV33" s="27"/>
      <c r="HW33" s="27"/>
      <c r="HX33" s="27"/>
      <c r="HY33" s="27"/>
      <c r="HZ33" s="27"/>
      <c r="IA33" s="27"/>
    </row>
    <row r="34" s="6" customFormat="true" ht="15" hidden="false" customHeight="false" outlineLevel="0" collapsed="false">
      <c r="A34" s="17"/>
      <c r="B34" s="18" t="s">
        <v>23</v>
      </c>
      <c r="C34" s="29"/>
      <c r="D34" s="29"/>
      <c r="E34" s="61"/>
      <c r="F34" s="29"/>
      <c r="G34" s="34"/>
      <c r="H34" s="29"/>
      <c r="I34" s="29"/>
      <c r="J34" s="29"/>
      <c r="K34" s="53"/>
      <c r="L34" s="36"/>
      <c r="M34" s="19" t="n">
        <v>-1</v>
      </c>
      <c r="N34" s="37"/>
      <c r="O34" s="30" t="n">
        <f aca="false">N34*J34</f>
        <v>0</v>
      </c>
      <c r="Q34" s="46"/>
      <c r="S34" s="27"/>
      <c r="T34" s="27"/>
      <c r="U34" s="27"/>
      <c r="V34" s="27"/>
      <c r="W34" s="27"/>
      <c r="X34" s="27"/>
      <c r="Y34" s="27"/>
      <c r="Z34" s="27"/>
      <c r="AA34" s="27"/>
      <c r="AB34" s="27"/>
      <c r="AC34" s="27"/>
      <c r="AD34" s="27"/>
      <c r="AE34" s="27"/>
      <c r="AF34" s="27"/>
      <c r="AG34" s="27"/>
      <c r="AH34" s="27"/>
      <c r="AI34" s="27"/>
      <c r="AJ34" s="27"/>
      <c r="AK34" s="27"/>
      <c r="AL34" s="27"/>
      <c r="AM34" s="27"/>
      <c r="AN34" s="27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  <c r="BG34" s="27"/>
      <c r="BH34" s="27"/>
      <c r="BI34" s="27"/>
      <c r="BJ34" s="27"/>
      <c r="BK34" s="27"/>
      <c r="BL34" s="27"/>
      <c r="BM34" s="27"/>
      <c r="BN34" s="27"/>
      <c r="BO34" s="27"/>
      <c r="BP34" s="27"/>
      <c r="BQ34" s="27"/>
      <c r="BR34" s="27"/>
      <c r="BS34" s="27"/>
      <c r="BT34" s="27"/>
      <c r="BU34" s="27"/>
      <c r="BV34" s="27"/>
      <c r="BW34" s="27"/>
      <c r="BX34" s="27"/>
      <c r="BY34" s="27"/>
      <c r="BZ34" s="27"/>
      <c r="CA34" s="27"/>
      <c r="CB34" s="27"/>
      <c r="CC34" s="27"/>
      <c r="CD34" s="27"/>
      <c r="CE34" s="27"/>
      <c r="CF34" s="27"/>
      <c r="CG34" s="27"/>
      <c r="CH34" s="27"/>
      <c r="CI34" s="27"/>
      <c r="CJ34" s="27"/>
      <c r="CK34" s="27"/>
      <c r="CL34" s="27"/>
      <c r="CM34" s="27"/>
      <c r="CN34" s="27"/>
      <c r="CO34" s="27"/>
      <c r="CP34" s="27"/>
      <c r="CQ34" s="27"/>
      <c r="CR34" s="27"/>
      <c r="CS34" s="27"/>
      <c r="CT34" s="27"/>
      <c r="CU34" s="27"/>
      <c r="CV34" s="27"/>
      <c r="CW34" s="27"/>
      <c r="CX34" s="27"/>
      <c r="CY34" s="27"/>
      <c r="CZ34" s="27"/>
      <c r="DA34" s="27"/>
      <c r="DB34" s="27"/>
      <c r="DC34" s="27"/>
      <c r="DD34" s="27"/>
      <c r="DE34" s="27"/>
      <c r="DF34" s="27"/>
      <c r="DG34" s="27"/>
      <c r="DH34" s="27"/>
      <c r="DI34" s="27"/>
      <c r="DJ34" s="27"/>
      <c r="DK34" s="27"/>
      <c r="DL34" s="27"/>
      <c r="DM34" s="27"/>
      <c r="DN34" s="27"/>
      <c r="DO34" s="27"/>
      <c r="DP34" s="27"/>
      <c r="DQ34" s="27"/>
      <c r="DR34" s="27"/>
      <c r="DS34" s="27"/>
      <c r="DT34" s="27"/>
      <c r="DU34" s="27"/>
      <c r="DV34" s="27"/>
      <c r="DW34" s="27"/>
      <c r="DX34" s="27"/>
      <c r="DY34" s="27"/>
      <c r="DZ34" s="27"/>
      <c r="EA34" s="27"/>
      <c r="EB34" s="27"/>
      <c r="EC34" s="27"/>
      <c r="ED34" s="27"/>
      <c r="EE34" s="27"/>
      <c r="EF34" s="27"/>
      <c r="EG34" s="27"/>
      <c r="EH34" s="27"/>
      <c r="EI34" s="27"/>
      <c r="EJ34" s="27"/>
      <c r="EK34" s="27"/>
      <c r="EL34" s="27"/>
      <c r="EM34" s="27"/>
      <c r="EN34" s="27"/>
      <c r="EO34" s="27"/>
      <c r="EP34" s="27"/>
      <c r="EQ34" s="27"/>
      <c r="ER34" s="27"/>
      <c r="ES34" s="27"/>
      <c r="ET34" s="27"/>
      <c r="EU34" s="27"/>
      <c r="EV34" s="27"/>
      <c r="EW34" s="27"/>
      <c r="EX34" s="27"/>
      <c r="EY34" s="27"/>
      <c r="EZ34" s="27"/>
      <c r="FA34" s="27"/>
      <c r="FB34" s="27"/>
      <c r="FC34" s="27"/>
      <c r="FD34" s="27"/>
      <c r="FE34" s="27"/>
      <c r="FF34" s="27"/>
      <c r="FG34" s="27"/>
      <c r="FH34" s="27"/>
      <c r="FI34" s="27"/>
      <c r="FJ34" s="27"/>
      <c r="FK34" s="27"/>
      <c r="FL34" s="27"/>
      <c r="FM34" s="27"/>
      <c r="FN34" s="27"/>
      <c r="FO34" s="27"/>
      <c r="FP34" s="27"/>
      <c r="FQ34" s="27"/>
      <c r="FR34" s="27"/>
      <c r="FS34" s="27"/>
      <c r="FT34" s="27"/>
      <c r="FU34" s="27"/>
      <c r="FV34" s="27"/>
      <c r="FW34" s="27"/>
      <c r="FX34" s="27"/>
      <c r="FY34" s="27"/>
      <c r="FZ34" s="27"/>
      <c r="GA34" s="27"/>
      <c r="GB34" s="27"/>
      <c r="GC34" s="27"/>
      <c r="GD34" s="27"/>
      <c r="GE34" s="27"/>
      <c r="GF34" s="27"/>
      <c r="GG34" s="27"/>
      <c r="GH34" s="27"/>
      <c r="GI34" s="27"/>
      <c r="GJ34" s="27"/>
      <c r="GK34" s="27"/>
      <c r="GL34" s="27"/>
      <c r="GM34" s="27"/>
      <c r="GN34" s="27"/>
      <c r="GO34" s="27"/>
      <c r="GP34" s="27"/>
      <c r="GQ34" s="27"/>
      <c r="GR34" s="27"/>
      <c r="GS34" s="27"/>
      <c r="GT34" s="27"/>
      <c r="GU34" s="27"/>
      <c r="GV34" s="27"/>
      <c r="GW34" s="27"/>
      <c r="GX34" s="27"/>
      <c r="GY34" s="27"/>
      <c r="GZ34" s="27"/>
      <c r="HA34" s="27"/>
      <c r="HB34" s="27"/>
      <c r="HC34" s="27"/>
      <c r="HD34" s="27"/>
      <c r="HE34" s="27"/>
      <c r="HF34" s="27"/>
      <c r="HG34" s="27"/>
      <c r="HH34" s="27"/>
      <c r="HI34" s="27"/>
      <c r="HJ34" s="27"/>
      <c r="HK34" s="27"/>
      <c r="HL34" s="27"/>
      <c r="HM34" s="27"/>
      <c r="HN34" s="27"/>
      <c r="HO34" s="27"/>
      <c r="HP34" s="27"/>
      <c r="HQ34" s="27"/>
      <c r="HR34" s="27"/>
      <c r="HS34" s="27"/>
      <c r="HT34" s="27"/>
      <c r="HU34" s="27"/>
      <c r="HV34" s="27"/>
      <c r="HW34" s="27"/>
      <c r="HX34" s="27"/>
      <c r="HY34" s="27"/>
      <c r="HZ34" s="27"/>
      <c r="IA34" s="27"/>
    </row>
    <row r="35" s="6" customFormat="true" ht="15" hidden="false" customHeight="false" outlineLevel="0" collapsed="false">
      <c r="A35" s="17"/>
      <c r="B35" s="18" t="s">
        <v>23</v>
      </c>
      <c r="C35" s="29"/>
      <c r="D35" s="29"/>
      <c r="E35" s="61"/>
      <c r="F35" s="29"/>
      <c r="G35" s="34"/>
      <c r="H35" s="29"/>
      <c r="I35" s="29"/>
      <c r="J35" s="29"/>
      <c r="K35" s="53"/>
      <c r="L35" s="36"/>
      <c r="M35" s="19" t="n">
        <v>0</v>
      </c>
      <c r="N35" s="37"/>
      <c r="O35" s="30" t="n">
        <f aca="false">N35*J35</f>
        <v>0</v>
      </c>
      <c r="Q35" s="46"/>
      <c r="S35" s="27"/>
      <c r="T35" s="27"/>
      <c r="U35" s="27"/>
      <c r="V35" s="27"/>
      <c r="W35" s="27"/>
      <c r="X35" s="27"/>
      <c r="Y35" s="27"/>
      <c r="Z35" s="27"/>
      <c r="AA35" s="27"/>
      <c r="AB35" s="27"/>
      <c r="AC35" s="27"/>
      <c r="AD35" s="27"/>
      <c r="AE35" s="27"/>
      <c r="AF35" s="27"/>
      <c r="AG35" s="27"/>
      <c r="AH35" s="27"/>
      <c r="AI35" s="27"/>
      <c r="AJ35" s="27"/>
      <c r="AK35" s="27"/>
      <c r="AL35" s="27"/>
      <c r="AM35" s="27"/>
      <c r="AN35" s="27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  <c r="BG35" s="27"/>
      <c r="BH35" s="27"/>
      <c r="BI35" s="27"/>
      <c r="BJ35" s="27"/>
      <c r="BK35" s="27"/>
      <c r="BL35" s="27"/>
      <c r="BM35" s="27"/>
      <c r="BN35" s="27"/>
      <c r="BO35" s="27"/>
      <c r="BP35" s="27"/>
      <c r="BQ35" s="27"/>
      <c r="BR35" s="27"/>
      <c r="BS35" s="27"/>
      <c r="BT35" s="27"/>
      <c r="BU35" s="27"/>
      <c r="BV35" s="27"/>
      <c r="BW35" s="27"/>
      <c r="BX35" s="27"/>
      <c r="BY35" s="27"/>
      <c r="BZ35" s="27"/>
      <c r="CA35" s="27"/>
      <c r="CB35" s="27"/>
      <c r="CC35" s="27"/>
      <c r="CD35" s="27"/>
      <c r="CE35" s="27"/>
      <c r="CF35" s="27"/>
      <c r="CG35" s="27"/>
      <c r="CH35" s="27"/>
      <c r="CI35" s="27"/>
      <c r="CJ35" s="27"/>
      <c r="CK35" s="27"/>
      <c r="CL35" s="27"/>
      <c r="CM35" s="27"/>
      <c r="CN35" s="27"/>
      <c r="CO35" s="27"/>
      <c r="CP35" s="27"/>
      <c r="CQ35" s="27"/>
      <c r="CR35" s="27"/>
      <c r="CS35" s="27"/>
      <c r="CT35" s="27"/>
      <c r="CU35" s="27"/>
      <c r="CV35" s="27"/>
      <c r="CW35" s="27"/>
      <c r="CX35" s="27"/>
      <c r="CY35" s="27"/>
      <c r="CZ35" s="27"/>
      <c r="DA35" s="27"/>
      <c r="DB35" s="27"/>
      <c r="DC35" s="27"/>
      <c r="DD35" s="27"/>
      <c r="DE35" s="27"/>
      <c r="DF35" s="27"/>
      <c r="DG35" s="27"/>
      <c r="DH35" s="27"/>
      <c r="DI35" s="27"/>
      <c r="DJ35" s="27"/>
      <c r="DK35" s="27"/>
      <c r="DL35" s="27"/>
      <c r="DM35" s="27"/>
      <c r="DN35" s="27"/>
      <c r="DO35" s="27"/>
      <c r="DP35" s="27"/>
      <c r="DQ35" s="27"/>
      <c r="DR35" s="27"/>
      <c r="DS35" s="27"/>
      <c r="DT35" s="27"/>
      <c r="DU35" s="27"/>
      <c r="DV35" s="27"/>
      <c r="DW35" s="27"/>
      <c r="DX35" s="27"/>
      <c r="DY35" s="27"/>
      <c r="DZ35" s="27"/>
      <c r="EA35" s="27"/>
      <c r="EB35" s="27"/>
      <c r="EC35" s="27"/>
      <c r="ED35" s="27"/>
      <c r="EE35" s="27"/>
      <c r="EF35" s="27"/>
      <c r="EG35" s="27"/>
      <c r="EH35" s="27"/>
      <c r="EI35" s="27"/>
      <c r="EJ35" s="27"/>
      <c r="EK35" s="27"/>
      <c r="EL35" s="27"/>
      <c r="EM35" s="27"/>
      <c r="EN35" s="27"/>
      <c r="EO35" s="27"/>
      <c r="EP35" s="27"/>
      <c r="EQ35" s="27"/>
      <c r="ER35" s="27"/>
      <c r="ES35" s="27"/>
      <c r="ET35" s="27"/>
      <c r="EU35" s="27"/>
      <c r="EV35" s="27"/>
      <c r="EW35" s="27"/>
      <c r="EX35" s="27"/>
      <c r="EY35" s="27"/>
      <c r="EZ35" s="27"/>
      <c r="FA35" s="27"/>
      <c r="FB35" s="27"/>
      <c r="FC35" s="27"/>
      <c r="FD35" s="27"/>
      <c r="FE35" s="27"/>
      <c r="FF35" s="27"/>
      <c r="FG35" s="27"/>
      <c r="FH35" s="27"/>
      <c r="FI35" s="27"/>
      <c r="FJ35" s="27"/>
      <c r="FK35" s="27"/>
      <c r="FL35" s="27"/>
      <c r="FM35" s="27"/>
      <c r="FN35" s="27"/>
      <c r="FO35" s="27"/>
      <c r="FP35" s="27"/>
      <c r="FQ35" s="27"/>
      <c r="FR35" s="27"/>
      <c r="FS35" s="27"/>
      <c r="FT35" s="27"/>
      <c r="FU35" s="27"/>
      <c r="FV35" s="27"/>
      <c r="FW35" s="27"/>
      <c r="FX35" s="27"/>
      <c r="FY35" s="27"/>
      <c r="FZ35" s="27"/>
      <c r="GA35" s="27"/>
      <c r="GB35" s="27"/>
      <c r="GC35" s="27"/>
      <c r="GD35" s="27"/>
      <c r="GE35" s="27"/>
      <c r="GF35" s="27"/>
      <c r="GG35" s="27"/>
      <c r="GH35" s="27"/>
      <c r="GI35" s="27"/>
      <c r="GJ35" s="27"/>
      <c r="GK35" s="27"/>
      <c r="GL35" s="27"/>
      <c r="GM35" s="27"/>
      <c r="GN35" s="27"/>
      <c r="GO35" s="27"/>
      <c r="GP35" s="27"/>
      <c r="GQ35" s="27"/>
      <c r="GR35" s="27"/>
      <c r="GS35" s="27"/>
      <c r="GT35" s="27"/>
      <c r="GU35" s="27"/>
      <c r="GV35" s="27"/>
      <c r="GW35" s="27"/>
      <c r="GX35" s="27"/>
      <c r="GY35" s="27"/>
      <c r="GZ35" s="27"/>
      <c r="HA35" s="27"/>
      <c r="HB35" s="27"/>
      <c r="HC35" s="27"/>
      <c r="HD35" s="27"/>
      <c r="HE35" s="27"/>
      <c r="HF35" s="27"/>
      <c r="HG35" s="27"/>
      <c r="HH35" s="27"/>
      <c r="HI35" s="27"/>
      <c r="HJ35" s="27"/>
      <c r="HK35" s="27"/>
      <c r="HL35" s="27"/>
      <c r="HM35" s="27"/>
      <c r="HN35" s="27"/>
      <c r="HO35" s="27"/>
      <c r="HP35" s="27"/>
      <c r="HQ35" s="27"/>
      <c r="HR35" s="27"/>
      <c r="HS35" s="27"/>
      <c r="HT35" s="27"/>
      <c r="HU35" s="27"/>
      <c r="HV35" s="27"/>
      <c r="HW35" s="27"/>
      <c r="HX35" s="27"/>
      <c r="HY35" s="27"/>
      <c r="HZ35" s="27"/>
      <c r="IA35" s="27"/>
    </row>
    <row r="36" s="6" customFormat="true" ht="15" hidden="false" customHeight="false" outlineLevel="0" collapsed="false">
      <c r="A36" s="33"/>
      <c r="B36" s="18" t="s">
        <v>23</v>
      </c>
      <c r="C36" s="29"/>
      <c r="D36" s="29"/>
      <c r="E36" s="20"/>
      <c r="F36" s="29"/>
      <c r="G36" s="34"/>
      <c r="H36" s="52"/>
      <c r="I36" s="53"/>
      <c r="J36" s="29"/>
      <c r="K36" s="29"/>
      <c r="L36" s="36"/>
      <c r="M36" s="29"/>
      <c r="N36" s="37"/>
      <c r="O36" s="30" t="n">
        <f aca="false">N36*J36</f>
        <v>0</v>
      </c>
      <c r="Q36" s="46"/>
      <c r="S36" s="27"/>
      <c r="T36" s="27"/>
      <c r="U36" s="27"/>
      <c r="V36" s="27"/>
      <c r="W36" s="27"/>
      <c r="X36" s="27"/>
      <c r="Y36" s="27"/>
      <c r="Z36" s="27"/>
      <c r="AA36" s="27"/>
      <c r="AB36" s="27"/>
      <c r="AC36" s="27"/>
      <c r="AD36" s="27"/>
      <c r="AE36" s="27"/>
      <c r="AF36" s="27"/>
      <c r="AG36" s="27"/>
      <c r="AH36" s="27"/>
      <c r="AI36" s="27"/>
      <c r="AJ36" s="27"/>
      <c r="AK36" s="27"/>
      <c r="AL36" s="27"/>
      <c r="AM36" s="27"/>
      <c r="AN36" s="27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  <c r="BG36" s="27"/>
      <c r="BH36" s="27"/>
      <c r="BI36" s="27"/>
      <c r="BJ36" s="27"/>
      <c r="BK36" s="27"/>
      <c r="BL36" s="27"/>
      <c r="BM36" s="27"/>
      <c r="BN36" s="27"/>
      <c r="BO36" s="27"/>
      <c r="BP36" s="27"/>
      <c r="BQ36" s="27"/>
      <c r="BR36" s="27"/>
      <c r="BS36" s="27"/>
      <c r="BT36" s="27"/>
      <c r="BU36" s="27"/>
      <c r="BV36" s="27"/>
      <c r="BW36" s="27"/>
      <c r="BX36" s="27"/>
      <c r="BY36" s="27"/>
      <c r="BZ36" s="27"/>
      <c r="CA36" s="27"/>
      <c r="CB36" s="27"/>
      <c r="CC36" s="27"/>
      <c r="CD36" s="27"/>
      <c r="CE36" s="27"/>
      <c r="CF36" s="27"/>
      <c r="CG36" s="27"/>
      <c r="CH36" s="27"/>
      <c r="CI36" s="27"/>
      <c r="CJ36" s="27"/>
      <c r="CK36" s="27"/>
      <c r="CL36" s="27"/>
      <c r="CM36" s="27"/>
      <c r="CN36" s="27"/>
      <c r="CO36" s="27"/>
      <c r="CP36" s="27"/>
      <c r="CQ36" s="27"/>
      <c r="CR36" s="27"/>
      <c r="CS36" s="27"/>
      <c r="CT36" s="27"/>
      <c r="CU36" s="27"/>
      <c r="CV36" s="27"/>
      <c r="CW36" s="27"/>
      <c r="CX36" s="27"/>
      <c r="CY36" s="27"/>
      <c r="CZ36" s="27"/>
      <c r="DA36" s="27"/>
      <c r="DB36" s="27"/>
      <c r="DC36" s="27"/>
      <c r="DD36" s="27"/>
      <c r="DE36" s="27"/>
      <c r="DF36" s="27"/>
      <c r="DG36" s="27"/>
      <c r="DH36" s="27"/>
      <c r="DI36" s="27"/>
      <c r="DJ36" s="27"/>
      <c r="DK36" s="27"/>
      <c r="DL36" s="27"/>
      <c r="DM36" s="27"/>
      <c r="DN36" s="27"/>
      <c r="DO36" s="27"/>
      <c r="DP36" s="27"/>
      <c r="DQ36" s="27"/>
      <c r="DR36" s="27"/>
      <c r="DS36" s="27"/>
      <c r="DT36" s="27"/>
      <c r="DU36" s="27"/>
      <c r="DV36" s="27"/>
      <c r="DW36" s="27"/>
      <c r="DX36" s="27"/>
      <c r="DY36" s="27"/>
      <c r="DZ36" s="27"/>
      <c r="EA36" s="27"/>
      <c r="EB36" s="27"/>
      <c r="EC36" s="27"/>
      <c r="ED36" s="27"/>
      <c r="EE36" s="27"/>
      <c r="EF36" s="27"/>
      <c r="EG36" s="27"/>
      <c r="EH36" s="27"/>
      <c r="EI36" s="27"/>
      <c r="EJ36" s="27"/>
      <c r="EK36" s="27"/>
      <c r="EL36" s="27"/>
      <c r="EM36" s="27"/>
      <c r="EN36" s="27"/>
      <c r="EO36" s="27"/>
      <c r="EP36" s="27"/>
      <c r="EQ36" s="27"/>
      <c r="ER36" s="27"/>
      <c r="ES36" s="27"/>
      <c r="ET36" s="27"/>
      <c r="EU36" s="27"/>
      <c r="EV36" s="27"/>
      <c r="EW36" s="27"/>
      <c r="EX36" s="27"/>
      <c r="EY36" s="27"/>
      <c r="EZ36" s="27"/>
      <c r="FA36" s="27"/>
      <c r="FB36" s="27"/>
      <c r="FC36" s="27"/>
      <c r="FD36" s="27"/>
      <c r="FE36" s="27"/>
      <c r="FF36" s="27"/>
      <c r="FG36" s="27"/>
      <c r="FH36" s="27"/>
      <c r="FI36" s="27"/>
      <c r="FJ36" s="27"/>
      <c r="FK36" s="27"/>
      <c r="FL36" s="27"/>
      <c r="FM36" s="27"/>
      <c r="FN36" s="27"/>
      <c r="FO36" s="27"/>
      <c r="FP36" s="27"/>
      <c r="FQ36" s="27"/>
      <c r="FR36" s="27"/>
      <c r="FS36" s="27"/>
      <c r="FT36" s="27"/>
      <c r="FU36" s="27"/>
      <c r="FV36" s="27"/>
      <c r="FW36" s="27"/>
      <c r="FX36" s="27"/>
      <c r="FY36" s="27"/>
      <c r="FZ36" s="27"/>
      <c r="GA36" s="27"/>
      <c r="GB36" s="27"/>
      <c r="GC36" s="27"/>
      <c r="GD36" s="27"/>
      <c r="GE36" s="27"/>
      <c r="GF36" s="27"/>
      <c r="GG36" s="27"/>
      <c r="GH36" s="27"/>
      <c r="GI36" s="27"/>
      <c r="GJ36" s="27"/>
      <c r="GK36" s="27"/>
      <c r="GL36" s="27"/>
      <c r="GM36" s="27"/>
      <c r="GN36" s="27"/>
      <c r="GO36" s="27"/>
      <c r="GP36" s="27"/>
      <c r="GQ36" s="27"/>
      <c r="GR36" s="27"/>
      <c r="GS36" s="27"/>
      <c r="GT36" s="27"/>
      <c r="GU36" s="27"/>
      <c r="GV36" s="27"/>
      <c r="GW36" s="27"/>
      <c r="GX36" s="27"/>
      <c r="GY36" s="27"/>
      <c r="GZ36" s="27"/>
      <c r="HA36" s="27"/>
      <c r="HB36" s="27"/>
      <c r="HC36" s="27"/>
      <c r="HD36" s="27"/>
      <c r="HE36" s="27"/>
      <c r="HF36" s="27"/>
      <c r="HG36" s="27"/>
      <c r="HH36" s="27"/>
      <c r="HI36" s="27"/>
      <c r="HJ36" s="27"/>
      <c r="HK36" s="27"/>
      <c r="HL36" s="27"/>
      <c r="HM36" s="27"/>
      <c r="HN36" s="27"/>
      <c r="HO36" s="27"/>
      <c r="HP36" s="27"/>
      <c r="HQ36" s="27"/>
      <c r="HR36" s="27"/>
      <c r="HS36" s="27"/>
      <c r="HT36" s="27"/>
      <c r="HU36" s="27"/>
      <c r="HV36" s="27"/>
      <c r="HW36" s="27"/>
      <c r="HX36" s="27"/>
      <c r="HY36" s="27"/>
      <c r="HZ36" s="27"/>
      <c r="IA36" s="27"/>
    </row>
    <row r="37" s="6" customFormat="true" ht="15" hidden="false" customHeight="false" outlineLevel="0" collapsed="false">
      <c r="A37" s="33"/>
      <c r="B37" s="18" t="s">
        <v>23</v>
      </c>
      <c r="C37" s="29"/>
      <c r="D37" s="29"/>
      <c r="E37" s="20"/>
      <c r="F37" s="29"/>
      <c r="G37" s="34"/>
      <c r="H37" s="52"/>
      <c r="I37" s="53"/>
      <c r="J37" s="29"/>
      <c r="K37" s="29"/>
      <c r="L37" s="36"/>
      <c r="M37" s="29"/>
      <c r="N37" s="37"/>
      <c r="O37" s="30" t="n">
        <f aca="false">N37*J37</f>
        <v>0</v>
      </c>
      <c r="Q37" s="46"/>
      <c r="S37" s="27"/>
      <c r="T37" s="27"/>
      <c r="U37" s="27"/>
      <c r="V37" s="27"/>
      <c r="W37" s="27"/>
      <c r="X37" s="27"/>
      <c r="Y37" s="27"/>
      <c r="Z37" s="27"/>
      <c r="AA37" s="27"/>
      <c r="AB37" s="27"/>
      <c r="AC37" s="27"/>
      <c r="AD37" s="27"/>
      <c r="AE37" s="27"/>
      <c r="AF37" s="27"/>
      <c r="AG37" s="27"/>
      <c r="AH37" s="27"/>
      <c r="AI37" s="27"/>
      <c r="AJ37" s="27"/>
      <c r="AK37" s="27"/>
      <c r="AL37" s="27"/>
      <c r="AM37" s="27"/>
      <c r="AN37" s="27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  <c r="BG37" s="27"/>
      <c r="BH37" s="27"/>
      <c r="BI37" s="27"/>
      <c r="BJ37" s="27"/>
      <c r="BK37" s="27"/>
      <c r="BL37" s="27"/>
      <c r="BM37" s="27"/>
      <c r="BN37" s="27"/>
      <c r="BO37" s="27"/>
      <c r="BP37" s="27"/>
      <c r="BQ37" s="27"/>
      <c r="BR37" s="27"/>
      <c r="BS37" s="27"/>
      <c r="BT37" s="27"/>
      <c r="BU37" s="27"/>
      <c r="BV37" s="27"/>
      <c r="BW37" s="27"/>
      <c r="BX37" s="27"/>
      <c r="BY37" s="27"/>
      <c r="BZ37" s="27"/>
      <c r="CA37" s="27"/>
      <c r="CB37" s="27"/>
      <c r="CC37" s="27"/>
      <c r="CD37" s="27"/>
      <c r="CE37" s="27"/>
      <c r="CF37" s="27"/>
      <c r="CG37" s="27"/>
      <c r="CH37" s="27"/>
      <c r="CI37" s="27"/>
      <c r="CJ37" s="27"/>
      <c r="CK37" s="27"/>
      <c r="CL37" s="27"/>
      <c r="CM37" s="27"/>
      <c r="CN37" s="27"/>
      <c r="CO37" s="27"/>
      <c r="CP37" s="27"/>
      <c r="CQ37" s="27"/>
      <c r="CR37" s="27"/>
      <c r="CS37" s="27"/>
      <c r="CT37" s="27"/>
      <c r="CU37" s="27"/>
      <c r="CV37" s="27"/>
      <c r="CW37" s="27"/>
      <c r="CX37" s="27"/>
      <c r="CY37" s="27"/>
      <c r="CZ37" s="27"/>
      <c r="DA37" s="27"/>
      <c r="DB37" s="27"/>
      <c r="DC37" s="27"/>
      <c r="DD37" s="27"/>
      <c r="DE37" s="27"/>
      <c r="DF37" s="27"/>
      <c r="DG37" s="27"/>
      <c r="DH37" s="27"/>
      <c r="DI37" s="27"/>
      <c r="DJ37" s="27"/>
      <c r="DK37" s="27"/>
      <c r="DL37" s="27"/>
      <c r="DM37" s="27"/>
      <c r="DN37" s="27"/>
      <c r="DO37" s="27"/>
      <c r="DP37" s="27"/>
      <c r="DQ37" s="27"/>
      <c r="DR37" s="27"/>
      <c r="DS37" s="27"/>
      <c r="DT37" s="27"/>
      <c r="DU37" s="27"/>
      <c r="DV37" s="27"/>
      <c r="DW37" s="27"/>
      <c r="DX37" s="27"/>
      <c r="DY37" s="27"/>
      <c r="DZ37" s="27"/>
      <c r="EA37" s="27"/>
      <c r="EB37" s="27"/>
      <c r="EC37" s="27"/>
      <c r="ED37" s="27"/>
      <c r="EE37" s="27"/>
      <c r="EF37" s="27"/>
      <c r="EG37" s="27"/>
      <c r="EH37" s="27"/>
      <c r="EI37" s="27"/>
      <c r="EJ37" s="27"/>
      <c r="EK37" s="27"/>
      <c r="EL37" s="27"/>
      <c r="EM37" s="27"/>
      <c r="EN37" s="27"/>
      <c r="EO37" s="27"/>
      <c r="EP37" s="27"/>
      <c r="EQ37" s="27"/>
      <c r="ER37" s="27"/>
      <c r="ES37" s="27"/>
      <c r="ET37" s="27"/>
      <c r="EU37" s="27"/>
      <c r="EV37" s="27"/>
      <c r="EW37" s="27"/>
      <c r="EX37" s="27"/>
      <c r="EY37" s="27"/>
      <c r="EZ37" s="27"/>
      <c r="FA37" s="27"/>
      <c r="FB37" s="27"/>
      <c r="FC37" s="27"/>
      <c r="FD37" s="27"/>
      <c r="FE37" s="27"/>
      <c r="FF37" s="27"/>
      <c r="FG37" s="27"/>
      <c r="FH37" s="27"/>
      <c r="FI37" s="27"/>
      <c r="FJ37" s="27"/>
      <c r="FK37" s="27"/>
      <c r="FL37" s="27"/>
      <c r="FM37" s="27"/>
      <c r="FN37" s="27"/>
      <c r="FO37" s="27"/>
      <c r="FP37" s="27"/>
      <c r="FQ37" s="27"/>
      <c r="FR37" s="27"/>
      <c r="FS37" s="27"/>
      <c r="FT37" s="27"/>
      <c r="FU37" s="27"/>
      <c r="FV37" s="27"/>
      <c r="FW37" s="27"/>
      <c r="FX37" s="27"/>
      <c r="FY37" s="27"/>
      <c r="FZ37" s="27"/>
      <c r="GA37" s="27"/>
      <c r="GB37" s="27"/>
      <c r="GC37" s="27"/>
      <c r="GD37" s="27"/>
      <c r="GE37" s="27"/>
      <c r="GF37" s="27"/>
      <c r="GG37" s="27"/>
      <c r="GH37" s="27"/>
      <c r="GI37" s="27"/>
      <c r="GJ37" s="27"/>
      <c r="GK37" s="27"/>
      <c r="GL37" s="27"/>
      <c r="GM37" s="27"/>
      <c r="GN37" s="27"/>
      <c r="GO37" s="27"/>
      <c r="GP37" s="27"/>
      <c r="GQ37" s="27"/>
      <c r="GR37" s="27"/>
      <c r="GS37" s="27"/>
      <c r="GT37" s="27"/>
      <c r="GU37" s="27"/>
      <c r="GV37" s="27"/>
      <c r="GW37" s="27"/>
      <c r="GX37" s="27"/>
      <c r="GY37" s="27"/>
      <c r="GZ37" s="27"/>
      <c r="HA37" s="27"/>
      <c r="HB37" s="27"/>
      <c r="HC37" s="27"/>
      <c r="HD37" s="27"/>
      <c r="HE37" s="27"/>
      <c r="HF37" s="27"/>
      <c r="HG37" s="27"/>
      <c r="HH37" s="27"/>
      <c r="HI37" s="27"/>
      <c r="HJ37" s="27"/>
      <c r="HK37" s="27"/>
      <c r="HL37" s="27"/>
      <c r="HM37" s="27"/>
      <c r="HN37" s="27"/>
      <c r="HO37" s="27"/>
      <c r="HP37" s="27"/>
      <c r="HQ37" s="27"/>
      <c r="HR37" s="27"/>
      <c r="HS37" s="27"/>
      <c r="HT37" s="27"/>
      <c r="HU37" s="27"/>
      <c r="HV37" s="27"/>
      <c r="HW37" s="27"/>
      <c r="HX37" s="27"/>
      <c r="HY37" s="27"/>
      <c r="HZ37" s="27"/>
      <c r="IA37" s="27"/>
    </row>
    <row r="38" customFormat="false" ht="15" hidden="false" customHeight="false" outlineLevel="0" collapsed="false">
      <c r="A38" s="33"/>
      <c r="B38" s="18" t="s">
        <v>23</v>
      </c>
      <c r="C38" s="29"/>
      <c r="D38" s="29"/>
      <c r="E38" s="38"/>
      <c r="F38" s="29"/>
      <c r="G38" s="34"/>
      <c r="H38" s="52"/>
      <c r="I38" s="53"/>
      <c r="J38" s="29"/>
      <c r="K38" s="29"/>
      <c r="L38" s="36"/>
      <c r="M38" s="29"/>
      <c r="N38" s="37"/>
      <c r="O38" s="30" t="n">
        <f aca="false">N38*J38</f>
        <v>0</v>
      </c>
      <c r="R38" s="6"/>
    </row>
    <row r="39" customFormat="false" ht="15" hidden="false" customHeight="false" outlineLevel="0" collapsed="false">
      <c r="A39" s="33"/>
      <c r="B39" s="18" t="s">
        <v>23</v>
      </c>
      <c r="C39" s="29"/>
      <c r="D39" s="29"/>
      <c r="E39" s="38"/>
      <c r="F39" s="29"/>
      <c r="G39" s="34"/>
      <c r="H39" s="52"/>
      <c r="I39" s="53"/>
      <c r="J39" s="29"/>
      <c r="K39" s="29"/>
      <c r="L39" s="36"/>
      <c r="M39" s="29"/>
      <c r="N39" s="37"/>
      <c r="O39" s="30" t="n">
        <f aca="false">N39*J39</f>
        <v>0</v>
      </c>
      <c r="R39" s="6"/>
    </row>
    <row r="40" customFormat="false" ht="15" hidden="false" customHeight="false" outlineLevel="0" collapsed="false">
      <c r="A40" s="33"/>
      <c r="B40" s="18" t="s">
        <v>23</v>
      </c>
      <c r="C40" s="29"/>
      <c r="D40" s="29"/>
      <c r="E40" s="38"/>
      <c r="F40" s="29"/>
      <c r="G40" s="34"/>
      <c r="H40" s="52"/>
      <c r="I40" s="53"/>
      <c r="J40" s="29"/>
      <c r="K40" s="53"/>
      <c r="L40" s="36"/>
      <c r="M40" s="29"/>
      <c r="N40" s="37"/>
      <c r="O40" s="30" t="n">
        <f aca="false">N40*J40</f>
        <v>0</v>
      </c>
      <c r="R40" s="6"/>
    </row>
    <row r="41" customFormat="false" ht="15" hidden="false" customHeight="false" outlineLevel="0" collapsed="false">
      <c r="A41" s="33"/>
      <c r="B41" s="18" t="s">
        <v>23</v>
      </c>
      <c r="C41" s="29"/>
      <c r="D41" s="29"/>
      <c r="E41" s="38"/>
      <c r="F41" s="29"/>
      <c r="G41" s="34"/>
      <c r="H41" s="52"/>
      <c r="I41" s="53"/>
      <c r="J41" s="52"/>
      <c r="K41" s="29"/>
      <c r="L41" s="36"/>
      <c r="M41" s="29"/>
      <c r="N41" s="37"/>
      <c r="O41" s="30" t="n">
        <f aca="false">N41*J41</f>
        <v>0</v>
      </c>
      <c r="R41" s="6"/>
    </row>
    <row r="42" customFormat="false" ht="15" hidden="false" customHeight="false" outlineLevel="0" collapsed="false">
      <c r="A42" s="33"/>
      <c r="B42" s="18" t="s">
        <v>23</v>
      </c>
      <c r="C42" s="29"/>
      <c r="D42" s="29"/>
      <c r="E42" s="38"/>
      <c r="F42" s="29"/>
      <c r="G42" s="34"/>
      <c r="H42" s="52"/>
      <c r="I42" s="53"/>
      <c r="J42" s="29"/>
      <c r="K42" s="29"/>
      <c r="L42" s="36"/>
      <c r="M42" s="29"/>
      <c r="N42" s="37"/>
      <c r="O42" s="30" t="n">
        <f aca="false">N42*J42</f>
        <v>0</v>
      </c>
      <c r="R42" s="6"/>
    </row>
    <row r="43" customFormat="false" ht="15" hidden="false" customHeight="false" outlineLevel="0" collapsed="false">
      <c r="A43" s="33"/>
      <c r="B43" s="18" t="s">
        <v>23</v>
      </c>
      <c r="C43" s="29"/>
      <c r="D43" s="29"/>
      <c r="E43" s="38"/>
      <c r="F43" s="29"/>
      <c r="G43" s="34"/>
      <c r="H43" s="52"/>
      <c r="I43" s="53"/>
      <c r="J43" s="29"/>
      <c r="K43" s="29"/>
      <c r="L43" s="36"/>
      <c r="M43" s="29"/>
      <c r="N43" s="37"/>
      <c r="O43" s="30" t="n">
        <f aca="false">N43*J43</f>
        <v>0</v>
      </c>
      <c r="R43" s="6"/>
    </row>
    <row r="44" customFormat="false" ht="15" hidden="false" customHeight="false" outlineLevel="0" collapsed="false">
      <c r="A44" s="33"/>
      <c r="B44" s="18" t="s">
        <v>23</v>
      </c>
      <c r="C44" s="29"/>
      <c r="D44" s="29"/>
      <c r="E44" s="38"/>
      <c r="F44" s="29"/>
      <c r="G44" s="34"/>
      <c r="H44" s="29"/>
      <c r="I44" s="29"/>
      <c r="J44" s="29"/>
      <c r="K44" s="29"/>
      <c r="L44" s="36"/>
      <c r="M44" s="29"/>
      <c r="N44" s="37"/>
      <c r="O44" s="30" t="n">
        <f aca="false">N44*J44</f>
        <v>0</v>
      </c>
      <c r="R44" s="6"/>
    </row>
    <row r="45" customFormat="false" ht="15" hidden="false" customHeight="false" outlineLevel="0" collapsed="false">
      <c r="A45" s="33"/>
      <c r="B45" s="18" t="s">
        <v>23</v>
      </c>
      <c r="C45" s="29"/>
      <c r="D45" s="29"/>
      <c r="E45" s="38"/>
      <c r="F45" s="29"/>
      <c r="G45" s="34"/>
      <c r="H45" s="29"/>
      <c r="I45" s="29"/>
      <c r="J45" s="29"/>
      <c r="K45" s="29"/>
      <c r="L45" s="36"/>
      <c r="M45" s="29"/>
      <c r="N45" s="37"/>
      <c r="O45" s="30" t="n">
        <f aca="false">N45*J45</f>
        <v>0</v>
      </c>
      <c r="R45" s="6"/>
    </row>
    <row r="46" customFormat="false" ht="15" hidden="false" customHeight="false" outlineLevel="0" collapsed="false">
      <c r="A46" s="33"/>
      <c r="B46" s="18" t="s">
        <v>23</v>
      </c>
      <c r="C46" s="29"/>
      <c r="D46" s="29"/>
      <c r="E46" s="38"/>
      <c r="F46" s="29"/>
      <c r="G46" s="34"/>
      <c r="H46" s="29"/>
      <c r="I46" s="29"/>
      <c r="J46" s="29"/>
      <c r="K46" s="29"/>
      <c r="L46" s="36"/>
      <c r="M46" s="29"/>
      <c r="N46" s="37"/>
      <c r="O46" s="30" t="n">
        <f aca="false">N46*J46</f>
        <v>0</v>
      </c>
      <c r="R46" s="6"/>
    </row>
    <row r="47" customFormat="false" ht="15" hidden="false" customHeight="false" outlineLevel="0" collapsed="false">
      <c r="A47" s="33"/>
      <c r="B47" s="18" t="s">
        <v>23</v>
      </c>
      <c r="C47" s="29"/>
      <c r="D47" s="29"/>
      <c r="E47" s="38"/>
      <c r="F47" s="29"/>
      <c r="G47" s="34"/>
      <c r="H47" s="29"/>
      <c r="I47" s="29"/>
      <c r="J47" s="29"/>
      <c r="K47" s="29"/>
      <c r="L47" s="36"/>
      <c r="M47" s="29"/>
      <c r="N47" s="37"/>
      <c r="O47" s="30" t="n">
        <f aca="false">N47*J47</f>
        <v>0</v>
      </c>
      <c r="R47" s="6"/>
    </row>
    <row r="48" customFormat="false" ht="15" hidden="false" customHeight="false" outlineLevel="0" collapsed="false">
      <c r="A48" s="33"/>
      <c r="B48" s="18" t="s">
        <v>23</v>
      </c>
      <c r="C48" s="29"/>
      <c r="D48" s="29"/>
      <c r="E48" s="38"/>
      <c r="F48" s="29"/>
      <c r="G48" s="34"/>
      <c r="H48" s="29"/>
      <c r="I48" s="29"/>
      <c r="J48" s="29"/>
      <c r="K48" s="29"/>
      <c r="L48" s="36"/>
      <c r="M48" s="29"/>
      <c r="N48" s="37"/>
      <c r="O48" s="30" t="n">
        <f aca="false">N48*J48</f>
        <v>0</v>
      </c>
      <c r="R48" s="6"/>
    </row>
    <row r="49" customFormat="false" ht="15" hidden="false" customHeight="false" outlineLevel="0" collapsed="false">
      <c r="A49" s="33"/>
      <c r="B49" s="18" t="s">
        <v>23</v>
      </c>
      <c r="C49" s="29"/>
      <c r="D49" s="29"/>
      <c r="E49" s="38"/>
      <c r="F49" s="29"/>
      <c r="G49" s="34"/>
      <c r="H49" s="29"/>
      <c r="I49" s="29"/>
      <c r="J49" s="29"/>
      <c r="K49" s="29"/>
      <c r="L49" s="36"/>
      <c r="M49" s="29"/>
      <c r="N49" s="37"/>
      <c r="O49" s="30" t="n">
        <f aca="false">N49*J49</f>
        <v>0</v>
      </c>
      <c r="R49" s="6"/>
    </row>
    <row r="50" customFormat="false" ht="15" hidden="false" customHeight="false" outlineLevel="0" collapsed="false">
      <c r="A50" s="33"/>
      <c r="B50" s="18" t="s">
        <v>23</v>
      </c>
      <c r="C50" s="29"/>
      <c r="D50" s="29"/>
      <c r="E50" s="38"/>
      <c r="F50" s="29"/>
      <c r="G50" s="34"/>
      <c r="H50" s="29"/>
      <c r="I50" s="29"/>
      <c r="J50" s="29"/>
      <c r="K50" s="29"/>
      <c r="L50" s="36"/>
      <c r="M50" s="29"/>
      <c r="N50" s="37"/>
      <c r="O50" s="30" t="n">
        <f aca="false">N50*J50</f>
        <v>0</v>
      </c>
      <c r="R50" s="6"/>
    </row>
    <row r="51" customFormat="false" ht="15" hidden="false" customHeight="false" outlineLevel="0" collapsed="false">
      <c r="A51" s="33"/>
      <c r="B51" s="18" t="s">
        <v>23</v>
      </c>
      <c r="C51" s="29"/>
      <c r="D51" s="29"/>
      <c r="E51" s="38"/>
      <c r="F51" s="29"/>
      <c r="G51" s="34"/>
      <c r="H51" s="29"/>
      <c r="I51" s="29"/>
      <c r="J51" s="29"/>
      <c r="K51" s="29"/>
      <c r="L51" s="36"/>
      <c r="M51" s="29"/>
      <c r="N51" s="37"/>
      <c r="O51" s="30" t="n">
        <f aca="false">N51*J51</f>
        <v>0</v>
      </c>
      <c r="R51" s="6"/>
    </row>
    <row r="52" customFormat="false" ht="15" hidden="false" customHeight="false" outlineLevel="0" collapsed="false">
      <c r="A52" s="33"/>
      <c r="B52" s="18" t="s">
        <v>23</v>
      </c>
      <c r="C52" s="29"/>
      <c r="D52" s="29"/>
      <c r="E52" s="38"/>
      <c r="F52" s="29"/>
      <c r="G52" s="34"/>
      <c r="H52" s="29"/>
      <c r="I52" s="29"/>
      <c r="J52" s="29"/>
      <c r="K52" s="29"/>
      <c r="L52" s="36"/>
      <c r="M52" s="29"/>
      <c r="N52" s="37"/>
      <c r="O52" s="30" t="n">
        <f aca="false">N52*J52</f>
        <v>0</v>
      </c>
      <c r="R52" s="6"/>
    </row>
    <row r="53" customFormat="false" ht="15" hidden="false" customHeight="false" outlineLevel="0" collapsed="false">
      <c r="A53" s="33"/>
      <c r="B53" s="18" t="s">
        <v>23</v>
      </c>
      <c r="C53" s="29"/>
      <c r="D53" s="29"/>
      <c r="E53" s="38"/>
      <c r="F53" s="29"/>
      <c r="G53" s="34"/>
      <c r="H53" s="29"/>
      <c r="I53" s="29"/>
      <c r="J53" s="29"/>
      <c r="K53" s="29"/>
      <c r="L53" s="36"/>
      <c r="M53" s="29"/>
      <c r="N53" s="37"/>
      <c r="O53" s="30" t="n">
        <f aca="false">N53*J53</f>
        <v>0</v>
      </c>
      <c r="R53" s="6"/>
    </row>
    <row r="54" customFormat="false" ht="15" hidden="false" customHeight="false" outlineLevel="0" collapsed="false">
      <c r="A54" s="33"/>
      <c r="B54" s="18" t="s">
        <v>23</v>
      </c>
      <c r="C54" s="29"/>
      <c r="D54" s="29"/>
      <c r="E54" s="38"/>
      <c r="F54" s="29"/>
      <c r="G54" s="34"/>
      <c r="H54" s="29"/>
      <c r="I54" s="29"/>
      <c r="J54" s="29"/>
      <c r="K54" s="29"/>
      <c r="L54" s="36"/>
      <c r="M54" s="29"/>
      <c r="N54" s="37"/>
      <c r="O54" s="30" t="n">
        <f aca="false">N54*J54</f>
        <v>0</v>
      </c>
      <c r="R54" s="6"/>
    </row>
    <row r="55" customFormat="false" ht="15" hidden="false" customHeight="false" outlineLevel="0" collapsed="false">
      <c r="A55" s="33"/>
      <c r="B55" s="18" t="s">
        <v>23</v>
      </c>
      <c r="C55" s="29"/>
      <c r="D55" s="29"/>
      <c r="E55" s="38"/>
      <c r="F55" s="29"/>
      <c r="G55" s="34"/>
      <c r="H55" s="29"/>
      <c r="I55" s="29"/>
      <c r="J55" s="29"/>
      <c r="K55" s="29"/>
      <c r="L55" s="36"/>
      <c r="M55" s="29"/>
      <c r="N55" s="37"/>
      <c r="O55" s="30" t="n">
        <f aca="false">N55*J55</f>
        <v>0</v>
      </c>
      <c r="R55" s="6"/>
    </row>
    <row r="56" customFormat="false" ht="15" hidden="false" customHeight="false" outlineLevel="0" collapsed="false">
      <c r="A56" s="33"/>
      <c r="B56" s="18" t="s">
        <v>23</v>
      </c>
      <c r="C56" s="29"/>
      <c r="D56" s="29"/>
      <c r="E56" s="38"/>
      <c r="F56" s="29"/>
      <c r="G56" s="34"/>
      <c r="H56" s="29"/>
      <c r="I56" s="29"/>
      <c r="J56" s="29"/>
      <c r="K56" s="29"/>
      <c r="L56" s="36"/>
      <c r="M56" s="29"/>
      <c r="N56" s="37"/>
      <c r="O56" s="30" t="n">
        <f aca="false">N56*J56</f>
        <v>0</v>
      </c>
      <c r="R56" s="6"/>
    </row>
    <row r="57" customFormat="false" ht="15" hidden="false" customHeight="false" outlineLevel="0" collapsed="false">
      <c r="A57" s="33"/>
      <c r="B57" s="18" t="s">
        <v>23</v>
      </c>
      <c r="C57" s="29"/>
      <c r="D57" s="29"/>
      <c r="E57" s="38"/>
      <c r="F57" s="29"/>
      <c r="G57" s="34"/>
      <c r="H57" s="29"/>
      <c r="I57" s="29"/>
      <c r="J57" s="29"/>
      <c r="K57" s="29"/>
      <c r="L57" s="36"/>
      <c r="M57" s="29"/>
      <c r="N57" s="37"/>
      <c r="O57" s="30" t="n">
        <f aca="false">N57*J57</f>
        <v>0</v>
      </c>
      <c r="R57" s="6"/>
    </row>
    <row r="58" customFormat="false" ht="15" hidden="false" customHeight="false" outlineLevel="0" collapsed="false">
      <c r="A58" s="33"/>
      <c r="B58" s="18" t="s">
        <v>23</v>
      </c>
      <c r="C58" s="29"/>
      <c r="D58" s="29"/>
      <c r="E58" s="38"/>
      <c r="F58" s="29"/>
      <c r="G58" s="34"/>
      <c r="H58" s="29"/>
      <c r="I58" s="29"/>
      <c r="J58" s="29"/>
      <c r="K58" s="29"/>
      <c r="L58" s="36"/>
      <c r="M58" s="29"/>
      <c r="N58" s="37"/>
      <c r="O58" s="30" t="n">
        <f aca="false">N58*J58</f>
        <v>0</v>
      </c>
      <c r="R58" s="6"/>
    </row>
    <row r="59" customFormat="false" ht="15" hidden="false" customHeight="false" outlineLevel="0" collapsed="false">
      <c r="A59" s="33"/>
      <c r="B59" s="18" t="s">
        <v>23</v>
      </c>
      <c r="C59" s="29"/>
      <c r="D59" s="29"/>
      <c r="E59" s="38"/>
      <c r="F59" s="29"/>
      <c r="G59" s="34"/>
      <c r="H59" s="29"/>
      <c r="I59" s="29"/>
      <c r="J59" s="29"/>
      <c r="K59" s="29"/>
      <c r="L59" s="36"/>
      <c r="M59" s="29"/>
      <c r="N59" s="37"/>
      <c r="O59" s="30" t="n">
        <f aca="false">N59*J59</f>
        <v>0</v>
      </c>
      <c r="R59" s="6"/>
    </row>
    <row r="60" customFormat="false" ht="15" hidden="false" customHeight="false" outlineLevel="0" collapsed="false">
      <c r="A60" s="33"/>
      <c r="B60" s="18" t="s">
        <v>23</v>
      </c>
      <c r="C60" s="29"/>
      <c r="D60" s="29"/>
      <c r="E60" s="38"/>
      <c r="F60" s="29"/>
      <c r="G60" s="34"/>
      <c r="H60" s="29"/>
      <c r="I60" s="29"/>
      <c r="J60" s="29"/>
      <c r="K60" s="53"/>
      <c r="L60" s="36"/>
      <c r="M60" s="29"/>
      <c r="N60" s="37"/>
      <c r="O60" s="30" t="n">
        <f aca="false">N60*J60</f>
        <v>0</v>
      </c>
      <c r="R60" s="6"/>
    </row>
    <row r="61" customFormat="false" ht="15" hidden="false" customHeight="false" outlineLevel="0" collapsed="false">
      <c r="A61" s="33"/>
      <c r="B61" s="18" t="s">
        <v>23</v>
      </c>
      <c r="C61" s="29"/>
      <c r="D61" s="29"/>
      <c r="E61" s="38"/>
      <c r="F61" s="29"/>
      <c r="G61" s="34"/>
      <c r="H61" s="29"/>
      <c r="I61" s="29"/>
      <c r="J61" s="29"/>
      <c r="K61" s="29"/>
      <c r="L61" s="36"/>
      <c r="M61" s="29"/>
      <c r="N61" s="37"/>
      <c r="O61" s="30" t="n">
        <f aca="false">N61*J61</f>
        <v>0</v>
      </c>
      <c r="R61" s="6"/>
    </row>
    <row r="62" customFormat="false" ht="15" hidden="false" customHeight="false" outlineLevel="0" collapsed="false">
      <c r="A62" s="33"/>
      <c r="B62" s="18" t="s">
        <v>23</v>
      </c>
      <c r="C62" s="29"/>
      <c r="D62" s="29"/>
      <c r="E62" s="38"/>
      <c r="F62" s="29"/>
      <c r="G62" s="34"/>
      <c r="H62" s="29"/>
      <c r="I62" s="29"/>
      <c r="J62" s="29"/>
      <c r="K62" s="29"/>
      <c r="L62" s="36"/>
      <c r="M62" s="29"/>
      <c r="N62" s="37"/>
      <c r="O62" s="30" t="n">
        <f aca="false">N62*J62</f>
        <v>0</v>
      </c>
      <c r="R62" s="6"/>
    </row>
    <row r="63" customFormat="false" ht="15" hidden="false" customHeight="false" outlineLevel="0" collapsed="false">
      <c r="A63" s="33"/>
      <c r="B63" s="18" t="s">
        <v>23</v>
      </c>
      <c r="C63" s="29"/>
      <c r="D63" s="29"/>
      <c r="E63" s="38"/>
      <c r="F63" s="29"/>
      <c r="G63" s="34"/>
      <c r="H63" s="29"/>
      <c r="I63" s="29"/>
      <c r="J63" s="29"/>
      <c r="K63" s="29"/>
      <c r="L63" s="36"/>
      <c r="M63" s="29"/>
      <c r="N63" s="37"/>
      <c r="O63" s="30" t="n">
        <f aca="false">N63*J63</f>
        <v>0</v>
      </c>
      <c r="R63" s="6"/>
    </row>
    <row r="64" customFormat="false" ht="15" hidden="false" customHeight="false" outlineLevel="0" collapsed="false">
      <c r="A64" s="33"/>
      <c r="B64" s="18" t="s">
        <v>23</v>
      </c>
      <c r="C64" s="29"/>
      <c r="D64" s="29"/>
      <c r="E64" s="38"/>
      <c r="F64" s="29"/>
      <c r="G64" s="34"/>
      <c r="H64" s="29"/>
      <c r="I64" s="29"/>
      <c r="J64" s="29"/>
      <c r="K64" s="29"/>
      <c r="L64" s="36"/>
      <c r="M64" s="29"/>
      <c r="N64" s="37"/>
      <c r="O64" s="30" t="n">
        <f aca="false">N64*J64</f>
        <v>0</v>
      </c>
      <c r="R64" s="6"/>
    </row>
    <row r="65" customFormat="false" ht="15" hidden="false" customHeight="false" outlineLevel="0" collapsed="false">
      <c r="A65" s="33"/>
      <c r="B65" s="18" t="s">
        <v>23</v>
      </c>
      <c r="C65" s="29"/>
      <c r="D65" s="29"/>
      <c r="E65" s="38"/>
      <c r="F65" s="29"/>
      <c r="G65" s="34"/>
      <c r="H65" s="29"/>
      <c r="I65" s="29"/>
      <c r="J65" s="29"/>
      <c r="K65" s="29"/>
      <c r="L65" s="56"/>
      <c r="M65" s="29"/>
      <c r="N65" s="37"/>
      <c r="O65" s="30" t="n">
        <f aca="false">N65*J65</f>
        <v>0</v>
      </c>
      <c r="R65" s="6"/>
    </row>
    <row r="66" customFormat="false" ht="15" hidden="false" customHeight="false" outlineLevel="0" collapsed="false">
      <c r="A66" s="33"/>
      <c r="B66" s="18" t="s">
        <v>23</v>
      </c>
      <c r="C66" s="29"/>
      <c r="D66" s="29"/>
      <c r="E66" s="38"/>
      <c r="F66" s="29"/>
      <c r="G66" s="34"/>
      <c r="H66" s="29"/>
      <c r="I66" s="29"/>
      <c r="J66" s="29"/>
      <c r="K66" s="29"/>
      <c r="L66" s="36"/>
      <c r="M66" s="29"/>
      <c r="N66" s="37"/>
      <c r="O66" s="30" t="n">
        <f aca="false">N66*J66</f>
        <v>0</v>
      </c>
      <c r="R66" s="6"/>
    </row>
    <row r="67" customFormat="false" ht="15" hidden="false" customHeight="false" outlineLevel="0" collapsed="false">
      <c r="A67" s="33"/>
      <c r="B67" s="18" t="s">
        <v>23</v>
      </c>
      <c r="C67" s="29"/>
      <c r="D67" s="29"/>
      <c r="E67" s="38"/>
      <c r="F67" s="29"/>
      <c r="G67" s="34"/>
      <c r="H67" s="29"/>
      <c r="I67" s="29"/>
      <c r="J67" s="29"/>
      <c r="K67" s="29"/>
      <c r="L67" s="36"/>
      <c r="M67" s="29"/>
      <c r="N67" s="37"/>
      <c r="O67" s="30" t="n">
        <f aca="false">N67*J67</f>
        <v>0</v>
      </c>
      <c r="R67" s="6"/>
    </row>
    <row r="68" customFormat="false" ht="15" hidden="false" customHeight="false" outlineLevel="0" collapsed="false">
      <c r="A68" s="33"/>
      <c r="B68" s="18" t="s">
        <v>23</v>
      </c>
      <c r="C68" s="29"/>
      <c r="D68" s="29"/>
      <c r="E68" s="38"/>
      <c r="F68" s="29"/>
      <c r="G68" s="34"/>
      <c r="H68" s="29"/>
      <c r="I68" s="29"/>
      <c r="J68" s="29"/>
      <c r="K68" s="29"/>
      <c r="L68" s="36"/>
      <c r="M68" s="29"/>
      <c r="N68" s="37"/>
      <c r="O68" s="30" t="n">
        <f aca="false">N68*J68</f>
        <v>0</v>
      </c>
      <c r="R68" s="6"/>
    </row>
    <row r="69" customFormat="false" ht="15" hidden="false" customHeight="false" outlineLevel="0" collapsed="false">
      <c r="A69" s="33"/>
      <c r="B69" s="18" t="s">
        <v>23</v>
      </c>
      <c r="C69" s="29"/>
      <c r="D69" s="29"/>
      <c r="E69" s="38"/>
      <c r="F69" s="29"/>
      <c r="G69" s="34"/>
      <c r="H69" s="29"/>
      <c r="I69" s="29"/>
      <c r="J69" s="29"/>
      <c r="K69" s="29"/>
      <c r="L69" s="36"/>
      <c r="M69" s="29"/>
      <c r="N69" s="37"/>
      <c r="O69" s="30" t="n">
        <f aca="false">N69*J69</f>
        <v>0</v>
      </c>
      <c r="R69" s="6"/>
    </row>
    <row r="70" customFormat="false" ht="15" hidden="false" customHeight="false" outlineLevel="0" collapsed="false">
      <c r="A70" s="33"/>
      <c r="B70" s="18" t="s">
        <v>23</v>
      </c>
      <c r="C70" s="29"/>
      <c r="D70" s="29"/>
      <c r="E70" s="38"/>
      <c r="F70" s="29"/>
      <c r="G70" s="34"/>
      <c r="H70" s="29"/>
      <c r="I70" s="29"/>
      <c r="J70" s="29"/>
      <c r="K70" s="29"/>
      <c r="L70" s="36"/>
      <c r="M70" s="29"/>
      <c r="N70" s="37"/>
      <c r="O70" s="30" t="n">
        <f aca="false">N70*J70</f>
        <v>0</v>
      </c>
      <c r="R70" s="6"/>
    </row>
    <row r="71" customFormat="false" ht="15" hidden="false" customHeight="false" outlineLevel="0" collapsed="false">
      <c r="A71" s="33"/>
      <c r="B71" s="18" t="s">
        <v>23</v>
      </c>
      <c r="C71" s="29"/>
      <c r="D71" s="29"/>
      <c r="E71" s="38"/>
      <c r="F71" s="29"/>
      <c r="G71" s="34"/>
      <c r="H71" s="29"/>
      <c r="I71" s="29"/>
      <c r="J71" s="29"/>
      <c r="K71" s="29"/>
      <c r="L71" s="36"/>
      <c r="M71" s="29"/>
      <c r="N71" s="37"/>
      <c r="O71" s="30" t="n">
        <f aca="false">N71*J71</f>
        <v>0</v>
      </c>
      <c r="R71" s="6"/>
    </row>
    <row r="72" customFormat="false" ht="15" hidden="false" customHeight="false" outlineLevel="0" collapsed="false">
      <c r="A72" s="33"/>
      <c r="B72" s="18" t="s">
        <v>23</v>
      </c>
      <c r="C72" s="29"/>
      <c r="D72" s="29"/>
      <c r="E72" s="38"/>
      <c r="F72" s="29"/>
      <c r="G72" s="34"/>
      <c r="H72" s="29"/>
      <c r="I72" s="29"/>
      <c r="J72" s="29"/>
      <c r="K72" s="29"/>
      <c r="L72" s="36"/>
      <c r="M72" s="29"/>
      <c r="N72" s="37"/>
      <c r="O72" s="30" t="n">
        <f aca="false">N72*J72</f>
        <v>0</v>
      </c>
      <c r="R72" s="6"/>
    </row>
    <row r="73" customFormat="false" ht="15" hidden="false" customHeight="false" outlineLevel="0" collapsed="false">
      <c r="A73" s="33"/>
      <c r="B73" s="18" t="s">
        <v>23</v>
      </c>
      <c r="C73" s="29"/>
      <c r="D73" s="29"/>
      <c r="E73" s="38"/>
      <c r="F73" s="29"/>
      <c r="G73" s="34"/>
      <c r="H73" s="29"/>
      <c r="I73" s="29"/>
      <c r="J73" s="29"/>
      <c r="K73" s="29"/>
      <c r="L73" s="36"/>
      <c r="M73" s="29"/>
      <c r="N73" s="37"/>
      <c r="O73" s="30" t="n">
        <f aca="false">N73*J73</f>
        <v>0</v>
      </c>
      <c r="R73" s="6"/>
    </row>
    <row r="74" customFormat="false" ht="15" hidden="false" customHeight="false" outlineLevel="0" collapsed="false">
      <c r="A74" s="33"/>
      <c r="B74" s="18" t="s">
        <v>23</v>
      </c>
      <c r="C74" s="29"/>
      <c r="D74" s="29"/>
      <c r="E74" s="29"/>
      <c r="F74" s="29"/>
      <c r="G74" s="34"/>
      <c r="H74" s="29"/>
      <c r="I74" s="29"/>
      <c r="J74" s="29"/>
      <c r="K74" s="29"/>
      <c r="L74" s="36"/>
      <c r="M74" s="29"/>
      <c r="N74" s="37"/>
      <c r="O74" s="30" t="n">
        <f aca="false">N74*J74</f>
        <v>0</v>
      </c>
      <c r="R74" s="6"/>
    </row>
    <row r="75" customFormat="false" ht="15" hidden="false" customHeight="false" outlineLevel="0" collapsed="false">
      <c r="A75" s="33"/>
      <c r="B75" s="18" t="s">
        <v>23</v>
      </c>
      <c r="C75" s="29"/>
      <c r="D75" s="29"/>
      <c r="E75" s="29"/>
      <c r="F75" s="29"/>
      <c r="G75" s="34"/>
      <c r="H75" s="29"/>
      <c r="I75" s="29"/>
      <c r="J75" s="29"/>
      <c r="K75" s="29"/>
      <c r="L75" s="36"/>
      <c r="M75" s="29"/>
      <c r="N75" s="37"/>
      <c r="O75" s="30" t="n">
        <f aca="false">N75*J75</f>
        <v>0</v>
      </c>
      <c r="R75" s="6"/>
    </row>
    <row r="76" customFormat="false" ht="15" hidden="false" customHeight="false" outlineLevel="0" collapsed="false">
      <c r="A76" s="33"/>
      <c r="B76" s="18" t="s">
        <v>23</v>
      </c>
      <c r="C76" s="29"/>
      <c r="D76" s="29"/>
      <c r="E76" s="29"/>
      <c r="F76" s="29"/>
      <c r="G76" s="34"/>
      <c r="H76" s="29"/>
      <c r="I76" s="29"/>
      <c r="J76" s="29"/>
      <c r="K76" s="29"/>
      <c r="L76" s="36"/>
      <c r="M76" s="29"/>
      <c r="N76" s="37"/>
      <c r="O76" s="30" t="n">
        <f aca="false">N76*J76</f>
        <v>0</v>
      </c>
      <c r="R76" s="6"/>
    </row>
    <row r="77" customFormat="false" ht="15" hidden="false" customHeight="false" outlineLevel="0" collapsed="false">
      <c r="A77" s="33"/>
      <c r="B77" s="18" t="s">
        <v>23</v>
      </c>
      <c r="C77" s="29"/>
      <c r="D77" s="29"/>
      <c r="E77" s="29"/>
      <c r="F77" s="29"/>
      <c r="G77" s="34"/>
      <c r="H77" s="29"/>
      <c r="I77" s="29"/>
      <c r="J77" s="29"/>
      <c r="K77" s="29"/>
      <c r="L77" s="36"/>
      <c r="M77" s="29"/>
      <c r="N77" s="37"/>
      <c r="O77" s="30" t="n">
        <f aca="false">N77*J77</f>
        <v>0</v>
      </c>
      <c r="R77" s="6"/>
    </row>
    <row r="78" customFormat="false" ht="15" hidden="false" customHeight="false" outlineLevel="0" collapsed="false">
      <c r="A78" s="33"/>
      <c r="B78" s="18" t="s">
        <v>23</v>
      </c>
      <c r="C78" s="29"/>
      <c r="D78" s="29"/>
      <c r="E78" s="29"/>
      <c r="F78" s="29"/>
      <c r="G78" s="34"/>
      <c r="H78" s="29"/>
      <c r="I78" s="29"/>
      <c r="J78" s="29"/>
      <c r="K78" s="29"/>
      <c r="L78" s="36"/>
      <c r="M78" s="29"/>
      <c r="N78" s="37"/>
      <c r="O78" s="30" t="n">
        <f aca="false">N78*J78</f>
        <v>0</v>
      </c>
      <c r="R78" s="6"/>
    </row>
    <row r="79" customFormat="false" ht="15" hidden="false" customHeight="false" outlineLevel="0" collapsed="false">
      <c r="A79" s="33"/>
      <c r="B79" s="18" t="s">
        <v>23</v>
      </c>
      <c r="C79" s="29"/>
      <c r="D79" s="29"/>
      <c r="E79" s="29"/>
      <c r="F79" s="29"/>
      <c r="G79" s="34"/>
      <c r="H79" s="29"/>
      <c r="I79" s="29"/>
      <c r="J79" s="29"/>
      <c r="K79" s="29"/>
      <c r="L79" s="36"/>
      <c r="M79" s="29"/>
      <c r="N79" s="37"/>
      <c r="O79" s="30" t="n">
        <f aca="false">N79*J79</f>
        <v>0</v>
      </c>
      <c r="R79" s="6"/>
    </row>
    <row r="80" customFormat="false" ht="15" hidden="false" customHeight="false" outlineLevel="0" collapsed="false">
      <c r="A80" s="33"/>
      <c r="B80" s="18" t="s">
        <v>23</v>
      </c>
      <c r="C80" s="29"/>
      <c r="D80" s="29"/>
      <c r="E80" s="29"/>
      <c r="F80" s="29"/>
      <c r="G80" s="34"/>
      <c r="H80" s="29"/>
      <c r="I80" s="29"/>
      <c r="J80" s="29"/>
      <c r="K80" s="29"/>
      <c r="L80" s="36"/>
      <c r="M80" s="29"/>
      <c r="N80" s="37"/>
      <c r="O80" s="30" t="n">
        <f aca="false">N80*J80</f>
        <v>0</v>
      </c>
      <c r="R80" s="6"/>
    </row>
    <row r="81" customFormat="false" ht="15" hidden="false" customHeight="false" outlineLevel="0" collapsed="false">
      <c r="A81" s="33"/>
      <c r="B81" s="18" t="s">
        <v>23</v>
      </c>
      <c r="C81" s="29"/>
      <c r="D81" s="29"/>
      <c r="E81" s="29"/>
      <c r="F81" s="29"/>
      <c r="G81" s="34"/>
      <c r="H81" s="29"/>
      <c r="I81" s="29"/>
      <c r="J81" s="29"/>
      <c r="K81" s="29"/>
      <c r="L81" s="36"/>
      <c r="M81" s="29"/>
      <c r="N81" s="37"/>
      <c r="O81" s="30" t="n">
        <f aca="false">N81*J81</f>
        <v>0</v>
      </c>
      <c r="R81" s="6"/>
    </row>
    <row r="82" customFormat="false" ht="15" hidden="false" customHeight="false" outlineLevel="0" collapsed="false">
      <c r="A82" s="33"/>
      <c r="B82" s="18" t="s">
        <v>23</v>
      </c>
      <c r="C82" s="29"/>
      <c r="D82" s="29"/>
      <c r="E82" s="29"/>
      <c r="F82" s="29"/>
      <c r="G82" s="34"/>
      <c r="H82" s="29"/>
      <c r="I82" s="29"/>
      <c r="J82" s="29"/>
      <c r="K82" s="29"/>
      <c r="L82" s="36"/>
      <c r="M82" s="29"/>
      <c r="N82" s="37"/>
      <c r="O82" s="30" t="n">
        <f aca="false">N82*J82</f>
        <v>0</v>
      </c>
      <c r="R82" s="6"/>
    </row>
    <row r="83" customFormat="false" ht="15" hidden="false" customHeight="false" outlineLevel="0" collapsed="false">
      <c r="A83" s="33"/>
      <c r="B83" s="18" t="s">
        <v>23</v>
      </c>
      <c r="C83" s="29"/>
      <c r="D83" s="29"/>
      <c r="E83" s="29"/>
      <c r="F83" s="29"/>
      <c r="G83" s="34"/>
      <c r="H83" s="29"/>
      <c r="I83" s="29"/>
      <c r="J83" s="29"/>
      <c r="K83" s="29"/>
      <c r="L83" s="36"/>
      <c r="M83" s="29"/>
      <c r="N83" s="37"/>
      <c r="O83" s="30" t="n">
        <f aca="false">N83*J83</f>
        <v>0</v>
      </c>
      <c r="R83" s="6"/>
    </row>
    <row r="84" customFormat="false" ht="15" hidden="false" customHeight="false" outlineLevel="0" collapsed="false">
      <c r="A84" s="33"/>
      <c r="B84" s="18" t="s">
        <v>23</v>
      </c>
      <c r="C84" s="29"/>
      <c r="D84" s="29"/>
      <c r="E84" s="29"/>
      <c r="F84" s="29"/>
      <c r="G84" s="34"/>
      <c r="H84" s="29"/>
      <c r="I84" s="29"/>
      <c r="J84" s="29"/>
      <c r="K84" s="29"/>
      <c r="L84" s="36"/>
      <c r="M84" s="29"/>
      <c r="N84" s="37"/>
      <c r="O84" s="30" t="n">
        <f aca="false">N84*J84</f>
        <v>0</v>
      </c>
      <c r="R84" s="6"/>
    </row>
    <row r="85" customFormat="false" ht="15" hidden="false" customHeight="false" outlineLevel="0" collapsed="false">
      <c r="A85" s="33"/>
      <c r="B85" s="18" t="s">
        <v>23</v>
      </c>
      <c r="C85" s="29"/>
      <c r="D85" s="29"/>
      <c r="E85" s="29"/>
      <c r="F85" s="29"/>
      <c r="G85" s="34"/>
      <c r="H85" s="29"/>
      <c r="I85" s="29"/>
      <c r="J85" s="29"/>
      <c r="K85" s="29"/>
      <c r="L85" s="36"/>
      <c r="M85" s="29"/>
      <c r="N85" s="37"/>
      <c r="O85" s="30" t="n">
        <f aca="false">N85*J85</f>
        <v>0</v>
      </c>
      <c r="R85" s="6"/>
    </row>
    <row r="86" customFormat="false" ht="15" hidden="false" customHeight="false" outlineLevel="0" collapsed="false">
      <c r="A86" s="33"/>
      <c r="B86" s="18" t="s">
        <v>23</v>
      </c>
      <c r="C86" s="29"/>
      <c r="D86" s="29"/>
      <c r="E86" s="29"/>
      <c r="F86" s="29"/>
      <c r="G86" s="34"/>
      <c r="H86" s="29"/>
      <c r="I86" s="29"/>
      <c r="J86" s="29"/>
      <c r="K86" s="29"/>
      <c r="L86" s="36"/>
      <c r="M86" s="29"/>
      <c r="N86" s="37"/>
      <c r="O86" s="30" t="n">
        <f aca="false">N86*J86</f>
        <v>0</v>
      </c>
      <c r="R86" s="6"/>
    </row>
    <row r="87" customFormat="false" ht="15" hidden="false" customHeight="false" outlineLevel="0" collapsed="false">
      <c r="A87" s="33"/>
      <c r="B87" s="18" t="s">
        <v>23</v>
      </c>
      <c r="C87" s="29"/>
      <c r="D87" s="29"/>
      <c r="E87" s="29"/>
      <c r="F87" s="29"/>
      <c r="G87" s="34"/>
      <c r="H87" s="29"/>
      <c r="I87" s="29"/>
      <c r="J87" s="29"/>
      <c r="K87" s="29"/>
      <c r="L87" s="36"/>
      <c r="M87" s="29"/>
      <c r="N87" s="37"/>
      <c r="O87" s="30" t="n">
        <f aca="false">N87*J87</f>
        <v>0</v>
      </c>
      <c r="R87" s="6"/>
    </row>
    <row r="88" customFormat="false" ht="15" hidden="false" customHeight="false" outlineLevel="0" collapsed="false">
      <c r="A88" s="33"/>
      <c r="B88" s="18" t="s">
        <v>23</v>
      </c>
      <c r="C88" s="29"/>
      <c r="D88" s="29"/>
      <c r="E88" s="29"/>
      <c r="F88" s="29"/>
      <c r="G88" s="34"/>
      <c r="H88" s="29"/>
      <c r="I88" s="29"/>
      <c r="J88" s="29"/>
      <c r="K88" s="29"/>
      <c r="L88" s="36"/>
      <c r="M88" s="29"/>
      <c r="N88" s="37"/>
      <c r="O88" s="30" t="n">
        <f aca="false">N88*J88</f>
        <v>0</v>
      </c>
      <c r="R88" s="6"/>
    </row>
    <row r="89" customFormat="false" ht="15" hidden="false" customHeight="false" outlineLevel="0" collapsed="false">
      <c r="A89" s="33"/>
      <c r="B89" s="18" t="s">
        <v>23</v>
      </c>
      <c r="C89" s="29"/>
      <c r="D89" s="29"/>
      <c r="E89" s="29"/>
      <c r="F89" s="29"/>
      <c r="G89" s="34"/>
      <c r="H89" s="29"/>
      <c r="I89" s="29"/>
      <c r="J89" s="29"/>
      <c r="K89" s="29"/>
      <c r="L89" s="36"/>
      <c r="M89" s="29"/>
      <c r="N89" s="37"/>
      <c r="O89" s="30" t="n">
        <f aca="false">N89*J89</f>
        <v>0</v>
      </c>
      <c r="R89" s="6"/>
    </row>
    <row r="90" customFormat="false" ht="15" hidden="false" customHeight="false" outlineLevel="0" collapsed="false">
      <c r="A90" s="33"/>
      <c r="B90" s="18" t="s">
        <v>23</v>
      </c>
      <c r="C90" s="29"/>
      <c r="D90" s="29"/>
      <c r="E90" s="29"/>
      <c r="F90" s="29"/>
      <c r="G90" s="34"/>
      <c r="H90" s="29"/>
      <c r="I90" s="29"/>
      <c r="J90" s="29"/>
      <c r="K90" s="29"/>
      <c r="L90" s="36"/>
      <c r="M90" s="29"/>
      <c r="N90" s="37"/>
      <c r="O90" s="30" t="n">
        <f aca="false">N90*J90</f>
        <v>0</v>
      </c>
      <c r="R90" s="6"/>
    </row>
    <row r="91" customFormat="false" ht="15" hidden="false" customHeight="false" outlineLevel="0" collapsed="false">
      <c r="A91" s="33"/>
      <c r="B91" s="18" t="s">
        <v>23</v>
      </c>
      <c r="C91" s="29"/>
      <c r="D91" s="29"/>
      <c r="E91" s="29"/>
      <c r="F91" s="29"/>
      <c r="G91" s="34"/>
      <c r="H91" s="29"/>
      <c r="I91" s="29"/>
      <c r="J91" s="29"/>
      <c r="K91" s="29"/>
      <c r="L91" s="36"/>
      <c r="M91" s="29"/>
      <c r="N91" s="37"/>
      <c r="O91" s="30" t="n">
        <f aca="false">N91*J91</f>
        <v>0</v>
      </c>
      <c r="R91" s="6"/>
    </row>
    <row r="92" customFormat="false" ht="15" hidden="false" customHeight="false" outlineLevel="0" collapsed="false">
      <c r="A92" s="33"/>
      <c r="B92" s="18" t="s">
        <v>23</v>
      </c>
      <c r="C92" s="29"/>
      <c r="D92" s="29"/>
      <c r="E92" s="29"/>
      <c r="F92" s="29"/>
      <c r="G92" s="34"/>
      <c r="H92" s="29"/>
      <c r="I92" s="29"/>
      <c r="J92" s="29"/>
      <c r="K92" s="29"/>
      <c r="L92" s="36"/>
      <c r="M92" s="29"/>
      <c r="N92" s="37"/>
      <c r="O92" s="30" t="n">
        <f aca="false">N92*J92</f>
        <v>0</v>
      </c>
      <c r="R92" s="6"/>
    </row>
    <row r="93" customFormat="false" ht="15" hidden="false" customHeight="false" outlineLevel="0" collapsed="false">
      <c r="A93" s="33"/>
      <c r="B93" s="18" t="s">
        <v>23</v>
      </c>
      <c r="C93" s="29"/>
      <c r="D93" s="29"/>
      <c r="E93" s="29"/>
      <c r="F93" s="29"/>
      <c r="G93" s="34"/>
      <c r="H93" s="29"/>
      <c r="I93" s="29"/>
      <c r="J93" s="29"/>
      <c r="K93" s="29"/>
      <c r="L93" s="36"/>
      <c r="M93" s="29"/>
      <c r="N93" s="37"/>
      <c r="O93" s="30" t="n">
        <f aca="false">N93*J93</f>
        <v>0</v>
      </c>
      <c r="R93" s="6"/>
    </row>
    <row r="94" customFormat="false" ht="15" hidden="false" customHeight="false" outlineLevel="0" collapsed="false">
      <c r="A94" s="33"/>
      <c r="B94" s="18" t="s">
        <v>23</v>
      </c>
      <c r="C94" s="29"/>
      <c r="D94" s="29"/>
      <c r="E94" s="29"/>
      <c r="F94" s="29"/>
      <c r="G94" s="34"/>
      <c r="H94" s="29"/>
      <c r="I94" s="29"/>
      <c r="J94" s="29"/>
      <c r="K94" s="29"/>
      <c r="L94" s="36"/>
      <c r="M94" s="29"/>
      <c r="N94" s="37"/>
      <c r="O94" s="30" t="n">
        <f aca="false">N94*J94</f>
        <v>0</v>
      </c>
      <c r="R94" s="6"/>
    </row>
    <row r="95" customFormat="false" ht="15" hidden="false" customHeight="false" outlineLevel="0" collapsed="false">
      <c r="A95" s="33"/>
      <c r="B95" s="18" t="s">
        <v>23</v>
      </c>
      <c r="C95" s="29"/>
      <c r="D95" s="29"/>
      <c r="E95" s="29"/>
      <c r="F95" s="29"/>
      <c r="G95" s="34"/>
      <c r="H95" s="29"/>
      <c r="I95" s="29"/>
      <c r="J95" s="29"/>
      <c r="K95" s="29"/>
      <c r="L95" s="36"/>
      <c r="M95" s="29"/>
      <c r="N95" s="37"/>
      <c r="O95" s="30" t="n">
        <f aca="false">N95*J95</f>
        <v>0</v>
      </c>
      <c r="R95" s="6"/>
    </row>
    <row r="96" customFormat="false" ht="15" hidden="false" customHeight="false" outlineLevel="0" collapsed="false">
      <c r="A96" s="33"/>
      <c r="B96" s="18" t="s">
        <v>23</v>
      </c>
      <c r="C96" s="29"/>
      <c r="D96" s="29"/>
      <c r="E96" s="29"/>
      <c r="F96" s="29"/>
      <c r="G96" s="34"/>
      <c r="H96" s="29"/>
      <c r="I96" s="29"/>
      <c r="J96" s="29"/>
      <c r="K96" s="29"/>
      <c r="L96" s="36"/>
      <c r="M96" s="29"/>
      <c r="N96" s="37"/>
      <c r="O96" s="30" t="n">
        <f aca="false">N96*J96</f>
        <v>0</v>
      </c>
      <c r="R96" s="6"/>
    </row>
    <row r="97" customFormat="false" ht="15" hidden="false" customHeight="false" outlineLevel="0" collapsed="false">
      <c r="A97" s="33"/>
      <c r="B97" s="18" t="s">
        <v>23</v>
      </c>
      <c r="C97" s="29"/>
      <c r="D97" s="29"/>
      <c r="E97" s="29"/>
      <c r="F97" s="29"/>
      <c r="G97" s="34"/>
      <c r="H97" s="29"/>
      <c r="I97" s="29"/>
      <c r="J97" s="29"/>
      <c r="K97" s="29"/>
      <c r="L97" s="36"/>
      <c r="M97" s="29"/>
      <c r="N97" s="37"/>
      <c r="O97" s="30" t="n">
        <f aca="false">N97*J97</f>
        <v>0</v>
      </c>
      <c r="R97" s="6"/>
    </row>
    <row r="98" customFormat="false" ht="15" hidden="false" customHeight="false" outlineLevel="0" collapsed="false">
      <c r="A98" s="33"/>
      <c r="B98" s="18" t="s">
        <v>23</v>
      </c>
      <c r="C98" s="29"/>
      <c r="D98" s="29"/>
      <c r="E98" s="29"/>
      <c r="F98" s="29"/>
      <c r="G98" s="34"/>
      <c r="H98" s="29"/>
      <c r="I98" s="29"/>
      <c r="J98" s="29"/>
      <c r="K98" s="29"/>
      <c r="L98" s="36"/>
      <c r="M98" s="29"/>
      <c r="N98" s="37"/>
      <c r="O98" s="30" t="n">
        <f aca="false">N98*J98</f>
        <v>0</v>
      </c>
      <c r="R98" s="6"/>
    </row>
    <row r="99" customFormat="false" ht="15" hidden="false" customHeight="false" outlineLevel="0" collapsed="false">
      <c r="A99" s="33"/>
      <c r="B99" s="18" t="s">
        <v>23</v>
      </c>
      <c r="C99" s="29"/>
      <c r="D99" s="29"/>
      <c r="E99" s="29"/>
      <c r="F99" s="29"/>
      <c r="G99" s="34"/>
      <c r="H99" s="29"/>
      <c r="I99" s="29"/>
      <c r="J99" s="29"/>
      <c r="K99" s="29"/>
      <c r="L99" s="36"/>
      <c r="M99" s="29"/>
      <c r="N99" s="37"/>
      <c r="O99" s="30" t="n">
        <f aca="false">N99*J99</f>
        <v>0</v>
      </c>
      <c r="R99" s="6"/>
    </row>
    <row r="100" customFormat="false" ht="15" hidden="false" customHeight="false" outlineLevel="0" collapsed="false">
      <c r="A100" s="33"/>
      <c r="B100" s="18" t="s">
        <v>23</v>
      </c>
      <c r="C100" s="29"/>
      <c r="D100" s="29"/>
      <c r="E100" s="29"/>
      <c r="F100" s="29"/>
      <c r="G100" s="34"/>
      <c r="H100" s="29"/>
      <c r="I100" s="29"/>
      <c r="J100" s="29"/>
      <c r="K100" s="29"/>
      <c r="L100" s="36"/>
      <c r="M100" s="29"/>
      <c r="N100" s="37"/>
      <c r="O100" s="30" t="n">
        <f aca="false">N100*J100</f>
        <v>0</v>
      </c>
      <c r="R100" s="6"/>
    </row>
    <row r="101" customFormat="false" ht="15" hidden="false" customHeight="false" outlineLevel="0" collapsed="false">
      <c r="A101" s="33"/>
      <c r="B101" s="18" t="s">
        <v>23</v>
      </c>
      <c r="C101" s="29"/>
      <c r="D101" s="29"/>
      <c r="E101" s="29"/>
      <c r="F101" s="29"/>
      <c r="G101" s="34"/>
      <c r="H101" s="29"/>
      <c r="I101" s="29"/>
      <c r="J101" s="29"/>
      <c r="K101" s="29"/>
      <c r="L101" s="36"/>
      <c r="M101" s="29"/>
      <c r="N101" s="37"/>
      <c r="O101" s="30" t="n">
        <f aca="false">N101*J101</f>
        <v>0</v>
      </c>
      <c r="R101" s="6"/>
    </row>
    <row r="102" customFormat="false" ht="15" hidden="false" customHeight="false" outlineLevel="0" collapsed="false">
      <c r="A102" s="33"/>
      <c r="B102" s="18" t="s">
        <v>23</v>
      </c>
      <c r="C102" s="29"/>
      <c r="D102" s="29"/>
      <c r="E102" s="29"/>
      <c r="F102" s="29"/>
      <c r="G102" s="34"/>
      <c r="H102" s="29"/>
      <c r="I102" s="29"/>
      <c r="J102" s="29"/>
      <c r="K102" s="29"/>
      <c r="L102" s="36"/>
      <c r="M102" s="29"/>
      <c r="N102" s="37"/>
      <c r="O102" s="30" t="n">
        <f aca="false">N102*J102</f>
        <v>0</v>
      </c>
      <c r="R102" s="6"/>
    </row>
    <row r="103" customFormat="false" ht="15" hidden="false" customHeight="false" outlineLevel="0" collapsed="false">
      <c r="A103" s="33"/>
      <c r="B103" s="18" t="s">
        <v>23</v>
      </c>
      <c r="C103" s="29"/>
      <c r="D103" s="29"/>
      <c r="E103" s="29"/>
      <c r="F103" s="29"/>
      <c r="G103" s="34"/>
      <c r="H103" s="29"/>
      <c r="I103" s="29"/>
      <c r="J103" s="29"/>
      <c r="K103" s="29"/>
      <c r="L103" s="36"/>
      <c r="M103" s="29"/>
      <c r="N103" s="37"/>
      <c r="O103" s="30" t="n">
        <f aca="false">N103*J103</f>
        <v>0</v>
      </c>
      <c r="R103" s="6"/>
    </row>
    <row r="104" customFormat="false" ht="15" hidden="false" customHeight="false" outlineLevel="0" collapsed="false">
      <c r="A104" s="33"/>
      <c r="B104" s="18" t="s">
        <v>23</v>
      </c>
      <c r="C104" s="29"/>
      <c r="D104" s="29"/>
      <c r="E104" s="29"/>
      <c r="F104" s="29"/>
      <c r="G104" s="34"/>
      <c r="H104" s="29"/>
      <c r="I104" s="29"/>
      <c r="J104" s="29"/>
      <c r="K104" s="29"/>
      <c r="L104" s="36"/>
      <c r="M104" s="29"/>
      <c r="N104" s="37"/>
      <c r="O104" s="30" t="n">
        <f aca="false">N104*J104</f>
        <v>0</v>
      </c>
      <c r="R104" s="6"/>
    </row>
    <row r="105" customFormat="false" ht="15" hidden="false" customHeight="false" outlineLevel="0" collapsed="false">
      <c r="A105" s="33"/>
      <c r="B105" s="18" t="s">
        <v>23</v>
      </c>
      <c r="C105" s="29"/>
      <c r="D105" s="29"/>
      <c r="E105" s="29"/>
      <c r="F105" s="29"/>
      <c r="G105" s="34"/>
      <c r="H105" s="29"/>
      <c r="I105" s="29"/>
      <c r="J105" s="29"/>
      <c r="K105" s="29"/>
      <c r="L105" s="36"/>
      <c r="M105" s="29"/>
      <c r="N105" s="37"/>
      <c r="O105" s="30" t="n">
        <f aca="false">N105*J105</f>
        <v>0</v>
      </c>
      <c r="R105" s="6"/>
    </row>
    <row r="106" customFormat="false" ht="15" hidden="false" customHeight="false" outlineLevel="0" collapsed="false">
      <c r="A106" s="33"/>
      <c r="B106" s="18" t="s">
        <v>23</v>
      </c>
      <c r="C106" s="29"/>
      <c r="D106" s="29"/>
      <c r="E106" s="29"/>
      <c r="F106" s="29"/>
      <c r="G106" s="34"/>
      <c r="H106" s="29"/>
      <c r="I106" s="29"/>
      <c r="J106" s="29"/>
      <c r="K106" s="29"/>
      <c r="L106" s="36"/>
      <c r="M106" s="29"/>
      <c r="N106" s="37"/>
      <c r="O106" s="30" t="n">
        <f aca="false">N106*J106</f>
        <v>0</v>
      </c>
      <c r="R106" s="6"/>
    </row>
    <row r="107" customFormat="false" ht="15" hidden="false" customHeight="false" outlineLevel="0" collapsed="false">
      <c r="A107" s="33"/>
      <c r="B107" s="18" t="s">
        <v>23</v>
      </c>
      <c r="C107" s="29"/>
      <c r="D107" s="29"/>
      <c r="E107" s="29"/>
      <c r="F107" s="29"/>
      <c r="G107" s="34"/>
      <c r="H107" s="29"/>
      <c r="I107" s="29"/>
      <c r="J107" s="29"/>
      <c r="K107" s="29"/>
      <c r="L107" s="36"/>
      <c r="M107" s="29"/>
      <c r="N107" s="37"/>
      <c r="O107" s="30" t="n">
        <f aca="false">N107*J107</f>
        <v>0</v>
      </c>
      <c r="R107" s="6"/>
    </row>
    <row r="108" customFormat="false" ht="15" hidden="false" customHeight="false" outlineLevel="0" collapsed="false">
      <c r="A108" s="33"/>
      <c r="B108" s="18" t="s">
        <v>23</v>
      </c>
      <c r="C108" s="29"/>
      <c r="D108" s="29"/>
      <c r="E108" s="29"/>
      <c r="F108" s="29"/>
      <c r="G108" s="34"/>
      <c r="H108" s="29"/>
      <c r="I108" s="29"/>
      <c r="J108" s="29"/>
      <c r="K108" s="29"/>
      <c r="L108" s="36"/>
      <c r="M108" s="29"/>
      <c r="N108" s="37"/>
      <c r="O108" s="30" t="n">
        <f aca="false">N108*J108</f>
        <v>0</v>
      </c>
      <c r="R108" s="6"/>
    </row>
    <row r="109" customFormat="false" ht="15" hidden="false" customHeight="false" outlineLevel="0" collapsed="false">
      <c r="A109" s="33"/>
      <c r="B109" s="18" t="s">
        <v>23</v>
      </c>
      <c r="C109" s="29"/>
      <c r="D109" s="29"/>
      <c r="E109" s="29"/>
      <c r="F109" s="29"/>
      <c r="G109" s="34"/>
      <c r="H109" s="29"/>
      <c r="I109" s="29"/>
      <c r="J109" s="29"/>
      <c r="K109" s="29"/>
      <c r="L109" s="36"/>
      <c r="M109" s="29"/>
      <c r="N109" s="37"/>
      <c r="O109" s="30" t="n">
        <f aca="false">N109*J109</f>
        <v>0</v>
      </c>
      <c r="R109" s="6"/>
    </row>
    <row r="110" customFormat="false" ht="15" hidden="false" customHeight="false" outlineLevel="0" collapsed="false">
      <c r="A110" s="33"/>
      <c r="B110" s="18" t="s">
        <v>23</v>
      </c>
      <c r="C110" s="29"/>
      <c r="D110" s="29"/>
      <c r="E110" s="29"/>
      <c r="F110" s="29"/>
      <c r="G110" s="34"/>
      <c r="H110" s="29"/>
      <c r="I110" s="29"/>
      <c r="J110" s="29"/>
      <c r="K110" s="29"/>
      <c r="L110" s="36"/>
      <c r="M110" s="29"/>
      <c r="N110" s="37"/>
      <c r="O110" s="30" t="n">
        <f aca="false">N110*J110</f>
        <v>0</v>
      </c>
      <c r="R110" s="6"/>
    </row>
    <row r="111" customFormat="false" ht="15" hidden="false" customHeight="false" outlineLevel="0" collapsed="false">
      <c r="A111" s="33"/>
      <c r="B111" s="18" t="s">
        <v>23</v>
      </c>
      <c r="C111" s="29"/>
      <c r="D111" s="29"/>
      <c r="E111" s="29"/>
      <c r="F111" s="29"/>
      <c r="G111" s="34"/>
      <c r="H111" s="29"/>
      <c r="I111" s="29"/>
      <c r="J111" s="29"/>
      <c r="K111" s="29"/>
      <c r="L111" s="36"/>
      <c r="M111" s="29"/>
      <c r="N111" s="37"/>
      <c r="O111" s="30" t="n">
        <f aca="false">N111*J111</f>
        <v>0</v>
      </c>
      <c r="R111" s="6"/>
    </row>
    <row r="112" customFormat="false" ht="15" hidden="false" customHeight="false" outlineLevel="0" collapsed="false">
      <c r="A112" s="33"/>
      <c r="B112" s="18" t="s">
        <v>23</v>
      </c>
      <c r="C112" s="29"/>
      <c r="D112" s="29"/>
      <c r="E112" s="29"/>
      <c r="F112" s="29"/>
      <c r="G112" s="34"/>
      <c r="H112" s="29"/>
      <c r="I112" s="29"/>
      <c r="J112" s="29"/>
      <c r="K112" s="29"/>
      <c r="L112" s="36"/>
      <c r="M112" s="29"/>
      <c r="N112" s="37"/>
      <c r="O112" s="30" t="n">
        <f aca="false">N112*J112</f>
        <v>0</v>
      </c>
      <c r="R112" s="6"/>
    </row>
    <row r="113" customFormat="false" ht="15" hidden="false" customHeight="false" outlineLevel="0" collapsed="false">
      <c r="A113" s="33"/>
      <c r="B113" s="18" t="s">
        <v>23</v>
      </c>
      <c r="C113" s="29"/>
      <c r="D113" s="29"/>
      <c r="E113" s="29"/>
      <c r="F113" s="29"/>
      <c r="G113" s="34"/>
      <c r="H113" s="29"/>
      <c r="I113" s="29"/>
      <c r="J113" s="29"/>
      <c r="K113" s="29"/>
      <c r="L113" s="36"/>
      <c r="M113" s="29"/>
      <c r="N113" s="37"/>
      <c r="O113" s="30" t="n">
        <f aca="false">N113*J113</f>
        <v>0</v>
      </c>
      <c r="R113" s="6"/>
    </row>
    <row r="114" customFormat="false" ht="15" hidden="false" customHeight="false" outlineLevel="0" collapsed="false">
      <c r="A114" s="33"/>
      <c r="B114" s="18" t="s">
        <v>23</v>
      </c>
      <c r="C114" s="29"/>
      <c r="D114" s="29"/>
      <c r="E114" s="29"/>
      <c r="F114" s="29"/>
      <c r="G114" s="34"/>
      <c r="H114" s="29"/>
      <c r="I114" s="29"/>
      <c r="J114" s="29"/>
      <c r="K114" s="29"/>
      <c r="L114" s="36"/>
      <c r="M114" s="29"/>
      <c r="N114" s="37"/>
      <c r="O114" s="30" t="n">
        <f aca="false">N114*J114</f>
        <v>0</v>
      </c>
      <c r="R114" s="6"/>
    </row>
    <row r="115" customFormat="false" ht="15" hidden="false" customHeight="false" outlineLevel="0" collapsed="false">
      <c r="A115" s="33"/>
      <c r="B115" s="18" t="s">
        <v>23</v>
      </c>
      <c r="C115" s="29"/>
      <c r="D115" s="29"/>
      <c r="E115" s="29"/>
      <c r="F115" s="29"/>
      <c r="G115" s="34"/>
      <c r="H115" s="29"/>
      <c r="I115" s="29"/>
      <c r="J115" s="29"/>
      <c r="K115" s="29"/>
      <c r="L115" s="36"/>
      <c r="M115" s="29"/>
      <c r="N115" s="37"/>
      <c r="O115" s="30" t="n">
        <f aca="false">N115*J115</f>
        <v>0</v>
      </c>
      <c r="R115" s="6"/>
    </row>
    <row r="116" customFormat="false" ht="15" hidden="false" customHeight="false" outlineLevel="0" collapsed="false">
      <c r="A116" s="33"/>
      <c r="B116" s="18" t="s">
        <v>23</v>
      </c>
      <c r="C116" s="29"/>
      <c r="D116" s="29"/>
      <c r="E116" s="29"/>
      <c r="F116" s="29"/>
      <c r="G116" s="34"/>
      <c r="H116" s="29"/>
      <c r="I116" s="29"/>
      <c r="J116" s="29"/>
      <c r="K116" s="29"/>
      <c r="L116" s="36"/>
      <c r="M116" s="29"/>
      <c r="N116" s="37"/>
      <c r="O116" s="30" t="n">
        <f aca="false">N116*J116</f>
        <v>0</v>
      </c>
      <c r="R116" s="6"/>
    </row>
    <row r="117" customFormat="false" ht="15" hidden="false" customHeight="false" outlineLevel="0" collapsed="false">
      <c r="A117" s="33"/>
      <c r="B117" s="18" t="s">
        <v>23</v>
      </c>
      <c r="C117" s="29"/>
      <c r="D117" s="29"/>
      <c r="E117" s="29"/>
      <c r="F117" s="29"/>
      <c r="G117" s="34"/>
      <c r="H117" s="29"/>
      <c r="I117" s="29"/>
      <c r="J117" s="29"/>
      <c r="K117" s="29"/>
      <c r="L117" s="36"/>
      <c r="M117" s="29"/>
      <c r="N117" s="37"/>
      <c r="O117" s="30" t="n">
        <f aca="false">N117*J117</f>
        <v>0</v>
      </c>
      <c r="R117" s="6"/>
    </row>
    <row r="118" customFormat="false" ht="15" hidden="false" customHeight="false" outlineLevel="0" collapsed="false">
      <c r="A118" s="33"/>
      <c r="B118" s="18" t="s">
        <v>23</v>
      </c>
      <c r="C118" s="29"/>
      <c r="D118" s="29"/>
      <c r="E118" s="29"/>
      <c r="F118" s="29"/>
      <c r="G118" s="34"/>
      <c r="H118" s="29"/>
      <c r="I118" s="29"/>
      <c r="J118" s="29"/>
      <c r="K118" s="29"/>
      <c r="L118" s="36"/>
      <c r="M118" s="29"/>
      <c r="N118" s="37"/>
      <c r="O118" s="30" t="n">
        <f aca="false">N118*J118</f>
        <v>0</v>
      </c>
      <c r="R118" s="6"/>
    </row>
    <row r="119" customFormat="false" ht="15" hidden="false" customHeight="false" outlineLevel="0" collapsed="false">
      <c r="A119" s="33"/>
      <c r="B119" s="18" t="s">
        <v>23</v>
      </c>
      <c r="C119" s="29"/>
      <c r="D119" s="29"/>
      <c r="E119" s="29"/>
      <c r="F119" s="29"/>
      <c r="G119" s="34"/>
      <c r="H119" s="29"/>
      <c r="I119" s="29"/>
      <c r="J119" s="29"/>
      <c r="K119" s="29"/>
      <c r="L119" s="36"/>
      <c r="M119" s="29"/>
      <c r="N119" s="37"/>
      <c r="O119" s="30" t="n">
        <f aca="false">N119*J119</f>
        <v>0</v>
      </c>
      <c r="R119" s="6"/>
    </row>
    <row r="120" customFormat="false" ht="15" hidden="false" customHeight="false" outlineLevel="0" collapsed="false">
      <c r="A120" s="33"/>
      <c r="B120" s="18" t="s">
        <v>23</v>
      </c>
      <c r="C120" s="29"/>
      <c r="D120" s="29"/>
      <c r="E120" s="29"/>
      <c r="F120" s="29"/>
      <c r="G120" s="34"/>
      <c r="H120" s="29"/>
      <c r="I120" s="29"/>
      <c r="J120" s="29"/>
      <c r="K120" s="29"/>
      <c r="L120" s="36"/>
      <c r="M120" s="29"/>
      <c r="N120" s="37"/>
      <c r="O120" s="30" t="n">
        <f aca="false">N120*J120</f>
        <v>0</v>
      </c>
      <c r="R120" s="6"/>
    </row>
    <row r="121" customFormat="false" ht="15" hidden="false" customHeight="false" outlineLevel="0" collapsed="false">
      <c r="A121" s="33"/>
      <c r="B121" s="18" t="s">
        <v>23</v>
      </c>
      <c r="C121" s="29"/>
      <c r="D121" s="29"/>
      <c r="E121" s="29"/>
      <c r="F121" s="29"/>
      <c r="G121" s="34"/>
      <c r="H121" s="29"/>
      <c r="I121" s="29"/>
      <c r="J121" s="29"/>
      <c r="K121" s="29"/>
      <c r="L121" s="36"/>
      <c r="M121" s="29"/>
      <c r="N121" s="37"/>
      <c r="O121" s="30" t="n">
        <f aca="false">N121*J121</f>
        <v>0</v>
      </c>
      <c r="R121" s="6"/>
    </row>
    <row r="122" customFormat="false" ht="15" hidden="false" customHeight="false" outlineLevel="0" collapsed="false">
      <c r="A122" s="33"/>
      <c r="B122" s="18" t="s">
        <v>23</v>
      </c>
      <c r="C122" s="29"/>
      <c r="D122" s="29"/>
      <c r="E122" s="29"/>
      <c r="F122" s="29"/>
      <c r="G122" s="34"/>
      <c r="H122" s="29"/>
      <c r="I122" s="29"/>
      <c r="J122" s="29"/>
      <c r="K122" s="29"/>
      <c r="L122" s="36"/>
      <c r="M122" s="29"/>
      <c r="N122" s="37"/>
      <c r="O122" s="30" t="n">
        <f aca="false">N122*J122</f>
        <v>0</v>
      </c>
      <c r="R122" s="6"/>
    </row>
    <row r="123" customFormat="false" ht="15" hidden="false" customHeight="false" outlineLevel="0" collapsed="false">
      <c r="A123" s="33"/>
      <c r="B123" s="18" t="s">
        <v>23</v>
      </c>
      <c r="C123" s="29"/>
      <c r="D123" s="29"/>
      <c r="E123" s="29"/>
      <c r="F123" s="29"/>
      <c r="G123" s="34"/>
      <c r="H123" s="29"/>
      <c r="I123" s="29"/>
      <c r="J123" s="29"/>
      <c r="K123" s="29"/>
      <c r="L123" s="36"/>
      <c r="M123" s="29"/>
      <c r="N123" s="37"/>
      <c r="O123" s="30" t="n">
        <f aca="false">N123*J123</f>
        <v>0</v>
      </c>
      <c r="R123" s="6"/>
    </row>
    <row r="124" customFormat="false" ht="15" hidden="false" customHeight="false" outlineLevel="0" collapsed="false">
      <c r="A124" s="33"/>
      <c r="B124" s="18" t="s">
        <v>23</v>
      </c>
      <c r="C124" s="29"/>
      <c r="D124" s="29"/>
      <c r="E124" s="29"/>
      <c r="F124" s="29"/>
      <c r="G124" s="34"/>
      <c r="H124" s="29"/>
      <c r="I124" s="29"/>
      <c r="J124" s="29"/>
      <c r="K124" s="29"/>
      <c r="L124" s="36"/>
      <c r="M124" s="29"/>
      <c r="N124" s="37"/>
      <c r="O124" s="30" t="n">
        <f aca="false">N124*J124</f>
        <v>0</v>
      </c>
      <c r="R124" s="6"/>
    </row>
    <row r="125" customFormat="false" ht="15" hidden="false" customHeight="false" outlineLevel="0" collapsed="false">
      <c r="A125" s="33"/>
      <c r="B125" s="18" t="s">
        <v>23</v>
      </c>
      <c r="C125" s="29"/>
      <c r="D125" s="29"/>
      <c r="E125" s="29"/>
      <c r="F125" s="29"/>
      <c r="G125" s="34"/>
      <c r="H125" s="29"/>
      <c r="I125" s="29"/>
      <c r="J125" s="29"/>
      <c r="K125" s="29"/>
      <c r="L125" s="36"/>
      <c r="M125" s="29"/>
      <c r="N125" s="37"/>
      <c r="O125" s="30" t="n">
        <f aca="false">N125*J125</f>
        <v>0</v>
      </c>
      <c r="R125" s="6"/>
    </row>
    <row r="126" customFormat="false" ht="15" hidden="false" customHeight="false" outlineLevel="0" collapsed="false">
      <c r="A126" s="33"/>
      <c r="B126" s="18" t="s">
        <v>23</v>
      </c>
      <c r="C126" s="29"/>
      <c r="D126" s="29"/>
      <c r="E126" s="29"/>
      <c r="F126" s="29"/>
      <c r="G126" s="34"/>
      <c r="H126" s="29"/>
      <c r="I126" s="29"/>
      <c r="J126" s="29"/>
      <c r="K126" s="29"/>
      <c r="L126" s="36"/>
      <c r="M126" s="29"/>
      <c r="N126" s="37"/>
      <c r="O126" s="30" t="n">
        <f aca="false">N126*J126</f>
        <v>0</v>
      </c>
      <c r="R126" s="6"/>
    </row>
    <row r="127" customFormat="false" ht="15" hidden="false" customHeight="false" outlineLevel="0" collapsed="false">
      <c r="A127" s="33"/>
      <c r="B127" s="18" t="s">
        <v>23</v>
      </c>
      <c r="C127" s="29"/>
      <c r="D127" s="29"/>
      <c r="E127" s="29"/>
      <c r="F127" s="29"/>
      <c r="G127" s="34"/>
      <c r="H127" s="29"/>
      <c r="I127" s="29"/>
      <c r="J127" s="29"/>
      <c r="K127" s="29"/>
      <c r="L127" s="36"/>
      <c r="M127" s="29"/>
      <c r="N127" s="37"/>
      <c r="O127" s="30" t="n">
        <f aca="false">N127*J127</f>
        <v>0</v>
      </c>
      <c r="R127" s="6"/>
    </row>
    <row r="128" customFormat="false" ht="15" hidden="false" customHeight="false" outlineLevel="0" collapsed="false">
      <c r="A128" s="33"/>
      <c r="B128" s="18" t="s">
        <v>23</v>
      </c>
      <c r="C128" s="29"/>
      <c r="D128" s="29"/>
      <c r="E128" s="29"/>
      <c r="F128" s="29"/>
      <c r="G128" s="34"/>
      <c r="H128" s="29"/>
      <c r="I128" s="29"/>
      <c r="J128" s="29"/>
      <c r="K128" s="29"/>
      <c r="L128" s="36"/>
      <c r="M128" s="29"/>
      <c r="N128" s="37"/>
      <c r="O128" s="30" t="n">
        <f aca="false">N128*J128</f>
        <v>0</v>
      </c>
      <c r="R128" s="6"/>
    </row>
    <row r="129" customFormat="false" ht="15" hidden="false" customHeight="false" outlineLevel="0" collapsed="false">
      <c r="A129" s="33"/>
      <c r="B129" s="18" t="s">
        <v>23</v>
      </c>
      <c r="C129" s="29"/>
      <c r="D129" s="29"/>
      <c r="E129" s="29"/>
      <c r="F129" s="29"/>
      <c r="G129" s="34"/>
      <c r="H129" s="29"/>
      <c r="I129" s="29"/>
      <c r="J129" s="29"/>
      <c r="K129" s="29"/>
      <c r="L129" s="36"/>
      <c r="M129" s="29"/>
      <c r="N129" s="37"/>
      <c r="O129" s="30" t="n">
        <f aca="false">N129*J129</f>
        <v>0</v>
      </c>
      <c r="R129" s="6"/>
    </row>
    <row r="130" customFormat="false" ht="15" hidden="false" customHeight="false" outlineLevel="0" collapsed="false">
      <c r="A130" s="33"/>
      <c r="B130" s="18" t="s">
        <v>23</v>
      </c>
      <c r="C130" s="29"/>
      <c r="D130" s="29"/>
      <c r="E130" s="29"/>
      <c r="F130" s="29"/>
      <c r="G130" s="34"/>
      <c r="H130" s="29"/>
      <c r="I130" s="29"/>
      <c r="J130" s="29"/>
      <c r="K130" s="29"/>
      <c r="L130" s="36"/>
      <c r="M130" s="29"/>
      <c r="N130" s="37"/>
      <c r="O130" s="30" t="n">
        <f aca="false">N130*J130</f>
        <v>0</v>
      </c>
      <c r="R130" s="6"/>
    </row>
    <row r="131" customFormat="false" ht="15" hidden="false" customHeight="false" outlineLevel="0" collapsed="false">
      <c r="A131" s="33"/>
      <c r="B131" s="18" t="s">
        <v>23</v>
      </c>
      <c r="C131" s="29"/>
      <c r="D131" s="29"/>
      <c r="E131" s="29"/>
      <c r="F131" s="29"/>
      <c r="G131" s="34"/>
      <c r="H131" s="29"/>
      <c r="I131" s="29"/>
      <c r="J131" s="29"/>
      <c r="K131" s="29"/>
      <c r="L131" s="36"/>
      <c r="M131" s="29"/>
      <c r="N131" s="37"/>
      <c r="O131" s="30" t="n">
        <f aca="false">N131*J131</f>
        <v>0</v>
      </c>
      <c r="R131" s="6"/>
    </row>
    <row r="132" customFormat="false" ht="15" hidden="false" customHeight="false" outlineLevel="0" collapsed="false">
      <c r="A132" s="33"/>
      <c r="B132" s="18" t="s">
        <v>23</v>
      </c>
      <c r="C132" s="29"/>
      <c r="D132" s="29"/>
      <c r="E132" s="29"/>
      <c r="F132" s="29"/>
      <c r="G132" s="34"/>
      <c r="H132" s="29"/>
      <c r="I132" s="29"/>
      <c r="J132" s="29"/>
      <c r="K132" s="29"/>
      <c r="L132" s="36"/>
      <c r="M132" s="29"/>
      <c r="N132" s="37"/>
      <c r="O132" s="30" t="n">
        <f aca="false">N132*J132</f>
        <v>0</v>
      </c>
      <c r="R132" s="6"/>
    </row>
    <row r="133" customFormat="false" ht="15" hidden="false" customHeight="false" outlineLevel="0" collapsed="false">
      <c r="A133" s="33"/>
      <c r="B133" s="18" t="s">
        <v>23</v>
      </c>
      <c r="C133" s="29"/>
      <c r="D133" s="29"/>
      <c r="E133" s="29"/>
      <c r="F133" s="29"/>
      <c r="G133" s="34"/>
      <c r="H133" s="29"/>
      <c r="I133" s="29"/>
      <c r="J133" s="29"/>
      <c r="K133" s="29"/>
      <c r="L133" s="36"/>
      <c r="M133" s="29"/>
      <c r="N133" s="37"/>
      <c r="O133" s="30" t="n">
        <f aca="false">N133*J133</f>
        <v>0</v>
      </c>
      <c r="R133" s="6"/>
    </row>
    <row r="134" customFormat="false" ht="15" hidden="false" customHeight="false" outlineLevel="0" collapsed="false">
      <c r="A134" s="33"/>
      <c r="B134" s="18" t="s">
        <v>23</v>
      </c>
      <c r="C134" s="29"/>
      <c r="D134" s="29"/>
      <c r="E134" s="29"/>
      <c r="F134" s="29"/>
      <c r="G134" s="34"/>
      <c r="H134" s="29"/>
      <c r="I134" s="29"/>
      <c r="J134" s="29"/>
      <c r="K134" s="29"/>
      <c r="L134" s="36"/>
      <c r="M134" s="29"/>
      <c r="N134" s="37"/>
      <c r="O134" s="30" t="n">
        <f aca="false">N134*J134</f>
        <v>0</v>
      </c>
      <c r="Q134" s="57"/>
    </row>
    <row r="135" customFormat="false" ht="15" hidden="false" customHeight="false" outlineLevel="0" collapsed="false">
      <c r="A135" s="33"/>
      <c r="B135" s="18" t="s">
        <v>23</v>
      </c>
      <c r="C135" s="29"/>
      <c r="D135" s="29"/>
      <c r="E135" s="29"/>
      <c r="F135" s="29"/>
      <c r="G135" s="34"/>
      <c r="H135" s="29"/>
      <c r="I135" s="29"/>
      <c r="J135" s="29"/>
      <c r="K135" s="29"/>
      <c r="L135" s="36"/>
      <c r="M135" s="29"/>
      <c r="N135" s="37"/>
      <c r="O135" s="30" t="n">
        <f aca="false">N135*J135</f>
        <v>0</v>
      </c>
    </row>
    <row r="136" customFormat="false" ht="15" hidden="false" customHeight="false" outlineLevel="0" collapsed="false">
      <c r="A136" s="33"/>
      <c r="B136" s="18" t="s">
        <v>23</v>
      </c>
      <c r="C136" s="29"/>
      <c r="D136" s="29"/>
      <c r="E136" s="29"/>
      <c r="F136" s="29"/>
      <c r="G136" s="36"/>
      <c r="H136" s="29"/>
      <c r="I136" s="29"/>
      <c r="J136" s="29"/>
      <c r="K136" s="29"/>
      <c r="L136" s="36"/>
      <c r="M136" s="29"/>
      <c r="N136" s="37"/>
      <c r="O136" s="30" t="n">
        <f aca="false">N136*J136</f>
        <v>0</v>
      </c>
    </row>
    <row r="137" customFormat="false" ht="15" hidden="false" customHeight="false" outlineLevel="0" collapsed="false">
      <c r="A137" s="33"/>
      <c r="B137" s="18" t="s">
        <v>23</v>
      </c>
      <c r="C137" s="29"/>
      <c r="D137" s="29"/>
      <c r="E137" s="29"/>
      <c r="F137" s="29"/>
      <c r="G137" s="34"/>
      <c r="H137" s="29"/>
      <c r="I137" s="29"/>
      <c r="J137" s="29"/>
      <c r="K137" s="29"/>
      <c r="L137" s="36"/>
      <c r="M137" s="29"/>
      <c r="N137" s="37"/>
      <c r="O137" s="30" t="n">
        <f aca="false">N137*J137</f>
        <v>0</v>
      </c>
    </row>
    <row r="138" customFormat="false" ht="15" hidden="false" customHeight="false" outlineLevel="0" collapsed="false">
      <c r="A138" s="33"/>
      <c r="B138" s="18" t="s">
        <v>23</v>
      </c>
      <c r="C138" s="29"/>
      <c r="D138" s="29"/>
      <c r="E138" s="29"/>
      <c r="F138" s="29"/>
      <c r="G138" s="34"/>
      <c r="H138" s="29"/>
      <c r="I138" s="29"/>
      <c r="J138" s="29"/>
      <c r="K138" s="29"/>
      <c r="L138" s="36"/>
      <c r="M138" s="29"/>
      <c r="N138" s="37"/>
      <c r="O138" s="30" t="n">
        <f aca="false">N138*J138</f>
        <v>0</v>
      </c>
    </row>
    <row r="139" customFormat="false" ht="15" hidden="false" customHeight="false" outlineLevel="0" collapsed="false">
      <c r="A139" s="33"/>
      <c r="B139" s="18" t="s">
        <v>23</v>
      </c>
      <c r="C139" s="29"/>
      <c r="D139" s="29"/>
      <c r="E139" s="29"/>
      <c r="F139" s="29"/>
      <c r="G139" s="34"/>
      <c r="H139" s="29"/>
      <c r="I139" s="29"/>
      <c r="J139" s="29"/>
      <c r="K139" s="29"/>
      <c r="L139" s="36"/>
      <c r="M139" s="29"/>
      <c r="N139" s="37"/>
      <c r="O139" s="30" t="n">
        <f aca="false">N139*J139</f>
        <v>0</v>
      </c>
    </row>
    <row r="140" customFormat="false" ht="15" hidden="false" customHeight="false" outlineLevel="0" collapsed="false">
      <c r="A140" s="33"/>
      <c r="B140" s="18" t="s">
        <v>23</v>
      </c>
      <c r="C140" s="29"/>
      <c r="D140" s="29"/>
      <c r="E140" s="29"/>
      <c r="F140" s="29"/>
      <c r="G140" s="34"/>
      <c r="H140" s="29"/>
      <c r="I140" s="29"/>
      <c r="J140" s="29"/>
      <c r="K140" s="29"/>
      <c r="L140" s="36"/>
      <c r="M140" s="29"/>
      <c r="N140" s="37"/>
      <c r="O140" s="30" t="n">
        <f aca="false">N140*J140</f>
        <v>0</v>
      </c>
    </row>
    <row r="141" customFormat="false" ht="15" hidden="false" customHeight="false" outlineLevel="0" collapsed="false">
      <c r="A141" s="33"/>
      <c r="B141" s="18" t="s">
        <v>23</v>
      </c>
      <c r="C141" s="29"/>
      <c r="D141" s="29"/>
      <c r="E141" s="29"/>
      <c r="F141" s="29"/>
      <c r="G141" s="34"/>
      <c r="H141" s="29"/>
      <c r="I141" s="29"/>
      <c r="J141" s="29"/>
      <c r="K141" s="29"/>
      <c r="L141" s="36"/>
      <c r="M141" s="29"/>
      <c r="N141" s="37"/>
      <c r="O141" s="30" t="n">
        <f aca="false">N141*J141</f>
        <v>0</v>
      </c>
    </row>
    <row r="142" customFormat="false" ht="15" hidden="false" customHeight="false" outlineLevel="0" collapsed="false">
      <c r="A142" s="33"/>
      <c r="B142" s="18" t="s">
        <v>23</v>
      </c>
      <c r="C142" s="29"/>
      <c r="D142" s="29"/>
      <c r="E142" s="29"/>
      <c r="F142" s="29"/>
      <c r="G142" s="34"/>
      <c r="H142" s="29"/>
      <c r="I142" s="29"/>
      <c r="J142" s="29"/>
      <c r="K142" s="29"/>
      <c r="L142" s="36"/>
      <c r="M142" s="29"/>
      <c r="N142" s="37"/>
      <c r="O142" s="30" t="n">
        <f aca="false">N142*J142</f>
        <v>0</v>
      </c>
    </row>
    <row r="143" customFormat="false" ht="15" hidden="false" customHeight="false" outlineLevel="0" collapsed="false">
      <c r="A143" s="33"/>
      <c r="B143" s="18" t="s">
        <v>23</v>
      </c>
      <c r="C143" s="29"/>
      <c r="D143" s="29"/>
      <c r="E143" s="29"/>
      <c r="F143" s="29"/>
      <c r="G143" s="34"/>
      <c r="H143" s="29"/>
      <c r="I143" s="29"/>
      <c r="J143" s="29"/>
      <c r="K143" s="29"/>
      <c r="L143" s="36"/>
      <c r="M143" s="29"/>
      <c r="N143" s="37"/>
      <c r="O143" s="30" t="n">
        <f aca="false">N143*J143</f>
        <v>0</v>
      </c>
    </row>
    <row r="144" customFormat="false" ht="15" hidden="false" customHeight="false" outlineLevel="0" collapsed="false">
      <c r="A144" s="33"/>
      <c r="B144" s="18" t="s">
        <v>23</v>
      </c>
      <c r="C144" s="29"/>
      <c r="D144" s="29"/>
      <c r="E144" s="29"/>
      <c r="F144" s="29"/>
      <c r="G144" s="34"/>
      <c r="H144" s="29"/>
      <c r="I144" s="29"/>
      <c r="J144" s="29"/>
      <c r="K144" s="29"/>
      <c r="L144" s="36"/>
      <c r="M144" s="29"/>
      <c r="N144" s="37"/>
      <c r="O144" s="30" t="n">
        <f aca="false">N144*J144</f>
        <v>0</v>
      </c>
    </row>
    <row r="145" customFormat="false" ht="15" hidden="false" customHeight="false" outlineLevel="0" collapsed="false">
      <c r="A145" s="33"/>
      <c r="B145" s="18" t="s">
        <v>23</v>
      </c>
      <c r="C145" s="29"/>
      <c r="D145" s="29"/>
      <c r="E145" s="29"/>
      <c r="F145" s="29"/>
      <c r="G145" s="34"/>
      <c r="H145" s="29"/>
      <c r="I145" s="29"/>
      <c r="J145" s="29"/>
      <c r="K145" s="29"/>
      <c r="L145" s="36"/>
      <c r="M145" s="29"/>
      <c r="N145" s="37"/>
      <c r="O145" s="30" t="n">
        <f aca="false">N145*J145</f>
        <v>0</v>
      </c>
    </row>
    <row r="146" customFormat="false" ht="15" hidden="false" customHeight="false" outlineLevel="0" collapsed="false">
      <c r="A146" s="33"/>
      <c r="B146" s="18" t="s">
        <v>23</v>
      </c>
      <c r="C146" s="29"/>
      <c r="D146" s="29"/>
      <c r="E146" s="29"/>
      <c r="F146" s="29"/>
      <c r="G146" s="34"/>
      <c r="H146" s="29"/>
      <c r="I146" s="29"/>
      <c r="J146" s="29"/>
      <c r="K146" s="29"/>
      <c r="L146" s="36"/>
      <c r="M146" s="29"/>
      <c r="N146" s="37"/>
      <c r="O146" s="30" t="n">
        <f aca="false">N146*J146</f>
        <v>0</v>
      </c>
    </row>
    <row r="147" customFormat="false" ht="15" hidden="false" customHeight="false" outlineLevel="0" collapsed="false">
      <c r="A147" s="33"/>
      <c r="B147" s="18" t="s">
        <v>23</v>
      </c>
      <c r="C147" s="29"/>
      <c r="D147" s="29"/>
      <c r="E147" s="29"/>
      <c r="F147" s="29"/>
      <c r="G147" s="34"/>
      <c r="H147" s="29"/>
      <c r="I147" s="29"/>
      <c r="J147" s="29"/>
      <c r="K147" s="29"/>
      <c r="L147" s="36"/>
      <c r="M147" s="29"/>
      <c r="N147" s="37"/>
      <c r="O147" s="30" t="n">
        <f aca="false">N147*J147</f>
        <v>0</v>
      </c>
    </row>
    <row r="148" customFormat="false" ht="15" hidden="false" customHeight="false" outlineLevel="0" collapsed="false">
      <c r="A148" s="33"/>
      <c r="B148" s="18" t="s">
        <v>23</v>
      </c>
      <c r="C148" s="29"/>
      <c r="D148" s="29"/>
      <c r="E148" s="29"/>
      <c r="F148" s="29"/>
      <c r="G148" s="34"/>
      <c r="H148" s="29"/>
      <c r="I148" s="29"/>
      <c r="J148" s="29"/>
      <c r="K148" s="29"/>
      <c r="L148" s="36"/>
      <c r="M148" s="29"/>
      <c r="N148" s="37"/>
      <c r="O148" s="30" t="n">
        <f aca="false">N148*J148</f>
        <v>0</v>
      </c>
    </row>
    <row r="149" customFormat="false" ht="15" hidden="false" customHeight="false" outlineLevel="0" collapsed="false">
      <c r="A149" s="33"/>
      <c r="B149" s="18" t="s">
        <v>23</v>
      </c>
      <c r="C149" s="29"/>
      <c r="D149" s="29"/>
      <c r="E149" s="29"/>
      <c r="F149" s="29"/>
      <c r="G149" s="34"/>
      <c r="H149" s="29"/>
      <c r="I149" s="29"/>
      <c r="J149" s="29"/>
      <c r="K149" s="29"/>
      <c r="L149" s="36"/>
      <c r="M149" s="29"/>
      <c r="N149" s="37"/>
      <c r="O149" s="30" t="n">
        <f aca="false">N149*J149</f>
        <v>0</v>
      </c>
    </row>
    <row r="150" customFormat="false" ht="15" hidden="false" customHeight="false" outlineLevel="0" collapsed="false">
      <c r="A150" s="33"/>
      <c r="B150" s="18" t="s">
        <v>23</v>
      </c>
      <c r="C150" s="29"/>
      <c r="D150" s="29"/>
      <c r="E150" s="29"/>
      <c r="F150" s="29"/>
      <c r="G150" s="34"/>
      <c r="H150" s="29"/>
      <c r="I150" s="29"/>
      <c r="J150" s="29"/>
      <c r="K150" s="29"/>
      <c r="L150" s="36"/>
      <c r="M150" s="29"/>
      <c r="N150" s="37"/>
      <c r="O150" s="30" t="n">
        <f aca="false">N150*J150</f>
        <v>0</v>
      </c>
    </row>
    <row r="151" customFormat="false" ht="15" hidden="false" customHeight="false" outlineLevel="0" collapsed="false">
      <c r="A151" s="33"/>
      <c r="B151" s="18" t="s">
        <v>23</v>
      </c>
      <c r="C151" s="29"/>
      <c r="D151" s="29"/>
      <c r="E151" s="29"/>
      <c r="F151" s="29"/>
      <c r="G151" s="34"/>
      <c r="H151" s="29"/>
      <c r="I151" s="29"/>
      <c r="J151" s="29"/>
      <c r="K151" s="29"/>
      <c r="L151" s="36"/>
      <c r="M151" s="29"/>
      <c r="N151" s="37"/>
      <c r="O151" s="30" t="n">
        <f aca="false">N151*J151</f>
        <v>0</v>
      </c>
    </row>
    <row r="152" customFormat="false" ht="15" hidden="false" customHeight="false" outlineLevel="0" collapsed="false">
      <c r="A152" s="33"/>
      <c r="B152" s="18" t="s">
        <v>23</v>
      </c>
      <c r="C152" s="29"/>
      <c r="D152" s="29"/>
      <c r="E152" s="29"/>
      <c r="F152" s="29"/>
      <c r="G152" s="34"/>
      <c r="H152" s="29"/>
      <c r="I152" s="29"/>
      <c r="J152" s="29"/>
      <c r="K152" s="29"/>
      <c r="L152" s="36"/>
      <c r="M152" s="29"/>
      <c r="N152" s="37"/>
      <c r="O152" s="30" t="n">
        <f aca="false">N152*J152</f>
        <v>0</v>
      </c>
    </row>
    <row r="153" customFormat="false" ht="15" hidden="false" customHeight="false" outlineLevel="0" collapsed="false">
      <c r="A153" s="33"/>
      <c r="B153" s="18" t="s">
        <v>23</v>
      </c>
      <c r="C153" s="29"/>
      <c r="D153" s="29"/>
      <c r="E153" s="29"/>
      <c r="F153" s="29"/>
      <c r="G153" s="34"/>
      <c r="H153" s="29"/>
      <c r="I153" s="29"/>
      <c r="J153" s="29"/>
      <c r="K153" s="29"/>
      <c r="L153" s="36"/>
      <c r="M153" s="29"/>
      <c r="N153" s="37"/>
      <c r="O153" s="30" t="n">
        <f aca="false">N153*J153</f>
        <v>0</v>
      </c>
    </row>
    <row r="154" customFormat="false" ht="15" hidden="false" customHeight="false" outlineLevel="0" collapsed="false">
      <c r="A154" s="33"/>
      <c r="B154" s="18" t="s">
        <v>23</v>
      </c>
      <c r="C154" s="29"/>
      <c r="D154" s="29"/>
      <c r="E154" s="29"/>
      <c r="F154" s="29"/>
      <c r="G154" s="34"/>
      <c r="H154" s="29"/>
      <c r="I154" s="29"/>
      <c r="J154" s="29"/>
      <c r="K154" s="29"/>
      <c r="L154" s="36"/>
      <c r="M154" s="29"/>
      <c r="N154" s="37"/>
      <c r="O154" s="30" t="n">
        <f aca="false">N154*J154</f>
        <v>0</v>
      </c>
    </row>
    <row r="155" customFormat="false" ht="15" hidden="false" customHeight="false" outlineLevel="0" collapsed="false">
      <c r="A155" s="33"/>
      <c r="B155" s="18" t="s">
        <v>23</v>
      </c>
      <c r="C155" s="29"/>
      <c r="D155" s="29"/>
      <c r="E155" s="29"/>
      <c r="F155" s="29"/>
      <c r="G155" s="34"/>
      <c r="H155" s="29"/>
      <c r="I155" s="29"/>
      <c r="J155" s="29"/>
      <c r="K155" s="29"/>
      <c r="L155" s="36"/>
      <c r="M155" s="29"/>
      <c r="N155" s="37"/>
      <c r="O155" s="30" t="n">
        <f aca="false">N155*J155</f>
        <v>0</v>
      </c>
    </row>
    <row r="156" customFormat="false" ht="15" hidden="false" customHeight="false" outlineLevel="0" collapsed="false">
      <c r="A156" s="33"/>
      <c r="B156" s="18" t="s">
        <v>23</v>
      </c>
      <c r="C156" s="29"/>
      <c r="D156" s="29"/>
      <c r="E156" s="29"/>
      <c r="F156" s="29"/>
      <c r="G156" s="34"/>
      <c r="H156" s="29"/>
      <c r="I156" s="29"/>
      <c r="J156" s="29"/>
      <c r="K156" s="29"/>
      <c r="L156" s="36"/>
      <c r="M156" s="29"/>
      <c r="N156" s="37"/>
      <c r="O156" s="30" t="n">
        <f aca="false">N156*J156</f>
        <v>0</v>
      </c>
    </row>
    <row r="157" customFormat="false" ht="15" hidden="false" customHeight="false" outlineLevel="0" collapsed="false">
      <c r="A157" s="33"/>
      <c r="B157" s="18" t="s">
        <v>23</v>
      </c>
      <c r="C157" s="29"/>
      <c r="D157" s="29"/>
      <c r="E157" s="29"/>
      <c r="F157" s="29"/>
      <c r="G157" s="34"/>
      <c r="H157" s="29"/>
      <c r="I157" s="29"/>
      <c r="J157" s="29"/>
      <c r="K157" s="29"/>
      <c r="L157" s="36"/>
      <c r="M157" s="29"/>
      <c r="N157" s="37"/>
      <c r="O157" s="30" t="n">
        <f aca="false">N157*J157</f>
        <v>0</v>
      </c>
    </row>
    <row r="158" customFormat="false" ht="15" hidden="false" customHeight="false" outlineLevel="0" collapsed="false">
      <c r="A158" s="33"/>
      <c r="B158" s="18" t="s">
        <v>23</v>
      </c>
      <c r="C158" s="29"/>
      <c r="D158" s="29"/>
      <c r="E158" s="29"/>
      <c r="F158" s="29"/>
      <c r="G158" s="34"/>
      <c r="H158" s="29"/>
      <c r="I158" s="29"/>
      <c r="J158" s="29"/>
      <c r="K158" s="29"/>
      <c r="L158" s="36"/>
      <c r="M158" s="29"/>
      <c r="N158" s="37"/>
      <c r="O158" s="30" t="n">
        <f aca="false">N158*J158</f>
        <v>0</v>
      </c>
    </row>
    <row r="159" customFormat="false" ht="15" hidden="false" customHeight="false" outlineLevel="0" collapsed="false">
      <c r="A159" s="33"/>
      <c r="B159" s="18" t="s">
        <v>23</v>
      </c>
      <c r="C159" s="29"/>
      <c r="D159" s="29"/>
      <c r="E159" s="29"/>
      <c r="F159" s="29"/>
      <c r="G159" s="34"/>
      <c r="H159" s="29"/>
      <c r="I159" s="29"/>
      <c r="J159" s="29"/>
      <c r="K159" s="29"/>
      <c r="L159" s="36"/>
      <c r="M159" s="29"/>
      <c r="N159" s="37"/>
      <c r="O159" s="30" t="n">
        <f aca="false">N159*J159</f>
        <v>0</v>
      </c>
    </row>
    <row r="160" customFormat="false" ht="15" hidden="false" customHeight="false" outlineLevel="0" collapsed="false">
      <c r="A160" s="33"/>
      <c r="B160" s="18" t="s">
        <v>23</v>
      </c>
      <c r="C160" s="29"/>
      <c r="D160" s="29"/>
      <c r="E160" s="29"/>
      <c r="F160" s="29"/>
      <c r="G160" s="34"/>
      <c r="H160" s="29"/>
      <c r="I160" s="29"/>
      <c r="J160" s="29"/>
      <c r="K160" s="29"/>
      <c r="L160" s="36"/>
      <c r="M160" s="29"/>
      <c r="N160" s="37"/>
      <c r="O160" s="30" t="n">
        <f aca="false">N160*J160</f>
        <v>0</v>
      </c>
    </row>
    <row r="161" customFormat="false" ht="15" hidden="false" customHeight="false" outlineLevel="0" collapsed="false">
      <c r="A161" s="33"/>
      <c r="B161" s="18" t="s">
        <v>23</v>
      </c>
      <c r="C161" s="29"/>
      <c r="D161" s="29"/>
      <c r="E161" s="29"/>
      <c r="F161" s="29"/>
      <c r="G161" s="34"/>
      <c r="H161" s="29"/>
      <c r="I161" s="29"/>
      <c r="J161" s="29"/>
      <c r="K161" s="29"/>
      <c r="L161" s="36"/>
      <c r="M161" s="29"/>
      <c r="N161" s="37"/>
      <c r="O161" s="30" t="n">
        <f aca="false">N161*J161</f>
        <v>0</v>
      </c>
    </row>
    <row r="162" customFormat="false" ht="15" hidden="false" customHeight="false" outlineLevel="0" collapsed="false">
      <c r="A162" s="33"/>
      <c r="B162" s="18" t="s">
        <v>23</v>
      </c>
      <c r="C162" s="29"/>
      <c r="D162" s="29"/>
      <c r="E162" s="29"/>
      <c r="F162" s="29"/>
      <c r="G162" s="34"/>
      <c r="H162" s="29"/>
      <c r="I162" s="29"/>
      <c r="J162" s="29"/>
      <c r="K162" s="29"/>
      <c r="L162" s="36"/>
      <c r="M162" s="29"/>
      <c r="N162" s="37"/>
      <c r="O162" s="30" t="n">
        <f aca="false">N162*J162</f>
        <v>0</v>
      </c>
    </row>
    <row r="163" customFormat="false" ht="15" hidden="false" customHeight="false" outlineLevel="0" collapsed="false">
      <c r="A163" s="33"/>
      <c r="B163" s="18" t="s">
        <v>23</v>
      </c>
      <c r="C163" s="29"/>
      <c r="D163" s="29"/>
      <c r="E163" s="29"/>
      <c r="F163" s="29"/>
      <c r="G163" s="34"/>
      <c r="H163" s="29"/>
      <c r="I163" s="29"/>
      <c r="J163" s="29"/>
      <c r="K163" s="29"/>
      <c r="L163" s="36"/>
      <c r="M163" s="29"/>
      <c r="N163" s="37"/>
      <c r="O163" s="30" t="n">
        <f aca="false">N163*J163</f>
        <v>0</v>
      </c>
    </row>
    <row r="164" customFormat="false" ht="15" hidden="false" customHeight="false" outlineLevel="0" collapsed="false">
      <c r="A164" s="33"/>
      <c r="B164" s="18" t="s">
        <v>23</v>
      </c>
      <c r="C164" s="29"/>
      <c r="D164" s="29"/>
      <c r="E164" s="29"/>
      <c r="F164" s="29"/>
      <c r="G164" s="34"/>
      <c r="H164" s="29"/>
      <c r="I164" s="29"/>
      <c r="J164" s="29"/>
      <c r="K164" s="29"/>
      <c r="L164" s="36"/>
      <c r="M164" s="29"/>
      <c r="N164" s="37"/>
      <c r="O164" s="30" t="n">
        <f aca="false">N164*J164</f>
        <v>0</v>
      </c>
    </row>
    <row r="165" customFormat="false" ht="15" hidden="false" customHeight="false" outlineLevel="0" collapsed="false">
      <c r="A165" s="33"/>
      <c r="B165" s="18" t="s">
        <v>23</v>
      </c>
      <c r="C165" s="29"/>
      <c r="D165" s="29"/>
      <c r="E165" s="29"/>
      <c r="F165" s="29"/>
      <c r="G165" s="34"/>
      <c r="H165" s="29"/>
      <c r="I165" s="29"/>
      <c r="J165" s="29"/>
      <c r="K165" s="29"/>
      <c r="L165" s="36"/>
      <c r="M165" s="29"/>
      <c r="N165" s="37"/>
      <c r="O165" s="30" t="n">
        <f aca="false">N165*J165</f>
        <v>0</v>
      </c>
    </row>
    <row r="166" customFormat="false" ht="15" hidden="false" customHeight="false" outlineLevel="0" collapsed="false">
      <c r="A166" s="33"/>
      <c r="B166" s="18" t="s">
        <v>23</v>
      </c>
      <c r="C166" s="29"/>
      <c r="D166" s="29"/>
      <c r="E166" s="29"/>
      <c r="F166" s="29"/>
      <c r="G166" s="34"/>
      <c r="H166" s="29"/>
      <c r="I166" s="29"/>
      <c r="J166" s="29"/>
      <c r="K166" s="29"/>
      <c r="L166" s="36"/>
      <c r="M166" s="29"/>
      <c r="N166" s="37"/>
      <c r="O166" s="30" t="n">
        <f aca="false">N166*J166</f>
        <v>0</v>
      </c>
    </row>
    <row r="167" customFormat="false" ht="15" hidden="false" customHeight="false" outlineLevel="0" collapsed="false">
      <c r="A167" s="33"/>
      <c r="B167" s="18" t="s">
        <v>23</v>
      </c>
      <c r="C167" s="29"/>
      <c r="D167" s="29"/>
      <c r="E167" s="29"/>
      <c r="F167" s="29"/>
      <c r="G167" s="34"/>
      <c r="H167" s="29"/>
      <c r="I167" s="29"/>
      <c r="J167" s="29"/>
      <c r="K167" s="29"/>
      <c r="L167" s="36"/>
      <c r="M167" s="29"/>
      <c r="N167" s="37"/>
      <c r="O167" s="30" t="n">
        <f aca="false">N167*J167</f>
        <v>0</v>
      </c>
    </row>
    <row r="168" customFormat="false" ht="15" hidden="false" customHeight="false" outlineLevel="0" collapsed="false">
      <c r="A168" s="33"/>
      <c r="B168" s="18" t="s">
        <v>23</v>
      </c>
      <c r="C168" s="29"/>
      <c r="D168" s="29"/>
      <c r="E168" s="29"/>
      <c r="F168" s="29"/>
      <c r="G168" s="34"/>
      <c r="H168" s="29"/>
      <c r="I168" s="29"/>
      <c r="J168" s="29"/>
      <c r="K168" s="29"/>
      <c r="L168" s="36"/>
      <c r="M168" s="29"/>
      <c r="N168" s="37"/>
      <c r="O168" s="30" t="n">
        <f aca="false">N168*J168</f>
        <v>0</v>
      </c>
    </row>
    <row r="169" customFormat="false" ht="15" hidden="false" customHeight="false" outlineLevel="0" collapsed="false">
      <c r="A169" s="33"/>
      <c r="B169" s="18" t="s">
        <v>23</v>
      </c>
      <c r="C169" s="29"/>
      <c r="D169" s="29"/>
      <c r="E169" s="29"/>
      <c r="F169" s="29"/>
      <c r="G169" s="34"/>
      <c r="H169" s="29"/>
      <c r="I169" s="29"/>
      <c r="J169" s="29"/>
      <c r="K169" s="29"/>
      <c r="L169" s="36"/>
      <c r="M169" s="29"/>
      <c r="N169" s="37"/>
      <c r="O169" s="30" t="n">
        <f aca="false">N169*J169</f>
        <v>0</v>
      </c>
    </row>
    <row r="170" customFormat="false" ht="15" hidden="false" customHeight="false" outlineLevel="0" collapsed="false">
      <c r="A170" s="33"/>
      <c r="B170" s="18" t="s">
        <v>23</v>
      </c>
      <c r="C170" s="29"/>
      <c r="D170" s="29"/>
      <c r="E170" s="29"/>
      <c r="F170" s="29"/>
      <c r="G170" s="34"/>
      <c r="H170" s="29"/>
      <c r="I170" s="29"/>
      <c r="J170" s="29"/>
      <c r="K170" s="29"/>
      <c r="L170" s="36"/>
      <c r="M170" s="29"/>
      <c r="N170" s="37"/>
      <c r="O170" s="30" t="n">
        <f aca="false">N170*J170</f>
        <v>0</v>
      </c>
    </row>
    <row r="171" customFormat="false" ht="15" hidden="false" customHeight="false" outlineLevel="0" collapsed="false">
      <c r="A171" s="33"/>
      <c r="B171" s="18" t="s">
        <v>23</v>
      </c>
      <c r="C171" s="33"/>
      <c r="D171" s="29"/>
      <c r="E171" s="29"/>
      <c r="F171" s="29"/>
      <c r="G171" s="34"/>
      <c r="H171" s="29"/>
      <c r="I171" s="29"/>
      <c r="J171" s="29"/>
      <c r="K171" s="29"/>
      <c r="L171" s="36"/>
      <c r="M171" s="29"/>
      <c r="N171" s="37"/>
      <c r="O171" s="30" t="n">
        <f aca="false">N171*J171</f>
        <v>0</v>
      </c>
    </row>
    <row r="172" customFormat="false" ht="15" hidden="false" customHeight="false" outlineLevel="0" collapsed="false">
      <c r="A172" s="33"/>
      <c r="B172" s="18" t="s">
        <v>23</v>
      </c>
      <c r="C172" s="29"/>
      <c r="D172" s="29"/>
      <c r="E172" s="29"/>
      <c r="F172" s="29"/>
      <c r="G172" s="34"/>
      <c r="H172" s="29"/>
      <c r="I172" s="29"/>
      <c r="J172" s="29"/>
      <c r="K172" s="29"/>
      <c r="L172" s="36"/>
      <c r="M172" s="29"/>
      <c r="N172" s="37"/>
      <c r="O172" s="30" t="n">
        <f aca="false">N172*J172</f>
        <v>0</v>
      </c>
    </row>
    <row r="173" customFormat="false" ht="15" hidden="false" customHeight="false" outlineLevel="0" collapsed="false">
      <c r="A173" s="33"/>
      <c r="B173" s="18" t="s">
        <v>23</v>
      </c>
      <c r="C173" s="29"/>
      <c r="D173" s="29"/>
      <c r="E173" s="29"/>
      <c r="F173" s="29"/>
      <c r="G173" s="34"/>
      <c r="H173" s="29"/>
      <c r="I173" s="29"/>
      <c r="J173" s="29"/>
      <c r="K173" s="29"/>
      <c r="L173" s="36"/>
      <c r="M173" s="29"/>
      <c r="N173" s="37"/>
      <c r="O173" s="30" t="n">
        <f aca="false">N173*J173</f>
        <v>0</v>
      </c>
    </row>
    <row r="174" customFormat="false" ht="15" hidden="false" customHeight="false" outlineLevel="0" collapsed="false">
      <c r="A174" s="33"/>
      <c r="B174" s="18" t="s">
        <v>23</v>
      </c>
      <c r="C174" s="29"/>
      <c r="D174" s="29"/>
      <c r="E174" s="29"/>
      <c r="F174" s="29"/>
      <c r="G174" s="34"/>
      <c r="H174" s="29"/>
      <c r="I174" s="29"/>
      <c r="J174" s="29"/>
      <c r="K174" s="29"/>
      <c r="L174" s="36"/>
      <c r="M174" s="29"/>
      <c r="N174" s="37"/>
      <c r="O174" s="30" t="n">
        <f aca="false">N174*J174</f>
        <v>0</v>
      </c>
    </row>
    <row r="175" customFormat="false" ht="15" hidden="false" customHeight="false" outlineLevel="0" collapsed="false">
      <c r="A175" s="33"/>
      <c r="B175" s="18" t="s">
        <v>23</v>
      </c>
      <c r="C175" s="29"/>
      <c r="D175" s="29"/>
      <c r="E175" s="29"/>
      <c r="F175" s="29"/>
      <c r="G175" s="34"/>
      <c r="H175" s="29"/>
      <c r="I175" s="29"/>
      <c r="J175" s="29"/>
      <c r="K175" s="29"/>
      <c r="L175" s="36"/>
      <c r="M175" s="29"/>
      <c r="N175" s="37"/>
      <c r="O175" s="30" t="n">
        <f aca="false">N175*J175</f>
        <v>0</v>
      </c>
    </row>
    <row r="176" customFormat="false" ht="15" hidden="false" customHeight="false" outlineLevel="0" collapsed="false">
      <c r="A176" s="33"/>
      <c r="B176" s="18" t="s">
        <v>23</v>
      </c>
      <c r="C176" s="29"/>
      <c r="D176" s="29"/>
      <c r="E176" s="29"/>
      <c r="F176" s="29"/>
      <c r="G176" s="34"/>
      <c r="H176" s="29"/>
      <c r="I176" s="29"/>
      <c r="J176" s="29"/>
      <c r="K176" s="29"/>
      <c r="L176" s="36"/>
      <c r="M176" s="29"/>
      <c r="N176" s="37"/>
      <c r="O176" s="30" t="n">
        <f aca="false">N176*J176</f>
        <v>0</v>
      </c>
    </row>
    <row r="177" customFormat="false" ht="15" hidden="false" customHeight="false" outlineLevel="0" collapsed="false">
      <c r="A177" s="33"/>
      <c r="B177" s="18" t="s">
        <v>23</v>
      </c>
      <c r="C177" s="33"/>
      <c r="D177" s="29"/>
      <c r="E177" s="29"/>
      <c r="F177" s="29"/>
      <c r="G177" s="34"/>
      <c r="H177" s="29"/>
      <c r="I177" s="29"/>
      <c r="J177" s="29"/>
      <c r="K177" s="29"/>
      <c r="L177" s="36"/>
      <c r="M177" s="29"/>
      <c r="N177" s="37"/>
      <c r="O177" s="30" t="n">
        <f aca="false">N177*J177</f>
        <v>0</v>
      </c>
    </row>
    <row r="178" customFormat="false" ht="15" hidden="false" customHeight="false" outlineLevel="0" collapsed="false">
      <c r="A178" s="33"/>
      <c r="B178" s="18" t="s">
        <v>23</v>
      </c>
      <c r="C178" s="29"/>
      <c r="D178" s="29"/>
      <c r="E178" s="29"/>
      <c r="F178" s="29"/>
      <c r="G178" s="34"/>
      <c r="H178" s="29"/>
      <c r="I178" s="29"/>
      <c r="J178" s="29"/>
      <c r="K178" s="29"/>
      <c r="L178" s="36"/>
      <c r="M178" s="29"/>
      <c r="N178" s="37"/>
      <c r="O178" s="30" t="n">
        <f aca="false">N178*J178</f>
        <v>0</v>
      </c>
    </row>
    <row r="179" customFormat="false" ht="15" hidden="false" customHeight="false" outlineLevel="0" collapsed="false">
      <c r="A179" s="33"/>
      <c r="B179" s="18" t="s">
        <v>23</v>
      </c>
      <c r="C179" s="41"/>
      <c r="D179" s="41"/>
      <c r="E179" s="41"/>
      <c r="F179" s="34"/>
      <c r="G179" s="34"/>
      <c r="H179" s="29"/>
      <c r="I179" s="29"/>
      <c r="J179" s="29"/>
      <c r="K179" s="29"/>
      <c r="L179" s="36"/>
      <c r="M179" s="29"/>
      <c r="N179" s="37"/>
      <c r="O179" s="30" t="n">
        <f aca="false">N179*J179</f>
        <v>0</v>
      </c>
    </row>
    <row r="180" customFormat="false" ht="15" hidden="false" customHeight="false" outlineLevel="0" collapsed="false">
      <c r="A180" s="33"/>
      <c r="B180" s="18" t="s">
        <v>23</v>
      </c>
      <c r="C180" s="29"/>
      <c r="D180" s="29"/>
      <c r="E180" s="29"/>
      <c r="F180" s="29"/>
      <c r="G180" s="34"/>
      <c r="H180" s="29"/>
      <c r="I180" s="29"/>
      <c r="J180" s="29"/>
      <c r="K180" s="29"/>
      <c r="L180" s="36"/>
      <c r="M180" s="29"/>
      <c r="N180" s="37"/>
      <c r="O180" s="30" t="n">
        <f aca="false">N180*J180</f>
        <v>0</v>
      </c>
    </row>
    <row r="181" customFormat="false" ht="15" hidden="false" customHeight="false" outlineLevel="0" collapsed="false">
      <c r="A181" s="33"/>
      <c r="B181" s="18" t="s">
        <v>23</v>
      </c>
      <c r="C181" s="29"/>
      <c r="D181" s="29"/>
      <c r="E181" s="29"/>
      <c r="F181" s="29"/>
      <c r="G181" s="34"/>
      <c r="H181" s="29"/>
      <c r="I181" s="29"/>
      <c r="J181" s="29"/>
      <c r="K181" s="29"/>
      <c r="L181" s="36"/>
      <c r="M181" s="29"/>
      <c r="N181" s="37"/>
      <c r="O181" s="30" t="n">
        <f aca="false">N181*J181</f>
        <v>0</v>
      </c>
    </row>
    <row r="182" customFormat="false" ht="15" hidden="false" customHeight="false" outlineLevel="0" collapsed="false">
      <c r="A182" s="33"/>
      <c r="B182" s="18" t="s">
        <v>23</v>
      </c>
      <c r="C182" s="29"/>
      <c r="D182" s="29"/>
      <c r="E182" s="29"/>
      <c r="F182" s="29"/>
      <c r="G182" s="34"/>
      <c r="H182" s="29"/>
      <c r="I182" s="29"/>
      <c r="J182" s="29"/>
      <c r="K182" s="29"/>
      <c r="L182" s="36"/>
      <c r="M182" s="29"/>
      <c r="N182" s="37"/>
      <c r="O182" s="30" t="n">
        <f aca="false">N182*J182</f>
        <v>0</v>
      </c>
    </row>
    <row r="183" customFormat="false" ht="15" hidden="false" customHeight="false" outlineLevel="0" collapsed="false">
      <c r="A183" s="33"/>
      <c r="B183" s="18" t="s">
        <v>23</v>
      </c>
      <c r="C183" s="29"/>
      <c r="D183" s="29"/>
      <c r="E183" s="29"/>
      <c r="F183" s="29"/>
      <c r="G183" s="34"/>
      <c r="H183" s="29"/>
      <c r="I183" s="29"/>
      <c r="J183" s="29"/>
      <c r="K183" s="29"/>
      <c r="L183" s="36"/>
      <c r="M183" s="29"/>
      <c r="N183" s="37"/>
      <c r="O183" s="30" t="n">
        <f aca="false">N183*J183</f>
        <v>0</v>
      </c>
    </row>
    <row r="184" customFormat="false" ht="15" hidden="false" customHeight="false" outlineLevel="0" collapsed="false">
      <c r="A184" s="33"/>
      <c r="B184" s="18" t="s">
        <v>23</v>
      </c>
      <c r="C184" s="29"/>
      <c r="D184" s="29"/>
      <c r="E184" s="29"/>
      <c r="F184" s="29"/>
      <c r="G184" s="34"/>
      <c r="H184" s="29"/>
      <c r="I184" s="29"/>
      <c r="J184" s="29"/>
      <c r="K184" s="29"/>
      <c r="L184" s="36"/>
      <c r="M184" s="29"/>
      <c r="N184" s="37"/>
      <c r="O184" s="30" t="n">
        <f aca="false">N184*J184</f>
        <v>0</v>
      </c>
    </row>
    <row r="185" customFormat="false" ht="15" hidden="false" customHeight="false" outlineLevel="0" collapsed="false">
      <c r="A185" s="33"/>
      <c r="B185" s="18" t="s">
        <v>23</v>
      </c>
      <c r="C185" s="29"/>
      <c r="D185" s="29"/>
      <c r="E185" s="29"/>
      <c r="F185" s="29"/>
      <c r="G185" s="34"/>
      <c r="H185" s="29"/>
      <c r="I185" s="29"/>
      <c r="J185" s="29"/>
      <c r="K185" s="29"/>
      <c r="L185" s="36"/>
      <c r="M185" s="29"/>
      <c r="N185" s="37"/>
      <c r="O185" s="30" t="n">
        <f aca="false">N185*J185</f>
        <v>0</v>
      </c>
    </row>
    <row r="186" customFormat="false" ht="15" hidden="false" customHeight="false" outlineLevel="0" collapsed="false">
      <c r="A186" s="33"/>
      <c r="B186" s="18" t="s">
        <v>23</v>
      </c>
      <c r="C186" s="29"/>
      <c r="D186" s="29"/>
      <c r="E186" s="29"/>
      <c r="F186" s="29"/>
      <c r="G186" s="34"/>
      <c r="H186" s="29"/>
      <c r="I186" s="29"/>
      <c r="J186" s="29"/>
      <c r="K186" s="29"/>
      <c r="L186" s="36"/>
      <c r="M186" s="29"/>
      <c r="N186" s="37"/>
      <c r="O186" s="30" t="n">
        <f aca="false">N186*J186</f>
        <v>0</v>
      </c>
    </row>
    <row r="187" customFormat="false" ht="15" hidden="false" customHeight="false" outlineLevel="0" collapsed="false">
      <c r="A187" s="33"/>
      <c r="B187" s="18" t="s">
        <v>23</v>
      </c>
      <c r="C187" s="29"/>
      <c r="D187" s="29"/>
      <c r="E187" s="29"/>
      <c r="F187" s="29"/>
      <c r="G187" s="34"/>
      <c r="H187" s="29"/>
      <c r="I187" s="29"/>
      <c r="J187" s="29"/>
      <c r="K187" s="29"/>
      <c r="L187" s="36"/>
      <c r="M187" s="29"/>
      <c r="N187" s="37"/>
      <c r="O187" s="30" t="n">
        <f aca="false">N187*J187</f>
        <v>0</v>
      </c>
    </row>
    <row r="188" customFormat="false" ht="15" hidden="false" customHeight="false" outlineLevel="0" collapsed="false">
      <c r="A188" s="33"/>
      <c r="B188" s="18" t="s">
        <v>23</v>
      </c>
      <c r="C188" s="29"/>
      <c r="D188" s="29"/>
      <c r="E188" s="29"/>
      <c r="F188" s="29"/>
      <c r="G188" s="34"/>
      <c r="H188" s="29"/>
      <c r="I188" s="29"/>
      <c r="J188" s="29"/>
      <c r="K188" s="29"/>
      <c r="L188" s="36"/>
      <c r="M188" s="29"/>
      <c r="N188" s="37"/>
      <c r="O188" s="30" t="n">
        <f aca="false">N188*J188</f>
        <v>0</v>
      </c>
    </row>
    <row r="189" customFormat="false" ht="15" hidden="false" customHeight="false" outlineLevel="0" collapsed="false">
      <c r="A189" s="33"/>
      <c r="B189" s="18" t="s">
        <v>23</v>
      </c>
      <c r="C189" s="29"/>
      <c r="D189" s="29"/>
      <c r="E189" s="29"/>
      <c r="F189" s="29"/>
      <c r="G189" s="34"/>
      <c r="H189" s="29"/>
      <c r="I189" s="29"/>
      <c r="J189" s="29"/>
      <c r="K189" s="29"/>
      <c r="L189" s="36"/>
      <c r="M189" s="29"/>
      <c r="N189" s="37"/>
      <c r="O189" s="30" t="n">
        <f aca="false">N189*J189</f>
        <v>0</v>
      </c>
    </row>
    <row r="190" customFormat="false" ht="15" hidden="false" customHeight="false" outlineLevel="0" collapsed="false">
      <c r="A190" s="33"/>
      <c r="B190" s="18" t="s">
        <v>23</v>
      </c>
      <c r="C190" s="29"/>
      <c r="D190" s="29"/>
      <c r="E190" s="29"/>
      <c r="F190" s="29"/>
      <c r="G190" s="34"/>
      <c r="H190" s="29"/>
      <c r="I190" s="29"/>
      <c r="J190" s="29"/>
      <c r="K190" s="29"/>
      <c r="L190" s="36"/>
      <c r="M190" s="29"/>
      <c r="N190" s="37"/>
      <c r="O190" s="30" t="n">
        <f aca="false">N190*J190</f>
        <v>0</v>
      </c>
    </row>
    <row r="191" customFormat="false" ht="15" hidden="false" customHeight="false" outlineLevel="0" collapsed="false">
      <c r="A191" s="33"/>
      <c r="B191" s="18" t="s">
        <v>23</v>
      </c>
      <c r="C191" s="29"/>
      <c r="D191" s="29"/>
      <c r="E191" s="29"/>
      <c r="F191" s="29"/>
      <c r="G191" s="34"/>
      <c r="H191" s="29"/>
      <c r="I191" s="29"/>
      <c r="J191" s="29"/>
      <c r="K191" s="29"/>
      <c r="L191" s="36"/>
      <c r="M191" s="29"/>
      <c r="N191" s="37"/>
      <c r="O191" s="30" t="n">
        <f aca="false">N191*J191</f>
        <v>0</v>
      </c>
    </row>
    <row r="192" customFormat="false" ht="15" hidden="false" customHeight="false" outlineLevel="0" collapsed="false">
      <c r="A192" s="33"/>
      <c r="B192" s="18" t="s">
        <v>23</v>
      </c>
      <c r="C192" s="29"/>
      <c r="D192" s="29"/>
      <c r="E192" s="29"/>
      <c r="F192" s="29"/>
      <c r="G192" s="34"/>
      <c r="H192" s="29"/>
      <c r="I192" s="29"/>
      <c r="J192" s="29"/>
      <c r="K192" s="29"/>
      <c r="L192" s="36"/>
      <c r="M192" s="29"/>
      <c r="N192" s="37"/>
      <c r="O192" s="30" t="n">
        <f aca="false">N192*J192</f>
        <v>0</v>
      </c>
    </row>
    <row r="193" customFormat="false" ht="15" hidden="false" customHeight="false" outlineLevel="0" collapsed="false">
      <c r="A193" s="33"/>
      <c r="B193" s="18" t="s">
        <v>23</v>
      </c>
      <c r="C193" s="29"/>
      <c r="D193" s="29"/>
      <c r="E193" s="29"/>
      <c r="F193" s="29"/>
      <c r="G193" s="34"/>
      <c r="H193" s="29"/>
      <c r="I193" s="29"/>
      <c r="J193" s="29"/>
      <c r="K193" s="29"/>
      <c r="L193" s="36"/>
      <c r="M193" s="29"/>
      <c r="N193" s="37"/>
      <c r="O193" s="30" t="n">
        <f aca="false">N193*J193</f>
        <v>0</v>
      </c>
    </row>
    <row r="194" customFormat="false" ht="15" hidden="false" customHeight="false" outlineLevel="0" collapsed="false">
      <c r="A194" s="33"/>
      <c r="B194" s="18" t="s">
        <v>23</v>
      </c>
      <c r="C194" s="29"/>
      <c r="D194" s="29"/>
      <c r="E194" s="29"/>
      <c r="F194" s="29"/>
      <c r="G194" s="34"/>
      <c r="H194" s="29"/>
      <c r="I194" s="29"/>
      <c r="J194" s="29"/>
      <c r="K194" s="29"/>
      <c r="L194" s="36"/>
      <c r="M194" s="29"/>
      <c r="N194" s="37"/>
      <c r="O194" s="30" t="n">
        <f aca="false">N194*J194</f>
        <v>0</v>
      </c>
    </row>
    <row r="195" customFormat="false" ht="15" hidden="false" customHeight="false" outlineLevel="0" collapsed="false">
      <c r="A195" s="33"/>
      <c r="B195" s="18" t="s">
        <v>23</v>
      </c>
      <c r="C195" s="29"/>
      <c r="D195" s="29"/>
      <c r="E195" s="29"/>
      <c r="F195" s="29"/>
      <c r="G195" s="34"/>
      <c r="H195" s="29"/>
      <c r="I195" s="29"/>
      <c r="J195" s="29"/>
      <c r="K195" s="29"/>
      <c r="L195" s="36"/>
      <c r="M195" s="29"/>
      <c r="N195" s="37"/>
      <c r="O195" s="30" t="n">
        <f aca="false">N195*J195</f>
        <v>0</v>
      </c>
    </row>
    <row r="196" customFormat="false" ht="15" hidden="false" customHeight="false" outlineLevel="0" collapsed="false">
      <c r="A196" s="33"/>
      <c r="B196" s="18" t="s">
        <v>23</v>
      </c>
      <c r="C196" s="29"/>
      <c r="D196" s="29"/>
      <c r="E196" s="29"/>
      <c r="F196" s="29"/>
      <c r="G196" s="34"/>
      <c r="H196" s="29"/>
      <c r="I196" s="29"/>
      <c r="J196" s="29"/>
      <c r="K196" s="29"/>
      <c r="L196" s="36"/>
      <c r="M196" s="29"/>
      <c r="N196" s="37"/>
      <c r="O196" s="30" t="n">
        <f aca="false">N196*J196</f>
        <v>0</v>
      </c>
    </row>
    <row r="197" customFormat="false" ht="15" hidden="false" customHeight="false" outlineLevel="0" collapsed="false">
      <c r="A197" s="33"/>
      <c r="B197" s="18" t="s">
        <v>23</v>
      </c>
      <c r="C197" s="29"/>
      <c r="D197" s="29"/>
      <c r="E197" s="29"/>
      <c r="F197" s="29"/>
      <c r="G197" s="34"/>
      <c r="H197" s="29"/>
      <c r="I197" s="29"/>
      <c r="J197" s="29"/>
      <c r="K197" s="29"/>
      <c r="L197" s="36"/>
      <c r="M197" s="29"/>
      <c r="N197" s="37"/>
      <c r="O197" s="30" t="n">
        <f aca="false">N197*J197</f>
        <v>0</v>
      </c>
    </row>
    <row r="198" customFormat="false" ht="15" hidden="false" customHeight="false" outlineLevel="0" collapsed="false">
      <c r="A198" s="33"/>
      <c r="B198" s="18" t="s">
        <v>23</v>
      </c>
      <c r="C198" s="29"/>
      <c r="D198" s="29"/>
      <c r="E198" s="29"/>
      <c r="F198" s="29"/>
      <c r="G198" s="34"/>
      <c r="H198" s="29"/>
      <c r="I198" s="29"/>
      <c r="J198" s="29"/>
      <c r="K198" s="29"/>
      <c r="L198" s="36"/>
      <c r="M198" s="29"/>
      <c r="N198" s="37"/>
      <c r="O198" s="30" t="n">
        <f aca="false">N198*J198</f>
        <v>0</v>
      </c>
    </row>
    <row r="199" customFormat="false" ht="15" hidden="false" customHeight="false" outlineLevel="0" collapsed="false">
      <c r="A199" s="33"/>
      <c r="B199" s="18" t="s">
        <v>23</v>
      </c>
      <c r="C199" s="29"/>
      <c r="D199" s="29"/>
      <c r="E199" s="29"/>
      <c r="F199" s="29"/>
      <c r="G199" s="34"/>
      <c r="H199" s="29"/>
      <c r="I199" s="29"/>
      <c r="J199" s="29"/>
      <c r="K199" s="29"/>
      <c r="L199" s="36"/>
      <c r="M199" s="29"/>
      <c r="N199" s="37"/>
      <c r="O199" s="30" t="n">
        <f aca="false">N199*J199</f>
        <v>0</v>
      </c>
    </row>
    <row r="200" customFormat="false" ht="15" hidden="false" customHeight="false" outlineLevel="0" collapsed="false">
      <c r="A200" s="33"/>
      <c r="B200" s="18" t="s">
        <v>23</v>
      </c>
      <c r="C200" s="29"/>
      <c r="D200" s="29"/>
      <c r="E200" s="29"/>
      <c r="F200" s="29"/>
      <c r="G200" s="34"/>
      <c r="H200" s="29"/>
      <c r="I200" s="29"/>
      <c r="J200" s="29"/>
      <c r="K200" s="29"/>
      <c r="L200" s="36"/>
      <c r="M200" s="29"/>
      <c r="N200" s="37"/>
      <c r="O200" s="30" t="n">
        <f aca="false">N200*J200</f>
        <v>0</v>
      </c>
    </row>
    <row r="201" customFormat="false" ht="15" hidden="false" customHeight="false" outlineLevel="0" collapsed="false">
      <c r="A201" s="33"/>
      <c r="B201" s="18" t="s">
        <v>23</v>
      </c>
      <c r="C201" s="29"/>
      <c r="D201" s="29"/>
      <c r="E201" s="29"/>
      <c r="F201" s="29"/>
      <c r="G201" s="34"/>
      <c r="H201" s="29"/>
      <c r="I201" s="29"/>
      <c r="J201" s="29"/>
      <c r="K201" s="29"/>
      <c r="L201" s="36"/>
      <c r="M201" s="29"/>
      <c r="N201" s="37"/>
      <c r="O201" s="30" t="n">
        <f aca="false">N201*J201</f>
        <v>0</v>
      </c>
    </row>
    <row r="202" customFormat="false" ht="15" hidden="false" customHeight="false" outlineLevel="0" collapsed="false">
      <c r="A202" s="33"/>
      <c r="B202" s="18" t="s">
        <v>23</v>
      </c>
      <c r="C202" s="29"/>
      <c r="D202" s="29"/>
      <c r="E202" s="29"/>
      <c r="F202" s="29"/>
      <c r="G202" s="34"/>
      <c r="H202" s="29"/>
      <c r="I202" s="29"/>
      <c r="J202" s="29"/>
      <c r="K202" s="29"/>
      <c r="L202" s="36"/>
      <c r="M202" s="29"/>
      <c r="N202" s="37"/>
      <c r="O202" s="30" t="n">
        <f aca="false">N202*J202</f>
        <v>0</v>
      </c>
    </row>
    <row r="203" customFormat="false" ht="15" hidden="false" customHeight="false" outlineLevel="0" collapsed="false">
      <c r="A203" s="33"/>
      <c r="B203" s="18" t="s">
        <v>23</v>
      </c>
      <c r="C203" s="29"/>
      <c r="D203" s="29"/>
      <c r="E203" s="29"/>
      <c r="F203" s="29"/>
      <c r="G203" s="34"/>
      <c r="H203" s="29"/>
      <c r="I203" s="29"/>
      <c r="J203" s="29"/>
      <c r="K203" s="29"/>
      <c r="L203" s="36"/>
      <c r="M203" s="29"/>
      <c r="N203" s="37"/>
      <c r="O203" s="30" t="n">
        <f aca="false">N203*J203</f>
        <v>0</v>
      </c>
    </row>
    <row r="204" customFormat="false" ht="15" hidden="false" customHeight="false" outlineLevel="0" collapsed="false">
      <c r="A204" s="33"/>
      <c r="B204" s="18" t="s">
        <v>23</v>
      </c>
      <c r="C204" s="29"/>
      <c r="D204" s="29"/>
      <c r="E204" s="29"/>
      <c r="F204" s="29"/>
      <c r="G204" s="34"/>
      <c r="H204" s="29"/>
      <c r="I204" s="29"/>
      <c r="J204" s="29"/>
      <c r="K204" s="29"/>
      <c r="L204" s="36"/>
      <c r="M204" s="29"/>
      <c r="N204" s="37"/>
      <c r="O204" s="30" t="n">
        <f aca="false">N204*J204</f>
        <v>0</v>
      </c>
    </row>
    <row r="205" customFormat="false" ht="15" hidden="false" customHeight="false" outlineLevel="0" collapsed="false">
      <c r="A205" s="33"/>
      <c r="B205" s="18" t="s">
        <v>23</v>
      </c>
      <c r="C205" s="29"/>
      <c r="D205" s="29"/>
      <c r="E205" s="29"/>
      <c r="F205" s="29"/>
      <c r="G205" s="34"/>
      <c r="H205" s="29"/>
      <c r="I205" s="29"/>
      <c r="J205" s="29"/>
      <c r="K205" s="29"/>
      <c r="L205" s="36"/>
      <c r="M205" s="29"/>
      <c r="N205" s="37"/>
      <c r="O205" s="30" t="n">
        <f aca="false">N205*J205</f>
        <v>0</v>
      </c>
    </row>
    <row r="206" customFormat="false" ht="15" hidden="false" customHeight="false" outlineLevel="0" collapsed="false">
      <c r="A206" s="33"/>
      <c r="B206" s="18" t="s">
        <v>23</v>
      </c>
      <c r="C206" s="29"/>
      <c r="D206" s="29"/>
      <c r="E206" s="29"/>
      <c r="F206" s="29"/>
      <c r="G206" s="34"/>
      <c r="H206" s="29"/>
      <c r="I206" s="29"/>
      <c r="J206" s="29"/>
      <c r="K206" s="29"/>
      <c r="L206" s="36"/>
      <c r="M206" s="29"/>
      <c r="N206" s="37"/>
      <c r="O206" s="30" t="n">
        <f aca="false">N206*J206</f>
        <v>0</v>
      </c>
    </row>
    <row r="207" customFormat="false" ht="15" hidden="false" customHeight="false" outlineLevel="0" collapsed="false">
      <c r="A207" s="33"/>
      <c r="B207" s="18" t="s">
        <v>23</v>
      </c>
      <c r="C207" s="29"/>
      <c r="D207" s="29"/>
      <c r="E207" s="29"/>
      <c r="F207" s="29"/>
      <c r="G207" s="34"/>
      <c r="H207" s="29"/>
      <c r="I207" s="29"/>
      <c r="J207" s="29"/>
      <c r="K207" s="29"/>
      <c r="L207" s="36"/>
      <c r="M207" s="29"/>
      <c r="N207" s="37"/>
      <c r="O207" s="30" t="n">
        <f aca="false">N207*J207</f>
        <v>0</v>
      </c>
    </row>
    <row r="208" customFormat="false" ht="15" hidden="false" customHeight="false" outlineLevel="0" collapsed="false">
      <c r="A208" s="33"/>
      <c r="B208" s="18" t="s">
        <v>23</v>
      </c>
      <c r="C208" s="29"/>
      <c r="D208" s="29"/>
      <c r="E208" s="29"/>
      <c r="F208" s="29"/>
      <c r="G208" s="34"/>
      <c r="H208" s="29"/>
      <c r="I208" s="29"/>
      <c r="J208" s="29"/>
      <c r="K208" s="29"/>
      <c r="L208" s="36"/>
      <c r="M208" s="29"/>
      <c r="N208" s="37"/>
      <c r="O208" s="30" t="n">
        <f aca="false">N208*J208</f>
        <v>0</v>
      </c>
    </row>
    <row r="209" customFormat="false" ht="15" hidden="false" customHeight="false" outlineLevel="0" collapsed="false">
      <c r="A209" s="33"/>
      <c r="B209" s="18" t="s">
        <v>23</v>
      </c>
      <c r="C209" s="29"/>
      <c r="D209" s="29"/>
      <c r="E209" s="29"/>
      <c r="F209" s="29"/>
      <c r="G209" s="34"/>
      <c r="H209" s="29"/>
      <c r="I209" s="29"/>
      <c r="J209" s="29"/>
      <c r="K209" s="29"/>
      <c r="L209" s="36"/>
      <c r="M209" s="29"/>
      <c r="N209" s="37"/>
      <c r="O209" s="30" t="n">
        <f aca="false">N209*J209</f>
        <v>0</v>
      </c>
    </row>
    <row r="210" customFormat="false" ht="15" hidden="false" customHeight="false" outlineLevel="0" collapsed="false">
      <c r="A210" s="33"/>
      <c r="B210" s="18" t="s">
        <v>23</v>
      </c>
      <c r="C210" s="29"/>
      <c r="D210" s="29"/>
      <c r="E210" s="29"/>
      <c r="F210" s="29"/>
      <c r="G210" s="34"/>
      <c r="H210" s="29"/>
      <c r="I210" s="29"/>
      <c r="J210" s="29"/>
      <c r="K210" s="29"/>
      <c r="L210" s="36"/>
      <c r="M210" s="29"/>
      <c r="N210" s="37"/>
      <c r="O210" s="30" t="n">
        <f aca="false">N210*J210</f>
        <v>0</v>
      </c>
    </row>
    <row r="211" customFormat="false" ht="15" hidden="false" customHeight="false" outlineLevel="0" collapsed="false">
      <c r="A211" s="33"/>
      <c r="B211" s="18" t="s">
        <v>23</v>
      </c>
      <c r="C211" s="29"/>
      <c r="D211" s="29"/>
      <c r="E211" s="29"/>
      <c r="F211" s="29"/>
      <c r="G211" s="34"/>
      <c r="H211" s="29"/>
      <c r="I211" s="29"/>
      <c r="J211" s="29"/>
      <c r="K211" s="29"/>
      <c r="L211" s="36"/>
      <c r="M211" s="29"/>
      <c r="N211" s="37"/>
      <c r="O211" s="30" t="n">
        <f aca="false">N211*J211</f>
        <v>0</v>
      </c>
    </row>
    <row r="212" customFormat="false" ht="15" hidden="false" customHeight="false" outlineLevel="0" collapsed="false">
      <c r="A212" s="33"/>
      <c r="B212" s="18" t="s">
        <v>23</v>
      </c>
      <c r="C212" s="29"/>
      <c r="D212" s="29"/>
      <c r="E212" s="29"/>
      <c r="F212" s="29"/>
      <c r="G212" s="34"/>
      <c r="H212" s="29"/>
      <c r="I212" s="29"/>
      <c r="J212" s="29"/>
      <c r="K212" s="29"/>
      <c r="L212" s="36"/>
      <c r="M212" s="29"/>
      <c r="N212" s="37"/>
      <c r="O212" s="30" t="n">
        <f aca="false">N212*J212</f>
        <v>0</v>
      </c>
    </row>
    <row r="213" customFormat="false" ht="15" hidden="false" customHeight="false" outlineLevel="0" collapsed="false">
      <c r="A213" s="33"/>
      <c r="B213" s="18" t="s">
        <v>23</v>
      </c>
      <c r="C213" s="29"/>
      <c r="D213" s="29"/>
      <c r="E213" s="29"/>
      <c r="F213" s="29"/>
      <c r="G213" s="34"/>
      <c r="H213" s="29"/>
      <c r="I213" s="29"/>
      <c r="J213" s="29"/>
      <c r="K213" s="29"/>
      <c r="L213" s="36"/>
      <c r="M213" s="29"/>
      <c r="N213" s="37"/>
      <c r="O213" s="30" t="n">
        <f aca="false">N213*J213</f>
        <v>0</v>
      </c>
    </row>
    <row r="214" customFormat="false" ht="15" hidden="false" customHeight="false" outlineLevel="0" collapsed="false">
      <c r="A214" s="33"/>
      <c r="B214" s="18" t="s">
        <v>23</v>
      </c>
      <c r="C214" s="29"/>
      <c r="D214" s="29"/>
      <c r="E214" s="29"/>
      <c r="F214" s="29"/>
      <c r="G214" s="34"/>
      <c r="H214" s="29"/>
      <c r="I214" s="29"/>
      <c r="J214" s="29"/>
      <c r="K214" s="29"/>
      <c r="L214" s="36"/>
      <c r="M214" s="29"/>
      <c r="N214" s="37"/>
      <c r="O214" s="30" t="n">
        <f aca="false">N214*J214</f>
        <v>0</v>
      </c>
    </row>
    <row r="215" customFormat="false" ht="15" hidden="false" customHeight="false" outlineLevel="0" collapsed="false">
      <c r="A215" s="33"/>
      <c r="B215" s="18" t="s">
        <v>23</v>
      </c>
      <c r="C215" s="29"/>
      <c r="D215" s="29"/>
      <c r="E215" s="29"/>
      <c r="F215" s="29"/>
      <c r="G215" s="34"/>
      <c r="H215" s="29"/>
      <c r="I215" s="29"/>
      <c r="J215" s="29"/>
      <c r="K215" s="29"/>
      <c r="L215" s="36"/>
      <c r="M215" s="29"/>
      <c r="N215" s="37"/>
      <c r="O215" s="30" t="n">
        <f aca="false">N215*J215</f>
        <v>0</v>
      </c>
    </row>
    <row r="216" customFormat="false" ht="15" hidden="false" customHeight="false" outlineLevel="0" collapsed="false">
      <c r="A216" s="33"/>
      <c r="B216" s="18" t="s">
        <v>23</v>
      </c>
      <c r="C216" s="29"/>
      <c r="D216" s="29"/>
      <c r="E216" s="29"/>
      <c r="F216" s="29"/>
      <c r="G216" s="34"/>
      <c r="H216" s="29"/>
      <c r="I216" s="29"/>
      <c r="J216" s="29"/>
      <c r="K216" s="29"/>
      <c r="L216" s="36"/>
      <c r="M216" s="29"/>
      <c r="N216" s="37"/>
      <c r="O216" s="30" t="n">
        <f aca="false">N216*J216</f>
        <v>0</v>
      </c>
    </row>
    <row r="217" customFormat="false" ht="15" hidden="false" customHeight="false" outlineLevel="0" collapsed="false">
      <c r="A217" s="33"/>
      <c r="B217" s="18" t="s">
        <v>23</v>
      </c>
      <c r="C217" s="29"/>
      <c r="D217" s="29"/>
      <c r="E217" s="29"/>
      <c r="F217" s="29"/>
      <c r="G217" s="34"/>
      <c r="H217" s="29"/>
      <c r="I217" s="29"/>
      <c r="J217" s="29"/>
      <c r="K217" s="29"/>
      <c r="L217" s="36"/>
      <c r="M217" s="29"/>
      <c r="N217" s="37"/>
      <c r="O217" s="30" t="n">
        <f aca="false">N217*J217</f>
        <v>0</v>
      </c>
    </row>
    <row r="218" customFormat="false" ht="15" hidden="false" customHeight="false" outlineLevel="0" collapsed="false">
      <c r="A218" s="33"/>
      <c r="B218" s="18" t="s">
        <v>23</v>
      </c>
      <c r="C218" s="29"/>
      <c r="D218" s="29"/>
      <c r="E218" s="29"/>
      <c r="F218" s="29"/>
      <c r="G218" s="34"/>
      <c r="H218" s="29"/>
      <c r="I218" s="29"/>
      <c r="J218" s="29"/>
      <c r="K218" s="29"/>
      <c r="L218" s="36"/>
      <c r="M218" s="29"/>
      <c r="N218" s="37"/>
      <c r="O218" s="30" t="n">
        <f aca="false">N218*J218</f>
        <v>0</v>
      </c>
    </row>
    <row r="219" customFormat="false" ht="15" hidden="false" customHeight="false" outlineLevel="0" collapsed="false">
      <c r="A219" s="33"/>
      <c r="B219" s="18" t="s">
        <v>23</v>
      </c>
      <c r="C219" s="29"/>
      <c r="D219" s="29"/>
      <c r="E219" s="29"/>
      <c r="F219" s="29"/>
      <c r="G219" s="34"/>
      <c r="H219" s="29"/>
      <c r="I219" s="29"/>
      <c r="J219" s="29"/>
      <c r="K219" s="29"/>
      <c r="L219" s="36"/>
      <c r="M219" s="29"/>
      <c r="N219" s="37"/>
      <c r="O219" s="30" t="n">
        <f aca="false">N219*J219</f>
        <v>0</v>
      </c>
    </row>
    <row r="220" customFormat="false" ht="15" hidden="false" customHeight="false" outlineLevel="0" collapsed="false">
      <c r="A220" s="33"/>
      <c r="B220" s="18" t="s">
        <v>23</v>
      </c>
      <c r="C220" s="29"/>
      <c r="D220" s="29"/>
      <c r="E220" s="29"/>
      <c r="F220" s="29"/>
      <c r="G220" s="34"/>
      <c r="H220" s="29"/>
      <c r="I220" s="29"/>
      <c r="J220" s="29"/>
      <c r="K220" s="29"/>
      <c r="L220" s="36"/>
      <c r="M220" s="29"/>
      <c r="N220" s="37"/>
      <c r="O220" s="30" t="n">
        <f aca="false">N220*J220</f>
        <v>0</v>
      </c>
    </row>
    <row r="221" customFormat="false" ht="15" hidden="false" customHeight="false" outlineLevel="0" collapsed="false">
      <c r="A221" s="33"/>
      <c r="B221" s="18" t="s">
        <v>23</v>
      </c>
      <c r="C221" s="29"/>
      <c r="D221" s="29"/>
      <c r="E221" s="29"/>
      <c r="F221" s="29"/>
      <c r="G221" s="34"/>
      <c r="H221" s="29"/>
      <c r="I221" s="29"/>
      <c r="J221" s="29"/>
      <c r="K221" s="29"/>
      <c r="L221" s="36"/>
      <c r="M221" s="29"/>
      <c r="N221" s="37"/>
      <c r="O221" s="30" t="n">
        <f aca="false">N221*J221</f>
        <v>0</v>
      </c>
    </row>
    <row r="222" customFormat="false" ht="15" hidden="false" customHeight="false" outlineLevel="0" collapsed="false">
      <c r="A222" s="33"/>
      <c r="B222" s="18" t="s">
        <v>23</v>
      </c>
      <c r="C222" s="29"/>
      <c r="D222" s="29"/>
      <c r="E222" s="29"/>
      <c r="F222" s="29"/>
      <c r="G222" s="34"/>
      <c r="H222" s="29"/>
      <c r="I222" s="29"/>
      <c r="J222" s="29"/>
      <c r="K222" s="29"/>
      <c r="L222" s="36"/>
      <c r="M222" s="29"/>
      <c r="N222" s="37"/>
      <c r="O222" s="30" t="n">
        <f aca="false">N222*J222</f>
        <v>0</v>
      </c>
    </row>
    <row r="223" customFormat="false" ht="15" hidden="false" customHeight="false" outlineLevel="0" collapsed="false">
      <c r="A223" s="33"/>
      <c r="B223" s="18" t="s">
        <v>23</v>
      </c>
      <c r="C223" s="29"/>
      <c r="D223" s="29"/>
      <c r="E223" s="29"/>
      <c r="F223" s="29"/>
      <c r="G223" s="34"/>
      <c r="H223" s="29"/>
      <c r="I223" s="29"/>
      <c r="J223" s="29"/>
      <c r="K223" s="29"/>
      <c r="L223" s="36"/>
      <c r="M223" s="29"/>
      <c r="N223" s="37"/>
      <c r="O223" s="30" t="n">
        <f aca="false">N223*J223</f>
        <v>0</v>
      </c>
    </row>
    <row r="224" customFormat="false" ht="15" hidden="false" customHeight="false" outlineLevel="0" collapsed="false">
      <c r="A224" s="33"/>
      <c r="B224" s="18" t="s">
        <v>23</v>
      </c>
      <c r="C224" s="29"/>
      <c r="D224" s="29"/>
      <c r="E224" s="29"/>
      <c r="F224" s="29"/>
      <c r="G224" s="34"/>
      <c r="H224" s="29"/>
      <c r="I224" s="29"/>
      <c r="J224" s="29"/>
      <c r="K224" s="29"/>
      <c r="L224" s="36"/>
      <c r="M224" s="29"/>
      <c r="N224" s="37"/>
      <c r="O224" s="30" t="n">
        <f aca="false">N224*J224</f>
        <v>0</v>
      </c>
    </row>
    <row r="225" customFormat="false" ht="15" hidden="false" customHeight="false" outlineLevel="0" collapsed="false">
      <c r="A225" s="33"/>
      <c r="B225" s="18" t="s">
        <v>23</v>
      </c>
      <c r="C225" s="29"/>
      <c r="D225" s="29"/>
      <c r="E225" s="29"/>
      <c r="F225" s="29"/>
      <c r="G225" s="34"/>
      <c r="H225" s="29"/>
      <c r="I225" s="29"/>
      <c r="J225" s="29"/>
      <c r="K225" s="29"/>
      <c r="L225" s="36"/>
      <c r="M225" s="29"/>
      <c r="N225" s="37"/>
      <c r="O225" s="30" t="n">
        <f aca="false">N225*J225</f>
        <v>0</v>
      </c>
    </row>
    <row r="226" customFormat="false" ht="15" hidden="false" customHeight="false" outlineLevel="0" collapsed="false">
      <c r="A226" s="33"/>
      <c r="B226" s="18" t="s">
        <v>23</v>
      </c>
      <c r="C226" s="29"/>
      <c r="D226" s="29"/>
      <c r="E226" s="29"/>
      <c r="F226" s="29"/>
      <c r="G226" s="34"/>
      <c r="H226" s="29"/>
      <c r="I226" s="29"/>
      <c r="J226" s="29"/>
      <c r="K226" s="29"/>
      <c r="L226" s="36"/>
      <c r="M226" s="29"/>
      <c r="N226" s="37"/>
      <c r="O226" s="30" t="n">
        <f aca="false">N226*J226</f>
        <v>0</v>
      </c>
    </row>
    <row r="227" customFormat="false" ht="15" hidden="false" customHeight="false" outlineLevel="0" collapsed="false">
      <c r="A227" s="33"/>
      <c r="B227" s="18" t="s">
        <v>23</v>
      </c>
      <c r="C227" s="29"/>
      <c r="D227" s="29"/>
      <c r="E227" s="29"/>
      <c r="F227" s="29"/>
      <c r="G227" s="34"/>
      <c r="H227" s="29"/>
      <c r="I227" s="29"/>
      <c r="J227" s="29"/>
      <c r="K227" s="29"/>
      <c r="L227" s="36"/>
      <c r="M227" s="29"/>
      <c r="N227" s="37"/>
      <c r="O227" s="30" t="n">
        <f aca="false">N227*J227</f>
        <v>0</v>
      </c>
    </row>
    <row r="228" customFormat="false" ht="15" hidden="false" customHeight="false" outlineLevel="0" collapsed="false">
      <c r="A228" s="33"/>
      <c r="B228" s="18" t="s">
        <v>23</v>
      </c>
      <c r="C228" s="29"/>
      <c r="D228" s="29"/>
      <c r="E228" s="29"/>
      <c r="F228" s="29"/>
      <c r="G228" s="34"/>
      <c r="H228" s="29"/>
      <c r="I228" s="29"/>
      <c r="J228" s="29"/>
      <c r="K228" s="29"/>
      <c r="L228" s="36"/>
      <c r="M228" s="29"/>
      <c r="N228" s="37"/>
      <c r="O228" s="30" t="n">
        <f aca="false">N228*J228</f>
        <v>0</v>
      </c>
    </row>
    <row r="229" customFormat="false" ht="15" hidden="false" customHeight="false" outlineLevel="0" collapsed="false">
      <c r="A229" s="33"/>
      <c r="B229" s="18" t="s">
        <v>23</v>
      </c>
      <c r="C229" s="29"/>
      <c r="D229" s="29"/>
      <c r="E229" s="29"/>
      <c r="F229" s="29"/>
      <c r="G229" s="34"/>
      <c r="H229" s="29"/>
      <c r="I229" s="29"/>
      <c r="J229" s="29"/>
      <c r="K229" s="29"/>
      <c r="L229" s="36"/>
      <c r="M229" s="29"/>
      <c r="N229" s="37"/>
      <c r="O229" s="30" t="n">
        <f aca="false">N229*J229</f>
        <v>0</v>
      </c>
    </row>
    <row r="230" customFormat="false" ht="15" hidden="false" customHeight="false" outlineLevel="0" collapsed="false">
      <c r="A230" s="33"/>
      <c r="B230" s="18" t="s">
        <v>23</v>
      </c>
      <c r="C230" s="29"/>
      <c r="D230" s="29"/>
      <c r="E230" s="29"/>
      <c r="F230" s="29"/>
      <c r="G230" s="34"/>
      <c r="H230" s="29"/>
      <c r="I230" s="29"/>
      <c r="J230" s="29"/>
      <c r="K230" s="29"/>
      <c r="L230" s="36"/>
      <c r="M230" s="29"/>
      <c r="N230" s="37"/>
      <c r="O230" s="30" t="n">
        <f aca="false">N230*J230</f>
        <v>0</v>
      </c>
    </row>
    <row r="231" customFormat="false" ht="15" hidden="false" customHeight="false" outlineLevel="0" collapsed="false">
      <c r="A231" s="33"/>
      <c r="B231" s="18" t="s">
        <v>23</v>
      </c>
      <c r="C231" s="29"/>
      <c r="D231" s="29"/>
      <c r="E231" s="29"/>
      <c r="F231" s="29"/>
      <c r="G231" s="34"/>
      <c r="H231" s="29"/>
      <c r="I231" s="29"/>
      <c r="J231" s="29"/>
      <c r="K231" s="29"/>
      <c r="L231" s="36"/>
      <c r="M231" s="29"/>
      <c r="N231" s="37"/>
      <c r="O231" s="30" t="n">
        <f aca="false">N231*J231</f>
        <v>0</v>
      </c>
    </row>
    <row r="232" customFormat="false" ht="15" hidden="false" customHeight="false" outlineLevel="0" collapsed="false">
      <c r="A232" s="33"/>
      <c r="B232" s="18" t="s">
        <v>23</v>
      </c>
      <c r="C232" s="29"/>
      <c r="D232" s="29"/>
      <c r="E232" s="29"/>
      <c r="F232" s="29"/>
      <c r="G232" s="34"/>
      <c r="H232" s="29"/>
      <c r="I232" s="29"/>
      <c r="J232" s="29"/>
      <c r="K232" s="29"/>
      <c r="L232" s="36"/>
      <c r="M232" s="29"/>
      <c r="N232" s="37"/>
      <c r="O232" s="30" t="n">
        <f aca="false">N232*J232</f>
        <v>0</v>
      </c>
    </row>
    <row r="233" customFormat="false" ht="15" hidden="false" customHeight="false" outlineLevel="0" collapsed="false">
      <c r="A233" s="33"/>
      <c r="B233" s="18" t="s">
        <v>23</v>
      </c>
      <c r="C233" s="29"/>
      <c r="D233" s="29"/>
      <c r="E233" s="29"/>
      <c r="F233" s="29"/>
      <c r="G233" s="34"/>
      <c r="H233" s="29"/>
      <c r="I233" s="29"/>
      <c r="J233" s="29"/>
      <c r="K233" s="29"/>
      <c r="L233" s="36"/>
      <c r="M233" s="29"/>
      <c r="N233" s="37"/>
      <c r="O233" s="30" t="n">
        <f aca="false">N233*J233</f>
        <v>0</v>
      </c>
    </row>
    <row r="234" customFormat="false" ht="15" hidden="false" customHeight="false" outlineLevel="0" collapsed="false">
      <c r="A234" s="33"/>
      <c r="B234" s="18" t="s">
        <v>23</v>
      </c>
      <c r="C234" s="29"/>
      <c r="D234" s="29"/>
      <c r="E234" s="29"/>
      <c r="F234" s="29"/>
      <c r="G234" s="34"/>
      <c r="H234" s="29"/>
      <c r="I234" s="29"/>
      <c r="J234" s="29"/>
      <c r="K234" s="29"/>
      <c r="L234" s="36"/>
      <c r="M234" s="29"/>
      <c r="N234" s="37"/>
      <c r="O234" s="30" t="n">
        <f aca="false">N234*J234</f>
        <v>0</v>
      </c>
    </row>
    <row r="235" customFormat="false" ht="15" hidden="false" customHeight="false" outlineLevel="0" collapsed="false">
      <c r="A235" s="33"/>
      <c r="B235" s="18" t="s">
        <v>23</v>
      </c>
      <c r="C235" s="29"/>
      <c r="D235" s="29"/>
      <c r="E235" s="29"/>
      <c r="F235" s="29"/>
      <c r="G235" s="34"/>
      <c r="H235" s="29"/>
      <c r="I235" s="29"/>
      <c r="J235" s="29"/>
      <c r="K235" s="29"/>
      <c r="L235" s="36"/>
      <c r="M235" s="29"/>
      <c r="N235" s="37"/>
      <c r="O235" s="30" t="n">
        <f aca="false">N235*J235</f>
        <v>0</v>
      </c>
    </row>
    <row r="236" customFormat="false" ht="15" hidden="false" customHeight="false" outlineLevel="0" collapsed="false">
      <c r="A236" s="33"/>
      <c r="B236" s="18" t="s">
        <v>23</v>
      </c>
      <c r="C236" s="29"/>
      <c r="D236" s="29"/>
      <c r="E236" s="29"/>
      <c r="F236" s="29"/>
      <c r="G236" s="34"/>
      <c r="H236" s="29"/>
      <c r="I236" s="29"/>
      <c r="J236" s="29"/>
      <c r="K236" s="29"/>
      <c r="L236" s="36"/>
      <c r="M236" s="29"/>
      <c r="N236" s="37"/>
      <c r="O236" s="30" t="n">
        <f aca="false">N236*J236</f>
        <v>0</v>
      </c>
    </row>
    <row r="237" customFormat="false" ht="15" hidden="false" customHeight="false" outlineLevel="0" collapsed="false">
      <c r="A237" s="33"/>
      <c r="B237" s="18" t="s">
        <v>23</v>
      </c>
      <c r="C237" s="29"/>
      <c r="D237" s="29"/>
      <c r="E237" s="29"/>
      <c r="F237" s="29"/>
      <c r="G237" s="34"/>
      <c r="H237" s="29"/>
      <c r="I237" s="29"/>
      <c r="J237" s="29"/>
      <c r="K237" s="29"/>
      <c r="L237" s="36"/>
      <c r="M237" s="29"/>
      <c r="N237" s="37"/>
      <c r="O237" s="30" t="n">
        <f aca="false">N237*J237</f>
        <v>0</v>
      </c>
    </row>
    <row r="238" customFormat="false" ht="15" hidden="false" customHeight="false" outlineLevel="0" collapsed="false">
      <c r="A238" s="33"/>
      <c r="B238" s="18" t="s">
        <v>23</v>
      </c>
      <c r="C238" s="29"/>
      <c r="D238" s="29"/>
      <c r="E238" s="29"/>
      <c r="F238" s="29"/>
      <c r="G238" s="34"/>
      <c r="H238" s="29"/>
      <c r="I238" s="29"/>
      <c r="J238" s="29"/>
      <c r="K238" s="29"/>
      <c r="L238" s="36"/>
      <c r="M238" s="29" t="n">
        <v>-15</v>
      </c>
      <c r="N238" s="37"/>
      <c r="O238" s="30" t="n">
        <f aca="false">N238*J238</f>
        <v>0</v>
      </c>
    </row>
    <row r="239" customFormat="false" ht="15" hidden="false" customHeight="false" outlineLevel="0" collapsed="false">
      <c r="A239" s="33"/>
      <c r="B239" s="18" t="s">
        <v>23</v>
      </c>
      <c r="C239" s="29"/>
      <c r="D239" s="29"/>
      <c r="E239" s="29"/>
      <c r="F239" s="29"/>
      <c r="G239" s="34"/>
      <c r="H239" s="29"/>
      <c r="I239" s="29"/>
      <c r="J239" s="29"/>
      <c r="K239" s="29"/>
      <c r="L239" s="36"/>
      <c r="M239" s="29" t="n">
        <v>-15</v>
      </c>
      <c r="N239" s="37"/>
      <c r="O239" s="30" t="n">
        <f aca="false">N239*J239</f>
        <v>0</v>
      </c>
    </row>
    <row r="240" customFormat="false" ht="15" hidden="false" customHeight="false" outlineLevel="0" collapsed="false">
      <c r="A240" s="33"/>
      <c r="B240" s="18" t="s">
        <v>23</v>
      </c>
      <c r="C240" s="29"/>
      <c r="D240" s="29"/>
      <c r="E240" s="29"/>
      <c r="F240" s="29"/>
      <c r="G240" s="34"/>
      <c r="H240" s="29"/>
      <c r="I240" s="29"/>
      <c r="J240" s="29"/>
      <c r="K240" s="29"/>
      <c r="L240" s="36"/>
      <c r="M240" s="29" t="n">
        <v>-15</v>
      </c>
      <c r="N240" s="37"/>
      <c r="O240" s="30" t="n">
        <f aca="false">N240*J240</f>
        <v>0</v>
      </c>
    </row>
    <row r="241" customFormat="false" ht="15" hidden="false" customHeight="false" outlineLevel="0" collapsed="false">
      <c r="A241" s="33"/>
      <c r="B241" s="18" t="s">
        <v>23</v>
      </c>
      <c r="C241" s="29"/>
      <c r="D241" s="29"/>
      <c r="E241" s="29"/>
      <c r="F241" s="29"/>
      <c r="G241" s="34"/>
      <c r="H241" s="29"/>
      <c r="I241" s="29"/>
      <c r="J241" s="29"/>
      <c r="K241" s="29"/>
      <c r="L241" s="36"/>
      <c r="M241" s="29" t="n">
        <v>-15</v>
      </c>
      <c r="N241" s="37"/>
      <c r="O241" s="30" t="n">
        <f aca="false">N241*J241</f>
        <v>0</v>
      </c>
    </row>
    <row r="242" customFormat="false" ht="15" hidden="false" customHeight="false" outlineLevel="0" collapsed="false">
      <c r="A242" s="33"/>
      <c r="B242" s="18" t="s">
        <v>23</v>
      </c>
      <c r="C242" s="29"/>
      <c r="D242" s="29"/>
      <c r="E242" s="29"/>
      <c r="F242" s="29"/>
      <c r="G242" s="34"/>
      <c r="H242" s="29"/>
      <c r="I242" s="29"/>
      <c r="J242" s="29"/>
      <c r="K242" s="29"/>
      <c r="L242" s="36"/>
      <c r="M242" s="29" t="n">
        <v>-15</v>
      </c>
      <c r="N242" s="37"/>
      <c r="O242" s="30" t="n">
        <f aca="false">N242*J242</f>
        <v>0</v>
      </c>
    </row>
    <row r="243" customFormat="false" ht="15" hidden="false" customHeight="false" outlineLevel="0" collapsed="false">
      <c r="A243" s="33"/>
      <c r="B243" s="18" t="s">
        <v>23</v>
      </c>
      <c r="C243" s="29"/>
      <c r="D243" s="29"/>
      <c r="E243" s="29"/>
      <c r="F243" s="29"/>
      <c r="G243" s="34"/>
      <c r="H243" s="29"/>
      <c r="I243" s="29"/>
      <c r="J243" s="29"/>
      <c r="K243" s="29"/>
      <c r="L243" s="36"/>
      <c r="M243" s="29" t="n">
        <v>-15</v>
      </c>
      <c r="N243" s="37"/>
      <c r="O243" s="30" t="n">
        <f aca="false">N243*J243</f>
        <v>0</v>
      </c>
    </row>
    <row r="244" customFormat="false" ht="15" hidden="false" customHeight="false" outlineLevel="0" collapsed="false">
      <c r="A244" s="33"/>
      <c r="B244" s="18" t="s">
        <v>23</v>
      </c>
      <c r="C244" s="29"/>
      <c r="D244" s="29"/>
      <c r="E244" s="29"/>
      <c r="F244" s="29"/>
      <c r="G244" s="34"/>
      <c r="H244" s="29"/>
      <c r="I244" s="29"/>
      <c r="J244" s="29"/>
      <c r="K244" s="29"/>
      <c r="L244" s="36"/>
      <c r="M244" s="29" t="n">
        <v>-15</v>
      </c>
      <c r="N244" s="37"/>
      <c r="O244" s="30" t="n">
        <f aca="false">N244*J244</f>
        <v>0</v>
      </c>
    </row>
    <row r="245" customFormat="false" ht="15" hidden="false" customHeight="false" outlineLevel="0" collapsed="false">
      <c r="A245" s="33"/>
      <c r="B245" s="18" t="s">
        <v>23</v>
      </c>
      <c r="C245" s="29"/>
      <c r="D245" s="29"/>
      <c r="E245" s="29"/>
      <c r="F245" s="29"/>
      <c r="G245" s="34"/>
      <c r="H245" s="29"/>
      <c r="I245" s="29"/>
      <c r="J245" s="29"/>
      <c r="K245" s="29"/>
      <c r="L245" s="36"/>
      <c r="M245" s="29" t="n">
        <v>-15</v>
      </c>
      <c r="N245" s="37"/>
      <c r="O245" s="30" t="n">
        <f aca="false">N245*J245</f>
        <v>0</v>
      </c>
    </row>
    <row r="246" customFormat="false" ht="15" hidden="false" customHeight="false" outlineLevel="0" collapsed="false">
      <c r="A246" s="33"/>
      <c r="B246" s="18" t="s">
        <v>23</v>
      </c>
      <c r="C246" s="29"/>
      <c r="D246" s="29"/>
      <c r="E246" s="29"/>
      <c r="F246" s="29"/>
      <c r="G246" s="34"/>
      <c r="H246" s="29"/>
      <c r="I246" s="29"/>
      <c r="J246" s="29"/>
      <c r="K246" s="29"/>
      <c r="L246" s="36"/>
      <c r="M246" s="29" t="n">
        <v>-15</v>
      </c>
      <c r="N246" s="37"/>
      <c r="O246" s="30" t="n">
        <f aca="false">N246*J246</f>
        <v>0</v>
      </c>
    </row>
    <row r="247" customFormat="false" ht="15" hidden="false" customHeight="false" outlineLevel="0" collapsed="false">
      <c r="A247" s="33"/>
      <c r="B247" s="18" t="s">
        <v>23</v>
      </c>
      <c r="C247" s="29"/>
      <c r="D247" s="29"/>
      <c r="E247" s="29"/>
      <c r="F247" s="29"/>
      <c r="G247" s="34"/>
      <c r="H247" s="29"/>
      <c r="I247" s="29"/>
      <c r="J247" s="29"/>
      <c r="K247" s="29"/>
      <c r="L247" s="36"/>
      <c r="M247" s="29" t="n">
        <v>-15</v>
      </c>
      <c r="N247" s="37"/>
      <c r="O247" s="30" t="n">
        <f aca="false">N247*J247</f>
        <v>0</v>
      </c>
    </row>
    <row r="248" customFormat="false" ht="15" hidden="false" customHeight="false" outlineLevel="0" collapsed="false">
      <c r="A248" s="33"/>
      <c r="B248" s="18" t="s">
        <v>23</v>
      </c>
      <c r="C248" s="29"/>
      <c r="D248" s="29"/>
      <c r="E248" s="29"/>
      <c r="F248" s="29"/>
      <c r="G248" s="34"/>
      <c r="H248" s="29"/>
      <c r="I248" s="29"/>
      <c r="J248" s="29"/>
      <c r="K248" s="29"/>
      <c r="L248" s="36"/>
      <c r="M248" s="29" t="n">
        <v>-15</v>
      </c>
      <c r="N248" s="37"/>
      <c r="O248" s="30" t="n">
        <f aca="false">N248*J248</f>
        <v>0</v>
      </c>
    </row>
    <row r="249" customFormat="false" ht="15" hidden="false" customHeight="false" outlineLevel="0" collapsed="false">
      <c r="A249" s="33"/>
      <c r="B249" s="18" t="s">
        <v>23</v>
      </c>
      <c r="C249" s="29"/>
      <c r="D249" s="29"/>
      <c r="E249" s="29"/>
      <c r="F249" s="29"/>
      <c r="G249" s="34"/>
      <c r="H249" s="29"/>
      <c r="I249" s="29"/>
      <c r="J249" s="29"/>
      <c r="K249" s="29"/>
      <c r="L249" s="36"/>
      <c r="M249" s="29" t="n">
        <v>-15</v>
      </c>
      <c r="N249" s="37"/>
      <c r="O249" s="30" t="n">
        <f aca="false">N249*J249</f>
        <v>0</v>
      </c>
    </row>
    <row r="250" customFormat="false" ht="15" hidden="false" customHeight="false" outlineLevel="0" collapsed="false">
      <c r="A250" s="33"/>
      <c r="B250" s="18" t="s">
        <v>23</v>
      </c>
      <c r="C250" s="29"/>
      <c r="D250" s="29"/>
      <c r="E250" s="29"/>
      <c r="F250" s="29"/>
      <c r="G250" s="34"/>
      <c r="H250" s="29"/>
      <c r="I250" s="29"/>
      <c r="J250" s="29"/>
      <c r="K250" s="29"/>
      <c r="L250" s="36"/>
      <c r="M250" s="29" t="n">
        <v>-15</v>
      </c>
      <c r="N250" s="37"/>
      <c r="O250" s="30" t="n">
        <f aca="false">N250*J250</f>
        <v>0</v>
      </c>
    </row>
    <row r="251" customFormat="false" ht="15" hidden="false" customHeight="false" outlineLevel="0" collapsed="false">
      <c r="A251" s="33"/>
      <c r="B251" s="18" t="s">
        <v>23</v>
      </c>
      <c r="C251" s="29"/>
      <c r="D251" s="29"/>
      <c r="E251" s="29"/>
      <c r="F251" s="29"/>
      <c r="G251" s="34"/>
      <c r="H251" s="29"/>
      <c r="I251" s="29"/>
      <c r="J251" s="29"/>
      <c r="K251" s="29"/>
      <c r="L251" s="36"/>
      <c r="M251" s="29" t="n">
        <v>-15</v>
      </c>
      <c r="N251" s="37"/>
      <c r="O251" s="30" t="n">
        <f aca="false">N251*J251</f>
        <v>0</v>
      </c>
    </row>
    <row r="252" customFormat="false" ht="15" hidden="false" customHeight="false" outlineLevel="0" collapsed="false">
      <c r="A252" s="33"/>
      <c r="B252" s="18" t="s">
        <v>23</v>
      </c>
      <c r="C252" s="29"/>
      <c r="D252" s="29"/>
      <c r="E252" s="29"/>
      <c r="F252" s="29"/>
      <c r="G252" s="34"/>
      <c r="H252" s="29"/>
      <c r="I252" s="29"/>
      <c r="J252" s="29"/>
      <c r="K252" s="29"/>
      <c r="L252" s="36"/>
      <c r="M252" s="29" t="n">
        <v>-15</v>
      </c>
      <c r="N252" s="37"/>
      <c r="O252" s="30" t="n">
        <f aca="false">N252*J252</f>
        <v>0</v>
      </c>
    </row>
    <row r="253" customFormat="false" ht="15" hidden="false" customHeight="false" outlineLevel="0" collapsed="false">
      <c r="A253" s="33"/>
      <c r="B253" s="18" t="s">
        <v>23</v>
      </c>
      <c r="C253" s="29"/>
      <c r="D253" s="29"/>
      <c r="E253" s="29"/>
      <c r="F253" s="29"/>
      <c r="G253" s="34"/>
      <c r="H253" s="29"/>
      <c r="I253" s="29"/>
      <c r="J253" s="29"/>
      <c r="K253" s="29"/>
      <c r="L253" s="36"/>
      <c r="M253" s="29" t="n">
        <v>-15</v>
      </c>
      <c r="N253" s="37"/>
      <c r="O253" s="30" t="n">
        <f aca="false">N253*J253</f>
        <v>0</v>
      </c>
    </row>
    <row r="254" customFormat="false" ht="15" hidden="false" customHeight="false" outlineLevel="0" collapsed="false">
      <c r="A254" s="33"/>
      <c r="B254" s="18" t="s">
        <v>23</v>
      </c>
      <c r="C254" s="29"/>
      <c r="D254" s="29"/>
      <c r="E254" s="29"/>
      <c r="F254" s="29"/>
      <c r="G254" s="34"/>
      <c r="H254" s="29"/>
      <c r="I254" s="29"/>
      <c r="J254" s="29"/>
      <c r="K254" s="29"/>
      <c r="L254" s="36"/>
      <c r="M254" s="29" t="n">
        <v>-15</v>
      </c>
      <c r="N254" s="37"/>
      <c r="O254" s="30" t="n">
        <f aca="false">N254*J254</f>
        <v>0</v>
      </c>
    </row>
    <row r="255" customFormat="false" ht="15" hidden="false" customHeight="false" outlineLevel="0" collapsed="false">
      <c r="A255" s="33"/>
      <c r="B255" s="18" t="s">
        <v>23</v>
      </c>
      <c r="C255" s="29"/>
      <c r="D255" s="29"/>
      <c r="E255" s="29"/>
      <c r="F255" s="29"/>
      <c r="G255" s="34"/>
      <c r="H255" s="29"/>
      <c r="I255" s="29"/>
      <c r="J255" s="29"/>
      <c r="K255" s="29"/>
      <c r="L255" s="36"/>
      <c r="M255" s="29" t="n">
        <v>-15</v>
      </c>
      <c r="N255" s="37"/>
      <c r="O255" s="30" t="n">
        <f aca="false">N255*J255</f>
        <v>0</v>
      </c>
    </row>
    <row r="256" customFormat="false" ht="15" hidden="false" customHeight="false" outlineLevel="0" collapsed="false">
      <c r="A256" s="33"/>
      <c r="B256" s="18" t="s">
        <v>23</v>
      </c>
      <c r="C256" s="29"/>
      <c r="D256" s="29"/>
      <c r="E256" s="29"/>
      <c r="F256" s="29"/>
      <c r="G256" s="34"/>
      <c r="H256" s="29"/>
      <c r="I256" s="29"/>
      <c r="J256" s="29"/>
      <c r="K256" s="29"/>
      <c r="L256" s="36"/>
      <c r="M256" s="29" t="n">
        <v>-15</v>
      </c>
      <c r="N256" s="37"/>
      <c r="O256" s="30" t="n">
        <f aca="false">N256*J256</f>
        <v>0</v>
      </c>
    </row>
    <row r="257" customFormat="false" ht="15" hidden="false" customHeight="false" outlineLevel="0" collapsed="false">
      <c r="A257" s="33"/>
      <c r="B257" s="18" t="s">
        <v>23</v>
      </c>
      <c r="C257" s="29"/>
      <c r="D257" s="29"/>
      <c r="E257" s="29"/>
      <c r="F257" s="29"/>
      <c r="G257" s="34"/>
      <c r="H257" s="29"/>
      <c r="I257" s="29"/>
      <c r="J257" s="29"/>
      <c r="K257" s="29"/>
      <c r="L257" s="36"/>
      <c r="M257" s="29" t="n">
        <v>-15</v>
      </c>
      <c r="N257" s="37"/>
      <c r="O257" s="30" t="n">
        <f aca="false">N257*J257</f>
        <v>0</v>
      </c>
    </row>
    <row r="258" customFormat="false" ht="15" hidden="false" customHeight="false" outlineLevel="0" collapsed="false">
      <c r="A258" s="33"/>
      <c r="B258" s="18" t="s">
        <v>23</v>
      </c>
      <c r="C258" s="29"/>
      <c r="D258" s="29"/>
      <c r="E258" s="29"/>
      <c r="F258" s="29"/>
      <c r="G258" s="34"/>
      <c r="H258" s="29"/>
      <c r="I258" s="29"/>
      <c r="J258" s="29"/>
      <c r="K258" s="29"/>
      <c r="L258" s="36"/>
      <c r="M258" s="29" t="n">
        <v>-15</v>
      </c>
      <c r="N258" s="37"/>
      <c r="O258" s="30" t="n">
        <f aca="false">N258*J258</f>
        <v>0</v>
      </c>
    </row>
    <row r="259" customFormat="false" ht="15" hidden="false" customHeight="false" outlineLevel="0" collapsed="false">
      <c r="A259" s="33"/>
      <c r="B259" s="18" t="s">
        <v>23</v>
      </c>
      <c r="C259" s="29"/>
      <c r="D259" s="29"/>
      <c r="E259" s="29"/>
      <c r="F259" s="29"/>
      <c r="G259" s="34"/>
      <c r="H259" s="29"/>
      <c r="I259" s="29"/>
      <c r="J259" s="29"/>
      <c r="K259" s="29"/>
      <c r="L259" s="36"/>
      <c r="M259" s="29" t="n">
        <v>-15</v>
      </c>
      <c r="N259" s="37"/>
      <c r="O259" s="30" t="n">
        <f aca="false">N259*J259</f>
        <v>0</v>
      </c>
    </row>
    <row r="260" customFormat="false" ht="15" hidden="false" customHeight="false" outlineLevel="0" collapsed="false">
      <c r="A260" s="33"/>
      <c r="B260" s="18" t="s">
        <v>23</v>
      </c>
      <c r="C260" s="29"/>
      <c r="D260" s="29"/>
      <c r="E260" s="29"/>
      <c r="F260" s="29"/>
      <c r="G260" s="34"/>
      <c r="H260" s="29"/>
      <c r="I260" s="29"/>
      <c r="J260" s="29"/>
      <c r="K260" s="29"/>
      <c r="L260" s="36"/>
      <c r="M260" s="29" t="n">
        <v>-15</v>
      </c>
      <c r="N260" s="37"/>
      <c r="O260" s="30" t="n">
        <f aca="false">N260*J260</f>
        <v>0</v>
      </c>
    </row>
    <row r="261" customFormat="false" ht="15" hidden="false" customHeight="false" outlineLevel="0" collapsed="false">
      <c r="A261" s="33"/>
      <c r="B261" s="18" t="s">
        <v>23</v>
      </c>
      <c r="C261" s="29"/>
      <c r="D261" s="29"/>
      <c r="E261" s="29"/>
      <c r="F261" s="29"/>
      <c r="G261" s="34"/>
      <c r="H261" s="29"/>
      <c r="I261" s="29"/>
      <c r="J261" s="29"/>
      <c r="K261" s="29"/>
      <c r="L261" s="36"/>
      <c r="M261" s="29" t="n">
        <v>-15</v>
      </c>
      <c r="N261" s="37"/>
      <c r="O261" s="30" t="n">
        <f aca="false">N261*J261</f>
        <v>0</v>
      </c>
    </row>
    <row r="262" customFormat="false" ht="15" hidden="false" customHeight="false" outlineLevel="0" collapsed="false">
      <c r="A262" s="33"/>
      <c r="B262" s="18" t="s">
        <v>23</v>
      </c>
      <c r="C262" s="29"/>
      <c r="D262" s="29"/>
      <c r="E262" s="29"/>
      <c r="F262" s="29"/>
      <c r="G262" s="34"/>
      <c r="H262" s="29"/>
      <c r="I262" s="29"/>
      <c r="J262" s="29"/>
      <c r="K262" s="29"/>
      <c r="L262" s="36"/>
      <c r="M262" s="29" t="n">
        <v>-15</v>
      </c>
      <c r="N262" s="37"/>
      <c r="O262" s="30" t="n">
        <f aca="false">N262*J262</f>
        <v>0</v>
      </c>
    </row>
    <row r="263" customFormat="false" ht="15" hidden="false" customHeight="false" outlineLevel="0" collapsed="false">
      <c r="A263" s="33"/>
      <c r="B263" s="18" t="s">
        <v>23</v>
      </c>
      <c r="C263" s="29"/>
      <c r="D263" s="29"/>
      <c r="E263" s="29"/>
      <c r="F263" s="29"/>
      <c r="G263" s="34"/>
      <c r="H263" s="29"/>
      <c r="I263" s="29"/>
      <c r="J263" s="29"/>
      <c r="K263" s="29"/>
      <c r="L263" s="36"/>
      <c r="M263" s="29" t="n">
        <v>-15</v>
      </c>
      <c r="N263" s="37"/>
      <c r="O263" s="30" t="n">
        <f aca="false">N263*J263</f>
        <v>0</v>
      </c>
    </row>
    <row r="264" customFormat="false" ht="15" hidden="false" customHeight="false" outlineLevel="0" collapsed="false">
      <c r="A264" s="33"/>
      <c r="B264" s="18" t="s">
        <v>23</v>
      </c>
      <c r="C264" s="29"/>
      <c r="D264" s="29"/>
      <c r="E264" s="29"/>
      <c r="F264" s="29"/>
      <c r="G264" s="34"/>
      <c r="H264" s="29"/>
      <c r="I264" s="29"/>
      <c r="J264" s="29"/>
      <c r="K264" s="29"/>
      <c r="L264" s="36"/>
      <c r="M264" s="29" t="n">
        <v>-15</v>
      </c>
      <c r="N264" s="37"/>
      <c r="O264" s="30" t="n">
        <f aca="false">N264*J264</f>
        <v>0</v>
      </c>
    </row>
    <row r="265" customFormat="false" ht="15" hidden="false" customHeight="false" outlineLevel="0" collapsed="false">
      <c r="A265" s="33"/>
      <c r="B265" s="28" t="s">
        <v>21</v>
      </c>
      <c r="C265" s="29"/>
      <c r="D265" s="29"/>
      <c r="E265" s="29"/>
      <c r="F265" s="29"/>
      <c r="G265" s="34"/>
      <c r="H265" s="29"/>
      <c r="I265" s="29"/>
      <c r="J265" s="29"/>
      <c r="K265" s="29"/>
      <c r="L265" s="36"/>
      <c r="M265" s="29" t="n">
        <v>-15</v>
      </c>
      <c r="N265" s="37"/>
      <c r="O265" s="30" t="n">
        <f aca="false">N265*J265</f>
        <v>0</v>
      </c>
    </row>
    <row r="266" customFormat="false" ht="15" hidden="false" customHeight="false" outlineLevel="0" collapsed="false">
      <c r="A266" s="33"/>
      <c r="B266" s="28" t="s">
        <v>21</v>
      </c>
      <c r="C266" s="29"/>
      <c r="D266" s="29"/>
      <c r="E266" s="29"/>
      <c r="F266" s="29"/>
      <c r="G266" s="34"/>
      <c r="H266" s="29"/>
      <c r="I266" s="29"/>
      <c r="J266" s="29"/>
      <c r="K266" s="29"/>
      <c r="L266" s="36"/>
      <c r="M266" s="29" t="n">
        <v>-15</v>
      </c>
      <c r="N266" s="37"/>
      <c r="O266" s="30" t="n">
        <f aca="false">N266*J266</f>
        <v>0</v>
      </c>
    </row>
    <row r="267" customFormat="false" ht="15" hidden="false" customHeight="false" outlineLevel="0" collapsed="false">
      <c r="A267" s="33"/>
      <c r="B267" s="28" t="s">
        <v>21</v>
      </c>
      <c r="C267" s="29"/>
      <c r="D267" s="29"/>
      <c r="E267" s="29"/>
      <c r="F267" s="29"/>
      <c r="G267" s="34"/>
      <c r="H267" s="29"/>
      <c r="I267" s="29"/>
      <c r="J267" s="29"/>
      <c r="K267" s="29"/>
      <c r="L267" s="36"/>
      <c r="M267" s="29" t="n">
        <v>-15</v>
      </c>
      <c r="N267" s="37"/>
      <c r="O267" s="30" t="n">
        <f aca="false">N267*J267</f>
        <v>0</v>
      </c>
    </row>
    <row r="268" customFormat="false" ht="15" hidden="false" customHeight="false" outlineLevel="0" collapsed="false">
      <c r="A268" s="33"/>
      <c r="B268" s="28" t="s">
        <v>21</v>
      </c>
      <c r="C268" s="29"/>
      <c r="D268" s="29"/>
      <c r="E268" s="29"/>
      <c r="F268" s="29"/>
      <c r="G268" s="34"/>
      <c r="H268" s="29"/>
      <c r="I268" s="29"/>
      <c r="J268" s="29"/>
      <c r="K268" s="29"/>
      <c r="L268" s="36"/>
      <c r="M268" s="29"/>
      <c r="N268" s="37"/>
      <c r="O268" s="30" t="n">
        <f aca="false">N268*J268</f>
        <v>0</v>
      </c>
    </row>
    <row r="269" customFormat="false" ht="15" hidden="false" customHeight="false" outlineLevel="0" collapsed="false">
      <c r="A269" s="33"/>
      <c r="B269" s="28" t="s">
        <v>21</v>
      </c>
      <c r="C269" s="29"/>
      <c r="D269" s="29"/>
      <c r="E269" s="29"/>
      <c r="F269" s="29"/>
      <c r="G269" s="34"/>
      <c r="H269" s="29"/>
      <c r="I269" s="29"/>
      <c r="J269" s="29"/>
      <c r="K269" s="29"/>
      <c r="L269" s="36"/>
      <c r="M269" s="29"/>
      <c r="N269" s="37"/>
      <c r="O269" s="30" t="n">
        <f aca="false">N269*J269</f>
        <v>0</v>
      </c>
    </row>
    <row r="270" customFormat="false" ht="15" hidden="false" customHeight="false" outlineLevel="0" collapsed="false">
      <c r="A270" s="33"/>
      <c r="B270" s="28" t="s">
        <v>21</v>
      </c>
      <c r="C270" s="29"/>
      <c r="D270" s="29"/>
      <c r="E270" s="29"/>
      <c r="F270" s="29"/>
      <c r="G270" s="34"/>
      <c r="H270" s="29"/>
      <c r="I270" s="29"/>
      <c r="J270" s="29"/>
      <c r="K270" s="29"/>
      <c r="L270" s="36"/>
      <c r="M270" s="29"/>
      <c r="N270" s="37"/>
      <c r="O270" s="30" t="n">
        <f aca="false">N270*J270</f>
        <v>0</v>
      </c>
    </row>
    <row r="271" customFormat="false" ht="15" hidden="false" customHeight="false" outlineLevel="0" collapsed="false">
      <c r="A271" s="33"/>
      <c r="B271" s="28" t="s">
        <v>21</v>
      </c>
      <c r="C271" s="29"/>
      <c r="D271" s="29"/>
      <c r="E271" s="29"/>
      <c r="F271" s="29"/>
      <c r="G271" s="34"/>
      <c r="H271" s="29"/>
      <c r="I271" s="29"/>
      <c r="J271" s="29"/>
      <c r="K271" s="29"/>
      <c r="L271" s="36"/>
      <c r="M271" s="29"/>
      <c r="N271" s="37"/>
      <c r="O271" s="30" t="n">
        <f aca="false">N271*J271</f>
        <v>0</v>
      </c>
    </row>
    <row r="272" customFormat="false" ht="15" hidden="false" customHeight="false" outlineLevel="0" collapsed="false">
      <c r="A272" s="33"/>
      <c r="B272" s="28" t="s">
        <v>21</v>
      </c>
      <c r="C272" s="29"/>
      <c r="D272" s="29"/>
      <c r="E272" s="29"/>
      <c r="F272" s="29"/>
      <c r="G272" s="34"/>
      <c r="H272" s="29"/>
      <c r="I272" s="29"/>
      <c r="J272" s="29"/>
      <c r="K272" s="29"/>
      <c r="L272" s="36"/>
      <c r="M272" s="29"/>
      <c r="N272" s="37"/>
      <c r="O272" s="30" t="n">
        <f aca="false">N272*J272</f>
        <v>0</v>
      </c>
    </row>
    <row r="273" customFormat="false" ht="15" hidden="false" customHeight="false" outlineLevel="0" collapsed="false">
      <c r="A273" s="33"/>
      <c r="B273" s="28" t="s">
        <v>21</v>
      </c>
      <c r="C273" s="29"/>
      <c r="D273" s="29"/>
      <c r="E273" s="29"/>
      <c r="F273" s="29"/>
      <c r="G273" s="34"/>
      <c r="H273" s="29"/>
      <c r="I273" s="29"/>
      <c r="J273" s="29"/>
      <c r="K273" s="29"/>
      <c r="L273" s="36"/>
      <c r="M273" s="29"/>
      <c r="N273" s="37"/>
      <c r="O273" s="30" t="n">
        <f aca="false">N273*J273</f>
        <v>0</v>
      </c>
    </row>
    <row r="274" customFormat="false" ht="15" hidden="false" customHeight="false" outlineLevel="0" collapsed="false">
      <c r="A274" s="33"/>
      <c r="B274" s="28" t="s">
        <v>21</v>
      </c>
      <c r="C274" s="29"/>
      <c r="D274" s="29"/>
      <c r="E274" s="29"/>
      <c r="F274" s="29"/>
      <c r="G274" s="34"/>
      <c r="H274" s="29"/>
      <c r="I274" s="29"/>
      <c r="J274" s="29"/>
      <c r="K274" s="29"/>
      <c r="L274" s="36"/>
      <c r="M274" s="29"/>
      <c r="N274" s="37"/>
      <c r="O274" s="30" t="n">
        <f aca="false">N274*J274</f>
        <v>0</v>
      </c>
    </row>
    <row r="275" customFormat="false" ht="15" hidden="false" customHeight="false" outlineLevel="0" collapsed="false">
      <c r="A275" s="33"/>
      <c r="B275" s="28" t="s">
        <v>21</v>
      </c>
      <c r="C275" s="29"/>
      <c r="D275" s="29"/>
      <c r="E275" s="29"/>
      <c r="F275" s="29"/>
      <c r="G275" s="34"/>
      <c r="H275" s="29"/>
      <c r="I275" s="29"/>
      <c r="J275" s="29"/>
      <c r="K275" s="29"/>
      <c r="L275" s="36"/>
      <c r="M275" s="29"/>
      <c r="N275" s="37"/>
      <c r="O275" s="30" t="n">
        <f aca="false">N275*J275</f>
        <v>0</v>
      </c>
    </row>
    <row r="276" customFormat="false" ht="15" hidden="false" customHeight="false" outlineLevel="0" collapsed="false">
      <c r="A276" s="33"/>
      <c r="B276" s="28" t="s">
        <v>21</v>
      </c>
      <c r="C276" s="29"/>
      <c r="D276" s="29"/>
      <c r="E276" s="29"/>
      <c r="F276" s="29"/>
      <c r="G276" s="34"/>
      <c r="H276" s="29"/>
      <c r="I276" s="29"/>
      <c r="J276" s="29"/>
      <c r="K276" s="29"/>
      <c r="L276" s="36"/>
      <c r="M276" s="29"/>
      <c r="N276" s="37"/>
      <c r="O276" s="30" t="n">
        <f aca="false">N276*J276</f>
        <v>0</v>
      </c>
    </row>
    <row r="277" customFormat="false" ht="15" hidden="false" customHeight="false" outlineLevel="0" collapsed="false">
      <c r="A277" s="33"/>
      <c r="B277" s="28" t="s">
        <v>21</v>
      </c>
      <c r="C277" s="29"/>
      <c r="D277" s="29"/>
      <c r="E277" s="29"/>
      <c r="F277" s="29"/>
      <c r="G277" s="36"/>
      <c r="H277" s="29"/>
      <c r="I277" s="29"/>
      <c r="J277" s="29"/>
      <c r="K277" s="29"/>
      <c r="L277" s="36"/>
      <c r="M277" s="29"/>
      <c r="N277" s="37"/>
      <c r="O277" s="30" t="n">
        <f aca="false">N277*J277</f>
        <v>0</v>
      </c>
    </row>
    <row r="278" customFormat="false" ht="15" hidden="false" customHeight="false" outlineLevel="0" collapsed="false">
      <c r="A278" s="33"/>
      <c r="B278" s="28" t="s">
        <v>21</v>
      </c>
      <c r="C278" s="29"/>
      <c r="D278" s="29"/>
      <c r="E278" s="29"/>
      <c r="F278" s="29"/>
      <c r="G278" s="36"/>
      <c r="H278" s="29"/>
      <c r="I278" s="29"/>
      <c r="J278" s="29"/>
      <c r="K278" s="29"/>
      <c r="L278" s="36"/>
      <c r="M278" s="29"/>
      <c r="N278" s="37"/>
      <c r="O278" s="30" t="n">
        <f aca="false">N278*J278</f>
        <v>0</v>
      </c>
    </row>
    <row r="279" customFormat="false" ht="15" hidden="false" customHeight="false" outlineLevel="0" collapsed="false">
      <c r="A279" s="33"/>
      <c r="B279" s="28" t="s">
        <v>21</v>
      </c>
      <c r="C279" s="29"/>
      <c r="D279" s="29"/>
      <c r="E279" s="29"/>
      <c r="F279" s="29"/>
      <c r="G279" s="36"/>
      <c r="H279" s="29"/>
      <c r="I279" s="29"/>
      <c r="J279" s="29"/>
      <c r="K279" s="29"/>
      <c r="L279" s="36"/>
      <c r="M279" s="29"/>
      <c r="N279" s="37"/>
      <c r="O279" s="30" t="n">
        <f aca="false">N279*J279</f>
        <v>0</v>
      </c>
    </row>
    <row r="280" customFormat="false" ht="15" hidden="false" customHeight="false" outlineLevel="0" collapsed="false">
      <c r="A280" s="33"/>
      <c r="B280" s="28" t="s">
        <v>21</v>
      </c>
      <c r="C280" s="29"/>
      <c r="D280" s="29"/>
      <c r="E280" s="29"/>
      <c r="F280" s="29"/>
      <c r="G280" s="36"/>
      <c r="H280" s="29"/>
      <c r="I280" s="29"/>
      <c r="J280" s="29"/>
      <c r="K280" s="29"/>
      <c r="L280" s="36"/>
      <c r="M280" s="29"/>
      <c r="N280" s="37"/>
      <c r="O280" s="30" t="n">
        <f aca="false">N280*J280</f>
        <v>0</v>
      </c>
    </row>
    <row r="281" customFormat="false" ht="15" hidden="false" customHeight="false" outlineLevel="0" collapsed="false">
      <c r="A281" s="33"/>
      <c r="B281" s="28" t="s">
        <v>21</v>
      </c>
      <c r="C281" s="29"/>
      <c r="D281" s="29"/>
      <c r="E281" s="29"/>
      <c r="F281" s="29"/>
      <c r="G281" s="36"/>
      <c r="H281" s="29"/>
      <c r="I281" s="29"/>
      <c r="J281" s="29"/>
      <c r="K281" s="29"/>
      <c r="L281" s="36"/>
      <c r="M281" s="29"/>
      <c r="N281" s="37"/>
      <c r="O281" s="30" t="n">
        <f aca="false">N281*J281</f>
        <v>0</v>
      </c>
    </row>
    <row r="282" customFormat="false" ht="15" hidden="false" customHeight="false" outlineLevel="0" collapsed="false">
      <c r="A282" s="33"/>
      <c r="B282" s="28" t="s">
        <v>21</v>
      </c>
      <c r="C282" s="29"/>
      <c r="D282" s="29"/>
      <c r="E282" s="29"/>
      <c r="F282" s="29"/>
      <c r="G282" s="36"/>
      <c r="H282" s="29"/>
      <c r="I282" s="29"/>
      <c r="J282" s="29"/>
      <c r="K282" s="29"/>
      <c r="L282" s="36"/>
      <c r="M282" s="29"/>
      <c r="N282" s="37"/>
      <c r="O282" s="30" t="n">
        <f aca="false">N282*J282</f>
        <v>0</v>
      </c>
    </row>
    <row r="283" customFormat="false" ht="15" hidden="false" customHeight="false" outlineLevel="0" collapsed="false">
      <c r="A283" s="33"/>
      <c r="B283" s="28" t="s">
        <v>21</v>
      </c>
      <c r="C283" s="29"/>
      <c r="D283" s="29"/>
      <c r="E283" s="29"/>
      <c r="F283" s="29"/>
      <c r="G283" s="36"/>
      <c r="H283" s="29"/>
      <c r="I283" s="29"/>
      <c r="J283" s="29"/>
      <c r="K283" s="29"/>
      <c r="L283" s="36"/>
      <c r="M283" s="29"/>
      <c r="N283" s="37"/>
      <c r="O283" s="30" t="n">
        <f aca="false">N283*J283</f>
        <v>0</v>
      </c>
    </row>
    <row r="284" customFormat="false" ht="15" hidden="false" customHeight="false" outlineLevel="0" collapsed="false">
      <c r="A284" s="33"/>
      <c r="B284" s="28" t="s">
        <v>21</v>
      </c>
      <c r="C284" s="29"/>
      <c r="D284" s="29"/>
      <c r="E284" s="29"/>
      <c r="F284" s="29"/>
      <c r="G284" s="36"/>
      <c r="H284" s="29"/>
      <c r="I284" s="29"/>
      <c r="J284" s="29"/>
      <c r="K284" s="29"/>
      <c r="L284" s="36"/>
      <c r="M284" s="29"/>
      <c r="N284" s="37"/>
      <c r="O284" s="30" t="n">
        <f aca="false">N284*J284</f>
        <v>0</v>
      </c>
    </row>
    <row r="285" customFormat="false" ht="15" hidden="false" customHeight="false" outlineLevel="0" collapsed="false">
      <c r="A285" s="33"/>
      <c r="B285" s="28" t="s">
        <v>21</v>
      </c>
      <c r="C285" s="29"/>
      <c r="D285" s="29"/>
      <c r="E285" s="29"/>
      <c r="F285" s="29"/>
      <c r="G285" s="36"/>
      <c r="H285" s="29"/>
      <c r="I285" s="29"/>
      <c r="J285" s="29"/>
      <c r="K285" s="29"/>
      <c r="L285" s="36"/>
      <c r="M285" s="29"/>
      <c r="N285" s="37"/>
      <c r="O285" s="30" t="n">
        <f aca="false">N285*J285</f>
        <v>0</v>
      </c>
    </row>
    <row r="286" customFormat="false" ht="15" hidden="false" customHeight="false" outlineLevel="0" collapsed="false">
      <c r="A286" s="33"/>
      <c r="B286" s="28" t="s">
        <v>21</v>
      </c>
      <c r="C286" s="29"/>
      <c r="D286" s="29"/>
      <c r="E286" s="29"/>
      <c r="F286" s="29"/>
      <c r="G286" s="36"/>
      <c r="H286" s="29"/>
      <c r="I286" s="29"/>
      <c r="J286" s="29"/>
      <c r="K286" s="29"/>
      <c r="L286" s="36"/>
      <c r="M286" s="29"/>
      <c r="N286" s="37"/>
      <c r="O286" s="30" t="n">
        <f aca="false">N286*J286</f>
        <v>0</v>
      </c>
    </row>
    <row r="287" customFormat="false" ht="15" hidden="false" customHeight="false" outlineLevel="0" collapsed="false">
      <c r="A287" s="33"/>
      <c r="B287" s="28" t="s">
        <v>21</v>
      </c>
      <c r="C287" s="29"/>
      <c r="D287" s="29"/>
      <c r="E287" s="29"/>
      <c r="F287" s="29"/>
      <c r="G287" s="36"/>
      <c r="H287" s="29"/>
      <c r="I287" s="29"/>
      <c r="J287" s="29"/>
      <c r="K287" s="29"/>
      <c r="L287" s="36"/>
      <c r="M287" s="29"/>
      <c r="N287" s="37"/>
      <c r="O287" s="30" t="n">
        <f aca="false">N287*J287</f>
        <v>0</v>
      </c>
    </row>
    <row r="288" customFormat="false" ht="15" hidden="false" customHeight="false" outlineLevel="0" collapsed="false">
      <c r="A288" s="33"/>
      <c r="B288" s="28" t="s">
        <v>21</v>
      </c>
      <c r="C288" s="29"/>
      <c r="D288" s="29"/>
      <c r="E288" s="29"/>
      <c r="F288" s="29"/>
      <c r="G288" s="36"/>
      <c r="H288" s="29"/>
      <c r="I288" s="29"/>
      <c r="J288" s="29"/>
      <c r="K288" s="29"/>
      <c r="L288" s="36"/>
      <c r="M288" s="29"/>
      <c r="N288" s="37"/>
      <c r="O288" s="30" t="n">
        <f aca="false">N288*J288</f>
        <v>0</v>
      </c>
    </row>
    <row r="289" customFormat="false" ht="15" hidden="false" customHeight="false" outlineLevel="0" collapsed="false">
      <c r="A289" s="33"/>
      <c r="B289" s="28" t="s">
        <v>21</v>
      </c>
      <c r="C289" s="29"/>
      <c r="D289" s="29"/>
      <c r="E289" s="29"/>
      <c r="F289" s="29"/>
      <c r="G289" s="36"/>
      <c r="H289" s="29"/>
      <c r="I289" s="29"/>
      <c r="J289" s="29"/>
      <c r="K289" s="29"/>
      <c r="L289" s="36"/>
      <c r="M289" s="29"/>
      <c r="N289" s="37"/>
      <c r="O289" s="30" t="n">
        <f aca="false">N289*J289</f>
        <v>0</v>
      </c>
    </row>
    <row r="290" customFormat="false" ht="15" hidden="false" customHeight="false" outlineLevel="0" collapsed="false">
      <c r="A290" s="33"/>
      <c r="B290" s="28" t="s">
        <v>21</v>
      </c>
      <c r="C290" s="29"/>
      <c r="D290" s="29"/>
      <c r="E290" s="29"/>
      <c r="F290" s="29"/>
      <c r="G290" s="36"/>
      <c r="H290" s="29"/>
      <c r="I290" s="29"/>
      <c r="J290" s="29"/>
      <c r="K290" s="29"/>
      <c r="L290" s="36"/>
      <c r="M290" s="29"/>
      <c r="N290" s="37"/>
      <c r="O290" s="30" t="n">
        <f aca="false">N290*J290</f>
        <v>0</v>
      </c>
    </row>
    <row r="291" customFormat="false" ht="15" hidden="false" customHeight="false" outlineLevel="0" collapsed="false">
      <c r="A291" s="42"/>
      <c r="B291" s="28" t="s">
        <v>21</v>
      </c>
      <c r="C291" s="41"/>
      <c r="D291" s="41"/>
      <c r="E291" s="41"/>
      <c r="F291" s="41"/>
      <c r="G291" s="34"/>
      <c r="H291" s="41"/>
      <c r="I291" s="41"/>
      <c r="J291" s="41"/>
      <c r="K291" s="41"/>
      <c r="L291" s="36"/>
      <c r="M291" s="29"/>
      <c r="N291" s="37"/>
      <c r="O291" s="30" t="n">
        <f aca="false">N291*J291</f>
        <v>0</v>
      </c>
    </row>
    <row r="292" customFormat="false" ht="15" hidden="false" customHeight="false" outlineLevel="0" collapsed="false">
      <c r="A292" s="33"/>
      <c r="B292" s="28" t="s">
        <v>21</v>
      </c>
      <c r="C292" s="29"/>
      <c r="D292" s="29"/>
      <c r="E292" s="29"/>
      <c r="F292" s="29"/>
      <c r="G292" s="36"/>
      <c r="H292" s="29"/>
      <c r="I292" s="29"/>
      <c r="J292" s="29"/>
      <c r="K292" s="29"/>
      <c r="L292" s="36"/>
      <c r="M292" s="29"/>
      <c r="N292" s="37"/>
      <c r="O292" s="30" t="n">
        <f aca="false">N292*J292</f>
        <v>0</v>
      </c>
    </row>
    <row r="293" customFormat="false" ht="15" hidden="false" customHeight="false" outlineLevel="0" collapsed="false">
      <c r="A293" s="33"/>
      <c r="B293" s="28" t="s">
        <v>21</v>
      </c>
      <c r="C293" s="29"/>
      <c r="D293" s="29"/>
      <c r="E293" s="29"/>
      <c r="F293" s="29"/>
      <c r="G293" s="36"/>
      <c r="H293" s="29"/>
      <c r="I293" s="29"/>
      <c r="J293" s="29"/>
      <c r="K293" s="29"/>
      <c r="L293" s="36"/>
      <c r="M293" s="29"/>
      <c r="N293" s="37"/>
      <c r="O293" s="30" t="n">
        <f aca="false">N293*J293</f>
        <v>0</v>
      </c>
    </row>
    <row r="294" customFormat="false" ht="15" hidden="false" customHeight="false" outlineLevel="0" collapsed="false">
      <c r="A294" s="33"/>
      <c r="B294" s="28" t="s">
        <v>21</v>
      </c>
      <c r="C294" s="29"/>
      <c r="D294" s="29"/>
      <c r="E294" s="29"/>
      <c r="F294" s="29"/>
      <c r="G294" s="36"/>
      <c r="H294" s="29"/>
      <c r="I294" s="29"/>
      <c r="J294" s="29"/>
      <c r="K294" s="29"/>
      <c r="L294" s="36"/>
      <c r="M294" s="29"/>
      <c r="N294" s="37"/>
      <c r="O294" s="30" t="n">
        <f aca="false">N294*J294</f>
        <v>0</v>
      </c>
    </row>
    <row r="295" customFormat="false" ht="15" hidden="false" customHeight="false" outlineLevel="0" collapsed="false">
      <c r="A295" s="33"/>
      <c r="B295" s="28" t="s">
        <v>21</v>
      </c>
      <c r="C295" s="29"/>
      <c r="D295" s="29"/>
      <c r="E295" s="29"/>
      <c r="F295" s="29"/>
      <c r="G295" s="36"/>
      <c r="H295" s="29"/>
      <c r="I295" s="29"/>
      <c r="J295" s="29"/>
      <c r="K295" s="29"/>
      <c r="L295" s="36"/>
      <c r="M295" s="29"/>
      <c r="N295" s="37"/>
      <c r="O295" s="30" t="n">
        <f aca="false">N295*J295</f>
        <v>0</v>
      </c>
    </row>
    <row r="296" customFormat="false" ht="15" hidden="false" customHeight="false" outlineLevel="0" collapsed="false">
      <c r="A296" s="33"/>
      <c r="B296" s="28" t="s">
        <v>21</v>
      </c>
      <c r="C296" s="29"/>
      <c r="D296" s="29"/>
      <c r="E296" s="29"/>
      <c r="F296" s="29"/>
      <c r="G296" s="36"/>
      <c r="H296" s="29"/>
      <c r="I296" s="29"/>
      <c r="J296" s="29"/>
      <c r="K296" s="29"/>
      <c r="L296" s="36"/>
      <c r="M296" s="29"/>
      <c r="N296" s="37"/>
      <c r="O296" s="30" t="n">
        <f aca="false">N296*J296</f>
        <v>0</v>
      </c>
    </row>
    <row r="297" customFormat="false" ht="15" hidden="false" customHeight="false" outlineLevel="0" collapsed="false">
      <c r="A297" s="33"/>
      <c r="B297" s="28" t="s">
        <v>21</v>
      </c>
      <c r="C297" s="29"/>
      <c r="D297" s="29"/>
      <c r="E297" s="29"/>
      <c r="F297" s="29"/>
      <c r="G297" s="36"/>
      <c r="H297" s="29"/>
      <c r="I297" s="29"/>
      <c r="J297" s="29"/>
      <c r="K297" s="29"/>
      <c r="L297" s="36"/>
      <c r="M297" s="29"/>
      <c r="N297" s="37"/>
      <c r="O297" s="30" t="n">
        <f aca="false">N297*J297</f>
        <v>0</v>
      </c>
    </row>
    <row r="298" customFormat="false" ht="15" hidden="false" customHeight="false" outlineLevel="0" collapsed="false">
      <c r="A298" s="33"/>
      <c r="B298" s="28" t="s">
        <v>21</v>
      </c>
      <c r="C298" s="29"/>
      <c r="D298" s="29"/>
      <c r="E298" s="29"/>
      <c r="F298" s="29"/>
      <c r="G298" s="36"/>
      <c r="H298" s="29"/>
      <c r="I298" s="29"/>
      <c r="J298" s="29"/>
      <c r="K298" s="29"/>
      <c r="L298" s="36"/>
      <c r="M298" s="29"/>
      <c r="N298" s="37"/>
      <c r="O298" s="30" t="n">
        <f aca="false">N298*J298</f>
        <v>0</v>
      </c>
    </row>
    <row r="299" customFormat="false" ht="15" hidden="false" customHeight="false" outlineLevel="0" collapsed="false">
      <c r="A299" s="33"/>
      <c r="B299" s="28" t="s">
        <v>21</v>
      </c>
      <c r="C299" s="29"/>
      <c r="D299" s="29"/>
      <c r="E299" s="29"/>
      <c r="F299" s="29"/>
      <c r="G299" s="36"/>
      <c r="H299" s="29"/>
      <c r="I299" s="29"/>
      <c r="J299" s="29"/>
      <c r="K299" s="29"/>
      <c r="L299" s="36"/>
      <c r="M299" s="29"/>
      <c r="N299" s="37"/>
      <c r="O299" s="30" t="n">
        <f aca="false">N299*J299</f>
        <v>0</v>
      </c>
    </row>
    <row r="300" customFormat="false" ht="15" hidden="false" customHeight="false" outlineLevel="0" collapsed="false">
      <c r="A300" s="33"/>
      <c r="B300" s="28" t="s">
        <v>21</v>
      </c>
      <c r="C300" s="29"/>
      <c r="D300" s="29"/>
      <c r="E300" s="29"/>
      <c r="F300" s="29"/>
      <c r="G300" s="36"/>
      <c r="H300" s="29"/>
      <c r="I300" s="29"/>
      <c r="J300" s="29"/>
      <c r="K300" s="29"/>
      <c r="L300" s="36"/>
      <c r="M300" s="29"/>
      <c r="N300" s="37"/>
      <c r="O300" s="30" t="n">
        <f aca="false">N300*J300</f>
        <v>0</v>
      </c>
    </row>
    <row r="301" customFormat="false" ht="15" hidden="false" customHeight="false" outlineLevel="0" collapsed="false">
      <c r="A301" s="33"/>
      <c r="B301" s="28" t="s">
        <v>21</v>
      </c>
      <c r="C301" s="29"/>
      <c r="D301" s="29"/>
      <c r="E301" s="29"/>
      <c r="F301" s="29"/>
      <c r="G301" s="36"/>
      <c r="H301" s="29"/>
      <c r="I301" s="29"/>
      <c r="J301" s="29"/>
      <c r="K301" s="29"/>
      <c r="L301" s="36"/>
      <c r="M301" s="29"/>
      <c r="N301" s="37"/>
      <c r="O301" s="30" t="n">
        <f aca="false">N301*J301</f>
        <v>0</v>
      </c>
    </row>
    <row r="302" customFormat="false" ht="15" hidden="false" customHeight="false" outlineLevel="0" collapsed="false">
      <c r="A302" s="33"/>
      <c r="B302" s="28" t="s">
        <v>21</v>
      </c>
      <c r="C302" s="29"/>
      <c r="D302" s="29"/>
      <c r="E302" s="29"/>
      <c r="F302" s="29"/>
      <c r="G302" s="36"/>
      <c r="H302" s="29"/>
      <c r="I302" s="29"/>
      <c r="J302" s="29"/>
      <c r="K302" s="29"/>
      <c r="L302" s="36"/>
      <c r="M302" s="29"/>
      <c r="N302" s="37"/>
      <c r="O302" s="30" t="n">
        <f aca="false">N302*J302</f>
        <v>0</v>
      </c>
    </row>
    <row r="303" customFormat="false" ht="15" hidden="false" customHeight="false" outlineLevel="0" collapsed="false">
      <c r="A303" s="33"/>
      <c r="B303" s="28" t="s">
        <v>21</v>
      </c>
      <c r="C303" s="29"/>
      <c r="D303" s="29"/>
      <c r="E303" s="29"/>
      <c r="F303" s="29"/>
      <c r="G303" s="36"/>
      <c r="H303" s="29"/>
      <c r="I303" s="29"/>
      <c r="J303" s="29"/>
      <c r="K303" s="29"/>
      <c r="L303" s="36"/>
      <c r="M303" s="29"/>
      <c r="N303" s="37"/>
      <c r="O303" s="30" t="n">
        <f aca="false">N303*J303</f>
        <v>0</v>
      </c>
    </row>
    <row r="304" customFormat="false" ht="15" hidden="false" customHeight="false" outlineLevel="0" collapsed="false">
      <c r="A304" s="33"/>
      <c r="B304" s="28" t="s">
        <v>21</v>
      </c>
      <c r="C304" s="29"/>
      <c r="D304" s="29"/>
      <c r="E304" s="29"/>
      <c r="F304" s="29"/>
      <c r="G304" s="36"/>
      <c r="H304" s="29"/>
      <c r="I304" s="29"/>
      <c r="J304" s="29"/>
      <c r="K304" s="29"/>
      <c r="L304" s="36"/>
      <c r="M304" s="29"/>
      <c r="N304" s="37"/>
      <c r="O304" s="30" t="n">
        <f aca="false">N304*J304</f>
        <v>0</v>
      </c>
    </row>
    <row r="305" customFormat="false" ht="15" hidden="false" customHeight="false" outlineLevel="0" collapsed="false">
      <c r="A305" s="33"/>
      <c r="B305" s="28" t="s">
        <v>21</v>
      </c>
      <c r="C305" s="29"/>
      <c r="D305" s="29"/>
      <c r="E305" s="29"/>
      <c r="F305" s="29"/>
      <c r="G305" s="36"/>
      <c r="H305" s="29"/>
      <c r="I305" s="29"/>
      <c r="J305" s="29"/>
      <c r="K305" s="29"/>
      <c r="L305" s="36"/>
      <c r="M305" s="29"/>
      <c r="N305" s="37"/>
      <c r="O305" s="30" t="n">
        <f aca="false">N305*J305</f>
        <v>0</v>
      </c>
    </row>
    <row r="306" customFormat="false" ht="15" hidden="false" customHeight="false" outlineLevel="0" collapsed="false">
      <c r="A306" s="33"/>
      <c r="B306" s="28" t="s">
        <v>21</v>
      </c>
      <c r="C306" s="29"/>
      <c r="D306" s="29"/>
      <c r="E306" s="29"/>
      <c r="F306" s="29"/>
      <c r="G306" s="36"/>
      <c r="H306" s="29"/>
      <c r="I306" s="29"/>
      <c r="J306" s="29"/>
      <c r="K306" s="29"/>
      <c r="L306" s="36"/>
      <c r="M306" s="29"/>
      <c r="N306" s="37"/>
      <c r="O306" s="30" t="n">
        <f aca="false">N306*J306</f>
        <v>0</v>
      </c>
    </row>
    <row r="307" customFormat="false" ht="15" hidden="false" customHeight="false" outlineLevel="0" collapsed="false">
      <c r="A307" s="33"/>
      <c r="B307" s="28" t="s">
        <v>21</v>
      </c>
      <c r="C307" s="29"/>
      <c r="D307" s="29"/>
      <c r="E307" s="29"/>
      <c r="F307" s="29"/>
      <c r="G307" s="36"/>
      <c r="H307" s="29"/>
      <c r="I307" s="29"/>
      <c r="J307" s="29"/>
      <c r="K307" s="29"/>
      <c r="L307" s="36"/>
      <c r="M307" s="29"/>
      <c r="N307" s="37"/>
      <c r="O307" s="30" t="n">
        <f aca="false">N307*J307</f>
        <v>0</v>
      </c>
    </row>
    <row r="308" customFormat="false" ht="15" hidden="false" customHeight="false" outlineLevel="0" collapsed="false">
      <c r="A308" s="33"/>
      <c r="B308" s="28" t="s">
        <v>21</v>
      </c>
      <c r="C308" s="29"/>
      <c r="D308" s="29"/>
      <c r="E308" s="29"/>
      <c r="F308" s="29"/>
      <c r="G308" s="36"/>
      <c r="H308" s="29"/>
      <c r="I308" s="29"/>
      <c r="J308" s="29"/>
      <c r="K308" s="29"/>
      <c r="L308" s="36"/>
      <c r="M308" s="29"/>
      <c r="N308" s="37"/>
      <c r="O308" s="30" t="n">
        <f aca="false">N308*J308</f>
        <v>0</v>
      </c>
    </row>
    <row r="309" customFormat="false" ht="15" hidden="false" customHeight="false" outlineLevel="0" collapsed="false">
      <c r="A309" s="33"/>
      <c r="B309" s="28" t="s">
        <v>21</v>
      </c>
      <c r="C309" s="29"/>
      <c r="D309" s="29"/>
      <c r="E309" s="29"/>
      <c r="F309" s="29"/>
      <c r="G309" s="36"/>
      <c r="H309" s="29"/>
      <c r="I309" s="29"/>
      <c r="J309" s="29"/>
      <c r="K309" s="29"/>
      <c r="L309" s="36"/>
      <c r="M309" s="29"/>
      <c r="N309" s="37"/>
      <c r="O309" s="30" t="n">
        <f aca="false">N309*J309</f>
        <v>0</v>
      </c>
    </row>
    <row r="310" customFormat="false" ht="15" hidden="false" customHeight="false" outlineLevel="0" collapsed="false">
      <c r="A310" s="33"/>
      <c r="B310" s="28" t="s">
        <v>21</v>
      </c>
      <c r="C310" s="29"/>
      <c r="D310" s="29"/>
      <c r="E310" s="29"/>
      <c r="F310" s="29"/>
      <c r="G310" s="36"/>
      <c r="H310" s="29"/>
      <c r="I310" s="29"/>
      <c r="J310" s="29"/>
      <c r="K310" s="29"/>
      <c r="L310" s="36"/>
      <c r="M310" s="29"/>
      <c r="N310" s="37"/>
      <c r="O310" s="30" t="n">
        <f aca="false">N310*J310</f>
        <v>0</v>
      </c>
    </row>
    <row r="311" customFormat="false" ht="15" hidden="false" customHeight="false" outlineLevel="0" collapsed="false">
      <c r="A311" s="33"/>
      <c r="B311" s="28" t="s">
        <v>21</v>
      </c>
      <c r="C311" s="29"/>
      <c r="D311" s="29"/>
      <c r="E311" s="29"/>
      <c r="F311" s="29"/>
      <c r="G311" s="36"/>
      <c r="H311" s="29"/>
      <c r="I311" s="29"/>
      <c r="J311" s="29"/>
      <c r="K311" s="29"/>
      <c r="L311" s="36"/>
      <c r="M311" s="29"/>
      <c r="N311" s="37"/>
      <c r="O311" s="30" t="n">
        <f aca="false">N311*J311</f>
        <v>0</v>
      </c>
    </row>
    <row r="312" customFormat="false" ht="15" hidden="false" customHeight="false" outlineLevel="0" collapsed="false">
      <c r="A312" s="33"/>
      <c r="B312" s="28" t="s">
        <v>21</v>
      </c>
      <c r="C312" s="29"/>
      <c r="D312" s="29"/>
      <c r="E312" s="29"/>
      <c r="F312" s="29"/>
      <c r="G312" s="36"/>
      <c r="H312" s="29"/>
      <c r="I312" s="29"/>
      <c r="J312" s="29"/>
      <c r="K312" s="29"/>
      <c r="L312" s="36"/>
      <c r="M312" s="29"/>
      <c r="N312" s="37"/>
      <c r="O312" s="30" t="n">
        <f aca="false">N312*J312</f>
        <v>0</v>
      </c>
    </row>
    <row r="313" customFormat="false" ht="15" hidden="false" customHeight="false" outlineLevel="0" collapsed="false">
      <c r="A313" s="33"/>
      <c r="B313" s="28" t="s">
        <v>21</v>
      </c>
      <c r="C313" s="29"/>
      <c r="D313" s="29"/>
      <c r="E313" s="29"/>
      <c r="F313" s="29"/>
      <c r="G313" s="36"/>
      <c r="H313" s="29"/>
      <c r="I313" s="29"/>
      <c r="J313" s="29"/>
      <c r="K313" s="29"/>
      <c r="L313" s="36"/>
      <c r="M313" s="29"/>
      <c r="N313" s="37"/>
      <c r="O313" s="30" t="n">
        <f aca="false">N313*J313</f>
        <v>0</v>
      </c>
    </row>
    <row r="314" customFormat="false" ht="15" hidden="false" customHeight="false" outlineLevel="0" collapsed="false">
      <c r="A314" s="33"/>
      <c r="B314" s="28" t="s">
        <v>21</v>
      </c>
      <c r="C314" s="29"/>
      <c r="D314" s="29"/>
      <c r="E314" s="29"/>
      <c r="F314" s="29"/>
      <c r="G314" s="36"/>
      <c r="H314" s="29"/>
      <c r="I314" s="29"/>
      <c r="J314" s="29"/>
      <c r="K314" s="29"/>
      <c r="L314" s="36"/>
      <c r="M314" s="29"/>
      <c r="N314" s="37"/>
      <c r="O314" s="30" t="n">
        <f aca="false">N314*J314</f>
        <v>0</v>
      </c>
    </row>
    <row r="315" customFormat="false" ht="15" hidden="false" customHeight="false" outlineLevel="0" collapsed="false">
      <c r="A315" s="33"/>
      <c r="B315" s="28" t="s">
        <v>21</v>
      </c>
      <c r="C315" s="29"/>
      <c r="D315" s="29"/>
      <c r="E315" s="29"/>
      <c r="F315" s="29"/>
      <c r="G315" s="36"/>
      <c r="H315" s="29"/>
      <c r="I315" s="29"/>
      <c r="J315" s="29"/>
      <c r="K315" s="29"/>
      <c r="L315" s="36"/>
      <c r="M315" s="29"/>
      <c r="N315" s="37"/>
      <c r="O315" s="30" t="n">
        <f aca="false">N315*J315</f>
        <v>0</v>
      </c>
    </row>
    <row r="316" customFormat="false" ht="15" hidden="false" customHeight="false" outlineLevel="0" collapsed="false">
      <c r="A316" s="33"/>
      <c r="B316" s="28" t="s">
        <v>21</v>
      </c>
      <c r="C316" s="29"/>
      <c r="D316" s="29"/>
      <c r="E316" s="29"/>
      <c r="F316" s="29"/>
      <c r="G316" s="36"/>
      <c r="H316" s="29"/>
      <c r="I316" s="29"/>
      <c r="J316" s="29"/>
      <c r="K316" s="29"/>
      <c r="L316" s="36"/>
      <c r="M316" s="29"/>
      <c r="N316" s="37"/>
      <c r="O316" s="30" t="n">
        <f aca="false">N316*J316</f>
        <v>0</v>
      </c>
    </row>
    <row r="317" customFormat="false" ht="15" hidden="false" customHeight="false" outlineLevel="0" collapsed="false">
      <c r="A317" s="33"/>
      <c r="B317" s="28" t="s">
        <v>21</v>
      </c>
      <c r="C317" s="29"/>
      <c r="D317" s="29"/>
      <c r="E317" s="29"/>
      <c r="F317" s="29"/>
      <c r="G317" s="36"/>
      <c r="H317" s="29"/>
      <c r="I317" s="29"/>
      <c r="J317" s="29"/>
      <c r="K317" s="29"/>
      <c r="L317" s="36"/>
      <c r="M317" s="29"/>
      <c r="N317" s="37"/>
      <c r="O317" s="30" t="n">
        <f aca="false">N317*J317</f>
        <v>0</v>
      </c>
    </row>
    <row r="318" customFormat="false" ht="15" hidden="false" customHeight="false" outlineLevel="0" collapsed="false">
      <c r="A318" s="33"/>
      <c r="B318" s="28" t="s">
        <v>21</v>
      </c>
      <c r="C318" s="29"/>
      <c r="D318" s="29"/>
      <c r="E318" s="29"/>
      <c r="F318" s="29"/>
      <c r="G318" s="36"/>
      <c r="H318" s="29"/>
      <c r="I318" s="29"/>
      <c r="J318" s="29"/>
      <c r="K318" s="29"/>
      <c r="L318" s="36"/>
      <c r="M318" s="29"/>
      <c r="N318" s="37"/>
      <c r="O318" s="30" t="n">
        <f aca="false">N318*J318</f>
        <v>0</v>
      </c>
    </row>
    <row r="319" customFormat="false" ht="15" hidden="false" customHeight="false" outlineLevel="0" collapsed="false">
      <c r="A319" s="33"/>
      <c r="B319" s="28" t="s">
        <v>21</v>
      </c>
      <c r="C319" s="29"/>
      <c r="D319" s="29"/>
      <c r="E319" s="29"/>
      <c r="F319" s="29"/>
      <c r="G319" s="36"/>
      <c r="H319" s="29"/>
      <c r="I319" s="29"/>
      <c r="J319" s="29"/>
      <c r="K319" s="29"/>
      <c r="L319" s="36"/>
      <c r="M319" s="29"/>
      <c r="N319" s="37"/>
      <c r="O319" s="30" t="n">
        <f aca="false">N319*J319</f>
        <v>0</v>
      </c>
    </row>
    <row r="320" customFormat="false" ht="15" hidden="false" customHeight="false" outlineLevel="0" collapsed="false">
      <c r="A320" s="33"/>
      <c r="B320" s="28" t="s">
        <v>21</v>
      </c>
      <c r="C320" s="29"/>
      <c r="D320" s="29"/>
      <c r="E320" s="29"/>
      <c r="F320" s="29"/>
      <c r="G320" s="36"/>
      <c r="H320" s="29"/>
      <c r="I320" s="29"/>
      <c r="J320" s="29"/>
      <c r="K320" s="29"/>
      <c r="L320" s="36"/>
      <c r="M320" s="29"/>
      <c r="N320" s="37"/>
      <c r="O320" s="30" t="n">
        <f aca="false">N320*J320</f>
        <v>0</v>
      </c>
    </row>
    <row r="321" customFormat="false" ht="15" hidden="false" customHeight="false" outlineLevel="0" collapsed="false">
      <c r="A321" s="33"/>
      <c r="B321" s="28" t="s">
        <v>21</v>
      </c>
      <c r="C321" s="29"/>
      <c r="D321" s="29"/>
      <c r="E321" s="29"/>
      <c r="F321" s="29"/>
      <c r="G321" s="36"/>
      <c r="H321" s="29"/>
      <c r="I321" s="29"/>
      <c r="J321" s="29"/>
      <c r="K321" s="29"/>
      <c r="L321" s="36"/>
      <c r="M321" s="29"/>
      <c r="N321" s="37"/>
      <c r="O321" s="30" t="n">
        <f aca="false">N321*J321</f>
        <v>0</v>
      </c>
    </row>
    <row r="322" customFormat="false" ht="15" hidden="false" customHeight="false" outlineLevel="0" collapsed="false">
      <c r="A322" s="33"/>
      <c r="B322" s="28" t="s">
        <v>21</v>
      </c>
      <c r="C322" s="29"/>
      <c r="D322" s="29"/>
      <c r="E322" s="29"/>
      <c r="F322" s="29"/>
      <c r="G322" s="36"/>
      <c r="H322" s="29"/>
      <c r="I322" s="29"/>
      <c r="J322" s="29"/>
      <c r="K322" s="29"/>
      <c r="L322" s="36"/>
      <c r="M322" s="29"/>
      <c r="N322" s="37"/>
      <c r="O322" s="30" t="n">
        <f aca="false">N322*J322</f>
        <v>0</v>
      </c>
    </row>
    <row r="323" customFormat="false" ht="15" hidden="false" customHeight="false" outlineLevel="0" collapsed="false">
      <c r="A323" s="33"/>
      <c r="B323" s="28" t="s">
        <v>21</v>
      </c>
      <c r="C323" s="29"/>
      <c r="D323" s="29"/>
      <c r="E323" s="29"/>
      <c r="F323" s="29"/>
      <c r="G323" s="36"/>
      <c r="H323" s="29"/>
      <c r="I323" s="29"/>
      <c r="J323" s="29"/>
      <c r="K323" s="29"/>
      <c r="L323" s="36"/>
      <c r="M323" s="29"/>
      <c r="N323" s="37"/>
      <c r="O323" s="30" t="n">
        <f aca="false">N323*J323</f>
        <v>0</v>
      </c>
    </row>
    <row r="324" customFormat="false" ht="15" hidden="false" customHeight="false" outlineLevel="0" collapsed="false">
      <c r="A324" s="33"/>
      <c r="B324" s="28" t="s">
        <v>21</v>
      </c>
      <c r="C324" s="29"/>
      <c r="D324" s="29"/>
      <c r="E324" s="29"/>
      <c r="F324" s="29"/>
      <c r="G324" s="36"/>
      <c r="H324" s="29"/>
      <c r="I324" s="29"/>
      <c r="J324" s="29"/>
      <c r="K324" s="29"/>
      <c r="L324" s="36"/>
      <c r="M324" s="29"/>
      <c r="N324" s="37"/>
      <c r="O324" s="30" t="n">
        <f aca="false">N324*J324</f>
        <v>0</v>
      </c>
    </row>
    <row r="325" customFormat="false" ht="15" hidden="false" customHeight="false" outlineLevel="0" collapsed="false">
      <c r="A325" s="33"/>
      <c r="B325" s="28" t="s">
        <v>21</v>
      </c>
      <c r="C325" s="29"/>
      <c r="D325" s="29"/>
      <c r="E325" s="29"/>
      <c r="F325" s="29"/>
      <c r="G325" s="36"/>
      <c r="H325" s="29"/>
      <c r="I325" s="29"/>
      <c r="J325" s="29"/>
      <c r="K325" s="29"/>
      <c r="L325" s="36"/>
      <c r="M325" s="29"/>
      <c r="N325" s="37"/>
      <c r="O325" s="30" t="n">
        <f aca="false">N325*J325</f>
        <v>0</v>
      </c>
    </row>
    <row r="326" customFormat="false" ht="15" hidden="false" customHeight="false" outlineLevel="0" collapsed="false">
      <c r="A326" s="42"/>
      <c r="B326" s="28" t="s">
        <v>21</v>
      </c>
      <c r="C326" s="41"/>
      <c r="D326" s="41"/>
      <c r="E326" s="41"/>
      <c r="F326" s="41"/>
      <c r="G326" s="34"/>
      <c r="H326" s="41"/>
      <c r="I326" s="41"/>
      <c r="J326" s="41"/>
      <c r="K326" s="41"/>
      <c r="L326" s="36"/>
      <c r="M326" s="29"/>
      <c r="N326" s="37"/>
      <c r="O326" s="30" t="n">
        <f aca="false">N326*J326</f>
        <v>0</v>
      </c>
    </row>
    <row r="327" customFormat="false" ht="15" hidden="false" customHeight="false" outlineLevel="0" collapsed="false">
      <c r="A327" s="33"/>
      <c r="B327" s="28" t="s">
        <v>21</v>
      </c>
      <c r="C327" s="29"/>
      <c r="D327" s="29"/>
      <c r="E327" s="29"/>
      <c r="F327" s="29"/>
      <c r="G327" s="36"/>
      <c r="H327" s="29"/>
      <c r="I327" s="29"/>
      <c r="J327" s="29"/>
      <c r="K327" s="29"/>
      <c r="L327" s="36"/>
      <c r="M327" s="29"/>
      <c r="N327" s="37"/>
      <c r="O327" s="30" t="n">
        <f aca="false">N327*J327</f>
        <v>0</v>
      </c>
    </row>
    <row r="328" customFormat="false" ht="15" hidden="false" customHeight="false" outlineLevel="0" collapsed="false">
      <c r="A328" s="33"/>
      <c r="B328" s="28" t="s">
        <v>21</v>
      </c>
      <c r="C328" s="29"/>
      <c r="D328" s="29"/>
      <c r="E328" s="29"/>
      <c r="F328" s="29"/>
      <c r="G328" s="36"/>
      <c r="H328" s="29"/>
      <c r="I328" s="29"/>
      <c r="J328" s="29"/>
      <c r="K328" s="29"/>
      <c r="L328" s="36"/>
      <c r="M328" s="29"/>
      <c r="N328" s="37"/>
      <c r="O328" s="30" t="n">
        <f aca="false">N328*J328</f>
        <v>0</v>
      </c>
    </row>
    <row r="329" customFormat="false" ht="15" hidden="false" customHeight="false" outlineLevel="0" collapsed="false">
      <c r="A329" s="33"/>
      <c r="B329" s="28" t="s">
        <v>21</v>
      </c>
      <c r="C329" s="29"/>
      <c r="D329" s="29"/>
      <c r="E329" s="29"/>
      <c r="F329" s="29"/>
      <c r="G329" s="36"/>
      <c r="H329" s="29"/>
      <c r="I329" s="29"/>
      <c r="J329" s="29"/>
      <c r="K329" s="29"/>
      <c r="L329" s="36"/>
      <c r="M329" s="29"/>
      <c r="N329" s="37"/>
      <c r="O329" s="30" t="n">
        <f aca="false">N329*J329</f>
        <v>0</v>
      </c>
    </row>
    <row r="330" customFormat="false" ht="15" hidden="false" customHeight="false" outlineLevel="0" collapsed="false">
      <c r="A330" s="33"/>
      <c r="B330" s="28" t="s">
        <v>21</v>
      </c>
      <c r="C330" s="29"/>
      <c r="D330" s="29"/>
      <c r="E330" s="29"/>
      <c r="F330" s="29"/>
      <c r="G330" s="36"/>
      <c r="H330" s="29"/>
      <c r="I330" s="29"/>
      <c r="J330" s="29"/>
      <c r="K330" s="29"/>
      <c r="L330" s="36"/>
      <c r="M330" s="29"/>
      <c r="N330" s="37"/>
      <c r="O330" s="30" t="n">
        <f aca="false">N330*J330</f>
        <v>0</v>
      </c>
    </row>
    <row r="331" customFormat="false" ht="15" hidden="false" customHeight="false" outlineLevel="0" collapsed="false">
      <c r="A331" s="33"/>
      <c r="B331" s="28" t="s">
        <v>21</v>
      </c>
      <c r="C331" s="29"/>
      <c r="D331" s="29"/>
      <c r="E331" s="29"/>
      <c r="F331" s="29"/>
      <c r="G331" s="36"/>
      <c r="H331" s="29"/>
      <c r="I331" s="29"/>
      <c r="J331" s="29"/>
      <c r="K331" s="29"/>
      <c r="L331" s="36"/>
      <c r="M331" s="29"/>
      <c r="N331" s="37"/>
      <c r="O331" s="30" t="n">
        <f aca="false">N331*J331</f>
        <v>0</v>
      </c>
    </row>
    <row r="332" customFormat="false" ht="15" hidden="false" customHeight="false" outlineLevel="0" collapsed="false">
      <c r="A332" s="33"/>
      <c r="B332" s="28" t="s">
        <v>21</v>
      </c>
      <c r="C332" s="29"/>
      <c r="D332" s="29"/>
      <c r="E332" s="29"/>
      <c r="F332" s="29"/>
      <c r="G332" s="36"/>
      <c r="H332" s="29"/>
      <c r="I332" s="29"/>
      <c r="J332" s="29"/>
      <c r="K332" s="29"/>
      <c r="L332" s="36"/>
      <c r="M332" s="29"/>
      <c r="N332" s="37"/>
      <c r="O332" s="30" t="n">
        <f aca="false">N332*J332</f>
        <v>0</v>
      </c>
    </row>
    <row r="333" customFormat="false" ht="15" hidden="false" customHeight="false" outlineLevel="0" collapsed="false">
      <c r="A333" s="33"/>
      <c r="B333" s="28" t="s">
        <v>21</v>
      </c>
      <c r="C333" s="29"/>
      <c r="D333" s="29"/>
      <c r="E333" s="29"/>
      <c r="F333" s="29"/>
      <c r="G333" s="36"/>
      <c r="H333" s="29"/>
      <c r="I333" s="29"/>
      <c r="J333" s="29"/>
      <c r="K333" s="29"/>
      <c r="L333" s="36"/>
      <c r="M333" s="29"/>
      <c r="N333" s="37"/>
      <c r="O333" s="30" t="n">
        <f aca="false">N333*J333</f>
        <v>0</v>
      </c>
    </row>
    <row r="334" customFormat="false" ht="15" hidden="false" customHeight="false" outlineLevel="0" collapsed="false">
      <c r="A334" s="33"/>
      <c r="B334" s="28" t="s">
        <v>21</v>
      </c>
      <c r="C334" s="29"/>
      <c r="D334" s="29"/>
      <c r="E334" s="29"/>
      <c r="F334" s="29"/>
      <c r="G334" s="36"/>
      <c r="H334" s="29"/>
      <c r="I334" s="29"/>
      <c r="J334" s="29"/>
      <c r="K334" s="29"/>
      <c r="L334" s="36"/>
      <c r="M334" s="29"/>
      <c r="N334" s="37"/>
      <c r="O334" s="30" t="n">
        <f aca="false">N334*J334</f>
        <v>0</v>
      </c>
    </row>
    <row r="335" customFormat="false" ht="15" hidden="false" customHeight="false" outlineLevel="0" collapsed="false">
      <c r="A335" s="33"/>
      <c r="B335" s="28" t="s">
        <v>21</v>
      </c>
      <c r="C335" s="29"/>
      <c r="D335" s="29"/>
      <c r="E335" s="29"/>
      <c r="F335" s="29"/>
      <c r="G335" s="36"/>
      <c r="H335" s="29"/>
      <c r="I335" s="29"/>
      <c r="J335" s="29"/>
      <c r="K335" s="29"/>
      <c r="L335" s="36"/>
      <c r="M335" s="29"/>
      <c r="N335" s="37"/>
      <c r="O335" s="30" t="n">
        <f aca="false">N335*J335</f>
        <v>0</v>
      </c>
    </row>
    <row r="336" customFormat="false" ht="15" hidden="false" customHeight="false" outlineLevel="0" collapsed="false">
      <c r="A336" s="33"/>
      <c r="B336" s="28" t="s">
        <v>21</v>
      </c>
      <c r="C336" s="29"/>
      <c r="D336" s="29"/>
      <c r="E336" s="29"/>
      <c r="F336" s="29"/>
      <c r="G336" s="36"/>
      <c r="H336" s="29"/>
      <c r="I336" s="29"/>
      <c r="J336" s="29"/>
      <c r="K336" s="29"/>
      <c r="L336" s="36"/>
      <c r="M336" s="29"/>
      <c r="N336" s="37"/>
      <c r="O336" s="30" t="n">
        <f aca="false">N336*J336</f>
        <v>0</v>
      </c>
    </row>
    <row r="337" customFormat="false" ht="15" hidden="false" customHeight="false" outlineLevel="0" collapsed="false">
      <c r="A337" s="33"/>
      <c r="B337" s="28" t="s">
        <v>21</v>
      </c>
      <c r="C337" s="29"/>
      <c r="D337" s="29"/>
      <c r="E337" s="29"/>
      <c r="F337" s="29"/>
      <c r="G337" s="36"/>
      <c r="H337" s="29"/>
      <c r="I337" s="29"/>
      <c r="J337" s="29"/>
      <c r="K337" s="29"/>
      <c r="L337" s="36"/>
      <c r="M337" s="29"/>
      <c r="N337" s="37"/>
      <c r="O337" s="30" t="n">
        <f aca="false">N337*J337</f>
        <v>0</v>
      </c>
    </row>
    <row r="338" customFormat="false" ht="15" hidden="false" customHeight="false" outlineLevel="0" collapsed="false">
      <c r="A338" s="33"/>
      <c r="B338" s="28" t="s">
        <v>21</v>
      </c>
      <c r="C338" s="29"/>
      <c r="D338" s="29"/>
      <c r="E338" s="29"/>
      <c r="F338" s="29"/>
      <c r="G338" s="36"/>
      <c r="H338" s="29"/>
      <c r="I338" s="29"/>
      <c r="J338" s="29"/>
      <c r="K338" s="29"/>
      <c r="L338" s="36"/>
      <c r="M338" s="29"/>
      <c r="N338" s="37"/>
      <c r="O338" s="30" t="n">
        <f aca="false">N338*J338</f>
        <v>0</v>
      </c>
    </row>
    <row r="339" customFormat="false" ht="15" hidden="false" customHeight="false" outlineLevel="0" collapsed="false">
      <c r="A339" s="33"/>
      <c r="B339" s="28" t="s">
        <v>21</v>
      </c>
      <c r="C339" s="29"/>
      <c r="D339" s="29"/>
      <c r="E339" s="29"/>
      <c r="F339" s="29"/>
      <c r="G339" s="36"/>
      <c r="H339" s="29"/>
      <c r="I339" s="29"/>
      <c r="J339" s="29"/>
      <c r="K339" s="29"/>
      <c r="L339" s="36"/>
      <c r="M339" s="29"/>
      <c r="N339" s="37"/>
      <c r="O339" s="30" t="n">
        <f aca="false">N339*J339</f>
        <v>0</v>
      </c>
    </row>
    <row r="340" customFormat="false" ht="15" hidden="false" customHeight="false" outlineLevel="0" collapsed="false">
      <c r="A340" s="33"/>
      <c r="B340" s="28" t="s">
        <v>21</v>
      </c>
      <c r="C340" s="29"/>
      <c r="D340" s="29"/>
      <c r="E340" s="29"/>
      <c r="F340" s="29"/>
      <c r="G340" s="36"/>
      <c r="H340" s="29"/>
      <c r="I340" s="29"/>
      <c r="J340" s="29"/>
      <c r="K340" s="29"/>
      <c r="L340" s="36"/>
      <c r="M340" s="29"/>
      <c r="N340" s="37"/>
      <c r="O340" s="30" t="n">
        <f aca="false">N340*J340</f>
        <v>0</v>
      </c>
    </row>
    <row r="341" customFormat="false" ht="15" hidden="false" customHeight="false" outlineLevel="0" collapsed="false">
      <c r="A341" s="33"/>
      <c r="B341" s="28" t="s">
        <v>21</v>
      </c>
      <c r="C341" s="29"/>
      <c r="D341" s="29"/>
      <c r="E341" s="29"/>
      <c r="F341" s="29"/>
      <c r="G341" s="36"/>
      <c r="H341" s="29"/>
      <c r="I341" s="29"/>
      <c r="J341" s="29"/>
      <c r="K341" s="29"/>
      <c r="L341" s="36"/>
      <c r="M341" s="29"/>
      <c r="N341" s="37"/>
      <c r="O341" s="30" t="n">
        <f aca="false">N341*J341</f>
        <v>0</v>
      </c>
    </row>
    <row r="342" customFormat="false" ht="15" hidden="false" customHeight="false" outlineLevel="0" collapsed="false">
      <c r="A342" s="33"/>
      <c r="B342" s="28" t="s">
        <v>21</v>
      </c>
      <c r="C342" s="29"/>
      <c r="D342" s="29"/>
      <c r="E342" s="29"/>
      <c r="F342" s="29"/>
      <c r="G342" s="36"/>
      <c r="H342" s="29"/>
      <c r="I342" s="29"/>
      <c r="J342" s="29"/>
      <c r="K342" s="29"/>
      <c r="L342" s="36"/>
      <c r="M342" s="29"/>
      <c r="N342" s="37"/>
      <c r="O342" s="30" t="n">
        <f aca="false">N342*J342</f>
        <v>0</v>
      </c>
    </row>
    <row r="343" customFormat="false" ht="15" hidden="false" customHeight="false" outlineLevel="0" collapsed="false">
      <c r="A343" s="33"/>
      <c r="B343" s="28" t="s">
        <v>21</v>
      </c>
      <c r="C343" s="29"/>
      <c r="D343" s="29"/>
      <c r="E343" s="29"/>
      <c r="F343" s="29"/>
      <c r="G343" s="36"/>
      <c r="H343" s="29"/>
      <c r="I343" s="29"/>
      <c r="J343" s="29"/>
      <c r="K343" s="29"/>
      <c r="L343" s="36"/>
      <c r="M343" s="29"/>
      <c r="N343" s="37"/>
      <c r="O343" s="30" t="n">
        <f aca="false">N343*J343</f>
        <v>0</v>
      </c>
    </row>
    <row r="344" customFormat="false" ht="15" hidden="false" customHeight="false" outlineLevel="0" collapsed="false">
      <c r="A344" s="33"/>
      <c r="B344" s="28" t="s">
        <v>21</v>
      </c>
      <c r="C344" s="29"/>
      <c r="D344" s="29"/>
      <c r="E344" s="29"/>
      <c r="F344" s="29"/>
      <c r="G344" s="36"/>
      <c r="H344" s="29"/>
      <c r="I344" s="29"/>
      <c r="J344" s="29"/>
      <c r="K344" s="29"/>
      <c r="L344" s="36"/>
      <c r="M344" s="29"/>
      <c r="N344" s="37"/>
      <c r="O344" s="30" t="n">
        <f aca="false">N344*J344</f>
        <v>0</v>
      </c>
    </row>
    <row r="345" customFormat="false" ht="15" hidden="false" customHeight="false" outlineLevel="0" collapsed="false">
      <c r="A345" s="33"/>
      <c r="B345" s="28" t="s">
        <v>21</v>
      </c>
      <c r="C345" s="29"/>
      <c r="D345" s="29"/>
      <c r="E345" s="29"/>
      <c r="F345" s="29"/>
      <c r="G345" s="36"/>
      <c r="H345" s="29"/>
      <c r="I345" s="29"/>
      <c r="J345" s="29"/>
      <c r="K345" s="29"/>
      <c r="L345" s="36"/>
      <c r="M345" s="29"/>
      <c r="N345" s="37"/>
      <c r="O345" s="30" t="n">
        <f aca="false">N345*J345</f>
        <v>0</v>
      </c>
    </row>
    <row r="346" customFormat="false" ht="15" hidden="false" customHeight="false" outlineLevel="0" collapsed="false">
      <c r="A346" s="33"/>
      <c r="B346" s="28" t="s">
        <v>21</v>
      </c>
      <c r="C346" s="29"/>
      <c r="D346" s="29"/>
      <c r="E346" s="29"/>
      <c r="F346" s="29"/>
      <c r="G346" s="36"/>
      <c r="H346" s="29"/>
      <c r="I346" s="29"/>
      <c r="J346" s="29"/>
      <c r="K346" s="29"/>
      <c r="L346" s="36"/>
      <c r="M346" s="29"/>
      <c r="N346" s="37"/>
      <c r="O346" s="30" t="n">
        <f aca="false">N346*J346</f>
        <v>0</v>
      </c>
    </row>
    <row r="347" customFormat="false" ht="15" hidden="false" customHeight="false" outlineLevel="0" collapsed="false">
      <c r="A347" s="33"/>
      <c r="B347" s="28" t="s">
        <v>21</v>
      </c>
      <c r="C347" s="29"/>
      <c r="D347" s="29"/>
      <c r="E347" s="29"/>
      <c r="F347" s="29"/>
      <c r="G347" s="36"/>
      <c r="H347" s="29"/>
      <c r="I347" s="29"/>
      <c r="J347" s="29"/>
      <c r="K347" s="29"/>
      <c r="L347" s="36"/>
      <c r="M347" s="29"/>
      <c r="N347" s="37"/>
      <c r="O347" s="30" t="n">
        <f aca="false">N347*J347</f>
        <v>0</v>
      </c>
    </row>
    <row r="348" customFormat="false" ht="15" hidden="false" customHeight="false" outlineLevel="0" collapsed="false">
      <c r="A348" s="33"/>
      <c r="B348" s="28" t="s">
        <v>21</v>
      </c>
      <c r="C348" s="29"/>
      <c r="D348" s="29"/>
      <c r="E348" s="29"/>
      <c r="F348" s="29"/>
      <c r="G348" s="36"/>
      <c r="H348" s="29"/>
      <c r="I348" s="29"/>
      <c r="J348" s="29"/>
      <c r="K348" s="29"/>
      <c r="L348" s="36"/>
      <c r="M348" s="29"/>
      <c r="N348" s="37"/>
      <c r="O348" s="30" t="n">
        <f aca="false">N348*J348</f>
        <v>0</v>
      </c>
    </row>
    <row r="349" customFormat="false" ht="15" hidden="false" customHeight="false" outlineLevel="0" collapsed="false">
      <c r="A349" s="33"/>
      <c r="B349" s="28" t="s">
        <v>21</v>
      </c>
      <c r="C349" s="29"/>
      <c r="D349" s="29"/>
      <c r="E349" s="29"/>
      <c r="F349" s="29"/>
      <c r="G349" s="36"/>
      <c r="H349" s="29"/>
      <c r="I349" s="29"/>
      <c r="J349" s="29"/>
      <c r="K349" s="29"/>
      <c r="L349" s="36"/>
      <c r="M349" s="29"/>
      <c r="N349" s="37"/>
      <c r="O349" s="30" t="n">
        <f aca="false">N349*J349</f>
        <v>0</v>
      </c>
    </row>
    <row r="350" customFormat="false" ht="15" hidden="false" customHeight="false" outlineLevel="0" collapsed="false">
      <c r="A350" s="33"/>
      <c r="B350" s="28" t="s">
        <v>21</v>
      </c>
      <c r="C350" s="29"/>
      <c r="D350" s="29"/>
      <c r="E350" s="29"/>
      <c r="F350" s="29"/>
      <c r="G350" s="36"/>
      <c r="H350" s="29"/>
      <c r="I350" s="29"/>
      <c r="J350" s="29"/>
      <c r="K350" s="29"/>
      <c r="L350" s="36"/>
      <c r="M350" s="29"/>
      <c r="N350" s="37"/>
      <c r="O350" s="30" t="n">
        <f aca="false">N350*J350</f>
        <v>0</v>
      </c>
    </row>
    <row r="351" customFormat="false" ht="15" hidden="false" customHeight="false" outlineLevel="0" collapsed="false">
      <c r="A351" s="33"/>
      <c r="B351" s="28" t="s">
        <v>21</v>
      </c>
      <c r="C351" s="29"/>
      <c r="D351" s="29"/>
      <c r="E351" s="29"/>
      <c r="F351" s="29"/>
      <c r="G351" s="36"/>
      <c r="H351" s="29"/>
      <c r="I351" s="29"/>
      <c r="J351" s="29"/>
      <c r="K351" s="29"/>
      <c r="L351" s="36"/>
      <c r="M351" s="29"/>
      <c r="N351" s="37"/>
      <c r="O351" s="30" t="n">
        <f aca="false">N351*J351</f>
        <v>0</v>
      </c>
    </row>
    <row r="352" customFormat="false" ht="15" hidden="false" customHeight="false" outlineLevel="0" collapsed="false">
      <c r="A352" s="33"/>
      <c r="B352" s="28" t="s">
        <v>21</v>
      </c>
      <c r="C352" s="29"/>
      <c r="D352" s="29"/>
      <c r="E352" s="29"/>
      <c r="F352" s="29"/>
      <c r="G352" s="36"/>
      <c r="H352" s="29"/>
      <c r="I352" s="29"/>
      <c r="J352" s="29"/>
      <c r="K352" s="29"/>
      <c r="L352" s="36"/>
      <c r="M352" s="29"/>
      <c r="N352" s="37"/>
      <c r="O352" s="30" t="n">
        <f aca="false">N352*J352</f>
        <v>0</v>
      </c>
    </row>
    <row r="353" customFormat="false" ht="15" hidden="false" customHeight="false" outlineLevel="0" collapsed="false">
      <c r="A353" s="33"/>
      <c r="B353" s="28" t="s">
        <v>21</v>
      </c>
      <c r="C353" s="29"/>
      <c r="D353" s="29"/>
      <c r="E353" s="29"/>
      <c r="F353" s="29"/>
      <c r="G353" s="36"/>
      <c r="H353" s="29"/>
      <c r="I353" s="29"/>
      <c r="J353" s="29"/>
      <c r="K353" s="29"/>
      <c r="L353" s="36"/>
      <c r="M353" s="29"/>
      <c r="N353" s="37"/>
      <c r="O353" s="30" t="n">
        <f aca="false">N353*J353</f>
        <v>0</v>
      </c>
    </row>
    <row r="354" customFormat="false" ht="15" hidden="false" customHeight="false" outlineLevel="0" collapsed="false">
      <c r="A354" s="33"/>
      <c r="B354" s="28" t="s">
        <v>21</v>
      </c>
      <c r="C354" s="29"/>
      <c r="D354" s="29"/>
      <c r="E354" s="29"/>
      <c r="F354" s="29"/>
      <c r="G354" s="36"/>
      <c r="H354" s="29"/>
      <c r="I354" s="29"/>
      <c r="J354" s="29"/>
      <c r="K354" s="29"/>
      <c r="L354" s="36"/>
      <c r="M354" s="29"/>
      <c r="N354" s="37"/>
      <c r="O354" s="30" t="n">
        <f aca="false">N354*J354</f>
        <v>0</v>
      </c>
    </row>
    <row r="355" customFormat="false" ht="15" hidden="false" customHeight="false" outlineLevel="0" collapsed="false">
      <c r="A355" s="33"/>
      <c r="B355" s="28" t="s">
        <v>21</v>
      </c>
      <c r="C355" s="29"/>
      <c r="D355" s="29"/>
      <c r="E355" s="29"/>
      <c r="F355" s="29"/>
      <c r="G355" s="36"/>
      <c r="H355" s="29"/>
      <c r="I355" s="29"/>
      <c r="J355" s="29"/>
      <c r="K355" s="29"/>
      <c r="L355" s="36"/>
      <c r="M355" s="29"/>
      <c r="N355" s="37"/>
      <c r="O355" s="30" t="n">
        <f aca="false">N355*J355</f>
        <v>0</v>
      </c>
    </row>
    <row r="356" customFormat="false" ht="15" hidden="false" customHeight="false" outlineLevel="0" collapsed="false">
      <c r="A356" s="33"/>
      <c r="B356" s="28" t="s">
        <v>21</v>
      </c>
      <c r="C356" s="29"/>
      <c r="D356" s="29"/>
      <c r="E356" s="29"/>
      <c r="F356" s="29"/>
      <c r="G356" s="36"/>
      <c r="H356" s="29"/>
      <c r="I356" s="29"/>
      <c r="J356" s="29"/>
      <c r="K356" s="29"/>
      <c r="L356" s="36"/>
      <c r="M356" s="29"/>
      <c r="N356" s="37"/>
      <c r="O356" s="30" t="n">
        <f aca="false">N356*J356</f>
        <v>0</v>
      </c>
    </row>
    <row r="357" customFormat="false" ht="15" hidden="false" customHeight="false" outlineLevel="0" collapsed="false">
      <c r="A357" s="33"/>
      <c r="B357" s="28" t="s">
        <v>21</v>
      </c>
      <c r="C357" s="29"/>
      <c r="D357" s="29"/>
      <c r="E357" s="29"/>
      <c r="F357" s="29"/>
      <c r="G357" s="36"/>
      <c r="H357" s="29"/>
      <c r="I357" s="29"/>
      <c r="J357" s="29"/>
      <c r="K357" s="29"/>
      <c r="L357" s="36"/>
      <c r="M357" s="29"/>
      <c r="N357" s="37"/>
      <c r="O357" s="30" t="n">
        <f aca="false">N357*J357</f>
        <v>0</v>
      </c>
    </row>
    <row r="358" customFormat="false" ht="15" hidden="false" customHeight="false" outlineLevel="0" collapsed="false">
      <c r="A358" s="33"/>
      <c r="B358" s="28" t="s">
        <v>21</v>
      </c>
      <c r="C358" s="29"/>
      <c r="D358" s="29"/>
      <c r="E358" s="29"/>
      <c r="F358" s="29"/>
      <c r="G358" s="36"/>
      <c r="H358" s="29"/>
      <c r="I358" s="29"/>
      <c r="J358" s="29"/>
      <c r="K358" s="29"/>
      <c r="L358" s="36"/>
      <c r="M358" s="29"/>
      <c r="N358" s="37"/>
      <c r="O358" s="30" t="n">
        <f aca="false">N358*J358</f>
        <v>0</v>
      </c>
    </row>
    <row r="359" customFormat="false" ht="15" hidden="false" customHeight="false" outlineLevel="0" collapsed="false">
      <c r="A359" s="33"/>
      <c r="B359" s="28" t="s">
        <v>21</v>
      </c>
      <c r="C359" s="29"/>
      <c r="D359" s="29"/>
      <c r="E359" s="29"/>
      <c r="F359" s="29"/>
      <c r="G359" s="36"/>
      <c r="H359" s="29"/>
      <c r="I359" s="29"/>
      <c r="J359" s="29"/>
      <c r="K359" s="29"/>
      <c r="L359" s="36"/>
      <c r="M359" s="29"/>
      <c r="N359" s="37"/>
      <c r="O359" s="30" t="n">
        <f aca="false">N359*J359</f>
        <v>0</v>
      </c>
    </row>
    <row r="360" customFormat="false" ht="15" hidden="false" customHeight="false" outlineLevel="0" collapsed="false">
      <c r="A360" s="33"/>
      <c r="B360" s="28" t="s">
        <v>21</v>
      </c>
      <c r="C360" s="29"/>
      <c r="D360" s="29"/>
      <c r="E360" s="29"/>
      <c r="F360" s="29"/>
      <c r="G360" s="36"/>
      <c r="H360" s="29"/>
      <c r="I360" s="29"/>
      <c r="J360" s="29"/>
      <c r="K360" s="29"/>
      <c r="L360" s="36"/>
      <c r="M360" s="29"/>
      <c r="N360" s="37"/>
      <c r="O360" s="30" t="n">
        <f aca="false">N360*J360</f>
        <v>0</v>
      </c>
    </row>
    <row r="361" customFormat="false" ht="15" hidden="false" customHeight="false" outlineLevel="0" collapsed="false">
      <c r="A361" s="33"/>
      <c r="B361" s="28" t="s">
        <v>21</v>
      </c>
      <c r="C361" s="29"/>
      <c r="D361" s="29"/>
      <c r="E361" s="29"/>
      <c r="F361" s="29"/>
      <c r="G361" s="36"/>
      <c r="H361" s="29"/>
      <c r="I361" s="29"/>
      <c r="J361" s="29"/>
      <c r="K361" s="29"/>
      <c r="L361" s="36"/>
      <c r="M361" s="29"/>
      <c r="N361" s="37"/>
      <c r="O361" s="30" t="n">
        <f aca="false">N361*J361</f>
        <v>0</v>
      </c>
    </row>
    <row r="362" customFormat="false" ht="15" hidden="false" customHeight="false" outlineLevel="0" collapsed="false">
      <c r="A362" s="33"/>
      <c r="B362" s="28" t="s">
        <v>21</v>
      </c>
      <c r="C362" s="29"/>
      <c r="D362" s="29"/>
      <c r="E362" s="29"/>
      <c r="F362" s="29"/>
      <c r="G362" s="36"/>
      <c r="H362" s="29"/>
      <c r="I362" s="29"/>
      <c r="J362" s="29"/>
      <c r="K362" s="29"/>
      <c r="L362" s="36"/>
      <c r="M362" s="29"/>
      <c r="N362" s="37"/>
      <c r="O362" s="30" t="n">
        <f aca="false">N362*J362</f>
        <v>0</v>
      </c>
    </row>
    <row r="363" customFormat="false" ht="15" hidden="false" customHeight="false" outlineLevel="0" collapsed="false">
      <c r="A363" s="33"/>
      <c r="B363" s="28" t="s">
        <v>21</v>
      </c>
      <c r="C363" s="29"/>
      <c r="D363" s="29"/>
      <c r="E363" s="29"/>
      <c r="F363" s="29"/>
      <c r="G363" s="36"/>
      <c r="H363" s="29"/>
      <c r="I363" s="29"/>
      <c r="J363" s="29"/>
      <c r="K363" s="29"/>
      <c r="L363" s="36"/>
      <c r="M363" s="29"/>
      <c r="N363" s="37"/>
      <c r="O363" s="30" t="n">
        <f aca="false">N363*J363</f>
        <v>0</v>
      </c>
    </row>
    <row r="364" customFormat="false" ht="15" hidden="false" customHeight="false" outlineLevel="0" collapsed="false">
      <c r="A364" s="33"/>
      <c r="B364" s="28" t="s">
        <v>21</v>
      </c>
      <c r="C364" s="29"/>
      <c r="D364" s="29"/>
      <c r="E364" s="29"/>
      <c r="F364" s="29"/>
      <c r="G364" s="36"/>
      <c r="H364" s="29"/>
      <c r="I364" s="29"/>
      <c r="J364" s="29"/>
      <c r="K364" s="29"/>
      <c r="L364" s="36"/>
      <c r="M364" s="29"/>
      <c r="N364" s="37"/>
      <c r="O364" s="30" t="n">
        <f aca="false">N364*J364</f>
        <v>0</v>
      </c>
    </row>
    <row r="365" customFormat="false" ht="15" hidden="false" customHeight="false" outlineLevel="0" collapsed="false">
      <c r="A365" s="33"/>
      <c r="B365" s="28" t="s">
        <v>21</v>
      </c>
      <c r="C365" s="29"/>
      <c r="D365" s="29"/>
      <c r="E365" s="29"/>
      <c r="F365" s="29"/>
      <c r="G365" s="36"/>
      <c r="H365" s="29"/>
      <c r="I365" s="29"/>
      <c r="J365" s="29"/>
      <c r="K365" s="29"/>
      <c r="L365" s="36"/>
      <c r="M365" s="29"/>
      <c r="N365" s="37"/>
      <c r="O365" s="30" t="n">
        <f aca="false">N365*J365</f>
        <v>0</v>
      </c>
    </row>
    <row r="366" customFormat="false" ht="15" hidden="false" customHeight="false" outlineLevel="0" collapsed="false">
      <c r="A366" s="33"/>
      <c r="B366" s="28" t="s">
        <v>21</v>
      </c>
      <c r="C366" s="29"/>
      <c r="D366" s="29"/>
      <c r="E366" s="29"/>
      <c r="F366" s="29"/>
      <c r="G366" s="36"/>
      <c r="H366" s="29"/>
      <c r="I366" s="29"/>
      <c r="J366" s="29"/>
      <c r="K366" s="29"/>
      <c r="L366" s="36"/>
      <c r="M366" s="29"/>
      <c r="N366" s="37"/>
      <c r="O366" s="30" t="n">
        <f aca="false">N366*J366</f>
        <v>0</v>
      </c>
    </row>
    <row r="367" customFormat="false" ht="15" hidden="false" customHeight="false" outlineLevel="0" collapsed="false">
      <c r="A367" s="33"/>
      <c r="B367" s="28" t="s">
        <v>21</v>
      </c>
      <c r="C367" s="29"/>
      <c r="D367" s="29"/>
      <c r="E367" s="29"/>
      <c r="F367" s="29"/>
      <c r="G367" s="36"/>
      <c r="H367" s="29"/>
      <c r="I367" s="29"/>
      <c r="J367" s="29"/>
      <c r="K367" s="29"/>
      <c r="L367" s="36"/>
      <c r="M367" s="29"/>
      <c r="N367" s="37"/>
      <c r="O367" s="30" t="n">
        <f aca="false">N367*J367</f>
        <v>0</v>
      </c>
    </row>
    <row r="368" customFormat="false" ht="15" hidden="false" customHeight="false" outlineLevel="0" collapsed="false">
      <c r="A368" s="33"/>
      <c r="B368" s="28" t="s">
        <v>21</v>
      </c>
      <c r="C368" s="29"/>
      <c r="D368" s="29"/>
      <c r="E368" s="29"/>
      <c r="F368" s="29"/>
      <c r="G368" s="36"/>
      <c r="H368" s="29"/>
      <c r="I368" s="29"/>
      <c r="J368" s="29"/>
      <c r="K368" s="29"/>
      <c r="L368" s="36"/>
      <c r="M368" s="29"/>
      <c r="N368" s="37"/>
      <c r="O368" s="30" t="n">
        <f aca="false">N368*J368</f>
        <v>0</v>
      </c>
    </row>
    <row r="369" customFormat="false" ht="15" hidden="false" customHeight="false" outlineLevel="0" collapsed="false">
      <c r="A369" s="33"/>
      <c r="B369" s="28" t="s">
        <v>21</v>
      </c>
      <c r="C369" s="29"/>
      <c r="D369" s="29"/>
      <c r="E369" s="29"/>
      <c r="F369" s="29"/>
      <c r="G369" s="36"/>
      <c r="H369" s="29"/>
      <c r="I369" s="29"/>
      <c r="J369" s="29"/>
      <c r="K369" s="29"/>
      <c r="L369" s="36"/>
      <c r="M369" s="29"/>
      <c r="N369" s="37"/>
      <c r="O369" s="30" t="n">
        <f aca="false">N369*J369</f>
        <v>0</v>
      </c>
    </row>
    <row r="370" customFormat="false" ht="15" hidden="false" customHeight="false" outlineLevel="0" collapsed="false">
      <c r="A370" s="33"/>
      <c r="B370" s="28" t="s">
        <v>21</v>
      </c>
      <c r="C370" s="29"/>
      <c r="D370" s="29"/>
      <c r="E370" s="29"/>
      <c r="F370" s="29"/>
      <c r="G370" s="36"/>
      <c r="H370" s="29"/>
      <c r="I370" s="29"/>
      <c r="J370" s="29"/>
      <c r="K370" s="29"/>
      <c r="L370" s="36"/>
      <c r="M370" s="29"/>
      <c r="N370" s="37"/>
      <c r="O370" s="30" t="n">
        <f aca="false">N370*J370</f>
        <v>0</v>
      </c>
    </row>
    <row r="371" customFormat="false" ht="15" hidden="false" customHeight="false" outlineLevel="0" collapsed="false">
      <c r="A371" s="33"/>
      <c r="B371" s="28" t="s">
        <v>21</v>
      </c>
      <c r="C371" s="29"/>
      <c r="D371" s="29"/>
      <c r="E371" s="29"/>
      <c r="F371" s="29"/>
      <c r="G371" s="36"/>
      <c r="H371" s="29"/>
      <c r="I371" s="29"/>
      <c r="J371" s="29"/>
      <c r="K371" s="29"/>
      <c r="L371" s="36"/>
      <c r="M371" s="29"/>
      <c r="N371" s="37"/>
      <c r="O371" s="30" t="n">
        <f aca="false">N371*J371</f>
        <v>0</v>
      </c>
    </row>
    <row r="372" customFormat="false" ht="15" hidden="false" customHeight="false" outlineLevel="0" collapsed="false">
      <c r="A372" s="33"/>
      <c r="B372" s="28" t="s">
        <v>21</v>
      </c>
      <c r="C372" s="29"/>
      <c r="D372" s="29"/>
      <c r="E372" s="29"/>
      <c r="F372" s="29"/>
      <c r="G372" s="36"/>
      <c r="H372" s="29"/>
      <c r="I372" s="29"/>
      <c r="J372" s="29"/>
      <c r="K372" s="29"/>
      <c r="L372" s="36"/>
      <c r="M372" s="29"/>
      <c r="N372" s="37"/>
      <c r="O372" s="30" t="n">
        <f aca="false">N372*J372</f>
        <v>0</v>
      </c>
    </row>
    <row r="373" customFormat="false" ht="15" hidden="false" customHeight="false" outlineLevel="0" collapsed="false">
      <c r="A373" s="33"/>
      <c r="B373" s="28" t="s">
        <v>21</v>
      </c>
      <c r="C373" s="29"/>
      <c r="D373" s="29"/>
      <c r="E373" s="29"/>
      <c r="F373" s="29"/>
      <c r="G373" s="36"/>
      <c r="H373" s="29"/>
      <c r="I373" s="29"/>
      <c r="J373" s="29"/>
      <c r="K373" s="29"/>
      <c r="L373" s="36"/>
      <c r="M373" s="29"/>
      <c r="N373" s="37"/>
      <c r="O373" s="30" t="n">
        <f aca="false">N373*J373</f>
        <v>0</v>
      </c>
    </row>
    <row r="374" customFormat="false" ht="15" hidden="false" customHeight="false" outlineLevel="0" collapsed="false">
      <c r="A374" s="33"/>
      <c r="B374" s="28" t="s">
        <v>21</v>
      </c>
      <c r="C374" s="29"/>
      <c r="D374" s="29"/>
      <c r="E374" s="29"/>
      <c r="F374" s="29"/>
      <c r="G374" s="36"/>
      <c r="H374" s="29"/>
      <c r="I374" s="29"/>
      <c r="J374" s="29"/>
      <c r="K374" s="29"/>
      <c r="L374" s="36"/>
      <c r="M374" s="29"/>
      <c r="N374" s="37"/>
      <c r="O374" s="30" t="n">
        <f aca="false">N374*J374</f>
        <v>0</v>
      </c>
    </row>
    <row r="375" customFormat="false" ht="15" hidden="false" customHeight="false" outlineLevel="0" collapsed="false">
      <c r="A375" s="33"/>
      <c r="B375" s="28" t="s">
        <v>21</v>
      </c>
      <c r="C375" s="29"/>
      <c r="D375" s="29"/>
      <c r="E375" s="29"/>
      <c r="F375" s="29"/>
      <c r="G375" s="36"/>
      <c r="H375" s="29"/>
      <c r="I375" s="29"/>
      <c r="J375" s="29"/>
      <c r="K375" s="29"/>
      <c r="L375" s="36"/>
      <c r="M375" s="29"/>
      <c r="N375" s="37"/>
      <c r="O375" s="30" t="n">
        <f aca="false">N375*J375</f>
        <v>0</v>
      </c>
    </row>
    <row r="376" customFormat="false" ht="15" hidden="false" customHeight="false" outlineLevel="0" collapsed="false">
      <c r="A376" s="33"/>
      <c r="B376" s="28" t="s">
        <v>21</v>
      </c>
      <c r="C376" s="29"/>
      <c r="D376" s="29"/>
      <c r="E376" s="29"/>
      <c r="F376" s="29"/>
      <c r="G376" s="36"/>
      <c r="H376" s="29"/>
      <c r="I376" s="29"/>
      <c r="J376" s="29"/>
      <c r="K376" s="29"/>
      <c r="L376" s="36"/>
      <c r="M376" s="29"/>
      <c r="N376" s="37"/>
      <c r="O376" s="30" t="n">
        <f aca="false">N376*J376</f>
        <v>0</v>
      </c>
    </row>
    <row r="377" customFormat="false" ht="15" hidden="false" customHeight="false" outlineLevel="0" collapsed="false">
      <c r="A377" s="33"/>
      <c r="B377" s="28" t="s">
        <v>21</v>
      </c>
      <c r="C377" s="29"/>
      <c r="D377" s="29"/>
      <c r="E377" s="29"/>
      <c r="F377" s="29"/>
      <c r="G377" s="36"/>
      <c r="H377" s="29"/>
      <c r="I377" s="29"/>
      <c r="J377" s="29"/>
      <c r="K377" s="29"/>
      <c r="L377" s="36"/>
      <c r="M377" s="29"/>
      <c r="N377" s="37"/>
      <c r="O377" s="30" t="n">
        <f aca="false">N377*J377</f>
        <v>0</v>
      </c>
    </row>
    <row r="378" customFormat="false" ht="15" hidden="false" customHeight="false" outlineLevel="0" collapsed="false">
      <c r="A378" s="33"/>
      <c r="B378" s="28" t="s">
        <v>21</v>
      </c>
      <c r="C378" s="29"/>
      <c r="D378" s="29"/>
      <c r="E378" s="29"/>
      <c r="F378" s="29"/>
      <c r="G378" s="36"/>
      <c r="H378" s="29"/>
      <c r="I378" s="29"/>
      <c r="J378" s="29"/>
      <c r="K378" s="29"/>
      <c r="L378" s="36"/>
      <c r="M378" s="29"/>
      <c r="N378" s="37"/>
      <c r="O378" s="30" t="n">
        <f aca="false">N378*J378</f>
        <v>0</v>
      </c>
    </row>
    <row r="379" customFormat="false" ht="15" hidden="false" customHeight="false" outlineLevel="0" collapsed="false">
      <c r="A379" s="33"/>
      <c r="B379" s="28" t="s">
        <v>21</v>
      </c>
      <c r="C379" s="29"/>
      <c r="D379" s="29"/>
      <c r="E379" s="29"/>
      <c r="F379" s="29"/>
      <c r="G379" s="36"/>
      <c r="H379" s="29"/>
      <c r="I379" s="29"/>
      <c r="J379" s="29"/>
      <c r="K379" s="29"/>
      <c r="L379" s="36"/>
      <c r="M379" s="29"/>
      <c r="N379" s="37"/>
      <c r="O379" s="30" t="n">
        <f aca="false">N379*J379</f>
        <v>0</v>
      </c>
    </row>
    <row r="380" customFormat="false" ht="15" hidden="false" customHeight="false" outlineLevel="0" collapsed="false">
      <c r="A380" s="33"/>
      <c r="B380" s="28" t="s">
        <v>21</v>
      </c>
      <c r="C380" s="29"/>
      <c r="D380" s="29"/>
      <c r="E380" s="29"/>
      <c r="F380" s="29"/>
      <c r="G380" s="36"/>
      <c r="H380" s="29"/>
      <c r="I380" s="29"/>
      <c r="J380" s="29"/>
      <c r="K380" s="29"/>
      <c r="L380" s="36"/>
      <c r="M380" s="29"/>
      <c r="N380" s="37"/>
      <c r="O380" s="30" t="n">
        <f aca="false">N380*J380</f>
        <v>0</v>
      </c>
    </row>
    <row r="381" customFormat="false" ht="15" hidden="false" customHeight="false" outlineLevel="0" collapsed="false">
      <c r="A381" s="33"/>
      <c r="B381" s="28" t="s">
        <v>21</v>
      </c>
      <c r="C381" s="29"/>
      <c r="D381" s="29"/>
      <c r="E381" s="29"/>
      <c r="F381" s="29"/>
      <c r="G381" s="36"/>
      <c r="H381" s="29"/>
      <c r="I381" s="29"/>
      <c r="J381" s="29"/>
      <c r="K381" s="29"/>
      <c r="L381" s="36"/>
      <c r="M381" s="29"/>
      <c r="N381" s="37"/>
      <c r="O381" s="30" t="n">
        <f aca="false">N381*J381</f>
        <v>0</v>
      </c>
    </row>
    <row r="382" customFormat="false" ht="15" hidden="false" customHeight="false" outlineLevel="0" collapsed="false">
      <c r="A382" s="33"/>
      <c r="B382" s="28" t="s">
        <v>21</v>
      </c>
      <c r="C382" s="29"/>
      <c r="D382" s="29"/>
      <c r="E382" s="29"/>
      <c r="F382" s="29"/>
      <c r="G382" s="36"/>
      <c r="H382" s="29"/>
      <c r="I382" s="29"/>
      <c r="J382" s="29"/>
      <c r="K382" s="29"/>
      <c r="L382" s="36"/>
      <c r="M382" s="29"/>
      <c r="N382" s="37"/>
      <c r="O382" s="30" t="n">
        <f aca="false">N382*J382</f>
        <v>0</v>
      </c>
    </row>
    <row r="383" customFormat="false" ht="15" hidden="false" customHeight="false" outlineLevel="0" collapsed="false">
      <c r="A383" s="33"/>
      <c r="B383" s="28" t="s">
        <v>21</v>
      </c>
      <c r="C383" s="29"/>
      <c r="D383" s="29"/>
      <c r="E383" s="29"/>
      <c r="F383" s="29"/>
      <c r="G383" s="36"/>
      <c r="H383" s="29"/>
      <c r="I383" s="29"/>
      <c r="J383" s="29"/>
      <c r="K383" s="29"/>
      <c r="L383" s="36"/>
      <c r="M383" s="29"/>
      <c r="N383" s="37"/>
      <c r="O383" s="30" t="n">
        <f aca="false">N383*J383</f>
        <v>0</v>
      </c>
    </row>
    <row r="384" customFormat="false" ht="15" hidden="false" customHeight="false" outlineLevel="0" collapsed="false">
      <c r="A384" s="33"/>
      <c r="B384" s="28" t="s">
        <v>21</v>
      </c>
      <c r="C384" s="29"/>
      <c r="D384" s="29"/>
      <c r="E384" s="29"/>
      <c r="F384" s="29"/>
      <c r="G384" s="36"/>
      <c r="H384" s="29"/>
      <c r="I384" s="29"/>
      <c r="J384" s="29"/>
      <c r="K384" s="29"/>
      <c r="L384" s="36"/>
      <c r="M384" s="29"/>
      <c r="N384" s="37"/>
      <c r="O384" s="30" t="n">
        <f aca="false">N384*J384</f>
        <v>0</v>
      </c>
    </row>
    <row r="385" customFormat="false" ht="15" hidden="false" customHeight="false" outlineLevel="0" collapsed="false">
      <c r="A385" s="33"/>
      <c r="B385" s="28" t="s">
        <v>21</v>
      </c>
      <c r="C385" s="29"/>
      <c r="D385" s="29"/>
      <c r="E385" s="29"/>
      <c r="F385" s="29"/>
      <c r="G385" s="36"/>
      <c r="H385" s="29"/>
      <c r="I385" s="29"/>
      <c r="J385" s="29"/>
      <c r="K385" s="29"/>
      <c r="L385" s="36"/>
      <c r="M385" s="29"/>
      <c r="N385" s="37"/>
      <c r="O385" s="30" t="n">
        <f aca="false">N385*J385</f>
        <v>0</v>
      </c>
    </row>
    <row r="386" customFormat="false" ht="15" hidden="false" customHeight="false" outlineLevel="0" collapsed="false">
      <c r="A386" s="33"/>
      <c r="B386" s="28" t="s">
        <v>21</v>
      </c>
      <c r="C386" s="29"/>
      <c r="D386" s="29"/>
      <c r="E386" s="29"/>
      <c r="F386" s="29"/>
      <c r="G386" s="36"/>
      <c r="H386" s="29"/>
      <c r="I386" s="29"/>
      <c r="J386" s="29"/>
      <c r="K386" s="29"/>
      <c r="L386" s="36"/>
      <c r="M386" s="29"/>
      <c r="N386" s="37"/>
      <c r="O386" s="30" t="n">
        <f aca="false">N386*J386</f>
        <v>0</v>
      </c>
    </row>
    <row r="387" customFormat="false" ht="15" hidden="false" customHeight="false" outlineLevel="0" collapsed="false">
      <c r="A387" s="33"/>
      <c r="B387" s="28" t="s">
        <v>21</v>
      </c>
      <c r="C387" s="29"/>
      <c r="D387" s="29"/>
      <c r="E387" s="29"/>
      <c r="F387" s="29"/>
      <c r="G387" s="36"/>
      <c r="H387" s="29"/>
      <c r="I387" s="29"/>
      <c r="J387" s="29"/>
      <c r="K387" s="29"/>
      <c r="L387" s="36"/>
      <c r="M387" s="29"/>
      <c r="N387" s="37"/>
      <c r="O387" s="30" t="n">
        <f aca="false">N387*J387</f>
        <v>0</v>
      </c>
    </row>
    <row r="388" customFormat="false" ht="15" hidden="false" customHeight="false" outlineLevel="0" collapsed="false">
      <c r="A388" s="33"/>
      <c r="B388" s="28" t="s">
        <v>21</v>
      </c>
      <c r="C388" s="29"/>
      <c r="D388" s="29"/>
      <c r="E388" s="29"/>
      <c r="F388" s="29"/>
      <c r="G388" s="36"/>
      <c r="H388" s="29"/>
      <c r="I388" s="29"/>
      <c r="J388" s="29"/>
      <c r="K388" s="29"/>
      <c r="L388" s="36"/>
      <c r="M388" s="29"/>
      <c r="N388" s="37"/>
      <c r="O388" s="30" t="n">
        <f aca="false">N388*J388</f>
        <v>0</v>
      </c>
    </row>
    <row r="389" customFormat="false" ht="15" hidden="false" customHeight="false" outlineLevel="0" collapsed="false">
      <c r="A389" s="33"/>
      <c r="B389" s="28" t="s">
        <v>21</v>
      </c>
      <c r="C389" s="29"/>
      <c r="D389" s="29"/>
      <c r="E389" s="29"/>
      <c r="F389" s="29"/>
      <c r="G389" s="36"/>
      <c r="H389" s="29"/>
      <c r="I389" s="29"/>
      <c r="J389" s="29"/>
      <c r="K389" s="29"/>
      <c r="L389" s="36"/>
      <c r="M389" s="29"/>
      <c r="N389" s="37"/>
      <c r="O389" s="30" t="n">
        <f aca="false">N389*J389</f>
        <v>0</v>
      </c>
    </row>
    <row r="390" customFormat="false" ht="15" hidden="false" customHeight="false" outlineLevel="0" collapsed="false">
      <c r="A390" s="33"/>
      <c r="B390" s="28" t="s">
        <v>21</v>
      </c>
      <c r="C390" s="29"/>
      <c r="D390" s="29"/>
      <c r="E390" s="29"/>
      <c r="F390" s="29"/>
      <c r="G390" s="36"/>
      <c r="H390" s="29"/>
      <c r="I390" s="29"/>
      <c r="J390" s="29"/>
      <c r="K390" s="29"/>
      <c r="L390" s="36"/>
      <c r="M390" s="29"/>
      <c r="N390" s="37"/>
      <c r="O390" s="30" t="n">
        <f aca="false">N390*J390</f>
        <v>0</v>
      </c>
    </row>
    <row r="391" customFormat="false" ht="15" hidden="false" customHeight="false" outlineLevel="0" collapsed="false">
      <c r="A391" s="33"/>
      <c r="B391" s="28" t="s">
        <v>21</v>
      </c>
      <c r="C391" s="29"/>
      <c r="D391" s="29"/>
      <c r="E391" s="29"/>
      <c r="F391" s="29"/>
      <c r="G391" s="36"/>
      <c r="H391" s="29"/>
      <c r="I391" s="29"/>
      <c r="J391" s="29"/>
      <c r="K391" s="29"/>
      <c r="L391" s="36"/>
      <c r="M391" s="29"/>
      <c r="N391" s="37"/>
      <c r="O391" s="30" t="n">
        <f aca="false">N391*J391</f>
        <v>0</v>
      </c>
    </row>
    <row r="392" customFormat="false" ht="15" hidden="false" customHeight="false" outlineLevel="0" collapsed="false">
      <c r="A392" s="33"/>
      <c r="B392" s="28" t="s">
        <v>21</v>
      </c>
      <c r="C392" s="29"/>
      <c r="D392" s="29"/>
      <c r="E392" s="29"/>
      <c r="F392" s="29"/>
      <c r="G392" s="36"/>
      <c r="H392" s="29"/>
      <c r="I392" s="29"/>
      <c r="J392" s="29"/>
      <c r="K392" s="29"/>
      <c r="L392" s="36"/>
      <c r="M392" s="29"/>
      <c r="N392" s="37"/>
      <c r="O392" s="30" t="n">
        <f aca="false">N392*J392</f>
        <v>0</v>
      </c>
    </row>
    <row r="393" customFormat="false" ht="15" hidden="false" customHeight="false" outlineLevel="0" collapsed="false">
      <c r="A393" s="33"/>
      <c r="B393" s="28" t="s">
        <v>21</v>
      </c>
      <c r="C393" s="29"/>
      <c r="D393" s="29"/>
      <c r="E393" s="29"/>
      <c r="F393" s="29"/>
      <c r="G393" s="36"/>
      <c r="H393" s="29"/>
      <c r="I393" s="29"/>
      <c r="J393" s="29"/>
      <c r="K393" s="29"/>
      <c r="L393" s="36"/>
      <c r="M393" s="29"/>
      <c r="N393" s="37"/>
      <c r="O393" s="30" t="n">
        <f aca="false">N393*J393</f>
        <v>0</v>
      </c>
    </row>
    <row r="394" customFormat="false" ht="15" hidden="false" customHeight="false" outlineLevel="0" collapsed="false">
      <c r="A394" s="33"/>
      <c r="B394" s="28" t="s">
        <v>21</v>
      </c>
      <c r="C394" s="29"/>
      <c r="D394" s="29"/>
      <c r="E394" s="29"/>
      <c r="F394" s="29"/>
      <c r="G394" s="36"/>
      <c r="H394" s="29"/>
      <c r="I394" s="29"/>
      <c r="J394" s="29"/>
      <c r="K394" s="29"/>
      <c r="L394" s="36"/>
      <c r="M394" s="29"/>
      <c r="N394" s="37"/>
      <c r="O394" s="30" t="n">
        <f aca="false">N394*J394</f>
        <v>0</v>
      </c>
    </row>
    <row r="395" customFormat="false" ht="15" hidden="false" customHeight="false" outlineLevel="0" collapsed="false">
      <c r="A395" s="33"/>
      <c r="B395" s="28" t="s">
        <v>21</v>
      </c>
      <c r="C395" s="29"/>
      <c r="D395" s="29"/>
      <c r="E395" s="29"/>
      <c r="F395" s="29"/>
      <c r="G395" s="36"/>
      <c r="H395" s="29"/>
      <c r="I395" s="29"/>
      <c r="J395" s="29"/>
      <c r="K395" s="29"/>
      <c r="L395" s="36"/>
      <c r="M395" s="29"/>
      <c r="N395" s="37"/>
      <c r="O395" s="30" t="n">
        <f aca="false">N395*J395</f>
        <v>0</v>
      </c>
    </row>
    <row r="396" customFormat="false" ht="15" hidden="false" customHeight="false" outlineLevel="0" collapsed="false">
      <c r="A396" s="33"/>
      <c r="B396" s="28" t="s">
        <v>21</v>
      </c>
      <c r="C396" s="29"/>
      <c r="D396" s="29"/>
      <c r="E396" s="29"/>
      <c r="F396" s="29"/>
      <c r="G396" s="36"/>
      <c r="H396" s="29"/>
      <c r="I396" s="29"/>
      <c r="J396" s="29"/>
      <c r="K396" s="29"/>
      <c r="L396" s="36"/>
      <c r="M396" s="29"/>
      <c r="N396" s="37"/>
      <c r="O396" s="30" t="n">
        <f aca="false">N396*J396</f>
        <v>0</v>
      </c>
    </row>
    <row r="397" customFormat="false" ht="15" hidden="false" customHeight="false" outlineLevel="0" collapsed="false">
      <c r="A397" s="33"/>
      <c r="B397" s="28" t="s">
        <v>21</v>
      </c>
      <c r="C397" s="29"/>
      <c r="D397" s="29"/>
      <c r="E397" s="29"/>
      <c r="F397" s="29"/>
      <c r="G397" s="36"/>
      <c r="H397" s="29"/>
      <c r="I397" s="29"/>
      <c r="J397" s="29"/>
      <c r="K397" s="29"/>
      <c r="L397" s="36"/>
      <c r="M397" s="29"/>
      <c r="N397" s="37"/>
      <c r="O397" s="30" t="n">
        <f aca="false">N397*J397</f>
        <v>0</v>
      </c>
    </row>
    <row r="398" customFormat="false" ht="15" hidden="false" customHeight="false" outlineLevel="0" collapsed="false">
      <c r="A398" s="33"/>
      <c r="B398" s="28" t="s">
        <v>21</v>
      </c>
      <c r="C398" s="29"/>
      <c r="D398" s="29"/>
      <c r="E398" s="29"/>
      <c r="F398" s="29"/>
      <c r="G398" s="36"/>
      <c r="H398" s="29"/>
      <c r="I398" s="29"/>
      <c r="J398" s="29"/>
      <c r="K398" s="29"/>
      <c r="L398" s="36"/>
      <c r="M398" s="29"/>
      <c r="N398" s="37"/>
      <c r="O398" s="30" t="n">
        <f aca="false">N398*J398</f>
        <v>0</v>
      </c>
    </row>
    <row r="399" customFormat="false" ht="15" hidden="false" customHeight="false" outlineLevel="0" collapsed="false">
      <c r="A399" s="33"/>
      <c r="B399" s="28" t="s">
        <v>21</v>
      </c>
      <c r="C399" s="29"/>
      <c r="D399" s="29"/>
      <c r="E399" s="29"/>
      <c r="F399" s="29"/>
      <c r="G399" s="36"/>
      <c r="H399" s="29"/>
      <c r="I399" s="29"/>
      <c r="J399" s="29"/>
      <c r="K399" s="29"/>
      <c r="L399" s="36"/>
      <c r="M399" s="29"/>
      <c r="N399" s="37"/>
      <c r="O399" s="30" t="n">
        <f aca="false">N399*J399</f>
        <v>0</v>
      </c>
    </row>
    <row r="400" customFormat="false" ht="15" hidden="false" customHeight="false" outlineLevel="0" collapsed="false">
      <c r="A400" s="33"/>
      <c r="B400" s="28" t="s">
        <v>21</v>
      </c>
      <c r="C400" s="29"/>
      <c r="D400" s="29"/>
      <c r="E400" s="29"/>
      <c r="F400" s="29"/>
      <c r="G400" s="36"/>
      <c r="H400" s="29"/>
      <c r="I400" s="29"/>
      <c r="J400" s="29"/>
      <c r="K400" s="29"/>
      <c r="L400" s="36"/>
      <c r="M400" s="29"/>
      <c r="N400" s="37"/>
      <c r="O400" s="30" t="n">
        <f aca="false">N400*J400</f>
        <v>0</v>
      </c>
    </row>
    <row r="401" customFormat="false" ht="15" hidden="false" customHeight="false" outlineLevel="0" collapsed="false">
      <c r="A401" s="33"/>
      <c r="B401" s="28" t="s">
        <v>21</v>
      </c>
      <c r="C401" s="29"/>
      <c r="D401" s="29"/>
      <c r="E401" s="29"/>
      <c r="F401" s="29"/>
      <c r="G401" s="36"/>
      <c r="H401" s="29"/>
      <c r="I401" s="29"/>
      <c r="J401" s="29"/>
      <c r="K401" s="29"/>
      <c r="L401" s="36"/>
      <c r="M401" s="29"/>
      <c r="N401" s="37"/>
      <c r="O401" s="30" t="n">
        <f aca="false">N401*J401</f>
        <v>0</v>
      </c>
    </row>
    <row r="402" customFormat="false" ht="15" hidden="false" customHeight="false" outlineLevel="0" collapsed="false">
      <c r="A402" s="33"/>
      <c r="B402" s="28" t="s">
        <v>21</v>
      </c>
      <c r="C402" s="29"/>
      <c r="D402" s="29"/>
      <c r="E402" s="29"/>
      <c r="F402" s="29"/>
      <c r="G402" s="36"/>
      <c r="H402" s="29"/>
      <c r="I402" s="29"/>
      <c r="J402" s="29"/>
      <c r="K402" s="29"/>
      <c r="L402" s="36"/>
      <c r="M402" s="29"/>
      <c r="N402" s="37"/>
      <c r="O402" s="30" t="n">
        <f aca="false">N402*J402</f>
        <v>0</v>
      </c>
    </row>
    <row r="403" customFormat="false" ht="15" hidden="false" customHeight="false" outlineLevel="0" collapsed="false">
      <c r="A403" s="33"/>
      <c r="B403" s="28" t="s">
        <v>21</v>
      </c>
      <c r="C403" s="29"/>
      <c r="D403" s="29"/>
      <c r="E403" s="29"/>
      <c r="F403" s="29"/>
      <c r="G403" s="36"/>
      <c r="H403" s="29"/>
      <c r="I403" s="29"/>
      <c r="J403" s="29"/>
      <c r="K403" s="29"/>
      <c r="L403" s="36"/>
      <c r="M403" s="29"/>
      <c r="N403" s="37"/>
      <c r="O403" s="30" t="n">
        <f aca="false">N403*J403</f>
        <v>0</v>
      </c>
    </row>
    <row r="404" customFormat="false" ht="15" hidden="false" customHeight="false" outlineLevel="0" collapsed="false">
      <c r="A404" s="33"/>
      <c r="B404" s="28"/>
      <c r="C404" s="29"/>
      <c r="D404" s="29"/>
      <c r="E404" s="29"/>
      <c r="F404" s="29"/>
      <c r="G404" s="36"/>
      <c r="H404" s="29"/>
      <c r="I404" s="29"/>
      <c r="J404" s="29"/>
      <c r="K404" s="29"/>
      <c r="L404" s="36"/>
      <c r="M404" s="29"/>
      <c r="N404" s="37"/>
      <c r="O404" s="30" t="n">
        <f aca="false">N404*J404</f>
        <v>0</v>
      </c>
    </row>
    <row r="405" customFormat="false" ht="15" hidden="false" customHeight="false" outlineLevel="0" collapsed="false">
      <c r="A405" s="33"/>
      <c r="B405" s="28"/>
      <c r="C405" s="29"/>
      <c r="D405" s="29"/>
      <c r="E405" s="29"/>
      <c r="F405" s="29"/>
      <c r="G405" s="36"/>
      <c r="H405" s="29"/>
      <c r="I405" s="29"/>
      <c r="J405" s="29"/>
      <c r="K405" s="29"/>
      <c r="L405" s="36"/>
      <c r="M405" s="29"/>
      <c r="N405" s="37"/>
      <c r="O405" s="30" t="n">
        <f aca="false">N405*J405</f>
        <v>0</v>
      </c>
    </row>
    <row r="406" customFormat="false" ht="15" hidden="false" customHeight="false" outlineLevel="0" collapsed="false">
      <c r="A406" s="33"/>
      <c r="B406" s="28"/>
      <c r="C406" s="29"/>
      <c r="D406" s="29"/>
      <c r="E406" s="29"/>
      <c r="F406" s="29"/>
      <c r="G406" s="36"/>
      <c r="H406" s="29"/>
      <c r="I406" s="29"/>
      <c r="J406" s="29"/>
      <c r="K406" s="29"/>
      <c r="L406" s="36"/>
      <c r="M406" s="29"/>
      <c r="N406" s="37"/>
      <c r="O406" s="30" t="n">
        <f aca="false">N406*J406</f>
        <v>0</v>
      </c>
    </row>
    <row r="407" customFormat="false" ht="15" hidden="false" customHeight="false" outlineLevel="0" collapsed="false">
      <c r="A407" s="33"/>
      <c r="B407" s="28"/>
      <c r="C407" s="29"/>
      <c r="D407" s="29"/>
      <c r="E407" s="29"/>
      <c r="F407" s="29"/>
      <c r="G407" s="36"/>
      <c r="H407" s="29"/>
      <c r="I407" s="29"/>
      <c r="J407" s="29"/>
      <c r="K407" s="29"/>
      <c r="L407" s="36"/>
      <c r="M407" s="29"/>
      <c r="N407" s="37"/>
      <c r="O407" s="30" t="n">
        <f aca="false">N407*J407</f>
        <v>0</v>
      </c>
    </row>
    <row r="408" customFormat="false" ht="15" hidden="false" customHeight="false" outlineLevel="0" collapsed="false">
      <c r="A408" s="33"/>
      <c r="B408" s="28"/>
      <c r="C408" s="29"/>
      <c r="D408" s="29"/>
      <c r="E408" s="29"/>
      <c r="F408" s="29"/>
      <c r="G408" s="36"/>
      <c r="H408" s="29"/>
      <c r="I408" s="29"/>
      <c r="J408" s="29"/>
      <c r="K408" s="29"/>
      <c r="L408" s="36"/>
      <c r="M408" s="29"/>
      <c r="N408" s="37"/>
      <c r="O408" s="30" t="n">
        <f aca="false">N408*J408</f>
        <v>0</v>
      </c>
    </row>
    <row r="409" customFormat="false" ht="15" hidden="false" customHeight="false" outlineLevel="0" collapsed="false">
      <c r="A409" s="33"/>
      <c r="B409" s="28"/>
      <c r="C409" s="29"/>
      <c r="D409" s="29"/>
      <c r="E409" s="29"/>
      <c r="F409" s="29"/>
      <c r="G409" s="36"/>
      <c r="H409" s="29"/>
      <c r="I409" s="29"/>
      <c r="J409" s="29"/>
      <c r="K409" s="29"/>
      <c r="L409" s="36"/>
      <c r="M409" s="29"/>
      <c r="N409" s="37"/>
      <c r="O409" s="30" t="n">
        <f aca="false">N409*J409</f>
        <v>0</v>
      </c>
    </row>
    <row r="410" customFormat="false" ht="15" hidden="false" customHeight="false" outlineLevel="0" collapsed="false">
      <c r="A410" s="33"/>
      <c r="B410" s="28"/>
      <c r="C410" s="29"/>
      <c r="D410" s="29"/>
      <c r="E410" s="29"/>
      <c r="F410" s="29"/>
      <c r="G410" s="36"/>
      <c r="H410" s="29"/>
      <c r="I410" s="29"/>
      <c r="J410" s="29"/>
      <c r="K410" s="29"/>
      <c r="L410" s="36"/>
      <c r="M410" s="29"/>
      <c r="N410" s="37"/>
      <c r="O410" s="30" t="n">
        <f aca="false">N410*J410</f>
        <v>0</v>
      </c>
    </row>
    <row r="411" customFormat="false" ht="15" hidden="false" customHeight="false" outlineLevel="0" collapsed="false">
      <c r="A411" s="33"/>
      <c r="B411" s="28"/>
      <c r="C411" s="29"/>
      <c r="D411" s="29"/>
      <c r="E411" s="29"/>
      <c r="F411" s="29"/>
      <c r="G411" s="36"/>
      <c r="H411" s="29"/>
      <c r="I411" s="29"/>
      <c r="J411" s="29"/>
      <c r="K411" s="29"/>
      <c r="L411" s="36"/>
      <c r="M411" s="29"/>
      <c r="N411" s="37"/>
      <c r="O411" s="30" t="n">
        <f aca="false">N411*J411</f>
        <v>0</v>
      </c>
    </row>
    <row r="412" customFormat="false" ht="15" hidden="false" customHeight="false" outlineLevel="0" collapsed="false">
      <c r="A412" s="33"/>
      <c r="B412" s="28"/>
      <c r="C412" s="29"/>
      <c r="D412" s="29"/>
      <c r="E412" s="29"/>
      <c r="F412" s="29"/>
      <c r="G412" s="36"/>
      <c r="H412" s="29"/>
      <c r="I412" s="29"/>
      <c r="J412" s="29"/>
      <c r="K412" s="29"/>
      <c r="L412" s="36"/>
      <c r="M412" s="29"/>
      <c r="N412" s="37"/>
      <c r="O412" s="30" t="n">
        <f aca="false">N412*J412</f>
        <v>0</v>
      </c>
    </row>
    <row r="413" customFormat="false" ht="15" hidden="false" customHeight="false" outlineLevel="0" collapsed="false">
      <c r="A413" s="33"/>
      <c r="B413" s="28"/>
      <c r="C413" s="29"/>
      <c r="D413" s="29"/>
      <c r="E413" s="29"/>
      <c r="F413" s="29"/>
      <c r="G413" s="36"/>
      <c r="H413" s="29"/>
      <c r="I413" s="29"/>
      <c r="J413" s="29"/>
      <c r="K413" s="29"/>
      <c r="L413" s="36"/>
      <c r="M413" s="29"/>
      <c r="N413" s="37"/>
      <c r="O413" s="30" t="n">
        <f aca="false">N413*J413</f>
        <v>0</v>
      </c>
    </row>
    <row r="414" customFormat="false" ht="15" hidden="false" customHeight="false" outlineLevel="0" collapsed="false">
      <c r="A414" s="33"/>
      <c r="B414" s="28"/>
      <c r="C414" s="29"/>
      <c r="D414" s="29"/>
      <c r="E414" s="29"/>
      <c r="F414" s="29"/>
      <c r="G414" s="36"/>
      <c r="H414" s="29"/>
      <c r="I414" s="29"/>
      <c r="J414" s="29"/>
      <c r="K414" s="29"/>
      <c r="L414" s="36"/>
      <c r="M414" s="29"/>
      <c r="N414" s="37"/>
      <c r="O414" s="30" t="n">
        <f aca="false">N414*J414</f>
        <v>0</v>
      </c>
    </row>
    <row r="415" customFormat="false" ht="15" hidden="false" customHeight="false" outlineLevel="0" collapsed="false">
      <c r="A415" s="33"/>
      <c r="B415" s="28"/>
      <c r="C415" s="29"/>
      <c r="D415" s="29"/>
      <c r="E415" s="29"/>
      <c r="F415" s="29"/>
      <c r="G415" s="36"/>
      <c r="H415" s="29"/>
      <c r="I415" s="29"/>
      <c r="J415" s="29"/>
      <c r="K415" s="29"/>
      <c r="L415" s="36"/>
      <c r="M415" s="29"/>
      <c r="N415" s="37"/>
      <c r="O415" s="30" t="n">
        <f aca="false">N415*J415</f>
        <v>0</v>
      </c>
    </row>
    <row r="416" customFormat="false" ht="15" hidden="false" customHeight="false" outlineLevel="0" collapsed="false">
      <c r="A416" s="33"/>
      <c r="B416" s="28"/>
      <c r="C416" s="29"/>
      <c r="D416" s="29"/>
      <c r="E416" s="29"/>
      <c r="F416" s="29"/>
      <c r="G416" s="36"/>
      <c r="H416" s="29"/>
      <c r="I416" s="29"/>
      <c r="J416" s="29"/>
      <c r="K416" s="29"/>
      <c r="L416" s="36"/>
      <c r="M416" s="29"/>
      <c r="N416" s="37"/>
      <c r="O416" s="30" t="n">
        <f aca="false">N416*J416</f>
        <v>0</v>
      </c>
    </row>
    <row r="417" customFormat="false" ht="15" hidden="false" customHeight="false" outlineLevel="0" collapsed="false">
      <c r="A417" s="33"/>
      <c r="B417" s="28"/>
      <c r="C417" s="29"/>
      <c r="D417" s="29"/>
      <c r="E417" s="29"/>
      <c r="F417" s="29"/>
      <c r="G417" s="36"/>
      <c r="H417" s="29"/>
      <c r="I417" s="29"/>
      <c r="J417" s="29"/>
      <c r="K417" s="29"/>
      <c r="L417" s="36"/>
      <c r="M417" s="29"/>
      <c r="N417" s="37"/>
      <c r="O417" s="30" t="n">
        <f aca="false">N417*J417</f>
        <v>0</v>
      </c>
    </row>
    <row r="418" customFormat="false" ht="15" hidden="false" customHeight="false" outlineLevel="0" collapsed="false">
      <c r="A418" s="33"/>
      <c r="B418" s="28"/>
      <c r="C418" s="29"/>
      <c r="D418" s="29"/>
      <c r="E418" s="29"/>
      <c r="F418" s="29"/>
      <c r="G418" s="36"/>
      <c r="H418" s="29"/>
      <c r="I418" s="29"/>
      <c r="J418" s="29"/>
      <c r="K418" s="29"/>
      <c r="L418" s="36"/>
      <c r="M418" s="29"/>
      <c r="N418" s="37"/>
      <c r="O418" s="30" t="n">
        <f aca="false">N418*J418</f>
        <v>0</v>
      </c>
    </row>
    <row r="419" customFormat="false" ht="15" hidden="false" customHeight="false" outlineLevel="0" collapsed="false">
      <c r="A419" s="33"/>
      <c r="B419" s="28"/>
      <c r="C419" s="29"/>
      <c r="D419" s="29"/>
      <c r="E419" s="29"/>
      <c r="F419" s="29"/>
      <c r="G419" s="36"/>
      <c r="H419" s="29"/>
      <c r="I419" s="29"/>
      <c r="J419" s="29"/>
      <c r="K419" s="29"/>
      <c r="L419" s="36"/>
      <c r="M419" s="29"/>
      <c r="N419" s="37"/>
      <c r="O419" s="30" t="n">
        <f aca="false">N419*J419</f>
        <v>0</v>
      </c>
    </row>
    <row r="420" customFormat="false" ht="15" hidden="false" customHeight="false" outlineLevel="0" collapsed="false">
      <c r="A420" s="33"/>
      <c r="B420" s="28"/>
      <c r="C420" s="29"/>
      <c r="D420" s="29"/>
      <c r="E420" s="29"/>
      <c r="F420" s="29"/>
      <c r="G420" s="36"/>
      <c r="H420" s="29"/>
      <c r="I420" s="29"/>
      <c r="J420" s="29"/>
      <c r="K420" s="29"/>
      <c r="L420" s="36"/>
      <c r="M420" s="29"/>
      <c r="N420" s="37"/>
      <c r="O420" s="30" t="n">
        <f aca="false">N420*J420</f>
        <v>0</v>
      </c>
    </row>
    <row r="421" customFormat="false" ht="15" hidden="false" customHeight="false" outlineLevel="0" collapsed="false">
      <c r="A421" s="33"/>
      <c r="B421" s="28"/>
      <c r="C421" s="29"/>
      <c r="D421" s="29"/>
      <c r="E421" s="29"/>
      <c r="F421" s="29"/>
      <c r="G421" s="36"/>
      <c r="H421" s="29"/>
      <c r="I421" s="29"/>
      <c r="J421" s="29"/>
      <c r="K421" s="29"/>
      <c r="L421" s="36"/>
      <c r="M421" s="29"/>
      <c r="N421" s="37"/>
      <c r="O421" s="30" t="n">
        <f aca="false">N421*J421</f>
        <v>0</v>
      </c>
    </row>
    <row r="422" customFormat="false" ht="15" hidden="false" customHeight="false" outlineLevel="0" collapsed="false">
      <c r="A422" s="33"/>
      <c r="B422" s="28"/>
      <c r="C422" s="29"/>
      <c r="D422" s="29"/>
      <c r="E422" s="29"/>
      <c r="F422" s="29"/>
      <c r="G422" s="36"/>
      <c r="H422" s="29"/>
      <c r="I422" s="29"/>
      <c r="J422" s="29"/>
      <c r="K422" s="29"/>
      <c r="L422" s="36"/>
      <c r="M422" s="29"/>
      <c r="N422" s="37"/>
      <c r="O422" s="30" t="n">
        <f aca="false">N422*J422</f>
        <v>0</v>
      </c>
    </row>
    <row r="423" customFormat="false" ht="15" hidden="false" customHeight="false" outlineLevel="0" collapsed="false">
      <c r="A423" s="33"/>
      <c r="B423" s="28"/>
      <c r="C423" s="29"/>
      <c r="D423" s="29"/>
      <c r="E423" s="29"/>
      <c r="F423" s="29"/>
      <c r="G423" s="36"/>
      <c r="H423" s="29"/>
      <c r="I423" s="29"/>
      <c r="J423" s="29"/>
      <c r="K423" s="29"/>
      <c r="L423" s="36"/>
      <c r="M423" s="29"/>
      <c r="N423" s="37"/>
      <c r="O423" s="30" t="n">
        <f aca="false">N423*J423</f>
        <v>0</v>
      </c>
    </row>
    <row r="424" customFormat="false" ht="15" hidden="false" customHeight="false" outlineLevel="0" collapsed="false">
      <c r="A424" s="33"/>
      <c r="B424" s="28"/>
      <c r="C424" s="29"/>
      <c r="D424" s="29"/>
      <c r="E424" s="29"/>
      <c r="F424" s="29"/>
      <c r="G424" s="36"/>
      <c r="H424" s="29"/>
      <c r="I424" s="29"/>
      <c r="J424" s="29"/>
      <c r="K424" s="29"/>
      <c r="L424" s="36"/>
      <c r="M424" s="29"/>
      <c r="N424" s="37"/>
      <c r="O424" s="30" t="n">
        <f aca="false">N424*J424</f>
        <v>0</v>
      </c>
    </row>
    <row r="425" customFormat="false" ht="15" hidden="false" customHeight="false" outlineLevel="0" collapsed="false">
      <c r="A425" s="33"/>
      <c r="B425" s="28"/>
      <c r="C425" s="29"/>
      <c r="D425" s="29"/>
      <c r="E425" s="29"/>
      <c r="F425" s="29"/>
      <c r="G425" s="36"/>
      <c r="H425" s="29"/>
      <c r="I425" s="29"/>
      <c r="J425" s="29"/>
      <c r="K425" s="29"/>
      <c r="L425" s="36"/>
      <c r="M425" s="29"/>
      <c r="N425" s="37"/>
      <c r="O425" s="30" t="n">
        <f aca="false">N425*J425</f>
        <v>0</v>
      </c>
    </row>
    <row r="426" customFormat="false" ht="15" hidden="false" customHeight="false" outlineLevel="0" collapsed="false">
      <c r="A426" s="33"/>
      <c r="B426" s="28"/>
      <c r="C426" s="29"/>
      <c r="D426" s="29"/>
      <c r="E426" s="29"/>
      <c r="F426" s="29"/>
      <c r="G426" s="36"/>
      <c r="H426" s="29"/>
      <c r="I426" s="29"/>
      <c r="J426" s="29"/>
      <c r="K426" s="29"/>
      <c r="L426" s="36"/>
      <c r="M426" s="29"/>
      <c r="N426" s="37"/>
      <c r="O426" s="30" t="n">
        <f aca="false">N426*J426</f>
        <v>0</v>
      </c>
    </row>
    <row r="427" customFormat="false" ht="15" hidden="false" customHeight="false" outlineLevel="0" collapsed="false">
      <c r="A427" s="33"/>
      <c r="B427" s="28"/>
      <c r="C427" s="29"/>
      <c r="D427" s="29"/>
      <c r="E427" s="29"/>
      <c r="F427" s="29"/>
      <c r="G427" s="36"/>
      <c r="H427" s="29"/>
      <c r="I427" s="29"/>
      <c r="J427" s="29"/>
      <c r="K427" s="29"/>
      <c r="L427" s="36"/>
      <c r="M427" s="29"/>
      <c r="N427" s="37"/>
      <c r="O427" s="30" t="n">
        <f aca="false">N427*J427</f>
        <v>0</v>
      </c>
    </row>
    <row r="428" customFormat="false" ht="15" hidden="false" customHeight="false" outlineLevel="0" collapsed="false">
      <c r="A428" s="33"/>
      <c r="B428" s="28"/>
      <c r="C428" s="29"/>
      <c r="D428" s="29"/>
      <c r="E428" s="29"/>
      <c r="F428" s="29"/>
      <c r="G428" s="36"/>
      <c r="H428" s="29"/>
      <c r="I428" s="29"/>
      <c r="J428" s="29"/>
      <c r="K428" s="29"/>
      <c r="L428" s="36"/>
      <c r="M428" s="29"/>
      <c r="N428" s="37"/>
      <c r="O428" s="30" t="n">
        <f aca="false">N428*J428</f>
        <v>0</v>
      </c>
    </row>
    <row r="429" customFormat="false" ht="15" hidden="false" customHeight="false" outlineLevel="0" collapsed="false">
      <c r="A429" s="33"/>
      <c r="B429" s="28"/>
      <c r="C429" s="29"/>
      <c r="D429" s="29"/>
      <c r="E429" s="29"/>
      <c r="F429" s="29"/>
      <c r="G429" s="36"/>
      <c r="H429" s="29"/>
      <c r="I429" s="29"/>
      <c r="J429" s="29"/>
      <c r="K429" s="29"/>
      <c r="L429" s="36"/>
      <c r="M429" s="29"/>
      <c r="N429" s="37"/>
      <c r="O429" s="30" t="n">
        <f aca="false">N429*J429</f>
        <v>0</v>
      </c>
    </row>
    <row r="430" customFormat="false" ht="15" hidden="false" customHeight="false" outlineLevel="0" collapsed="false">
      <c r="A430" s="33"/>
      <c r="B430" s="28"/>
      <c r="C430" s="29"/>
      <c r="D430" s="29"/>
      <c r="E430" s="29"/>
      <c r="F430" s="29"/>
      <c r="G430" s="36"/>
      <c r="H430" s="29"/>
      <c r="I430" s="29"/>
      <c r="J430" s="29"/>
      <c r="K430" s="29"/>
      <c r="L430" s="36"/>
      <c r="M430" s="29"/>
      <c r="N430" s="37"/>
      <c r="O430" s="30" t="n">
        <f aca="false">N430*J430</f>
        <v>0</v>
      </c>
    </row>
    <row r="431" customFormat="false" ht="15" hidden="false" customHeight="false" outlineLevel="0" collapsed="false">
      <c r="A431" s="33"/>
      <c r="B431" s="28"/>
      <c r="C431" s="29"/>
      <c r="D431" s="29"/>
      <c r="E431" s="29"/>
      <c r="F431" s="29"/>
      <c r="G431" s="36"/>
      <c r="H431" s="29"/>
      <c r="I431" s="29"/>
      <c r="J431" s="29"/>
      <c r="K431" s="29"/>
      <c r="L431" s="36"/>
      <c r="M431" s="29"/>
      <c r="N431" s="37"/>
      <c r="O431" s="30" t="n">
        <f aca="false">N431*J431</f>
        <v>0</v>
      </c>
    </row>
    <row r="432" customFormat="false" ht="15" hidden="false" customHeight="false" outlineLevel="0" collapsed="false">
      <c r="A432" s="33"/>
      <c r="B432" s="28"/>
      <c r="C432" s="29"/>
      <c r="D432" s="29"/>
      <c r="E432" s="29"/>
      <c r="F432" s="29"/>
      <c r="G432" s="36"/>
      <c r="H432" s="29"/>
      <c r="I432" s="29"/>
      <c r="J432" s="29"/>
      <c r="K432" s="29"/>
      <c r="L432" s="36"/>
      <c r="M432" s="29"/>
      <c r="N432" s="37"/>
      <c r="O432" s="30" t="n">
        <f aca="false">N432*J432</f>
        <v>0</v>
      </c>
    </row>
    <row r="433" customFormat="false" ht="15" hidden="false" customHeight="false" outlineLevel="0" collapsed="false">
      <c r="A433" s="33"/>
      <c r="B433" s="28"/>
      <c r="C433" s="29"/>
      <c r="D433" s="29"/>
      <c r="E433" s="29"/>
      <c r="F433" s="29"/>
      <c r="G433" s="36"/>
      <c r="H433" s="29"/>
      <c r="I433" s="29"/>
      <c r="J433" s="29"/>
      <c r="K433" s="29"/>
      <c r="L433" s="36"/>
      <c r="M433" s="29"/>
      <c r="N433" s="37"/>
      <c r="O433" s="30" t="n">
        <f aca="false">N433*J433</f>
        <v>0</v>
      </c>
    </row>
    <row r="434" customFormat="false" ht="15" hidden="false" customHeight="false" outlineLevel="0" collapsed="false">
      <c r="A434" s="33"/>
      <c r="B434" s="28"/>
      <c r="C434" s="29"/>
      <c r="D434" s="29"/>
      <c r="E434" s="29"/>
      <c r="F434" s="29"/>
      <c r="G434" s="36"/>
      <c r="H434" s="29"/>
      <c r="I434" s="29"/>
      <c r="J434" s="29"/>
      <c r="K434" s="29"/>
      <c r="L434" s="36"/>
      <c r="M434" s="29"/>
      <c r="N434" s="37"/>
      <c r="O434" s="30" t="n">
        <f aca="false">N434*J434</f>
        <v>0</v>
      </c>
    </row>
    <row r="435" customFormat="false" ht="15" hidden="false" customHeight="false" outlineLevel="0" collapsed="false">
      <c r="A435" s="33"/>
      <c r="B435" s="28"/>
      <c r="C435" s="29"/>
      <c r="D435" s="29"/>
      <c r="E435" s="29"/>
      <c r="F435" s="29"/>
      <c r="G435" s="36"/>
      <c r="H435" s="29"/>
      <c r="I435" s="29"/>
      <c r="J435" s="29"/>
      <c r="K435" s="29"/>
      <c r="L435" s="36"/>
      <c r="M435" s="29"/>
      <c r="N435" s="37"/>
      <c r="O435" s="30" t="n">
        <f aca="false">N435*J435</f>
        <v>0</v>
      </c>
    </row>
    <row r="436" customFormat="false" ht="15" hidden="false" customHeight="false" outlineLevel="0" collapsed="false">
      <c r="A436" s="33"/>
      <c r="B436" s="28"/>
      <c r="C436" s="29"/>
      <c r="D436" s="29"/>
      <c r="E436" s="29"/>
      <c r="F436" s="29"/>
      <c r="G436" s="36"/>
      <c r="H436" s="29"/>
      <c r="I436" s="29"/>
      <c r="J436" s="29"/>
      <c r="K436" s="29"/>
      <c r="L436" s="36"/>
      <c r="M436" s="29"/>
      <c r="N436" s="37"/>
      <c r="O436" s="30" t="n">
        <f aca="false">N436*J436</f>
        <v>0</v>
      </c>
    </row>
    <row r="437" customFormat="false" ht="15" hidden="false" customHeight="false" outlineLevel="0" collapsed="false">
      <c r="A437" s="33"/>
      <c r="B437" s="28"/>
      <c r="C437" s="29"/>
      <c r="D437" s="29"/>
      <c r="E437" s="29"/>
      <c r="F437" s="29"/>
      <c r="G437" s="36"/>
      <c r="H437" s="29"/>
      <c r="I437" s="29"/>
      <c r="J437" s="29"/>
      <c r="K437" s="29"/>
      <c r="L437" s="36"/>
      <c r="M437" s="29"/>
      <c r="N437" s="37"/>
      <c r="O437" s="30" t="n">
        <f aca="false">N437*J437</f>
        <v>0</v>
      </c>
    </row>
    <row r="438" customFormat="false" ht="15" hidden="false" customHeight="false" outlineLevel="0" collapsed="false">
      <c r="A438" s="33"/>
      <c r="B438" s="28"/>
      <c r="C438" s="29"/>
      <c r="D438" s="29"/>
      <c r="E438" s="29"/>
      <c r="F438" s="29"/>
      <c r="G438" s="36"/>
      <c r="H438" s="29"/>
      <c r="I438" s="29"/>
      <c r="J438" s="29"/>
      <c r="K438" s="29"/>
      <c r="L438" s="36"/>
      <c r="M438" s="29"/>
      <c r="N438" s="37"/>
      <c r="O438" s="30" t="n">
        <f aca="false">N438*J438</f>
        <v>0</v>
      </c>
    </row>
    <row r="439" customFormat="false" ht="15" hidden="false" customHeight="false" outlineLevel="0" collapsed="false">
      <c r="A439" s="33"/>
      <c r="B439" s="28"/>
      <c r="C439" s="29"/>
      <c r="D439" s="29"/>
      <c r="E439" s="29"/>
      <c r="F439" s="29"/>
      <c r="G439" s="36"/>
      <c r="H439" s="29"/>
      <c r="I439" s="29"/>
      <c r="J439" s="29"/>
      <c r="K439" s="29"/>
      <c r="L439" s="36"/>
      <c r="M439" s="29"/>
      <c r="N439" s="37"/>
      <c r="O439" s="30" t="n">
        <f aca="false">N439*J439</f>
        <v>0</v>
      </c>
    </row>
    <row r="440" customFormat="false" ht="15" hidden="false" customHeight="false" outlineLevel="0" collapsed="false">
      <c r="A440" s="33"/>
      <c r="B440" s="28"/>
      <c r="C440" s="29"/>
      <c r="D440" s="29"/>
      <c r="E440" s="29"/>
      <c r="F440" s="29"/>
      <c r="G440" s="36"/>
      <c r="H440" s="29"/>
      <c r="I440" s="29"/>
      <c r="J440" s="29"/>
      <c r="K440" s="29"/>
      <c r="L440" s="36"/>
      <c r="M440" s="29"/>
      <c r="N440" s="37"/>
      <c r="O440" s="30" t="n">
        <f aca="false">N440*J440</f>
        <v>0</v>
      </c>
    </row>
    <row r="441" customFormat="false" ht="15" hidden="false" customHeight="false" outlineLevel="0" collapsed="false">
      <c r="A441" s="33"/>
      <c r="B441" s="28"/>
      <c r="C441" s="29"/>
      <c r="D441" s="29"/>
      <c r="E441" s="29"/>
      <c r="F441" s="29"/>
      <c r="G441" s="36"/>
      <c r="H441" s="29"/>
      <c r="I441" s="29"/>
      <c r="J441" s="29"/>
      <c r="K441" s="29"/>
      <c r="L441" s="36"/>
      <c r="M441" s="29"/>
      <c r="N441" s="37"/>
      <c r="O441" s="30" t="n">
        <f aca="false">N441*J441</f>
        <v>0</v>
      </c>
    </row>
    <row r="442" customFormat="false" ht="15" hidden="false" customHeight="false" outlineLevel="0" collapsed="false">
      <c r="A442" s="33"/>
      <c r="B442" s="28"/>
      <c r="C442" s="29"/>
      <c r="D442" s="29"/>
      <c r="E442" s="29"/>
      <c r="F442" s="29"/>
      <c r="G442" s="36"/>
      <c r="H442" s="29"/>
      <c r="I442" s="29"/>
      <c r="J442" s="29"/>
      <c r="K442" s="29"/>
      <c r="L442" s="36"/>
      <c r="M442" s="29"/>
      <c r="N442" s="37"/>
      <c r="O442" s="30" t="n">
        <f aca="false">N442*J442</f>
        <v>0</v>
      </c>
    </row>
    <row r="443" customFormat="false" ht="15" hidden="false" customHeight="false" outlineLevel="0" collapsed="false">
      <c r="A443" s="33"/>
      <c r="B443" s="28"/>
      <c r="C443" s="29"/>
      <c r="D443" s="29"/>
      <c r="E443" s="29"/>
      <c r="F443" s="29"/>
      <c r="G443" s="36"/>
      <c r="H443" s="29"/>
      <c r="I443" s="29"/>
      <c r="J443" s="29"/>
      <c r="K443" s="29"/>
      <c r="L443" s="36"/>
      <c r="M443" s="29"/>
      <c r="N443" s="37"/>
      <c r="O443" s="30" t="n">
        <f aca="false">N443*J443</f>
        <v>0</v>
      </c>
    </row>
    <row r="444" customFormat="false" ht="15" hidden="false" customHeight="false" outlineLevel="0" collapsed="false">
      <c r="A444" s="33"/>
      <c r="B444" s="28"/>
      <c r="C444" s="29"/>
      <c r="D444" s="29"/>
      <c r="E444" s="29"/>
      <c r="F444" s="29"/>
      <c r="G444" s="36"/>
      <c r="H444" s="29"/>
      <c r="I444" s="29"/>
      <c r="J444" s="29"/>
      <c r="K444" s="29"/>
      <c r="L444" s="36"/>
      <c r="M444" s="29"/>
      <c r="N444" s="37"/>
      <c r="O444" s="30" t="n">
        <f aca="false">N444*J444</f>
        <v>0</v>
      </c>
    </row>
    <row r="445" customFormat="false" ht="15" hidden="false" customHeight="false" outlineLevel="0" collapsed="false">
      <c r="A445" s="33"/>
      <c r="B445" s="28"/>
      <c r="C445" s="29"/>
      <c r="D445" s="29"/>
      <c r="E445" s="29"/>
      <c r="F445" s="29"/>
      <c r="G445" s="36"/>
      <c r="H445" s="29"/>
      <c r="I445" s="29"/>
      <c r="J445" s="29"/>
      <c r="K445" s="29"/>
      <c r="L445" s="36"/>
      <c r="M445" s="29"/>
      <c r="N445" s="37"/>
      <c r="O445" s="30" t="n">
        <f aca="false">N445*J445</f>
        <v>0</v>
      </c>
    </row>
    <row r="446" customFormat="false" ht="15" hidden="false" customHeight="false" outlineLevel="0" collapsed="false">
      <c r="A446" s="33"/>
      <c r="B446" s="28"/>
      <c r="C446" s="29"/>
      <c r="D446" s="29"/>
      <c r="E446" s="29"/>
      <c r="F446" s="29"/>
      <c r="G446" s="36"/>
      <c r="H446" s="29"/>
      <c r="I446" s="29"/>
      <c r="J446" s="29"/>
      <c r="K446" s="29"/>
      <c r="L446" s="36"/>
      <c r="M446" s="29"/>
      <c r="N446" s="37"/>
      <c r="O446" s="30" t="n">
        <f aca="false">N446*J446</f>
        <v>0</v>
      </c>
    </row>
    <row r="447" customFormat="false" ht="15" hidden="false" customHeight="false" outlineLevel="0" collapsed="false">
      <c r="A447" s="33"/>
      <c r="B447" s="28"/>
      <c r="C447" s="29"/>
      <c r="D447" s="29"/>
      <c r="E447" s="29"/>
      <c r="F447" s="29"/>
      <c r="G447" s="36"/>
      <c r="H447" s="29"/>
      <c r="I447" s="29"/>
      <c r="J447" s="29"/>
      <c r="K447" s="29"/>
      <c r="L447" s="36"/>
      <c r="M447" s="29"/>
      <c r="N447" s="37"/>
      <c r="O447" s="30" t="n">
        <f aca="false">N447*J447</f>
        <v>0</v>
      </c>
    </row>
    <row r="448" customFormat="false" ht="15" hidden="false" customHeight="false" outlineLevel="0" collapsed="false">
      <c r="A448" s="33"/>
      <c r="B448" s="28"/>
      <c r="C448" s="29"/>
      <c r="D448" s="29"/>
      <c r="E448" s="29"/>
      <c r="F448" s="29"/>
      <c r="G448" s="36"/>
      <c r="H448" s="29"/>
      <c r="I448" s="29"/>
      <c r="J448" s="29"/>
      <c r="K448" s="29"/>
      <c r="L448" s="36"/>
      <c r="M448" s="29"/>
      <c r="N448" s="37"/>
      <c r="O448" s="30" t="n">
        <f aca="false">N448*J448</f>
        <v>0</v>
      </c>
    </row>
    <row r="449" customFormat="false" ht="15" hidden="false" customHeight="false" outlineLevel="0" collapsed="false">
      <c r="A449" s="33"/>
      <c r="B449" s="28"/>
      <c r="C449" s="29"/>
      <c r="D449" s="29"/>
      <c r="E449" s="29"/>
      <c r="F449" s="29"/>
      <c r="G449" s="36"/>
      <c r="H449" s="29"/>
      <c r="I449" s="29"/>
      <c r="J449" s="29"/>
      <c r="K449" s="29"/>
      <c r="L449" s="36"/>
      <c r="M449" s="29"/>
      <c r="N449" s="37"/>
      <c r="O449" s="30" t="n">
        <f aca="false">N449*J449</f>
        <v>0</v>
      </c>
    </row>
    <row r="450" customFormat="false" ht="15" hidden="false" customHeight="false" outlineLevel="0" collapsed="false">
      <c r="A450" s="33"/>
      <c r="B450" s="28"/>
      <c r="C450" s="29"/>
      <c r="D450" s="29"/>
      <c r="E450" s="29"/>
      <c r="F450" s="29"/>
      <c r="G450" s="36"/>
      <c r="H450" s="29"/>
      <c r="I450" s="29"/>
      <c r="J450" s="29"/>
      <c r="K450" s="29"/>
      <c r="L450" s="36"/>
      <c r="M450" s="29"/>
      <c r="N450" s="37"/>
      <c r="O450" s="30" t="n">
        <f aca="false">N450*J450</f>
        <v>0</v>
      </c>
    </row>
    <row r="451" customFormat="false" ht="15" hidden="false" customHeight="false" outlineLevel="0" collapsed="false">
      <c r="A451" s="33"/>
      <c r="B451" s="28"/>
      <c r="C451" s="29"/>
      <c r="D451" s="29"/>
      <c r="E451" s="29"/>
      <c r="F451" s="29"/>
      <c r="G451" s="36"/>
      <c r="H451" s="29"/>
      <c r="I451" s="29"/>
      <c r="J451" s="29"/>
      <c r="K451" s="29"/>
      <c r="L451" s="36"/>
      <c r="M451" s="29"/>
      <c r="N451" s="37"/>
      <c r="O451" s="30" t="n">
        <f aca="false">N451*J451</f>
        <v>0</v>
      </c>
    </row>
    <row r="452" customFormat="false" ht="15" hidden="false" customHeight="false" outlineLevel="0" collapsed="false">
      <c r="A452" s="33"/>
      <c r="B452" s="28"/>
      <c r="C452" s="29"/>
      <c r="D452" s="29"/>
      <c r="E452" s="29"/>
      <c r="F452" s="29"/>
      <c r="G452" s="36"/>
      <c r="H452" s="29"/>
      <c r="I452" s="29"/>
      <c r="J452" s="29"/>
      <c r="K452" s="29"/>
      <c r="L452" s="36"/>
      <c r="M452" s="29"/>
      <c r="N452" s="37"/>
      <c r="O452" s="30" t="n">
        <f aca="false">N452*J452</f>
        <v>0</v>
      </c>
    </row>
    <row r="453" customFormat="false" ht="15" hidden="false" customHeight="false" outlineLevel="0" collapsed="false">
      <c r="A453" s="33"/>
      <c r="B453" s="28"/>
      <c r="C453" s="29"/>
      <c r="D453" s="29"/>
      <c r="E453" s="29"/>
      <c r="F453" s="29"/>
      <c r="G453" s="36"/>
      <c r="H453" s="29"/>
      <c r="I453" s="29"/>
      <c r="J453" s="29"/>
      <c r="K453" s="29"/>
      <c r="L453" s="36"/>
      <c r="M453" s="29"/>
      <c r="N453" s="37"/>
      <c r="O453" s="30" t="n">
        <f aca="false">N453*J453</f>
        <v>0</v>
      </c>
    </row>
    <row r="454" customFormat="false" ht="15" hidden="false" customHeight="false" outlineLevel="0" collapsed="false">
      <c r="A454" s="33"/>
      <c r="B454" s="28"/>
      <c r="C454" s="29"/>
      <c r="D454" s="29"/>
      <c r="E454" s="29"/>
      <c r="F454" s="29"/>
      <c r="G454" s="36"/>
      <c r="H454" s="29"/>
      <c r="I454" s="29"/>
      <c r="J454" s="29"/>
      <c r="K454" s="29"/>
      <c r="L454" s="36"/>
      <c r="M454" s="29"/>
      <c r="N454" s="37"/>
      <c r="O454" s="30" t="n">
        <f aca="false">N454*J454</f>
        <v>0</v>
      </c>
    </row>
    <row r="455" customFormat="false" ht="15" hidden="false" customHeight="false" outlineLevel="0" collapsed="false">
      <c r="A455" s="33"/>
      <c r="B455" s="28"/>
      <c r="C455" s="29"/>
      <c r="D455" s="29"/>
      <c r="E455" s="29"/>
      <c r="F455" s="29"/>
      <c r="G455" s="36"/>
      <c r="H455" s="29"/>
      <c r="I455" s="29"/>
      <c r="J455" s="29"/>
      <c r="K455" s="29"/>
      <c r="L455" s="36"/>
      <c r="M455" s="29"/>
      <c r="N455" s="37"/>
      <c r="O455" s="30" t="n">
        <f aca="false">N455*J455</f>
        <v>0</v>
      </c>
    </row>
    <row r="456" customFormat="false" ht="15" hidden="false" customHeight="false" outlineLevel="0" collapsed="false">
      <c r="A456" s="33"/>
      <c r="B456" s="28"/>
      <c r="C456" s="29"/>
      <c r="D456" s="29"/>
      <c r="E456" s="29"/>
      <c r="F456" s="29"/>
      <c r="G456" s="36"/>
      <c r="H456" s="29"/>
      <c r="I456" s="29"/>
      <c r="J456" s="29"/>
      <c r="K456" s="29"/>
      <c r="L456" s="36"/>
      <c r="M456" s="29"/>
      <c r="N456" s="37"/>
      <c r="O456" s="30" t="n">
        <f aca="false">N456*J456</f>
        <v>0</v>
      </c>
    </row>
    <row r="457" customFormat="false" ht="15" hidden="false" customHeight="false" outlineLevel="0" collapsed="false">
      <c r="A457" s="33"/>
      <c r="B457" s="28"/>
      <c r="C457" s="29"/>
      <c r="D457" s="29"/>
      <c r="E457" s="29"/>
      <c r="F457" s="29"/>
      <c r="G457" s="36"/>
      <c r="H457" s="29"/>
      <c r="I457" s="29"/>
      <c r="J457" s="29"/>
      <c r="K457" s="29"/>
      <c r="L457" s="36"/>
      <c r="M457" s="29"/>
      <c r="N457" s="37"/>
      <c r="O457" s="30" t="n">
        <f aca="false">N457*J457</f>
        <v>0</v>
      </c>
    </row>
    <row r="458" customFormat="false" ht="15" hidden="false" customHeight="false" outlineLevel="0" collapsed="false">
      <c r="A458" s="33"/>
      <c r="B458" s="28"/>
      <c r="C458" s="29"/>
      <c r="D458" s="29"/>
      <c r="E458" s="29"/>
      <c r="F458" s="29"/>
      <c r="G458" s="36"/>
      <c r="H458" s="29"/>
      <c r="I458" s="29"/>
      <c r="J458" s="29"/>
      <c r="K458" s="29"/>
      <c r="L458" s="36"/>
      <c r="M458" s="29"/>
      <c r="N458" s="37"/>
      <c r="O458" s="30" t="n">
        <f aca="false">N458*J458</f>
        <v>0</v>
      </c>
    </row>
    <row r="459" customFormat="false" ht="15" hidden="false" customHeight="false" outlineLevel="0" collapsed="false">
      <c r="A459" s="33"/>
      <c r="B459" s="28"/>
      <c r="C459" s="29"/>
      <c r="D459" s="29"/>
      <c r="E459" s="29"/>
      <c r="F459" s="29"/>
      <c r="G459" s="36"/>
      <c r="H459" s="29"/>
      <c r="I459" s="29"/>
      <c r="J459" s="29"/>
      <c r="K459" s="29"/>
      <c r="L459" s="36"/>
      <c r="M459" s="29"/>
      <c r="N459" s="37"/>
      <c r="O459" s="30" t="n">
        <f aca="false">N459*J459</f>
        <v>0</v>
      </c>
    </row>
    <row r="460" customFormat="false" ht="15" hidden="false" customHeight="false" outlineLevel="0" collapsed="false">
      <c r="A460" s="33"/>
      <c r="B460" s="28"/>
      <c r="C460" s="29"/>
      <c r="D460" s="29"/>
      <c r="E460" s="29"/>
      <c r="F460" s="29"/>
      <c r="G460" s="36"/>
      <c r="H460" s="29"/>
      <c r="I460" s="29"/>
      <c r="J460" s="29"/>
      <c r="K460" s="29"/>
      <c r="L460" s="36"/>
      <c r="M460" s="29"/>
      <c r="N460" s="37"/>
      <c r="O460" s="30" t="n">
        <f aca="false">N460*J460</f>
        <v>0</v>
      </c>
    </row>
    <row r="461" customFormat="false" ht="15" hidden="false" customHeight="false" outlineLevel="0" collapsed="false">
      <c r="A461" s="33"/>
      <c r="B461" s="28"/>
      <c r="C461" s="29"/>
      <c r="D461" s="29"/>
      <c r="E461" s="29"/>
      <c r="F461" s="29"/>
      <c r="G461" s="36"/>
      <c r="H461" s="29"/>
      <c r="I461" s="29"/>
      <c r="J461" s="29"/>
      <c r="K461" s="29"/>
      <c r="L461" s="36"/>
      <c r="M461" s="29"/>
      <c r="N461" s="37"/>
      <c r="O461" s="30" t="n">
        <f aca="false">N461*J461</f>
        <v>0</v>
      </c>
    </row>
    <row r="462" customFormat="false" ht="15" hidden="false" customHeight="false" outlineLevel="0" collapsed="false">
      <c r="A462" s="33"/>
      <c r="B462" s="28"/>
      <c r="C462" s="29"/>
      <c r="D462" s="29"/>
      <c r="E462" s="29"/>
      <c r="F462" s="29"/>
      <c r="G462" s="36"/>
      <c r="H462" s="29"/>
      <c r="I462" s="29"/>
      <c r="J462" s="29"/>
      <c r="K462" s="29"/>
      <c r="L462" s="36"/>
      <c r="M462" s="29"/>
      <c r="N462" s="37"/>
      <c r="O462" s="30" t="n">
        <f aca="false">N462*J462</f>
        <v>0</v>
      </c>
    </row>
    <row r="463" customFormat="false" ht="15" hidden="false" customHeight="false" outlineLevel="0" collapsed="false">
      <c r="A463" s="33"/>
      <c r="B463" s="28"/>
      <c r="C463" s="29"/>
      <c r="D463" s="29"/>
      <c r="E463" s="29"/>
      <c r="F463" s="29"/>
      <c r="G463" s="36"/>
      <c r="H463" s="29"/>
      <c r="I463" s="29"/>
      <c r="J463" s="29"/>
      <c r="K463" s="29"/>
      <c r="L463" s="36"/>
      <c r="M463" s="29"/>
      <c r="N463" s="37"/>
      <c r="O463" s="30" t="n">
        <f aca="false">N463*J463</f>
        <v>0</v>
      </c>
    </row>
    <row r="464" customFormat="false" ht="15" hidden="false" customHeight="false" outlineLevel="0" collapsed="false">
      <c r="A464" s="33"/>
      <c r="B464" s="28"/>
      <c r="C464" s="29"/>
      <c r="D464" s="29"/>
      <c r="E464" s="29"/>
      <c r="F464" s="29"/>
      <c r="G464" s="36"/>
      <c r="H464" s="29"/>
      <c r="I464" s="29"/>
      <c r="J464" s="29"/>
      <c r="K464" s="29"/>
      <c r="L464" s="36"/>
      <c r="M464" s="29"/>
      <c r="N464" s="37"/>
      <c r="O464" s="30" t="n">
        <f aca="false">N464*J464</f>
        <v>0</v>
      </c>
    </row>
    <row r="465" customFormat="false" ht="15" hidden="false" customHeight="false" outlineLevel="0" collapsed="false">
      <c r="A465" s="33"/>
      <c r="B465" s="28"/>
      <c r="C465" s="29"/>
      <c r="D465" s="29"/>
      <c r="E465" s="29"/>
      <c r="F465" s="29"/>
      <c r="G465" s="36"/>
      <c r="H465" s="29"/>
      <c r="I465" s="29"/>
      <c r="J465" s="29"/>
      <c r="K465" s="29"/>
      <c r="L465" s="36"/>
      <c r="M465" s="29"/>
      <c r="N465" s="37"/>
      <c r="O465" s="30" t="n">
        <f aca="false">N465*J465</f>
        <v>0</v>
      </c>
    </row>
    <row r="466" customFormat="false" ht="15" hidden="false" customHeight="false" outlineLevel="0" collapsed="false">
      <c r="A466" s="33"/>
      <c r="B466" s="28"/>
      <c r="C466" s="29"/>
      <c r="D466" s="29"/>
      <c r="E466" s="29"/>
      <c r="F466" s="29"/>
      <c r="G466" s="36"/>
      <c r="H466" s="29"/>
      <c r="I466" s="29"/>
      <c r="J466" s="29"/>
      <c r="K466" s="29"/>
      <c r="L466" s="36"/>
      <c r="M466" s="29"/>
      <c r="N466" s="37"/>
      <c r="O466" s="30" t="n">
        <f aca="false">N466*J466</f>
        <v>0</v>
      </c>
    </row>
    <row r="467" customFormat="false" ht="15" hidden="false" customHeight="false" outlineLevel="0" collapsed="false">
      <c r="A467" s="33"/>
      <c r="B467" s="28"/>
      <c r="C467" s="29"/>
      <c r="D467" s="29"/>
      <c r="E467" s="29"/>
      <c r="F467" s="29"/>
      <c r="G467" s="36"/>
      <c r="H467" s="29"/>
      <c r="I467" s="29"/>
      <c r="J467" s="29"/>
      <c r="K467" s="29"/>
      <c r="L467" s="36"/>
      <c r="M467" s="29"/>
      <c r="N467" s="37"/>
      <c r="O467" s="30" t="n">
        <f aca="false">N467*J467</f>
        <v>0</v>
      </c>
    </row>
    <row r="468" customFormat="false" ht="15" hidden="false" customHeight="false" outlineLevel="0" collapsed="false">
      <c r="A468" s="33"/>
      <c r="B468" s="28"/>
      <c r="C468" s="29"/>
      <c r="D468" s="29"/>
      <c r="E468" s="29"/>
      <c r="F468" s="29"/>
      <c r="G468" s="36"/>
      <c r="H468" s="29"/>
      <c r="I468" s="29"/>
      <c r="J468" s="29"/>
      <c r="K468" s="29"/>
      <c r="L468" s="36"/>
      <c r="M468" s="29"/>
      <c r="N468" s="37"/>
      <c r="O468" s="30" t="n">
        <f aca="false">N468*J468</f>
        <v>0</v>
      </c>
    </row>
    <row r="469" customFormat="false" ht="15" hidden="false" customHeight="false" outlineLevel="0" collapsed="false">
      <c r="A469" s="33"/>
      <c r="B469" s="28"/>
      <c r="C469" s="29"/>
      <c r="D469" s="29"/>
      <c r="E469" s="29"/>
      <c r="F469" s="29"/>
      <c r="G469" s="36"/>
      <c r="H469" s="29"/>
      <c r="I469" s="29"/>
      <c r="J469" s="29"/>
      <c r="K469" s="29"/>
      <c r="L469" s="36"/>
      <c r="M469" s="29"/>
      <c r="N469" s="37"/>
      <c r="O469" s="30" t="n">
        <f aca="false">N469*J469</f>
        <v>0</v>
      </c>
    </row>
    <row r="470" customFormat="false" ht="15" hidden="false" customHeight="false" outlineLevel="0" collapsed="false">
      <c r="A470" s="33"/>
      <c r="B470" s="28"/>
      <c r="C470" s="29"/>
      <c r="D470" s="29"/>
      <c r="E470" s="29"/>
      <c r="F470" s="29"/>
      <c r="G470" s="36"/>
      <c r="H470" s="29"/>
      <c r="I470" s="29"/>
      <c r="J470" s="29"/>
      <c r="K470" s="29"/>
      <c r="L470" s="36"/>
      <c r="M470" s="29"/>
      <c r="N470" s="37"/>
      <c r="O470" s="30" t="n">
        <f aca="false">N470*J470</f>
        <v>0</v>
      </c>
    </row>
    <row r="471" customFormat="false" ht="15" hidden="false" customHeight="false" outlineLevel="0" collapsed="false">
      <c r="A471" s="33"/>
      <c r="B471" s="28"/>
      <c r="C471" s="29"/>
      <c r="D471" s="29"/>
      <c r="E471" s="29"/>
      <c r="F471" s="29"/>
      <c r="G471" s="36"/>
      <c r="H471" s="29"/>
      <c r="I471" s="29"/>
      <c r="J471" s="29"/>
      <c r="K471" s="29"/>
      <c r="L471" s="36"/>
      <c r="M471" s="29"/>
      <c r="N471" s="37"/>
      <c r="O471" s="30" t="n">
        <f aca="false">N471*J471</f>
        <v>0</v>
      </c>
    </row>
    <row r="472" customFormat="false" ht="15" hidden="false" customHeight="false" outlineLevel="0" collapsed="false">
      <c r="A472" s="33"/>
      <c r="B472" s="28"/>
      <c r="C472" s="29"/>
      <c r="D472" s="29"/>
      <c r="E472" s="29"/>
      <c r="F472" s="29"/>
      <c r="G472" s="36"/>
      <c r="H472" s="29"/>
      <c r="I472" s="29"/>
      <c r="J472" s="29"/>
      <c r="K472" s="29"/>
      <c r="L472" s="36"/>
      <c r="M472" s="29"/>
      <c r="N472" s="37"/>
      <c r="O472" s="30" t="n">
        <f aca="false">N472*J472</f>
        <v>0</v>
      </c>
    </row>
    <row r="473" customFormat="false" ht="15" hidden="false" customHeight="false" outlineLevel="0" collapsed="false">
      <c r="A473" s="33"/>
      <c r="B473" s="28"/>
      <c r="C473" s="29"/>
      <c r="D473" s="29"/>
      <c r="E473" s="29"/>
      <c r="F473" s="29"/>
      <c r="G473" s="36"/>
      <c r="H473" s="29"/>
      <c r="I473" s="29"/>
      <c r="J473" s="29"/>
      <c r="K473" s="29"/>
      <c r="L473" s="36"/>
      <c r="M473" s="29"/>
      <c r="N473" s="37"/>
      <c r="O473" s="30" t="n">
        <f aca="false">N473*J473</f>
        <v>0</v>
      </c>
    </row>
    <row r="474" customFormat="false" ht="15" hidden="false" customHeight="false" outlineLevel="0" collapsed="false">
      <c r="A474" s="33"/>
      <c r="B474" s="28"/>
      <c r="C474" s="29"/>
      <c r="D474" s="29"/>
      <c r="E474" s="29"/>
      <c r="F474" s="29"/>
      <c r="G474" s="36"/>
      <c r="H474" s="29"/>
      <c r="I474" s="29"/>
      <c r="J474" s="29"/>
      <c r="K474" s="29"/>
      <c r="L474" s="36"/>
      <c r="M474" s="29"/>
      <c r="N474" s="37"/>
      <c r="O474" s="30" t="n">
        <f aca="false">N474*J474</f>
        <v>0</v>
      </c>
    </row>
    <row r="475" customFormat="false" ht="15" hidden="false" customHeight="false" outlineLevel="0" collapsed="false">
      <c r="A475" s="33"/>
      <c r="B475" s="28"/>
      <c r="C475" s="29"/>
      <c r="D475" s="29"/>
      <c r="E475" s="29"/>
      <c r="F475" s="29"/>
      <c r="G475" s="36"/>
      <c r="H475" s="29"/>
      <c r="I475" s="29"/>
      <c r="J475" s="29"/>
      <c r="K475" s="29"/>
      <c r="L475" s="29"/>
      <c r="M475" s="29"/>
      <c r="N475" s="37"/>
      <c r="O475" s="30" t="n">
        <f aca="false">N475*J475</f>
        <v>0</v>
      </c>
    </row>
    <row r="476" customFormat="false" ht="15" hidden="false" customHeight="false" outlineLevel="0" collapsed="false">
      <c r="A476" s="29"/>
      <c r="B476" s="28"/>
      <c r="C476" s="29"/>
      <c r="D476" s="29"/>
      <c r="E476" s="29"/>
      <c r="F476" s="29"/>
      <c r="G476" s="36"/>
      <c r="H476" s="29"/>
      <c r="I476" s="29"/>
      <c r="J476" s="29"/>
      <c r="K476" s="29"/>
      <c r="L476" s="29"/>
      <c r="M476" s="29"/>
      <c r="N476" s="37"/>
      <c r="O476" s="30" t="n">
        <f aca="false">N476*J476</f>
        <v>0</v>
      </c>
    </row>
    <row r="477" customFormat="false" ht="15" hidden="false" customHeight="false" outlineLevel="0" collapsed="false">
      <c r="A477" s="29"/>
      <c r="B477" s="28"/>
      <c r="C477" s="29"/>
      <c r="D477" s="29"/>
      <c r="E477" s="29"/>
      <c r="F477" s="29"/>
      <c r="G477" s="36"/>
      <c r="H477" s="29"/>
      <c r="I477" s="29"/>
      <c r="J477" s="29"/>
      <c r="K477" s="29"/>
      <c r="L477" s="29"/>
      <c r="M477" s="29"/>
      <c r="N477" s="37"/>
      <c r="O477" s="30" t="n">
        <f aca="false">N477*J477</f>
        <v>0</v>
      </c>
    </row>
    <row r="478" customFormat="false" ht="15" hidden="false" customHeight="false" outlineLevel="0" collapsed="false">
      <c r="A478" s="29"/>
      <c r="B478" s="28"/>
      <c r="C478" s="29"/>
      <c r="D478" s="29"/>
      <c r="E478" s="29"/>
      <c r="F478" s="29"/>
      <c r="G478" s="36"/>
      <c r="H478" s="29"/>
      <c r="I478" s="29"/>
      <c r="J478" s="29"/>
      <c r="K478" s="29"/>
      <c r="L478" s="29"/>
      <c r="M478" s="29"/>
      <c r="N478" s="37"/>
      <c r="O478" s="30" t="n">
        <f aca="false">N478*J478</f>
        <v>0</v>
      </c>
    </row>
    <row r="479" customFormat="false" ht="15" hidden="false" customHeight="false" outlineLevel="0" collapsed="false">
      <c r="A479" s="29"/>
      <c r="B479" s="28"/>
      <c r="C479" s="29"/>
      <c r="D479" s="29"/>
      <c r="E479" s="29"/>
      <c r="F479" s="29"/>
      <c r="G479" s="36"/>
      <c r="H479" s="29"/>
      <c r="I479" s="29"/>
      <c r="J479" s="29"/>
      <c r="K479" s="29"/>
      <c r="L479" s="29"/>
      <c r="M479" s="29"/>
      <c r="N479" s="37"/>
      <c r="O479" s="30" t="n">
        <f aca="false">N479*J479</f>
        <v>0</v>
      </c>
    </row>
    <row r="480" customFormat="false" ht="15" hidden="false" customHeight="false" outlineLevel="0" collapsed="false">
      <c r="A480" s="29"/>
      <c r="B480" s="28"/>
      <c r="C480" s="29"/>
      <c r="D480" s="29"/>
      <c r="E480" s="29"/>
      <c r="F480" s="29"/>
      <c r="G480" s="36"/>
      <c r="H480" s="29"/>
      <c r="I480" s="29"/>
      <c r="J480" s="29"/>
      <c r="K480" s="29"/>
      <c r="L480" s="29"/>
      <c r="M480" s="29"/>
      <c r="N480" s="37"/>
      <c r="O480" s="30" t="n">
        <f aca="false">N480*J480</f>
        <v>0</v>
      </c>
    </row>
    <row r="481" customFormat="false" ht="15" hidden="false" customHeight="false" outlineLevel="0" collapsed="false">
      <c r="A481" s="29"/>
      <c r="B481" s="28"/>
      <c r="C481" s="29"/>
      <c r="D481" s="29"/>
      <c r="E481" s="29"/>
      <c r="F481" s="29"/>
      <c r="G481" s="36"/>
      <c r="H481" s="29"/>
      <c r="I481" s="29"/>
      <c r="J481" s="29"/>
      <c r="K481" s="29"/>
      <c r="L481" s="29"/>
      <c r="M481" s="29"/>
      <c r="N481" s="37"/>
      <c r="O481" s="30" t="n">
        <f aca="false">N481*J481</f>
        <v>0</v>
      </c>
    </row>
    <row r="482" customFormat="false" ht="15" hidden="false" customHeight="false" outlineLevel="0" collapsed="false">
      <c r="A482" s="29"/>
      <c r="B482" s="28"/>
      <c r="C482" s="29"/>
      <c r="D482" s="29"/>
      <c r="E482" s="29"/>
      <c r="F482" s="29"/>
      <c r="G482" s="36"/>
      <c r="H482" s="29"/>
      <c r="I482" s="29"/>
      <c r="J482" s="29"/>
      <c r="K482" s="29"/>
      <c r="L482" s="29"/>
      <c r="M482" s="29"/>
      <c r="N482" s="37"/>
      <c r="O482" s="30" t="n">
        <f aca="false">N482*J482</f>
        <v>0</v>
      </c>
    </row>
    <row r="483" customFormat="false" ht="15" hidden="false" customHeight="false" outlineLevel="0" collapsed="false">
      <c r="A483" s="29"/>
      <c r="B483" s="28"/>
      <c r="C483" s="29"/>
      <c r="D483" s="29"/>
      <c r="E483" s="29"/>
      <c r="F483" s="29"/>
      <c r="G483" s="36"/>
      <c r="H483" s="29"/>
      <c r="I483" s="29"/>
      <c r="J483" s="29"/>
      <c r="K483" s="29"/>
      <c r="L483" s="29"/>
      <c r="M483" s="29"/>
      <c r="N483" s="37"/>
      <c r="O483" s="30" t="n">
        <f aca="false">N483*J483</f>
        <v>0</v>
      </c>
    </row>
    <row r="484" customFormat="false" ht="15" hidden="false" customHeight="false" outlineLevel="0" collapsed="false">
      <c r="A484" s="29"/>
      <c r="B484" s="28"/>
      <c r="C484" s="29"/>
      <c r="D484" s="29"/>
      <c r="E484" s="29"/>
      <c r="F484" s="29"/>
      <c r="G484" s="36"/>
      <c r="H484" s="29"/>
      <c r="I484" s="29"/>
      <c r="J484" s="29"/>
      <c r="K484" s="29"/>
      <c r="L484" s="29"/>
      <c r="M484" s="29"/>
      <c r="N484" s="37"/>
      <c r="O484" s="30" t="n">
        <f aca="false">N484*J484</f>
        <v>0</v>
      </c>
    </row>
    <row r="485" customFormat="false" ht="15" hidden="false" customHeight="false" outlineLevel="0" collapsed="false">
      <c r="A485" s="29"/>
      <c r="B485" s="28"/>
      <c r="C485" s="29"/>
      <c r="D485" s="29"/>
      <c r="E485" s="29"/>
      <c r="F485" s="29"/>
      <c r="G485" s="36"/>
      <c r="H485" s="29"/>
      <c r="I485" s="29"/>
      <c r="J485" s="29"/>
      <c r="K485" s="29"/>
      <c r="L485" s="29"/>
      <c r="M485" s="29"/>
      <c r="N485" s="37"/>
      <c r="O485" s="30" t="n">
        <f aca="false">N485*J485</f>
        <v>0</v>
      </c>
    </row>
    <row r="486" customFormat="false" ht="15" hidden="false" customHeight="false" outlineLevel="0" collapsed="false">
      <c r="A486" s="29"/>
      <c r="B486" s="28"/>
      <c r="C486" s="29"/>
      <c r="D486" s="29"/>
      <c r="E486" s="29"/>
      <c r="F486" s="29"/>
      <c r="G486" s="36"/>
      <c r="H486" s="29"/>
      <c r="I486" s="29"/>
      <c r="J486" s="29"/>
      <c r="K486" s="29"/>
      <c r="L486" s="29"/>
      <c r="M486" s="29"/>
      <c r="N486" s="37"/>
      <c r="O486" s="30" t="n">
        <f aca="false">N486*J486</f>
        <v>0</v>
      </c>
    </row>
    <row r="487" customFormat="false" ht="15" hidden="false" customHeight="false" outlineLevel="0" collapsed="false">
      <c r="A487" s="29"/>
      <c r="B487" s="28"/>
      <c r="C487" s="29"/>
      <c r="D487" s="29"/>
      <c r="E487" s="29"/>
      <c r="F487" s="29"/>
      <c r="G487" s="36"/>
      <c r="H487" s="29"/>
      <c r="I487" s="29"/>
      <c r="J487" s="29"/>
      <c r="K487" s="29"/>
      <c r="L487" s="29"/>
      <c r="M487" s="29"/>
      <c r="N487" s="37"/>
      <c r="O487" s="30" t="n">
        <f aca="false">N487*J487</f>
        <v>0</v>
      </c>
    </row>
    <row r="488" customFormat="false" ht="15" hidden="false" customHeight="false" outlineLevel="0" collapsed="false">
      <c r="A488" s="29"/>
      <c r="B488" s="28"/>
      <c r="C488" s="29"/>
      <c r="D488" s="29"/>
      <c r="E488" s="29"/>
      <c r="F488" s="29"/>
      <c r="G488" s="36"/>
      <c r="H488" s="29"/>
      <c r="I488" s="29"/>
      <c r="J488" s="29"/>
      <c r="K488" s="29"/>
      <c r="L488" s="29"/>
      <c r="M488" s="29"/>
      <c r="N488" s="37"/>
      <c r="O488" s="30" t="n">
        <f aca="false">N488*J488</f>
        <v>0</v>
      </c>
    </row>
    <row r="489" customFormat="false" ht="15" hidden="false" customHeight="false" outlineLevel="0" collapsed="false">
      <c r="A489" s="29"/>
      <c r="B489" s="28"/>
      <c r="C489" s="29"/>
      <c r="D489" s="29"/>
      <c r="E489" s="29"/>
      <c r="F489" s="29"/>
      <c r="G489" s="36"/>
      <c r="H489" s="29"/>
      <c r="I489" s="29"/>
      <c r="J489" s="29"/>
      <c r="K489" s="29"/>
      <c r="L489" s="29"/>
      <c r="M489" s="29"/>
      <c r="N489" s="37"/>
      <c r="O489" s="30" t="n">
        <f aca="false">N489*J489</f>
        <v>0</v>
      </c>
    </row>
    <row r="490" customFormat="false" ht="15" hidden="false" customHeight="false" outlineLevel="0" collapsed="false">
      <c r="A490" s="29"/>
      <c r="B490" s="28"/>
      <c r="C490" s="29"/>
      <c r="D490" s="29"/>
      <c r="E490" s="29"/>
      <c r="F490" s="29"/>
      <c r="G490" s="36"/>
      <c r="H490" s="29"/>
      <c r="I490" s="29"/>
      <c r="J490" s="29"/>
      <c r="K490" s="29"/>
      <c r="L490" s="29"/>
      <c r="M490" s="29"/>
      <c r="N490" s="37"/>
      <c r="O490" s="30" t="n">
        <f aca="false">N490*J490</f>
        <v>0</v>
      </c>
    </row>
    <row r="491" customFormat="false" ht="15" hidden="false" customHeight="false" outlineLevel="0" collapsed="false">
      <c r="A491" s="29"/>
      <c r="B491" s="28"/>
      <c r="C491" s="29"/>
      <c r="D491" s="29"/>
      <c r="E491" s="29"/>
      <c r="F491" s="29"/>
      <c r="G491" s="36"/>
      <c r="H491" s="29"/>
      <c r="I491" s="29"/>
      <c r="J491" s="29"/>
      <c r="K491" s="29"/>
      <c r="L491" s="29"/>
      <c r="M491" s="29"/>
      <c r="N491" s="37"/>
      <c r="O491" s="30" t="n">
        <f aca="false">N491*J491</f>
        <v>0</v>
      </c>
    </row>
    <row r="492" customFormat="false" ht="15" hidden="false" customHeight="false" outlineLevel="0" collapsed="false">
      <c r="A492" s="29"/>
      <c r="B492" s="28"/>
      <c r="C492" s="29"/>
      <c r="D492" s="29"/>
      <c r="E492" s="29"/>
      <c r="F492" s="29"/>
      <c r="G492" s="36"/>
      <c r="H492" s="29"/>
      <c r="I492" s="29"/>
      <c r="J492" s="29"/>
      <c r="K492" s="29"/>
      <c r="L492" s="29"/>
      <c r="M492" s="29"/>
      <c r="N492" s="37"/>
      <c r="O492" s="30" t="n">
        <f aca="false">N492*J492</f>
        <v>0</v>
      </c>
    </row>
    <row r="493" customFormat="false" ht="15" hidden="false" customHeight="false" outlineLevel="0" collapsed="false">
      <c r="A493" s="29"/>
      <c r="B493" s="28"/>
      <c r="C493" s="29"/>
      <c r="D493" s="29"/>
      <c r="E493" s="29"/>
      <c r="F493" s="29"/>
      <c r="G493" s="36"/>
      <c r="H493" s="29"/>
      <c r="I493" s="29"/>
      <c r="J493" s="29"/>
      <c r="K493" s="29"/>
      <c r="L493" s="29"/>
      <c r="M493" s="29"/>
      <c r="N493" s="37"/>
      <c r="O493" s="30" t="n">
        <f aca="false">N493*J493</f>
        <v>0</v>
      </c>
    </row>
    <row r="494" customFormat="false" ht="15" hidden="false" customHeight="false" outlineLevel="0" collapsed="false">
      <c r="A494" s="29"/>
      <c r="B494" s="28"/>
      <c r="C494" s="29"/>
      <c r="D494" s="29"/>
      <c r="E494" s="29"/>
      <c r="F494" s="29"/>
      <c r="G494" s="36"/>
      <c r="H494" s="29"/>
      <c r="I494" s="29"/>
      <c r="J494" s="29"/>
      <c r="K494" s="29"/>
      <c r="L494" s="29"/>
      <c r="M494" s="29"/>
      <c r="N494" s="37"/>
      <c r="O494" s="30" t="n">
        <f aca="false">N494*J494</f>
        <v>0</v>
      </c>
    </row>
    <row r="495" customFormat="false" ht="15" hidden="false" customHeight="false" outlineLevel="0" collapsed="false">
      <c r="A495" s="29"/>
      <c r="B495" s="28"/>
      <c r="C495" s="29"/>
      <c r="D495" s="29"/>
      <c r="E495" s="29"/>
      <c r="F495" s="29"/>
      <c r="G495" s="36"/>
      <c r="H495" s="29"/>
      <c r="I495" s="29"/>
      <c r="J495" s="29"/>
      <c r="K495" s="29"/>
      <c r="L495" s="29"/>
      <c r="M495" s="29"/>
      <c r="N495" s="37"/>
      <c r="O495" s="30" t="n">
        <f aca="false">N495*J495</f>
        <v>0</v>
      </c>
    </row>
    <row r="496" customFormat="false" ht="15" hidden="false" customHeight="false" outlineLevel="0" collapsed="false">
      <c r="A496" s="29"/>
      <c r="B496" s="28"/>
      <c r="C496" s="29"/>
      <c r="D496" s="29"/>
      <c r="E496" s="29"/>
      <c r="F496" s="29"/>
      <c r="G496" s="36"/>
      <c r="H496" s="29"/>
      <c r="I496" s="29"/>
      <c r="J496" s="29"/>
      <c r="K496" s="29"/>
      <c r="L496" s="29"/>
      <c r="M496" s="29"/>
      <c r="N496" s="37"/>
      <c r="O496" s="30" t="n">
        <f aca="false">N496*J496</f>
        <v>0</v>
      </c>
    </row>
    <row r="497" customFormat="false" ht="15" hidden="false" customHeight="false" outlineLevel="0" collapsed="false">
      <c r="A497" s="29"/>
      <c r="B497" s="28"/>
      <c r="C497" s="29"/>
      <c r="D497" s="29"/>
      <c r="E497" s="29"/>
      <c r="F497" s="29"/>
      <c r="G497" s="36"/>
      <c r="H497" s="29"/>
      <c r="I497" s="29"/>
      <c r="J497" s="29"/>
      <c r="K497" s="29"/>
      <c r="L497" s="29"/>
      <c r="M497" s="29"/>
      <c r="N497" s="37"/>
      <c r="O497" s="30" t="n">
        <f aca="false">N497*J497</f>
        <v>0</v>
      </c>
    </row>
    <row r="498" customFormat="false" ht="15" hidden="false" customHeight="false" outlineLevel="0" collapsed="false">
      <c r="A498" s="29"/>
      <c r="B498" s="28"/>
      <c r="C498" s="29"/>
      <c r="D498" s="29"/>
      <c r="E498" s="29"/>
      <c r="F498" s="29"/>
      <c r="G498" s="36"/>
      <c r="H498" s="29"/>
      <c r="I498" s="29"/>
      <c r="J498" s="29"/>
      <c r="K498" s="29"/>
      <c r="L498" s="29"/>
      <c r="M498" s="29"/>
      <c r="N498" s="37"/>
      <c r="O498" s="30" t="n">
        <f aca="false">N498*J498</f>
        <v>0</v>
      </c>
    </row>
    <row r="499" customFormat="false" ht="15" hidden="false" customHeight="false" outlineLevel="0" collapsed="false">
      <c r="A499" s="29"/>
      <c r="B499" s="28"/>
      <c r="C499" s="29"/>
      <c r="D499" s="29"/>
      <c r="E499" s="29"/>
      <c r="F499" s="29"/>
      <c r="G499" s="36"/>
      <c r="H499" s="29"/>
      <c r="I499" s="29"/>
      <c r="J499" s="29"/>
      <c r="K499" s="29"/>
      <c r="L499" s="29"/>
      <c r="M499" s="29"/>
      <c r="N499" s="37"/>
      <c r="O499" s="30" t="n">
        <f aca="false">N499*J499</f>
        <v>0</v>
      </c>
    </row>
    <row r="500" customFormat="false" ht="15" hidden="false" customHeight="false" outlineLevel="0" collapsed="false">
      <c r="A500" s="29"/>
      <c r="B500" s="28"/>
      <c r="C500" s="29"/>
      <c r="D500" s="29"/>
      <c r="E500" s="29"/>
      <c r="F500" s="29"/>
      <c r="G500" s="36"/>
      <c r="H500" s="29"/>
      <c r="I500" s="29"/>
      <c r="J500" s="29"/>
      <c r="K500" s="29"/>
      <c r="L500" s="29"/>
      <c r="M500" s="29"/>
      <c r="N500" s="37"/>
      <c r="O500" s="30" t="n">
        <f aca="false">N500*J500</f>
        <v>0</v>
      </c>
    </row>
    <row r="501" customFormat="false" ht="15" hidden="false" customHeight="false" outlineLevel="0" collapsed="false">
      <c r="A501" s="29"/>
      <c r="B501" s="28"/>
      <c r="C501" s="29"/>
      <c r="D501" s="29"/>
      <c r="E501" s="29"/>
      <c r="F501" s="29"/>
      <c r="G501" s="36"/>
      <c r="H501" s="29"/>
      <c r="I501" s="29"/>
      <c r="J501" s="29"/>
      <c r="K501" s="29"/>
      <c r="L501" s="29"/>
      <c r="M501" s="29"/>
      <c r="N501" s="37"/>
      <c r="O501" s="30" t="n">
        <f aca="false">N501*J501</f>
        <v>0</v>
      </c>
    </row>
    <row r="502" customFormat="false" ht="15" hidden="false" customHeight="false" outlineLevel="0" collapsed="false">
      <c r="A502" s="29"/>
      <c r="B502" s="28"/>
      <c r="C502" s="29"/>
      <c r="D502" s="29"/>
      <c r="E502" s="29"/>
      <c r="F502" s="29"/>
      <c r="G502" s="36"/>
      <c r="H502" s="29"/>
      <c r="I502" s="29"/>
      <c r="J502" s="29"/>
      <c r="K502" s="29"/>
      <c r="L502" s="29"/>
      <c r="M502" s="29"/>
      <c r="N502" s="37"/>
      <c r="O502" s="30" t="n">
        <f aca="false">N502*J502</f>
        <v>0</v>
      </c>
    </row>
    <row r="503" customFormat="false" ht="15" hidden="false" customHeight="false" outlineLevel="0" collapsed="false">
      <c r="A503" s="29"/>
      <c r="B503" s="28"/>
      <c r="C503" s="29"/>
      <c r="D503" s="29"/>
      <c r="E503" s="29"/>
      <c r="F503" s="29"/>
      <c r="G503" s="36"/>
      <c r="H503" s="29"/>
      <c r="I503" s="29"/>
      <c r="J503" s="29"/>
      <c r="K503" s="29"/>
      <c r="L503" s="29"/>
      <c r="M503" s="29"/>
      <c r="N503" s="37"/>
      <c r="O503" s="30" t="n">
        <f aca="false">N503*J503</f>
        <v>0</v>
      </c>
    </row>
    <row r="504" customFormat="false" ht="15" hidden="false" customHeight="false" outlineLevel="0" collapsed="false">
      <c r="A504" s="29"/>
      <c r="B504" s="28"/>
      <c r="C504" s="29"/>
      <c r="D504" s="29"/>
      <c r="E504" s="29"/>
      <c r="F504" s="29"/>
      <c r="G504" s="36"/>
      <c r="H504" s="29"/>
      <c r="I504" s="29"/>
      <c r="J504" s="29"/>
      <c r="K504" s="29"/>
      <c r="L504" s="29"/>
      <c r="M504" s="29"/>
      <c r="N504" s="37"/>
      <c r="O504" s="30" t="n">
        <f aca="false">N504*J504</f>
        <v>0</v>
      </c>
    </row>
    <row r="505" customFormat="false" ht="15" hidden="false" customHeight="false" outlineLevel="0" collapsed="false">
      <c r="A505" s="29"/>
      <c r="B505" s="28"/>
      <c r="C505" s="29"/>
      <c r="D505" s="29"/>
      <c r="E505" s="29"/>
      <c r="F505" s="29"/>
      <c r="G505" s="36"/>
      <c r="H505" s="29"/>
      <c r="I505" s="29"/>
      <c r="J505" s="29"/>
      <c r="K505" s="29"/>
      <c r="L505" s="29"/>
      <c r="M505" s="29"/>
      <c r="N505" s="37"/>
      <c r="O505" s="30" t="n">
        <f aca="false">N505*J505</f>
        <v>0</v>
      </c>
    </row>
    <row r="506" customFormat="false" ht="15" hidden="false" customHeight="false" outlineLevel="0" collapsed="false">
      <c r="A506" s="29"/>
      <c r="B506" s="28"/>
      <c r="C506" s="29"/>
      <c r="D506" s="29"/>
      <c r="E506" s="29"/>
      <c r="F506" s="29"/>
      <c r="G506" s="36"/>
      <c r="H506" s="29"/>
      <c r="I506" s="29"/>
      <c r="J506" s="29"/>
      <c r="K506" s="29"/>
      <c r="L506" s="29"/>
      <c r="M506" s="29"/>
      <c r="N506" s="37"/>
      <c r="O506" s="30" t="n">
        <f aca="false">N506*J506</f>
        <v>0</v>
      </c>
    </row>
    <row r="507" customFormat="false" ht="15" hidden="false" customHeight="false" outlineLevel="0" collapsed="false">
      <c r="A507" s="29"/>
      <c r="B507" s="28"/>
      <c r="C507" s="29"/>
      <c r="D507" s="29"/>
      <c r="E507" s="29"/>
      <c r="F507" s="29"/>
      <c r="G507" s="36"/>
      <c r="H507" s="29"/>
      <c r="I507" s="29"/>
      <c r="J507" s="29"/>
      <c r="K507" s="29"/>
      <c r="L507" s="29"/>
      <c r="M507" s="29"/>
      <c r="N507" s="37"/>
      <c r="O507" s="30" t="n">
        <f aca="false">N507*J507</f>
        <v>0</v>
      </c>
    </row>
    <row r="508" customFormat="false" ht="15" hidden="false" customHeight="false" outlineLevel="0" collapsed="false">
      <c r="A508" s="29"/>
      <c r="B508" s="28"/>
      <c r="C508" s="29"/>
      <c r="D508" s="29"/>
      <c r="E508" s="29"/>
      <c r="F508" s="29"/>
      <c r="G508" s="36"/>
      <c r="H508" s="29"/>
      <c r="I508" s="29"/>
      <c r="J508" s="29"/>
      <c r="K508" s="29"/>
      <c r="L508" s="29"/>
      <c r="M508" s="29"/>
      <c r="N508" s="37"/>
      <c r="O508" s="30" t="n">
        <f aca="false">N508*J508</f>
        <v>0</v>
      </c>
    </row>
    <row r="509" customFormat="false" ht="15" hidden="false" customHeight="false" outlineLevel="0" collapsed="false">
      <c r="A509" s="29"/>
      <c r="B509" s="28"/>
      <c r="C509" s="29"/>
      <c r="D509" s="29"/>
      <c r="E509" s="29"/>
      <c r="F509" s="29"/>
      <c r="G509" s="36"/>
      <c r="H509" s="29"/>
      <c r="I509" s="29"/>
      <c r="J509" s="29"/>
      <c r="K509" s="29"/>
      <c r="L509" s="29"/>
      <c r="M509" s="29"/>
      <c r="N509" s="37"/>
      <c r="O509" s="30" t="n">
        <f aca="false">N509*J509</f>
        <v>0</v>
      </c>
    </row>
    <row r="510" customFormat="false" ht="15" hidden="false" customHeight="false" outlineLevel="0" collapsed="false">
      <c r="A510" s="29"/>
      <c r="B510" s="28"/>
      <c r="C510" s="29"/>
      <c r="D510" s="29"/>
      <c r="E510" s="29"/>
      <c r="F510" s="29"/>
      <c r="G510" s="36"/>
      <c r="H510" s="29"/>
      <c r="I510" s="29"/>
      <c r="J510" s="29"/>
      <c r="K510" s="29"/>
      <c r="L510" s="29"/>
      <c r="M510" s="29"/>
      <c r="N510" s="37"/>
      <c r="O510" s="30" t="n">
        <f aca="false">N510*J510</f>
        <v>0</v>
      </c>
    </row>
    <row r="511" customFormat="false" ht="15" hidden="false" customHeight="false" outlineLevel="0" collapsed="false">
      <c r="A511" s="29"/>
      <c r="B511" s="28"/>
      <c r="C511" s="29"/>
      <c r="D511" s="29"/>
      <c r="E511" s="29"/>
      <c r="F511" s="29"/>
      <c r="G511" s="36"/>
      <c r="H511" s="29"/>
      <c r="I511" s="29"/>
      <c r="J511" s="29"/>
      <c r="K511" s="29"/>
      <c r="L511" s="29"/>
      <c r="M511" s="29"/>
      <c r="N511" s="37"/>
      <c r="O511" s="30" t="n">
        <f aca="false">N511*J511</f>
        <v>0</v>
      </c>
    </row>
    <row r="512" customFormat="false" ht="15" hidden="false" customHeight="false" outlineLevel="0" collapsed="false">
      <c r="A512" s="29"/>
      <c r="B512" s="28"/>
      <c r="C512" s="29"/>
      <c r="D512" s="29"/>
      <c r="E512" s="29"/>
      <c r="F512" s="29"/>
      <c r="G512" s="36"/>
      <c r="H512" s="29"/>
      <c r="I512" s="29"/>
      <c r="J512" s="29"/>
      <c r="K512" s="29"/>
      <c r="L512" s="29"/>
      <c r="M512" s="29"/>
      <c r="N512" s="37"/>
      <c r="O512" s="30" t="n">
        <f aca="false">N512*J512</f>
        <v>0</v>
      </c>
    </row>
    <row r="513" customFormat="false" ht="15" hidden="false" customHeight="false" outlineLevel="0" collapsed="false">
      <c r="A513" s="29"/>
      <c r="B513" s="28"/>
      <c r="C513" s="29"/>
      <c r="D513" s="29"/>
      <c r="E513" s="29"/>
      <c r="F513" s="29"/>
      <c r="G513" s="36"/>
      <c r="H513" s="29"/>
      <c r="I513" s="29"/>
      <c r="J513" s="29"/>
      <c r="K513" s="29"/>
      <c r="L513" s="29"/>
      <c r="M513" s="29"/>
      <c r="N513" s="37"/>
      <c r="O513" s="30" t="n">
        <f aca="false">N513*J513</f>
        <v>0</v>
      </c>
    </row>
    <row r="514" customFormat="false" ht="15" hidden="false" customHeight="false" outlineLevel="0" collapsed="false">
      <c r="A514" s="29"/>
      <c r="B514" s="28"/>
      <c r="C514" s="29"/>
      <c r="D514" s="29"/>
      <c r="E514" s="29"/>
      <c r="F514" s="29"/>
      <c r="G514" s="36"/>
      <c r="H514" s="29"/>
      <c r="I514" s="29"/>
      <c r="J514" s="29"/>
      <c r="K514" s="29"/>
      <c r="L514" s="29"/>
      <c r="M514" s="29"/>
      <c r="N514" s="37"/>
      <c r="O514" s="30" t="n">
        <f aca="false">N514*J514</f>
        <v>0</v>
      </c>
    </row>
    <row r="515" customFormat="false" ht="15" hidden="false" customHeight="false" outlineLevel="0" collapsed="false">
      <c r="A515" s="29"/>
      <c r="B515" s="28"/>
      <c r="C515" s="29"/>
      <c r="D515" s="29"/>
      <c r="E515" s="29"/>
      <c r="F515" s="29"/>
      <c r="G515" s="36"/>
      <c r="H515" s="29"/>
      <c r="I515" s="29"/>
      <c r="J515" s="29"/>
      <c r="K515" s="29"/>
      <c r="L515" s="29"/>
      <c r="M515" s="29"/>
      <c r="N515" s="37"/>
      <c r="O515" s="30" t="n">
        <f aca="false">N515*J515</f>
        <v>0</v>
      </c>
    </row>
    <row r="516" customFormat="false" ht="15" hidden="false" customHeight="false" outlineLevel="0" collapsed="false">
      <c r="A516" s="29"/>
      <c r="B516" s="28"/>
      <c r="C516" s="29"/>
      <c r="D516" s="29"/>
      <c r="E516" s="29"/>
      <c r="F516" s="29"/>
      <c r="G516" s="36"/>
      <c r="H516" s="29"/>
      <c r="I516" s="29"/>
      <c r="J516" s="29"/>
      <c r="K516" s="29"/>
      <c r="L516" s="29"/>
      <c r="M516" s="29"/>
      <c r="N516" s="37"/>
      <c r="O516" s="30" t="n">
        <f aca="false">N516*J516</f>
        <v>0</v>
      </c>
    </row>
    <row r="517" customFormat="false" ht="15" hidden="false" customHeight="false" outlineLevel="0" collapsed="false">
      <c r="A517" s="29"/>
      <c r="B517" s="28"/>
      <c r="C517" s="29"/>
      <c r="D517" s="29"/>
      <c r="E517" s="29"/>
      <c r="F517" s="29"/>
      <c r="G517" s="36"/>
      <c r="H517" s="29"/>
      <c r="I517" s="29"/>
      <c r="J517" s="29"/>
      <c r="K517" s="29"/>
      <c r="L517" s="29"/>
      <c r="M517" s="29"/>
      <c r="N517" s="37"/>
      <c r="O517" s="30" t="n">
        <f aca="false">N517*J517</f>
        <v>0</v>
      </c>
    </row>
    <row r="518" customFormat="false" ht="15" hidden="false" customHeight="false" outlineLevel="0" collapsed="false">
      <c r="A518" s="29"/>
      <c r="B518" s="28"/>
      <c r="C518" s="29"/>
      <c r="D518" s="29"/>
      <c r="E518" s="29"/>
      <c r="F518" s="29"/>
      <c r="G518" s="36"/>
      <c r="H518" s="29"/>
      <c r="I518" s="29"/>
      <c r="J518" s="29"/>
      <c r="K518" s="29"/>
      <c r="L518" s="29"/>
      <c r="M518" s="29"/>
      <c r="N518" s="37"/>
      <c r="O518" s="30" t="n">
        <f aca="false">N518*J518</f>
        <v>0</v>
      </c>
    </row>
    <row r="519" customFormat="false" ht="15" hidden="false" customHeight="false" outlineLevel="0" collapsed="false">
      <c r="A519" s="29"/>
      <c r="B519" s="28"/>
      <c r="C519" s="29"/>
      <c r="D519" s="29"/>
      <c r="E519" s="29"/>
      <c r="F519" s="29"/>
      <c r="G519" s="36"/>
      <c r="H519" s="29"/>
      <c r="I519" s="29"/>
      <c r="J519" s="29"/>
      <c r="K519" s="29"/>
      <c r="L519" s="29"/>
      <c r="M519" s="29"/>
      <c r="N519" s="37"/>
      <c r="O519" s="30" t="n">
        <f aca="false">N519*J519</f>
        <v>0</v>
      </c>
    </row>
    <row r="520" customFormat="false" ht="15" hidden="false" customHeight="false" outlineLevel="0" collapsed="false">
      <c r="A520" s="29"/>
      <c r="B520" s="28"/>
      <c r="C520" s="29"/>
      <c r="D520" s="29"/>
      <c r="E520" s="29"/>
      <c r="F520" s="29"/>
      <c r="G520" s="36"/>
      <c r="H520" s="29"/>
      <c r="I520" s="29"/>
      <c r="J520" s="29"/>
      <c r="K520" s="29"/>
      <c r="L520" s="29"/>
      <c r="M520" s="29"/>
      <c r="N520" s="37"/>
      <c r="O520" s="30" t="n">
        <f aca="false">N520*J520</f>
        <v>0</v>
      </c>
    </row>
    <row r="521" customFormat="false" ht="15" hidden="false" customHeight="false" outlineLevel="0" collapsed="false">
      <c r="A521" s="29"/>
      <c r="B521" s="28"/>
      <c r="C521" s="29"/>
      <c r="D521" s="29"/>
      <c r="E521" s="29"/>
      <c r="F521" s="29"/>
      <c r="G521" s="36"/>
      <c r="H521" s="29"/>
      <c r="I521" s="29"/>
      <c r="J521" s="29"/>
      <c r="K521" s="29"/>
      <c r="L521" s="29"/>
      <c r="M521" s="29"/>
      <c r="N521" s="37"/>
      <c r="O521" s="30" t="n">
        <f aca="false">N521*J521</f>
        <v>0</v>
      </c>
    </row>
    <row r="522" customFormat="false" ht="15" hidden="false" customHeight="false" outlineLevel="0" collapsed="false">
      <c r="A522" s="29"/>
      <c r="B522" s="28"/>
      <c r="C522" s="29"/>
      <c r="D522" s="29"/>
      <c r="E522" s="29"/>
      <c r="F522" s="29"/>
      <c r="G522" s="36"/>
      <c r="H522" s="29"/>
      <c r="I522" s="29"/>
      <c r="J522" s="29"/>
      <c r="K522" s="29"/>
      <c r="L522" s="29"/>
      <c r="M522" s="29"/>
      <c r="N522" s="37"/>
      <c r="O522" s="30" t="n">
        <f aca="false">N522*J522</f>
        <v>0</v>
      </c>
    </row>
    <row r="523" customFormat="false" ht="15" hidden="false" customHeight="false" outlineLevel="0" collapsed="false">
      <c r="A523" s="29"/>
      <c r="B523" s="28"/>
      <c r="C523" s="29"/>
      <c r="D523" s="29"/>
      <c r="E523" s="29"/>
      <c r="F523" s="29"/>
      <c r="G523" s="36"/>
      <c r="H523" s="29"/>
      <c r="I523" s="29"/>
      <c r="J523" s="29"/>
      <c r="K523" s="29"/>
      <c r="L523" s="29"/>
      <c r="M523" s="29"/>
      <c r="N523" s="37"/>
      <c r="O523" s="30" t="n">
        <f aca="false">N523*J523</f>
        <v>0</v>
      </c>
    </row>
    <row r="524" customFormat="false" ht="15" hidden="false" customHeight="false" outlineLevel="0" collapsed="false">
      <c r="A524" s="29"/>
      <c r="B524" s="28"/>
      <c r="C524" s="29"/>
      <c r="D524" s="29"/>
      <c r="E524" s="29"/>
      <c r="F524" s="29"/>
      <c r="G524" s="36"/>
      <c r="H524" s="29"/>
      <c r="I524" s="29"/>
      <c r="J524" s="29"/>
      <c r="K524" s="29"/>
      <c r="L524" s="29"/>
      <c r="M524" s="29"/>
      <c r="N524" s="37"/>
      <c r="O524" s="30" t="n">
        <f aca="false">N524*J524</f>
        <v>0</v>
      </c>
    </row>
    <row r="525" customFormat="false" ht="15" hidden="false" customHeight="false" outlineLevel="0" collapsed="false">
      <c r="A525" s="29"/>
      <c r="B525" s="28"/>
      <c r="C525" s="29"/>
      <c r="D525" s="29"/>
      <c r="E525" s="29"/>
      <c r="F525" s="29"/>
      <c r="G525" s="36"/>
      <c r="H525" s="29"/>
      <c r="I525" s="29"/>
      <c r="J525" s="29"/>
      <c r="K525" s="29"/>
      <c r="L525" s="29"/>
      <c r="M525" s="29"/>
      <c r="N525" s="37"/>
      <c r="O525" s="30" t="n">
        <f aca="false">N525*J525</f>
        <v>0</v>
      </c>
    </row>
    <row r="526" customFormat="false" ht="15" hidden="false" customHeight="false" outlineLevel="0" collapsed="false">
      <c r="A526" s="29"/>
      <c r="B526" s="28"/>
      <c r="C526" s="29"/>
      <c r="D526" s="29"/>
      <c r="E526" s="29"/>
      <c r="F526" s="29"/>
      <c r="G526" s="36"/>
      <c r="H526" s="29"/>
      <c r="I526" s="29"/>
      <c r="J526" s="29"/>
      <c r="K526" s="29"/>
      <c r="L526" s="29"/>
      <c r="M526" s="29"/>
      <c r="N526" s="37"/>
      <c r="O526" s="30" t="n">
        <f aca="false">N526*J526</f>
        <v>0</v>
      </c>
    </row>
    <row r="527" customFormat="false" ht="15" hidden="false" customHeight="false" outlineLevel="0" collapsed="false">
      <c r="A527" s="29"/>
      <c r="B527" s="28"/>
      <c r="C527" s="29"/>
      <c r="D527" s="29"/>
      <c r="E527" s="29"/>
      <c r="F527" s="29"/>
      <c r="G527" s="36"/>
      <c r="H527" s="29"/>
      <c r="I527" s="29"/>
      <c r="J527" s="29"/>
      <c r="K527" s="29"/>
      <c r="L527" s="29"/>
      <c r="M527" s="29"/>
      <c r="N527" s="37"/>
      <c r="O527" s="30" t="n">
        <f aca="false">N527*J527</f>
        <v>0</v>
      </c>
    </row>
    <row r="528" customFormat="false" ht="15" hidden="false" customHeight="false" outlineLevel="0" collapsed="false">
      <c r="A528" s="29"/>
      <c r="B528" s="28"/>
      <c r="C528" s="29"/>
      <c r="D528" s="29"/>
      <c r="E528" s="29"/>
      <c r="F528" s="29"/>
      <c r="G528" s="36"/>
      <c r="H528" s="29"/>
      <c r="I528" s="29"/>
      <c r="J528" s="29"/>
      <c r="K528" s="29"/>
      <c r="L528" s="29"/>
      <c r="M528" s="29"/>
      <c r="N528" s="37"/>
      <c r="O528" s="30" t="n">
        <f aca="false">N528*J528</f>
        <v>0</v>
      </c>
    </row>
    <row r="529" customFormat="false" ht="15" hidden="false" customHeight="false" outlineLevel="0" collapsed="false">
      <c r="A529" s="29"/>
      <c r="B529" s="28"/>
      <c r="C529" s="29"/>
      <c r="D529" s="29"/>
      <c r="E529" s="29"/>
      <c r="F529" s="29"/>
      <c r="G529" s="36"/>
      <c r="H529" s="29"/>
      <c r="I529" s="29"/>
      <c r="J529" s="29"/>
      <c r="K529" s="29"/>
      <c r="L529" s="29"/>
      <c r="M529" s="29"/>
      <c r="N529" s="37"/>
      <c r="O529" s="30" t="n">
        <f aca="false">N529*J529</f>
        <v>0</v>
      </c>
    </row>
    <row r="530" customFormat="false" ht="15" hidden="false" customHeight="false" outlineLevel="0" collapsed="false">
      <c r="A530" s="29"/>
      <c r="B530" s="28"/>
      <c r="C530" s="29"/>
      <c r="D530" s="29"/>
      <c r="E530" s="29"/>
      <c r="F530" s="29"/>
      <c r="G530" s="36"/>
      <c r="H530" s="29"/>
      <c r="I530" s="29"/>
      <c r="J530" s="29"/>
      <c r="K530" s="29"/>
      <c r="L530" s="29"/>
      <c r="M530" s="29"/>
      <c r="N530" s="37"/>
      <c r="O530" s="30" t="n">
        <f aca="false">N530*J530</f>
        <v>0</v>
      </c>
    </row>
    <row r="531" customFormat="false" ht="15" hidden="false" customHeight="false" outlineLevel="0" collapsed="false">
      <c r="A531" s="29"/>
      <c r="B531" s="28"/>
      <c r="C531" s="29"/>
      <c r="D531" s="29"/>
      <c r="E531" s="29"/>
      <c r="F531" s="29"/>
      <c r="G531" s="36"/>
      <c r="H531" s="29"/>
      <c r="I531" s="29"/>
      <c r="J531" s="29"/>
      <c r="K531" s="29"/>
      <c r="L531" s="29"/>
      <c r="M531" s="29"/>
      <c r="N531" s="37"/>
      <c r="O531" s="30" t="n">
        <f aca="false">N531*J531</f>
        <v>0</v>
      </c>
    </row>
    <row r="532" customFormat="false" ht="15" hidden="false" customHeight="false" outlineLevel="0" collapsed="false">
      <c r="A532" s="29"/>
      <c r="B532" s="28"/>
      <c r="C532" s="29"/>
      <c r="D532" s="29"/>
      <c r="E532" s="29"/>
      <c r="F532" s="29"/>
      <c r="G532" s="36"/>
      <c r="H532" s="29"/>
      <c r="I532" s="29"/>
      <c r="J532" s="29"/>
      <c r="K532" s="29"/>
      <c r="L532" s="29"/>
      <c r="M532" s="29"/>
      <c r="N532" s="37"/>
      <c r="O532" s="30" t="n">
        <f aca="false">N532*J532</f>
        <v>0</v>
      </c>
    </row>
    <row r="533" customFormat="false" ht="15" hidden="false" customHeight="false" outlineLevel="0" collapsed="false">
      <c r="A533" s="29"/>
      <c r="B533" s="28"/>
      <c r="C533" s="29"/>
      <c r="D533" s="29"/>
      <c r="E533" s="29"/>
      <c r="F533" s="29"/>
      <c r="G533" s="36"/>
      <c r="H533" s="29"/>
      <c r="I533" s="29"/>
      <c r="J533" s="29"/>
      <c r="K533" s="29"/>
      <c r="L533" s="29"/>
      <c r="M533" s="29"/>
      <c r="N533" s="37"/>
      <c r="O533" s="30" t="n">
        <f aca="false">N533*J533</f>
        <v>0</v>
      </c>
    </row>
    <row r="534" customFormat="false" ht="15" hidden="false" customHeight="false" outlineLevel="0" collapsed="false">
      <c r="A534" s="29"/>
      <c r="B534" s="28"/>
      <c r="C534" s="29"/>
      <c r="D534" s="29"/>
      <c r="E534" s="29"/>
      <c r="F534" s="29"/>
      <c r="G534" s="36"/>
      <c r="H534" s="29"/>
      <c r="I534" s="29"/>
      <c r="J534" s="29"/>
      <c r="K534" s="29"/>
      <c r="L534" s="29"/>
      <c r="M534" s="29"/>
      <c r="N534" s="37"/>
      <c r="O534" s="30" t="n">
        <f aca="false">N534*J534</f>
        <v>0</v>
      </c>
    </row>
    <row r="535" customFormat="false" ht="15" hidden="false" customHeight="false" outlineLevel="0" collapsed="false">
      <c r="A535" s="29"/>
      <c r="B535" s="28"/>
      <c r="C535" s="29"/>
      <c r="D535" s="29"/>
      <c r="E535" s="29"/>
      <c r="F535" s="29"/>
      <c r="G535" s="36"/>
      <c r="H535" s="29"/>
      <c r="I535" s="29"/>
      <c r="J535" s="29"/>
      <c r="K535" s="29"/>
      <c r="L535" s="29"/>
      <c r="M535" s="29"/>
      <c r="N535" s="37"/>
      <c r="O535" s="30" t="n">
        <f aca="false">N535*J535</f>
        <v>0</v>
      </c>
    </row>
    <row r="536" customFormat="false" ht="15" hidden="false" customHeight="false" outlineLevel="0" collapsed="false">
      <c r="A536" s="29"/>
      <c r="B536" s="28"/>
      <c r="C536" s="29"/>
      <c r="D536" s="29"/>
      <c r="E536" s="29"/>
      <c r="F536" s="29"/>
      <c r="G536" s="36"/>
      <c r="H536" s="29"/>
      <c r="I536" s="29"/>
      <c r="J536" s="29"/>
      <c r="K536" s="29"/>
      <c r="L536" s="29"/>
      <c r="M536" s="29"/>
      <c r="N536" s="37"/>
      <c r="O536" s="30" t="n">
        <f aca="false">N536*J536</f>
        <v>0</v>
      </c>
    </row>
    <row r="537" customFormat="false" ht="15" hidden="false" customHeight="false" outlineLevel="0" collapsed="false">
      <c r="A537" s="29"/>
      <c r="B537" s="28"/>
      <c r="C537" s="29"/>
      <c r="D537" s="29"/>
      <c r="E537" s="29"/>
      <c r="F537" s="29"/>
      <c r="G537" s="36"/>
      <c r="H537" s="29"/>
      <c r="I537" s="29"/>
      <c r="J537" s="29"/>
      <c r="K537" s="29"/>
      <c r="L537" s="29"/>
      <c r="M537" s="29"/>
      <c r="N537" s="37"/>
      <c r="O537" s="30" t="n">
        <f aca="false">N537*J537</f>
        <v>0</v>
      </c>
    </row>
    <row r="538" customFormat="false" ht="15" hidden="false" customHeight="false" outlineLevel="0" collapsed="false">
      <c r="A538" s="29"/>
      <c r="B538" s="28"/>
      <c r="C538" s="29"/>
      <c r="D538" s="29"/>
      <c r="E538" s="29"/>
      <c r="F538" s="29"/>
      <c r="G538" s="36"/>
      <c r="H538" s="29"/>
      <c r="I538" s="29"/>
      <c r="J538" s="29"/>
      <c r="K538" s="29"/>
      <c r="L538" s="29"/>
      <c r="M538" s="29"/>
      <c r="N538" s="37"/>
      <c r="O538" s="30" t="n">
        <f aca="false">N538*J538</f>
        <v>0</v>
      </c>
    </row>
    <row r="539" customFormat="false" ht="15" hidden="false" customHeight="false" outlineLevel="0" collapsed="false">
      <c r="A539" s="29"/>
      <c r="B539" s="28"/>
      <c r="C539" s="29"/>
      <c r="D539" s="29"/>
      <c r="E539" s="29"/>
      <c r="F539" s="29"/>
      <c r="G539" s="36"/>
      <c r="H539" s="29"/>
      <c r="I539" s="29"/>
      <c r="J539" s="29"/>
      <c r="K539" s="29"/>
      <c r="L539" s="29"/>
      <c r="M539" s="29"/>
      <c r="N539" s="37"/>
      <c r="O539" s="30" t="n">
        <f aca="false">N539*J539</f>
        <v>0</v>
      </c>
    </row>
    <row r="540" customFormat="false" ht="15" hidden="false" customHeight="false" outlineLevel="0" collapsed="false">
      <c r="A540" s="29"/>
      <c r="B540" s="28"/>
      <c r="C540" s="29"/>
      <c r="D540" s="29"/>
      <c r="E540" s="29"/>
      <c r="F540" s="29"/>
      <c r="G540" s="36"/>
      <c r="H540" s="29"/>
      <c r="I540" s="29"/>
      <c r="J540" s="29"/>
      <c r="K540" s="29"/>
      <c r="L540" s="29"/>
      <c r="M540" s="29"/>
      <c r="N540" s="37"/>
      <c r="O540" s="30" t="n">
        <f aca="false">N540*J540</f>
        <v>0</v>
      </c>
    </row>
    <row r="541" customFormat="false" ht="15" hidden="false" customHeight="false" outlineLevel="0" collapsed="false">
      <c r="A541" s="29"/>
      <c r="B541" s="28"/>
      <c r="C541" s="29"/>
      <c r="D541" s="29"/>
      <c r="E541" s="29"/>
      <c r="F541" s="29"/>
      <c r="G541" s="36"/>
      <c r="H541" s="29"/>
      <c r="I541" s="29"/>
      <c r="J541" s="29"/>
      <c r="K541" s="29"/>
      <c r="L541" s="29"/>
      <c r="M541" s="29"/>
      <c r="N541" s="37"/>
      <c r="O541" s="30" t="n">
        <f aca="false">N541*J541</f>
        <v>0</v>
      </c>
    </row>
    <row r="542" customFormat="false" ht="15" hidden="false" customHeight="false" outlineLevel="0" collapsed="false">
      <c r="A542" s="29"/>
      <c r="B542" s="28"/>
      <c r="C542" s="29"/>
      <c r="D542" s="29"/>
      <c r="E542" s="29"/>
      <c r="F542" s="29"/>
      <c r="G542" s="36"/>
      <c r="H542" s="29"/>
      <c r="I542" s="29"/>
      <c r="J542" s="29"/>
      <c r="K542" s="29"/>
      <c r="L542" s="29"/>
      <c r="M542" s="29"/>
      <c r="N542" s="37"/>
      <c r="O542" s="30" t="n">
        <f aca="false">N542*J542</f>
        <v>0</v>
      </c>
    </row>
    <row r="543" customFormat="false" ht="15" hidden="false" customHeight="false" outlineLevel="0" collapsed="false">
      <c r="A543" s="29"/>
      <c r="B543" s="28"/>
      <c r="C543" s="29"/>
      <c r="D543" s="29"/>
      <c r="E543" s="29"/>
      <c r="F543" s="29"/>
      <c r="G543" s="36"/>
      <c r="H543" s="29"/>
      <c r="I543" s="29"/>
      <c r="J543" s="29"/>
      <c r="K543" s="29"/>
      <c r="L543" s="29"/>
      <c r="M543" s="29"/>
      <c r="N543" s="37"/>
      <c r="O543" s="30" t="n">
        <f aca="false">N543*J543</f>
        <v>0</v>
      </c>
    </row>
    <row r="544" customFormat="false" ht="15" hidden="false" customHeight="false" outlineLevel="0" collapsed="false">
      <c r="A544" s="29"/>
      <c r="B544" s="28"/>
      <c r="C544" s="29"/>
      <c r="D544" s="29"/>
      <c r="E544" s="29"/>
      <c r="F544" s="29"/>
      <c r="G544" s="36"/>
      <c r="H544" s="29"/>
      <c r="I544" s="29"/>
      <c r="J544" s="29"/>
      <c r="K544" s="29"/>
      <c r="L544" s="29"/>
      <c r="M544" s="29"/>
      <c r="N544" s="37"/>
      <c r="O544" s="30" t="n">
        <f aca="false">N544*J544</f>
        <v>0</v>
      </c>
    </row>
    <row r="545" customFormat="false" ht="15" hidden="false" customHeight="false" outlineLevel="0" collapsed="false">
      <c r="A545" s="29"/>
      <c r="B545" s="28"/>
      <c r="C545" s="29"/>
      <c r="D545" s="29"/>
      <c r="E545" s="29"/>
      <c r="F545" s="29"/>
      <c r="G545" s="36"/>
      <c r="H545" s="29"/>
      <c r="I545" s="29"/>
      <c r="J545" s="29"/>
      <c r="K545" s="29"/>
      <c r="L545" s="29"/>
      <c r="M545" s="29"/>
      <c r="N545" s="37"/>
      <c r="O545" s="30" t="n">
        <f aca="false">N545*J545</f>
        <v>0</v>
      </c>
    </row>
    <row r="546" customFormat="false" ht="15" hidden="false" customHeight="false" outlineLevel="0" collapsed="false">
      <c r="N546" s="37"/>
      <c r="O546" s="30" t="n">
        <f aca="false">N546*J546</f>
        <v>0</v>
      </c>
    </row>
    <row r="547" customFormat="false" ht="15" hidden="false" customHeight="false" outlineLevel="0" collapsed="false">
      <c r="N547" s="37"/>
      <c r="O547" s="30" t="n">
        <f aca="false">N547*J547</f>
        <v>0</v>
      </c>
    </row>
    <row r="548" customFormat="false" ht="15" hidden="false" customHeight="false" outlineLevel="0" collapsed="false">
      <c r="N548" s="37"/>
      <c r="O548" s="30" t="n">
        <f aca="false">N548*J548</f>
        <v>0</v>
      </c>
    </row>
    <row r="549" customFormat="false" ht="15" hidden="false" customHeight="false" outlineLevel="0" collapsed="false">
      <c r="N549" s="37"/>
      <c r="O549" s="30" t="n">
        <f aca="false">N549*J549</f>
        <v>0</v>
      </c>
    </row>
    <row r="550" customFormat="false" ht="15" hidden="false" customHeight="false" outlineLevel="0" collapsed="false">
      <c r="N550" s="37"/>
      <c r="O550" s="30" t="n">
        <f aca="false">N550*J550</f>
        <v>0</v>
      </c>
    </row>
    <row r="551" customFormat="false" ht="15" hidden="false" customHeight="false" outlineLevel="0" collapsed="false">
      <c r="N551" s="37"/>
      <c r="O551" s="30" t="n">
        <f aca="false">N551*J551</f>
        <v>0</v>
      </c>
    </row>
    <row r="552" customFormat="false" ht="15" hidden="false" customHeight="false" outlineLevel="0" collapsed="false">
      <c r="N552" s="37"/>
      <c r="O552" s="30" t="n">
        <f aca="false">N552*J552</f>
        <v>0</v>
      </c>
    </row>
    <row r="553" customFormat="false" ht="15" hidden="false" customHeight="false" outlineLevel="0" collapsed="false">
      <c r="N553" s="37"/>
      <c r="O553" s="30" t="n">
        <f aca="false">N553*J553</f>
        <v>0</v>
      </c>
    </row>
    <row r="554" customFormat="false" ht="15" hidden="false" customHeight="false" outlineLevel="0" collapsed="false">
      <c r="N554" s="37"/>
      <c r="O554" s="30" t="n">
        <f aca="false">N554*J554</f>
        <v>0</v>
      </c>
    </row>
    <row r="555" customFormat="false" ht="15" hidden="false" customHeight="false" outlineLevel="0" collapsed="false">
      <c r="N555" s="37"/>
      <c r="O555" s="30" t="n">
        <f aca="false">N555*J555</f>
        <v>0</v>
      </c>
    </row>
    <row r="556" customFormat="false" ht="15" hidden="false" customHeight="false" outlineLevel="0" collapsed="false">
      <c r="N556" s="37"/>
      <c r="O556" s="30" t="n">
        <f aca="false">N556*J556</f>
        <v>0</v>
      </c>
    </row>
    <row r="557" customFormat="false" ht="15" hidden="false" customHeight="false" outlineLevel="0" collapsed="false">
      <c r="N557" s="37"/>
      <c r="O557" s="30" t="n">
        <f aca="false">N557*J557</f>
        <v>0</v>
      </c>
    </row>
    <row r="558" customFormat="false" ht="15" hidden="false" customHeight="false" outlineLevel="0" collapsed="false">
      <c r="N558" s="37"/>
      <c r="O558" s="30" t="n">
        <f aca="false">N558*J558</f>
        <v>0</v>
      </c>
    </row>
    <row r="559" customFormat="false" ht="15" hidden="false" customHeight="false" outlineLevel="0" collapsed="false">
      <c r="N559" s="37"/>
      <c r="O559" s="30" t="n">
        <f aca="false">N559*J559</f>
        <v>0</v>
      </c>
    </row>
    <row r="560" customFormat="false" ht="15" hidden="false" customHeight="false" outlineLevel="0" collapsed="false">
      <c r="N560" s="37"/>
      <c r="O560" s="30" t="n">
        <f aca="false">N560*J560</f>
        <v>0</v>
      </c>
    </row>
    <row r="561" customFormat="false" ht="15" hidden="false" customHeight="false" outlineLevel="0" collapsed="false">
      <c r="N561" s="37"/>
      <c r="O561" s="30" t="n">
        <f aca="false">N561*J561</f>
        <v>0</v>
      </c>
    </row>
    <row r="562" customFormat="false" ht="15" hidden="false" customHeight="false" outlineLevel="0" collapsed="false">
      <c r="N562" s="37"/>
      <c r="O562" s="30" t="n">
        <f aca="false">N562*J562</f>
        <v>0</v>
      </c>
    </row>
    <row r="563" customFormat="false" ht="15" hidden="false" customHeight="false" outlineLevel="0" collapsed="false">
      <c r="N563" s="37"/>
      <c r="O563" s="30" t="n">
        <f aca="false">N563*J563</f>
        <v>0</v>
      </c>
    </row>
    <row r="564" customFormat="false" ht="15" hidden="false" customHeight="false" outlineLevel="0" collapsed="false">
      <c r="N564" s="37"/>
      <c r="O564" s="30" t="n">
        <f aca="false">N564*J564</f>
        <v>0</v>
      </c>
    </row>
    <row r="565" customFormat="false" ht="15" hidden="false" customHeight="false" outlineLevel="0" collapsed="false">
      <c r="O565" s="30" t="n">
        <f aca="false">N565*J565</f>
        <v>0</v>
      </c>
    </row>
    <row r="566" customFormat="false" ht="15" hidden="false" customHeight="false" outlineLevel="0" collapsed="false">
      <c r="O566" s="30" t="n">
        <f aca="false">N566*J566</f>
        <v>0</v>
      </c>
    </row>
    <row r="567" customFormat="false" ht="15" hidden="false" customHeight="false" outlineLevel="0" collapsed="false">
      <c r="O567" s="30" t="n">
        <f aca="false">N567*J567</f>
        <v>0</v>
      </c>
    </row>
    <row r="568" customFormat="false" ht="15" hidden="false" customHeight="false" outlineLevel="0" collapsed="false">
      <c r="O568" s="30" t="n">
        <f aca="false">N568*J568</f>
        <v>0</v>
      </c>
    </row>
    <row r="569" customFormat="false" ht="15" hidden="false" customHeight="false" outlineLevel="0" collapsed="false">
      <c r="O569" s="30" t="n">
        <f aca="false">N569*J569</f>
        <v>0</v>
      </c>
    </row>
    <row r="570" customFormat="false" ht="15" hidden="false" customHeight="false" outlineLevel="0" collapsed="false">
      <c r="O570" s="30" t="n">
        <f aca="false">N570*J570</f>
        <v>0</v>
      </c>
    </row>
    <row r="571" customFormat="false" ht="15" hidden="false" customHeight="false" outlineLevel="0" collapsed="false">
      <c r="O571" s="30" t="n">
        <f aca="false">N571*J571</f>
        <v>0</v>
      </c>
    </row>
    <row r="572" customFormat="false" ht="15" hidden="false" customHeight="false" outlineLevel="0" collapsed="false">
      <c r="O572" s="30" t="n">
        <f aca="false">N572*J572</f>
        <v>0</v>
      </c>
    </row>
    <row r="573" customFormat="false" ht="15" hidden="false" customHeight="false" outlineLevel="0" collapsed="false">
      <c r="O573" s="30" t="n">
        <f aca="false">N573*J573</f>
        <v>0</v>
      </c>
    </row>
    <row r="574" customFormat="false" ht="15" hidden="false" customHeight="false" outlineLevel="0" collapsed="false">
      <c r="O574" s="30" t="n">
        <f aca="false">N574*J574</f>
        <v>0</v>
      </c>
    </row>
    <row r="575" customFormat="false" ht="15" hidden="false" customHeight="false" outlineLevel="0" collapsed="false">
      <c r="O575" s="30" t="n">
        <f aca="false">N575*J575</f>
        <v>0</v>
      </c>
    </row>
    <row r="576" customFormat="false" ht="15" hidden="false" customHeight="false" outlineLevel="0" collapsed="false">
      <c r="O576" s="30" t="n">
        <f aca="false">N576*J576</f>
        <v>0</v>
      </c>
    </row>
    <row r="577" customFormat="false" ht="15" hidden="false" customHeight="false" outlineLevel="0" collapsed="false">
      <c r="O577" s="30" t="n">
        <f aca="false">N577*J577</f>
        <v>0</v>
      </c>
    </row>
    <row r="578" customFormat="false" ht="15" hidden="false" customHeight="false" outlineLevel="0" collapsed="false">
      <c r="O578" s="30" t="n">
        <f aca="false">N578*J578</f>
        <v>0</v>
      </c>
    </row>
    <row r="579" customFormat="false" ht="15" hidden="false" customHeight="false" outlineLevel="0" collapsed="false">
      <c r="O579" s="30" t="n">
        <f aca="false">N579*J579</f>
        <v>0</v>
      </c>
    </row>
    <row r="580" customFormat="false" ht="15" hidden="false" customHeight="false" outlineLevel="0" collapsed="false">
      <c r="O580" s="30" t="n">
        <f aca="false">N580*J580</f>
        <v>0</v>
      </c>
    </row>
    <row r="581" customFormat="false" ht="15" hidden="false" customHeight="false" outlineLevel="0" collapsed="false">
      <c r="O581" s="30" t="n">
        <f aca="false">N581*J581</f>
        <v>0</v>
      </c>
    </row>
    <row r="582" customFormat="false" ht="15" hidden="false" customHeight="false" outlineLevel="0" collapsed="false">
      <c r="O582" s="30" t="n">
        <f aca="false">N582*J582</f>
        <v>0</v>
      </c>
    </row>
    <row r="583" customFormat="false" ht="15" hidden="false" customHeight="false" outlineLevel="0" collapsed="false">
      <c r="O583" s="30" t="n">
        <f aca="false">N583*J583</f>
        <v>0</v>
      </c>
    </row>
    <row r="584" customFormat="false" ht="15" hidden="false" customHeight="false" outlineLevel="0" collapsed="false">
      <c r="O584" s="30" t="n">
        <f aca="false">N584*J584</f>
        <v>0</v>
      </c>
    </row>
    <row r="585" customFormat="false" ht="15" hidden="false" customHeight="false" outlineLevel="0" collapsed="false">
      <c r="O585" s="30" t="n">
        <f aca="false">N585*J585</f>
        <v>0</v>
      </c>
    </row>
    <row r="586" customFormat="false" ht="15" hidden="false" customHeight="false" outlineLevel="0" collapsed="false">
      <c r="O586" s="30" t="n">
        <f aca="false">N586*J586</f>
        <v>0</v>
      </c>
    </row>
    <row r="587" customFormat="false" ht="15" hidden="false" customHeight="false" outlineLevel="0" collapsed="false">
      <c r="O587" s="30" t="n">
        <f aca="false">N587*J587</f>
        <v>0</v>
      </c>
    </row>
    <row r="588" customFormat="false" ht="15" hidden="false" customHeight="false" outlineLevel="0" collapsed="false">
      <c r="O588" s="30" t="n">
        <f aca="false">N588*J588</f>
        <v>0</v>
      </c>
    </row>
    <row r="589" customFormat="false" ht="15" hidden="false" customHeight="false" outlineLevel="0" collapsed="false">
      <c r="O589" s="30" t="n">
        <f aca="false">N589*J589</f>
        <v>0</v>
      </c>
    </row>
    <row r="590" customFormat="false" ht="15" hidden="false" customHeight="false" outlineLevel="0" collapsed="false">
      <c r="O590" s="30" t="n">
        <f aca="false">N590*J590</f>
        <v>0</v>
      </c>
    </row>
    <row r="591" customFormat="false" ht="15" hidden="false" customHeight="false" outlineLevel="0" collapsed="false">
      <c r="O591" s="30" t="n">
        <f aca="false">N591*J591</f>
        <v>0</v>
      </c>
    </row>
    <row r="592" customFormat="false" ht="15" hidden="false" customHeight="false" outlineLevel="0" collapsed="false">
      <c r="O592" s="30" t="n">
        <f aca="false">N592*J592</f>
        <v>0</v>
      </c>
    </row>
    <row r="593" customFormat="false" ht="15" hidden="false" customHeight="false" outlineLevel="0" collapsed="false">
      <c r="O593" s="30" t="n">
        <f aca="false">N593*J593</f>
        <v>0</v>
      </c>
    </row>
    <row r="594" customFormat="false" ht="15" hidden="false" customHeight="false" outlineLevel="0" collapsed="false">
      <c r="O594" s="30" t="n">
        <f aca="false">N594*J594</f>
        <v>0</v>
      </c>
    </row>
    <row r="595" customFormat="false" ht="15" hidden="false" customHeight="false" outlineLevel="0" collapsed="false">
      <c r="O595" s="30" t="n">
        <f aca="false">N595*J595</f>
        <v>0</v>
      </c>
    </row>
    <row r="596" customFormat="false" ht="15" hidden="false" customHeight="false" outlineLevel="0" collapsed="false">
      <c r="O596" s="30" t="n">
        <f aca="false">N596*J596</f>
        <v>0</v>
      </c>
    </row>
    <row r="597" customFormat="false" ht="15" hidden="false" customHeight="false" outlineLevel="0" collapsed="false">
      <c r="O597" s="30" t="n">
        <f aca="false">N597*J597</f>
        <v>0</v>
      </c>
    </row>
    <row r="598" customFormat="false" ht="15" hidden="false" customHeight="false" outlineLevel="0" collapsed="false">
      <c r="O598" s="30" t="n">
        <f aca="false">N598*J598</f>
        <v>0</v>
      </c>
    </row>
    <row r="599" customFormat="false" ht="15" hidden="false" customHeight="false" outlineLevel="0" collapsed="false">
      <c r="O599" s="30" t="n">
        <f aca="false">N599*J599</f>
        <v>0</v>
      </c>
    </row>
    <row r="600" customFormat="false" ht="15" hidden="false" customHeight="false" outlineLevel="0" collapsed="false">
      <c r="O600" s="30" t="n">
        <f aca="false">N600*J600</f>
        <v>0</v>
      </c>
    </row>
    <row r="601" customFormat="false" ht="15" hidden="false" customHeight="false" outlineLevel="0" collapsed="false">
      <c r="O601" s="30" t="n">
        <f aca="false">N601*J601</f>
        <v>0</v>
      </c>
    </row>
    <row r="602" customFormat="false" ht="15" hidden="false" customHeight="false" outlineLevel="0" collapsed="false">
      <c r="O602" s="30" t="n">
        <f aca="false">N602*J602</f>
        <v>0</v>
      </c>
    </row>
    <row r="603" customFormat="false" ht="15" hidden="false" customHeight="false" outlineLevel="0" collapsed="false">
      <c r="O603" s="30" t="n">
        <f aca="false">N603*J603</f>
        <v>0</v>
      </c>
    </row>
    <row r="604" customFormat="false" ht="15" hidden="false" customHeight="false" outlineLevel="0" collapsed="false">
      <c r="O604" s="30" t="n">
        <f aca="false">N604*J604</f>
        <v>0</v>
      </c>
    </row>
    <row r="605" customFormat="false" ht="15" hidden="false" customHeight="false" outlineLevel="0" collapsed="false">
      <c r="O605" s="30" t="n">
        <f aca="false">N605*J605</f>
        <v>0</v>
      </c>
    </row>
    <row r="606" customFormat="false" ht="15" hidden="false" customHeight="false" outlineLevel="0" collapsed="false">
      <c r="O606" s="30" t="n">
        <f aca="false">N606*J606</f>
        <v>0</v>
      </c>
    </row>
    <row r="607" customFormat="false" ht="15" hidden="false" customHeight="false" outlineLevel="0" collapsed="false">
      <c r="O607" s="30" t="n">
        <f aca="false">N607*J607</f>
        <v>0</v>
      </c>
    </row>
    <row r="608" customFormat="false" ht="15" hidden="false" customHeight="false" outlineLevel="0" collapsed="false">
      <c r="O608" s="30" t="n">
        <f aca="false">N608*J608</f>
        <v>0</v>
      </c>
    </row>
    <row r="609" customFormat="false" ht="15" hidden="false" customHeight="false" outlineLevel="0" collapsed="false">
      <c r="O609" s="30" t="n">
        <f aca="false">N609*J609</f>
        <v>0</v>
      </c>
    </row>
    <row r="610" customFormat="false" ht="15" hidden="false" customHeight="false" outlineLevel="0" collapsed="false">
      <c r="O610" s="30" t="n">
        <f aca="false">N610*J610</f>
        <v>0</v>
      </c>
    </row>
    <row r="611" customFormat="false" ht="15" hidden="false" customHeight="false" outlineLevel="0" collapsed="false">
      <c r="O611" s="30" t="n">
        <f aca="false">N611*J611</f>
        <v>0</v>
      </c>
    </row>
    <row r="612" customFormat="false" ht="15" hidden="false" customHeight="false" outlineLevel="0" collapsed="false">
      <c r="O612" s="30" t="n">
        <f aca="false">N612*J612</f>
        <v>0</v>
      </c>
    </row>
    <row r="613" customFormat="false" ht="15" hidden="false" customHeight="false" outlineLevel="0" collapsed="false">
      <c r="O613" s="30" t="n">
        <f aca="false">N613*J613</f>
        <v>0</v>
      </c>
    </row>
    <row r="614" customFormat="false" ht="15" hidden="false" customHeight="false" outlineLevel="0" collapsed="false">
      <c r="O614" s="30" t="n">
        <f aca="false">N614*J614</f>
        <v>0</v>
      </c>
    </row>
    <row r="615" customFormat="false" ht="15" hidden="false" customHeight="false" outlineLevel="0" collapsed="false">
      <c r="O615" s="30" t="n">
        <f aca="false">N615*J615</f>
        <v>0</v>
      </c>
    </row>
    <row r="616" customFormat="false" ht="15" hidden="false" customHeight="false" outlineLevel="0" collapsed="false">
      <c r="O616" s="30" t="n">
        <f aca="false">N616*J616</f>
        <v>0</v>
      </c>
    </row>
    <row r="617" customFormat="false" ht="15" hidden="false" customHeight="false" outlineLevel="0" collapsed="false">
      <c r="O617" s="30" t="n">
        <f aca="false">N617*J617</f>
        <v>0</v>
      </c>
    </row>
    <row r="618" customFormat="false" ht="15" hidden="false" customHeight="false" outlineLevel="0" collapsed="false">
      <c r="O618" s="30" t="n">
        <f aca="false">N618*J618</f>
        <v>0</v>
      </c>
    </row>
    <row r="619" customFormat="false" ht="15" hidden="false" customHeight="false" outlineLevel="0" collapsed="false">
      <c r="O619" s="30" t="n">
        <f aca="false">N619*J619</f>
        <v>0</v>
      </c>
    </row>
    <row r="620" customFormat="false" ht="15" hidden="false" customHeight="false" outlineLevel="0" collapsed="false">
      <c r="O620" s="30" t="n">
        <f aca="false">N620*J620</f>
        <v>0</v>
      </c>
    </row>
    <row r="621" customFormat="false" ht="15" hidden="false" customHeight="false" outlineLevel="0" collapsed="false">
      <c r="O621" s="30" t="n">
        <f aca="false">N621*J621</f>
        <v>0</v>
      </c>
    </row>
    <row r="622" customFormat="false" ht="15" hidden="false" customHeight="false" outlineLevel="0" collapsed="false">
      <c r="O622" s="30" t="n">
        <f aca="false">N622*J622</f>
        <v>0</v>
      </c>
    </row>
    <row r="623" customFormat="false" ht="15" hidden="false" customHeight="false" outlineLevel="0" collapsed="false">
      <c r="O623" s="30" t="n">
        <f aca="false">N623*J623</f>
        <v>0</v>
      </c>
    </row>
    <row r="624" customFormat="false" ht="15" hidden="false" customHeight="false" outlineLevel="0" collapsed="false">
      <c r="O624" s="30" t="n">
        <f aca="false">N624*J624</f>
        <v>0</v>
      </c>
    </row>
    <row r="625" customFormat="false" ht="15" hidden="false" customHeight="false" outlineLevel="0" collapsed="false">
      <c r="O625" s="30" t="n">
        <f aca="false">N625*J625</f>
        <v>0</v>
      </c>
    </row>
    <row r="626" customFormat="false" ht="15" hidden="false" customHeight="false" outlineLevel="0" collapsed="false">
      <c r="O626" s="30" t="n">
        <f aca="false">N626*J626</f>
        <v>0</v>
      </c>
    </row>
    <row r="627" customFormat="false" ht="15" hidden="false" customHeight="false" outlineLevel="0" collapsed="false">
      <c r="O627" s="30" t="n">
        <f aca="false">N627*J627</f>
        <v>0</v>
      </c>
    </row>
    <row r="628" customFormat="false" ht="15" hidden="false" customHeight="false" outlineLevel="0" collapsed="false">
      <c r="O628" s="30" t="n">
        <f aca="false">N628*J628</f>
        <v>0</v>
      </c>
    </row>
    <row r="629" customFormat="false" ht="15" hidden="false" customHeight="false" outlineLevel="0" collapsed="false">
      <c r="O629" s="30" t="n">
        <f aca="false">N629*J629</f>
        <v>0</v>
      </c>
    </row>
    <row r="630" customFormat="false" ht="15" hidden="false" customHeight="false" outlineLevel="0" collapsed="false">
      <c r="O630" s="30" t="n">
        <f aca="false">N630*J630</f>
        <v>0</v>
      </c>
    </row>
    <row r="631" customFormat="false" ht="15" hidden="false" customHeight="false" outlineLevel="0" collapsed="false">
      <c r="O631" s="30" t="n">
        <f aca="false">N631*J631</f>
        <v>0</v>
      </c>
    </row>
    <row r="632" customFormat="false" ht="15" hidden="false" customHeight="false" outlineLevel="0" collapsed="false">
      <c r="O632" s="30" t="n">
        <f aca="false">N632*J632</f>
        <v>0</v>
      </c>
    </row>
    <row r="633" customFormat="false" ht="15" hidden="false" customHeight="false" outlineLevel="0" collapsed="false">
      <c r="O633" s="30" t="n">
        <f aca="false">N633*J633</f>
        <v>0</v>
      </c>
    </row>
    <row r="634" customFormat="false" ht="15" hidden="false" customHeight="false" outlineLevel="0" collapsed="false">
      <c r="O634" s="30" t="n">
        <f aca="false">N634*J634</f>
        <v>0</v>
      </c>
    </row>
    <row r="635" customFormat="false" ht="15" hidden="false" customHeight="false" outlineLevel="0" collapsed="false">
      <c r="O635" s="30" t="n">
        <f aca="false">N635*J635</f>
        <v>0</v>
      </c>
    </row>
    <row r="636" customFormat="false" ht="15" hidden="false" customHeight="false" outlineLevel="0" collapsed="false">
      <c r="O636" s="30" t="n">
        <f aca="false">N636*J636</f>
        <v>0</v>
      </c>
    </row>
    <row r="637" customFormat="false" ht="15" hidden="false" customHeight="false" outlineLevel="0" collapsed="false">
      <c r="O637" s="30" t="n">
        <f aca="false">N637*J637</f>
        <v>0</v>
      </c>
    </row>
    <row r="638" customFormat="false" ht="15" hidden="false" customHeight="false" outlineLevel="0" collapsed="false">
      <c r="O638" s="30" t="n">
        <f aca="false">N638*J638</f>
        <v>0</v>
      </c>
    </row>
    <row r="639" customFormat="false" ht="15" hidden="false" customHeight="false" outlineLevel="0" collapsed="false">
      <c r="O639" s="30" t="n">
        <f aca="false">N639*J639</f>
        <v>0</v>
      </c>
    </row>
    <row r="640" customFormat="false" ht="15" hidden="false" customHeight="false" outlineLevel="0" collapsed="false">
      <c r="O640" s="30" t="n">
        <f aca="false">N640*J640</f>
        <v>0</v>
      </c>
    </row>
    <row r="641" customFormat="false" ht="15" hidden="false" customHeight="false" outlineLevel="0" collapsed="false">
      <c r="O641" s="30" t="n">
        <f aca="false">N641*J641</f>
        <v>0</v>
      </c>
    </row>
    <row r="642" customFormat="false" ht="15" hidden="false" customHeight="false" outlineLevel="0" collapsed="false">
      <c r="O642" s="30" t="n">
        <f aca="false">N642*J642</f>
        <v>0</v>
      </c>
    </row>
    <row r="643" customFormat="false" ht="15" hidden="false" customHeight="false" outlineLevel="0" collapsed="false">
      <c r="O643" s="30" t="n">
        <f aca="false">N643*J643</f>
        <v>0</v>
      </c>
    </row>
    <row r="644" customFormat="false" ht="15" hidden="false" customHeight="false" outlineLevel="0" collapsed="false">
      <c r="O644" s="30" t="n">
        <f aca="false">N644*J644</f>
        <v>0</v>
      </c>
    </row>
    <row r="645" customFormat="false" ht="15" hidden="false" customHeight="false" outlineLevel="0" collapsed="false">
      <c r="O645" s="30" t="n">
        <f aca="false">N645*J645</f>
        <v>0</v>
      </c>
    </row>
    <row r="646" customFormat="false" ht="15" hidden="false" customHeight="false" outlineLevel="0" collapsed="false">
      <c r="O646" s="30" t="n">
        <f aca="false">N646*J646</f>
        <v>0</v>
      </c>
    </row>
    <row r="647" customFormat="false" ht="15" hidden="false" customHeight="false" outlineLevel="0" collapsed="false">
      <c r="O647" s="30" t="n">
        <f aca="false">N647*J647</f>
        <v>0</v>
      </c>
    </row>
    <row r="648" customFormat="false" ht="15" hidden="false" customHeight="false" outlineLevel="0" collapsed="false">
      <c r="O648" s="30" t="n">
        <f aca="false">N648*J648</f>
        <v>0</v>
      </c>
    </row>
    <row r="649" customFormat="false" ht="15" hidden="false" customHeight="false" outlineLevel="0" collapsed="false">
      <c r="O649" s="30" t="n">
        <f aca="false">N649*J649</f>
        <v>0</v>
      </c>
    </row>
    <row r="650" customFormat="false" ht="15" hidden="false" customHeight="false" outlineLevel="0" collapsed="false">
      <c r="O650" s="30" t="n">
        <f aca="false">N650*J650</f>
        <v>0</v>
      </c>
    </row>
    <row r="651" customFormat="false" ht="15" hidden="false" customHeight="false" outlineLevel="0" collapsed="false">
      <c r="O651" s="30" t="n">
        <f aca="false">N651*J651</f>
        <v>0</v>
      </c>
    </row>
    <row r="652" customFormat="false" ht="15" hidden="false" customHeight="false" outlineLevel="0" collapsed="false">
      <c r="O652" s="30" t="n">
        <f aca="false">N652*J652</f>
        <v>0</v>
      </c>
    </row>
    <row r="653" customFormat="false" ht="15" hidden="false" customHeight="false" outlineLevel="0" collapsed="false">
      <c r="O653" s="30" t="n">
        <f aca="false">N653*J653</f>
        <v>0</v>
      </c>
    </row>
    <row r="654" customFormat="false" ht="15" hidden="false" customHeight="false" outlineLevel="0" collapsed="false">
      <c r="O654" s="30" t="n">
        <f aca="false">N654*J654</f>
        <v>0</v>
      </c>
    </row>
    <row r="655" customFormat="false" ht="15" hidden="false" customHeight="false" outlineLevel="0" collapsed="false">
      <c r="O655" s="30" t="n">
        <f aca="false">N655*J655</f>
        <v>0</v>
      </c>
    </row>
    <row r="656" customFormat="false" ht="15" hidden="false" customHeight="false" outlineLevel="0" collapsed="false">
      <c r="O656" s="30" t="n">
        <f aca="false">N656*J656</f>
        <v>0</v>
      </c>
    </row>
    <row r="657" customFormat="false" ht="15" hidden="false" customHeight="false" outlineLevel="0" collapsed="false">
      <c r="O657" s="30" t="n">
        <f aca="false">N657*J657</f>
        <v>0</v>
      </c>
    </row>
    <row r="658" customFormat="false" ht="15" hidden="false" customHeight="false" outlineLevel="0" collapsed="false">
      <c r="O658" s="30" t="n">
        <f aca="false">N658*J658</f>
        <v>0</v>
      </c>
    </row>
    <row r="659" customFormat="false" ht="15" hidden="false" customHeight="false" outlineLevel="0" collapsed="false">
      <c r="O659" s="30" t="n">
        <f aca="false">N659*J659</f>
        <v>0</v>
      </c>
    </row>
    <row r="660" customFormat="false" ht="15" hidden="false" customHeight="false" outlineLevel="0" collapsed="false">
      <c r="O660" s="30" t="n">
        <f aca="false">N660*J660</f>
        <v>0</v>
      </c>
    </row>
    <row r="661" customFormat="false" ht="15" hidden="false" customHeight="false" outlineLevel="0" collapsed="false">
      <c r="O661" s="30" t="n">
        <f aca="false">N661*J661</f>
        <v>0</v>
      </c>
    </row>
    <row r="662" customFormat="false" ht="15" hidden="false" customHeight="false" outlineLevel="0" collapsed="false">
      <c r="O662" s="30" t="n">
        <f aca="false">N662*J662</f>
        <v>0</v>
      </c>
    </row>
    <row r="663" customFormat="false" ht="15" hidden="false" customHeight="false" outlineLevel="0" collapsed="false">
      <c r="O663" s="30" t="n">
        <f aca="false">N663*J663</f>
        <v>0</v>
      </c>
    </row>
    <row r="664" customFormat="false" ht="15" hidden="false" customHeight="false" outlineLevel="0" collapsed="false">
      <c r="O664" s="30" t="n">
        <f aca="false">N664*J664</f>
        <v>0</v>
      </c>
    </row>
    <row r="665" customFormat="false" ht="15" hidden="false" customHeight="false" outlineLevel="0" collapsed="false">
      <c r="O665" s="30" t="n">
        <f aca="false">N665*J665</f>
        <v>0</v>
      </c>
    </row>
    <row r="666" customFormat="false" ht="15" hidden="false" customHeight="false" outlineLevel="0" collapsed="false">
      <c r="O666" s="30" t="n">
        <f aca="false">N666*J666</f>
        <v>0</v>
      </c>
    </row>
    <row r="667" customFormat="false" ht="15" hidden="false" customHeight="false" outlineLevel="0" collapsed="false">
      <c r="O667" s="30" t="n">
        <f aca="false">N667*J667</f>
        <v>0</v>
      </c>
    </row>
    <row r="668" customFormat="false" ht="15" hidden="false" customHeight="false" outlineLevel="0" collapsed="false">
      <c r="O668" s="30" t="n">
        <f aca="false">N668*J668</f>
        <v>0</v>
      </c>
    </row>
    <row r="669" customFormat="false" ht="15" hidden="false" customHeight="false" outlineLevel="0" collapsed="false">
      <c r="O669" s="30" t="n">
        <f aca="false">N669*J669</f>
        <v>0</v>
      </c>
    </row>
    <row r="670" customFormat="false" ht="15" hidden="false" customHeight="false" outlineLevel="0" collapsed="false">
      <c r="O670" s="30" t="n">
        <f aca="false">N670*J670</f>
        <v>0</v>
      </c>
    </row>
    <row r="671" customFormat="false" ht="15" hidden="false" customHeight="false" outlineLevel="0" collapsed="false">
      <c r="O671" s="30" t="n">
        <f aca="false">N671*J671</f>
        <v>0</v>
      </c>
    </row>
    <row r="672" customFormat="false" ht="15" hidden="false" customHeight="false" outlineLevel="0" collapsed="false">
      <c r="O672" s="30" t="n">
        <f aca="false">N672*J672</f>
        <v>0</v>
      </c>
    </row>
    <row r="673" customFormat="false" ht="15" hidden="false" customHeight="false" outlineLevel="0" collapsed="false">
      <c r="O673" s="30" t="n">
        <f aca="false">N673*J673</f>
        <v>0</v>
      </c>
    </row>
    <row r="674" customFormat="false" ht="15" hidden="false" customHeight="false" outlineLevel="0" collapsed="false">
      <c r="O674" s="30" t="n">
        <f aca="false">N674*J674</f>
        <v>0</v>
      </c>
    </row>
    <row r="675" customFormat="false" ht="15" hidden="false" customHeight="false" outlineLevel="0" collapsed="false">
      <c r="O675" s="30" t="n">
        <f aca="false">N675*J675</f>
        <v>0</v>
      </c>
    </row>
    <row r="676" customFormat="false" ht="15" hidden="false" customHeight="false" outlineLevel="0" collapsed="false">
      <c r="O676" s="30" t="n">
        <f aca="false">N676*J676</f>
        <v>0</v>
      </c>
    </row>
    <row r="677" customFormat="false" ht="15" hidden="false" customHeight="false" outlineLevel="0" collapsed="false">
      <c r="O677" s="30" t="n">
        <f aca="false">N677*J677</f>
        <v>0</v>
      </c>
    </row>
    <row r="678" customFormat="false" ht="15" hidden="false" customHeight="false" outlineLevel="0" collapsed="false">
      <c r="O678" s="30" t="n">
        <f aca="false">N678*J678</f>
        <v>0</v>
      </c>
    </row>
    <row r="679" customFormat="false" ht="15" hidden="false" customHeight="false" outlineLevel="0" collapsed="false">
      <c r="O679" s="30" t="n">
        <f aca="false">N679*J679</f>
        <v>0</v>
      </c>
    </row>
    <row r="680" customFormat="false" ht="15" hidden="false" customHeight="false" outlineLevel="0" collapsed="false">
      <c r="O680" s="30" t="n">
        <f aca="false">N680*J680</f>
        <v>0</v>
      </c>
    </row>
    <row r="681" customFormat="false" ht="15" hidden="false" customHeight="false" outlineLevel="0" collapsed="false">
      <c r="O681" s="30" t="n">
        <f aca="false">N681*J681</f>
        <v>0</v>
      </c>
    </row>
    <row r="682" customFormat="false" ht="15" hidden="false" customHeight="false" outlineLevel="0" collapsed="false">
      <c r="O682" s="30" t="n">
        <f aca="false">N682*J682</f>
        <v>0</v>
      </c>
    </row>
    <row r="683" customFormat="false" ht="15" hidden="false" customHeight="false" outlineLevel="0" collapsed="false">
      <c r="O683" s="30" t="n">
        <f aca="false">N683*J683</f>
        <v>0</v>
      </c>
    </row>
    <row r="684" customFormat="false" ht="15" hidden="false" customHeight="false" outlineLevel="0" collapsed="false">
      <c r="O684" s="5" t="e">
        <f aca="false">N684*#REF!</f>
        <v>#REF!</v>
      </c>
    </row>
    <row r="685" customFormat="false" ht="15" hidden="false" customHeight="false" outlineLevel="0" collapsed="false">
      <c r="O685" s="5" t="e">
        <f aca="false">N685*#REF!</f>
        <v>#REF!</v>
      </c>
    </row>
    <row r="686" customFormat="false" ht="15" hidden="false" customHeight="false" outlineLevel="0" collapsed="false">
      <c r="O686" s="5" t="e">
        <f aca="false">N686*#REF!</f>
        <v>#REF!</v>
      </c>
    </row>
    <row r="687" customFormat="false" ht="15" hidden="false" customHeight="false" outlineLevel="0" collapsed="false">
      <c r="O687" s="5" t="e">
        <f aca="false">N687*#REF!</f>
        <v>#REF!</v>
      </c>
    </row>
    <row r="688" customFormat="false" ht="15" hidden="false" customHeight="false" outlineLevel="0" collapsed="false">
      <c r="O688" s="5" t="e">
        <f aca="false">N688*#REF!</f>
        <v>#REF!</v>
      </c>
    </row>
    <row r="689" customFormat="false" ht="15" hidden="false" customHeight="false" outlineLevel="0" collapsed="false">
      <c r="O689" s="5" t="e">
        <f aca="false">N689*#REF!</f>
        <v>#REF!</v>
      </c>
    </row>
  </sheetData>
  <mergeCells count="1">
    <mergeCell ref="N1:O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tabColor rgb="FF66FFFF"/>
    <pageSetUpPr fitToPage="false"/>
  </sheetPr>
  <dimension ref="A1:Q2"/>
  <sheetViews>
    <sheetView showFormulas="false" showGridLines="true" showRowColHeaders="true" showZeros="true" rightToLeft="false" tabSelected="true" showOutlineSymbols="true" defaultGridColor="true" view="normal" topLeftCell="A1" colorId="64" zoomScale="60" zoomScaleNormal="6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8359375" defaultRowHeight="13.8" zeroHeight="false" outlineLevelRow="0" outlineLevelCol="0"/>
  <cols>
    <col collapsed="false" customWidth="true" hidden="false" outlineLevel="0" max="1" min="1" style="62" width="15.33"/>
    <col collapsed="false" customWidth="true" hidden="false" outlineLevel="0" max="2" min="2" style="62" width="13.51"/>
    <col collapsed="false" customWidth="true" hidden="false" outlineLevel="0" max="3" min="3" style="62" width="18.83"/>
    <col collapsed="false" customWidth="true" hidden="false" outlineLevel="0" max="4" min="4" style="62" width="17.5"/>
    <col collapsed="false" customWidth="true" hidden="false" outlineLevel="0" max="5" min="5" style="62" width="15.33"/>
    <col collapsed="false" customWidth="true" hidden="false" outlineLevel="0" max="6" min="6" style="62" width="14.5"/>
    <col collapsed="false" customWidth="true" hidden="false" outlineLevel="0" max="7" min="7" style="63" width="14"/>
    <col collapsed="false" customWidth="true" hidden="false" outlineLevel="0" max="8" min="8" style="62" width="13.51"/>
    <col collapsed="false" customWidth="true" hidden="false" outlineLevel="0" max="9" min="9" style="64" width="10.51"/>
    <col collapsed="false" customWidth="true" hidden="false" outlineLevel="0" max="10" min="10" style="62" width="13.83"/>
    <col collapsed="false" customWidth="true" hidden="false" outlineLevel="0" max="11" min="11" style="62" width="12.17"/>
    <col collapsed="false" customWidth="true" hidden="false" outlineLevel="0" max="12" min="12" style="62" width="13.33"/>
    <col collapsed="false" customWidth="true" hidden="false" outlineLevel="0" max="13" min="13" style="62" width="11"/>
    <col collapsed="false" customWidth="true" hidden="false" outlineLevel="0" max="14" min="14" style="27" width="10.51"/>
    <col collapsed="false" customWidth="true" hidden="false" outlineLevel="0" max="15" min="15" style="32" width="10.66"/>
    <col collapsed="false" customWidth="false" hidden="false" outlineLevel="0" max="16" min="16" style="27" width="8.83"/>
    <col collapsed="false" customWidth="true" hidden="true" outlineLevel="0" max="17" min="17" style="27" width="12.83"/>
    <col collapsed="false" customWidth="true" hidden="true" outlineLevel="0" max="18" min="18" style="0" width="9.17"/>
  </cols>
  <sheetData>
    <row r="1" customFormat="false" ht="75" hidden="false" customHeight="true" outlineLevel="0" collapsed="false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8" t="s">
        <v>6</v>
      </c>
      <c r="H1" s="7" t="s">
        <v>7</v>
      </c>
      <c r="I1" s="9" t="s">
        <v>8</v>
      </c>
      <c r="J1" s="7" t="s">
        <v>9</v>
      </c>
      <c r="K1" s="7" t="s">
        <v>10</v>
      </c>
      <c r="L1" s="7" t="s">
        <v>11</v>
      </c>
      <c r="M1" s="7" t="s">
        <v>12</v>
      </c>
      <c r="N1" s="10" t="s">
        <v>13</v>
      </c>
      <c r="O1" s="10"/>
      <c r="P1" s="11" t="s">
        <v>14</v>
      </c>
      <c r="Q1" s="47" t="s">
        <v>22</v>
      </c>
    </row>
    <row r="2" customFormat="false" ht="74.25" hidden="false" customHeight="true" outlineLevel="0" collapsed="false">
      <c r="A2" s="48" t="s">
        <v>15</v>
      </c>
      <c r="B2" s="48"/>
      <c r="C2" s="48"/>
      <c r="D2" s="48"/>
      <c r="E2" s="48"/>
      <c r="F2" s="48"/>
      <c r="G2" s="48"/>
      <c r="H2" s="48"/>
      <c r="I2" s="65"/>
      <c r="J2" s="48"/>
      <c r="K2" s="48"/>
      <c r="L2" s="48"/>
      <c r="M2" s="14"/>
      <c r="N2" s="49" t="s">
        <v>16</v>
      </c>
      <c r="O2" s="49" t="s">
        <v>17</v>
      </c>
      <c r="P2" s="60"/>
      <c r="Q2" s="51"/>
    </row>
  </sheetData>
  <mergeCells count="1">
    <mergeCell ref="N1:O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V122"/>
  <sheetViews>
    <sheetView showFormulas="false" showGridLines="true" showRowColHeaders="true" showZeros="true" rightToLeft="false" tabSelected="false" showOutlineSymbols="true" defaultGridColor="true" view="normal" topLeftCell="A1" colorId="64" zoomScale="60" zoomScaleNormal="60" zoomScalePageLayoutView="100" workbookViewId="0">
      <selection pane="topLeft" activeCell="O7" activeCellId="0" sqref="O7"/>
    </sheetView>
  </sheetViews>
  <sheetFormatPr defaultColWidth="8.8359375" defaultRowHeight="15" zeroHeight="false" outlineLevelRow="0" outlineLevelCol="0"/>
  <cols>
    <col collapsed="false" customWidth="true" hidden="false" outlineLevel="0" max="1" min="1" style="66" width="13.66"/>
    <col collapsed="false" customWidth="true" hidden="false" outlineLevel="0" max="2" min="2" style="67" width="10.33"/>
    <col collapsed="false" customWidth="true" hidden="false" outlineLevel="0" max="4" min="3" style="68" width="18.17"/>
    <col collapsed="false" customWidth="true" hidden="false" outlineLevel="0" max="6" min="5" style="68" width="14"/>
    <col collapsed="false" customWidth="true" hidden="false" outlineLevel="0" max="7" min="7" style="66" width="13.51"/>
    <col collapsed="false" customWidth="true" hidden="false" outlineLevel="0" max="8" min="8" style="69" width="13.83"/>
    <col collapsed="false" customWidth="true" hidden="false" outlineLevel="0" max="10" min="9" style="70" width="14.33"/>
    <col collapsed="false" customWidth="true" hidden="false" outlineLevel="0" max="11" min="11" style="71" width="12.33"/>
    <col collapsed="false" customWidth="true" hidden="false" outlineLevel="0" max="12" min="12" style="70" width="12.17"/>
    <col collapsed="false" customWidth="true" hidden="false" outlineLevel="0" max="13" min="13" style="70" width="9.83"/>
    <col collapsed="false" customWidth="true" hidden="false" outlineLevel="0" max="14" min="14" style="70" width="18.5"/>
    <col collapsed="false" customWidth="true" hidden="false" outlineLevel="0" max="15" min="15" style="70" width="17.83"/>
    <col collapsed="false" customWidth="true" hidden="false" outlineLevel="0" max="16" min="16" style="70" width="13.83"/>
    <col collapsed="false" customWidth="true" hidden="false" outlineLevel="0" max="17" min="17" style="70" width="12.66"/>
    <col collapsed="false" customWidth="true" hidden="false" outlineLevel="0" max="18" min="18" style="70" width="12.83"/>
    <col collapsed="false" customWidth="true" hidden="false" outlineLevel="0" max="19" min="19" style="70" width="12.17"/>
  </cols>
  <sheetData>
    <row r="1" customFormat="false" ht="48" hidden="false" customHeight="false" outlineLevel="0" collapsed="false">
      <c r="A1" s="41" t="s">
        <v>25</v>
      </c>
      <c r="B1" s="72" t="s">
        <v>26</v>
      </c>
      <c r="C1" s="73" t="s">
        <v>27</v>
      </c>
      <c r="D1" s="73" t="s">
        <v>28</v>
      </c>
      <c r="E1" s="73" t="s">
        <v>29</v>
      </c>
      <c r="F1" s="73" t="s">
        <v>29</v>
      </c>
      <c r="G1" s="73" t="s">
        <v>30</v>
      </c>
      <c r="H1" s="74" t="s">
        <v>31</v>
      </c>
      <c r="I1" s="75" t="s">
        <v>32</v>
      </c>
      <c r="J1" s="76" t="s">
        <v>3</v>
      </c>
      <c r="L1" s="77" t="s">
        <v>33</v>
      </c>
      <c r="M1" s="78" t="s">
        <v>34</v>
      </c>
      <c r="N1" s="79" t="s">
        <v>27</v>
      </c>
      <c r="O1" s="79" t="s">
        <v>28</v>
      </c>
      <c r="P1" s="79" t="s">
        <v>29</v>
      </c>
      <c r="Q1" s="79" t="s">
        <v>30</v>
      </c>
      <c r="R1" s="80" t="s">
        <v>31</v>
      </c>
      <c r="S1" s="79" t="s">
        <v>35</v>
      </c>
    </row>
    <row r="2" customFormat="false" ht="15" hidden="false" customHeight="false" outlineLevel="0" collapsed="false">
      <c r="A2" s="81" t="n">
        <v>45078</v>
      </c>
      <c r="B2" s="81" t="s">
        <v>36</v>
      </c>
      <c r="C2" s="82"/>
      <c r="D2" s="82"/>
      <c r="E2" s="82"/>
      <c r="F2" s="82"/>
      <c r="G2" s="83"/>
      <c r="H2" s="84"/>
      <c r="I2" s="85"/>
      <c r="J2" s="86"/>
      <c r="K2" s="87"/>
      <c r="L2" s="88"/>
      <c r="M2" s="81" t="s">
        <v>37</v>
      </c>
      <c r="N2" s="82"/>
      <c r="O2" s="82"/>
      <c r="P2" s="82"/>
      <c r="Q2" s="83"/>
      <c r="R2" s="84"/>
      <c r="S2" s="85"/>
    </row>
    <row r="3" customFormat="false" ht="15.75" hidden="false" customHeight="false" outlineLevel="0" collapsed="false">
      <c r="A3" s="89" t="n">
        <v>0.423611111111111</v>
      </c>
      <c r="B3" s="90" t="s">
        <v>38</v>
      </c>
      <c r="C3" s="75" t="n">
        <v>47699560</v>
      </c>
      <c r="D3" s="75" t="n">
        <v>47710600</v>
      </c>
      <c r="E3" s="91" t="n">
        <f aca="false">SUM(D3-C3)</f>
        <v>11040</v>
      </c>
      <c r="F3" s="92" t="n">
        <v>11020</v>
      </c>
      <c r="G3" s="41" t="n">
        <v>0.8405</v>
      </c>
      <c r="H3" s="93" t="n">
        <f aca="false">SUM(G3*F3)</f>
        <v>9262.31</v>
      </c>
      <c r="I3" s="29" t="n">
        <v>237</v>
      </c>
      <c r="J3" s="29" t="n">
        <v>6192</v>
      </c>
      <c r="K3" s="94" t="s">
        <v>18</v>
      </c>
      <c r="L3" s="95" t="n">
        <v>0.416666666666667</v>
      </c>
      <c r="M3" s="96" t="s">
        <v>39</v>
      </c>
      <c r="N3" s="97" t="n">
        <v>7618780</v>
      </c>
      <c r="O3" s="98" t="n">
        <v>7618910</v>
      </c>
      <c r="P3" s="99" t="n">
        <f aca="false">SUM(O3-N3)</f>
        <v>130</v>
      </c>
      <c r="Q3" s="100" t="n">
        <v>0.8402</v>
      </c>
      <c r="R3" s="101" t="n">
        <f aca="false">SUM(Q3*P3)</f>
        <v>109.226</v>
      </c>
      <c r="S3" s="102" t="s">
        <v>40</v>
      </c>
      <c r="V3" s="0" t="s">
        <v>41</v>
      </c>
    </row>
    <row r="4" customFormat="false" ht="15.75" hidden="false" customHeight="false" outlineLevel="0" collapsed="false">
      <c r="A4" s="89" t="n">
        <v>0.440972222222222</v>
      </c>
      <c r="B4" s="90" t="s">
        <v>38</v>
      </c>
      <c r="C4" s="97" t="n">
        <f aca="false">SUM(D3)</f>
        <v>47710600</v>
      </c>
      <c r="D4" s="75" t="n">
        <v>47719770</v>
      </c>
      <c r="E4" s="91" t="n">
        <f aca="false">SUM(D4-C4)</f>
        <v>9170</v>
      </c>
      <c r="F4" s="103" t="n">
        <v>9161</v>
      </c>
      <c r="G4" s="41" t="n">
        <v>0.8405</v>
      </c>
      <c r="H4" s="93" t="n">
        <f aca="false">SUM(G4*F4)</f>
        <v>7699.8205</v>
      </c>
      <c r="I4" s="29" t="n">
        <v>787</v>
      </c>
      <c r="J4" s="29" t="n">
        <v>6195</v>
      </c>
      <c r="K4" s="94" t="s">
        <v>18</v>
      </c>
      <c r="L4" s="95" t="n">
        <v>0.475694444444444</v>
      </c>
      <c r="M4" s="104" t="s">
        <v>38</v>
      </c>
      <c r="N4" s="99" t="n">
        <f aca="false">SUM(O3)</f>
        <v>7618910</v>
      </c>
      <c r="O4" s="98" t="n">
        <v>7619120</v>
      </c>
      <c r="P4" s="99" t="n">
        <f aca="false">SUM(O4-N4)</f>
        <v>210</v>
      </c>
      <c r="Q4" s="105" t="n">
        <v>0.8405</v>
      </c>
      <c r="R4" s="101" t="n">
        <f aca="false">SUM(Q4*P4)</f>
        <v>176.505</v>
      </c>
      <c r="S4" s="102" t="s">
        <v>42</v>
      </c>
    </row>
    <row r="5" customFormat="false" ht="15.75" hidden="false" customHeight="false" outlineLevel="0" collapsed="false">
      <c r="A5" s="89" t="n">
        <v>0.440972222222222</v>
      </c>
      <c r="B5" s="90" t="s">
        <v>38</v>
      </c>
      <c r="C5" s="97" t="n">
        <f aca="false">SUM(D4)</f>
        <v>47719770</v>
      </c>
      <c r="D5" s="75" t="n">
        <v>47728860</v>
      </c>
      <c r="E5" s="91" t="n">
        <f aca="false">SUM(D5-C5)</f>
        <v>9090</v>
      </c>
      <c r="F5" s="103" t="n">
        <v>9080</v>
      </c>
      <c r="G5" s="41" t="n">
        <v>0.8405</v>
      </c>
      <c r="H5" s="93" t="n">
        <f aca="false">SUM(G5*F5)</f>
        <v>7631.74</v>
      </c>
      <c r="I5" s="29" t="n">
        <v>787</v>
      </c>
      <c r="J5" s="29" t="n">
        <v>6196</v>
      </c>
      <c r="K5" s="94" t="s">
        <v>18</v>
      </c>
      <c r="L5" s="95" t="n">
        <v>0.520833333333333</v>
      </c>
      <c r="M5" s="104" t="s">
        <v>39</v>
      </c>
      <c r="N5" s="99" t="n">
        <f aca="false">SUM(O4)</f>
        <v>7619120</v>
      </c>
      <c r="O5" s="98" t="n">
        <v>7619430</v>
      </c>
      <c r="P5" s="99" t="n">
        <f aca="false">SUM(O5-N5)</f>
        <v>310</v>
      </c>
      <c r="Q5" s="100" t="n">
        <v>0.8412</v>
      </c>
      <c r="R5" s="101" t="n">
        <f aca="false">SUM(Q5*P5)</f>
        <v>260.772</v>
      </c>
      <c r="S5" s="102" t="s">
        <v>43</v>
      </c>
    </row>
    <row r="6" customFormat="false" ht="15.75" hidden="false" customHeight="false" outlineLevel="0" collapsed="false">
      <c r="A6" s="89" t="n">
        <v>0.454861111111111</v>
      </c>
      <c r="B6" s="90" t="s">
        <v>44</v>
      </c>
      <c r="C6" s="97" t="n">
        <f aca="false">SUM(D5)</f>
        <v>47728860</v>
      </c>
      <c r="D6" s="75" t="n">
        <v>47745890</v>
      </c>
      <c r="E6" s="91" t="n">
        <f aca="false">SUM(D6-C6)</f>
        <v>17030</v>
      </c>
      <c r="F6" s="106" t="n">
        <v>17019</v>
      </c>
      <c r="G6" s="41" t="n">
        <v>0.8382</v>
      </c>
      <c r="H6" s="93" t="n">
        <f aca="false">SUM(G6*F6)</f>
        <v>14265.3258</v>
      </c>
      <c r="I6" s="29" t="n">
        <v>251</v>
      </c>
      <c r="J6" s="29" t="n">
        <v>6197</v>
      </c>
      <c r="K6" s="94" t="s">
        <v>18</v>
      </c>
      <c r="L6" s="95" t="n">
        <v>0.0416666666666667</v>
      </c>
      <c r="M6" s="104" t="s">
        <v>38</v>
      </c>
      <c r="N6" s="99" t="n">
        <f aca="false">SUM(O5)</f>
        <v>7619430</v>
      </c>
      <c r="O6" s="98" t="n">
        <v>7619650</v>
      </c>
      <c r="P6" s="99" t="n">
        <f aca="false">SUM(O6-N6)</f>
        <v>220</v>
      </c>
      <c r="Q6" s="41" t="n">
        <v>0.8375</v>
      </c>
      <c r="R6" s="101" t="n">
        <f aca="false">SUM(Q6*P6)</f>
        <v>184.25</v>
      </c>
      <c r="S6" s="102" t="s">
        <v>45</v>
      </c>
    </row>
    <row r="7" customFormat="false" ht="15.75" hidden="false" customHeight="false" outlineLevel="0" collapsed="false">
      <c r="A7" s="89" t="n">
        <v>0.479166666666667</v>
      </c>
      <c r="B7" s="90" t="s">
        <v>44</v>
      </c>
      <c r="C7" s="97" t="n">
        <f aca="false">SUM(D6)</f>
        <v>47745890</v>
      </c>
      <c r="D7" s="75" t="n">
        <v>47754140</v>
      </c>
      <c r="E7" s="91" t="n">
        <f aca="false">SUM(D7-C7)</f>
        <v>8250</v>
      </c>
      <c r="F7" s="92" t="n">
        <f aca="false">SUM(D7-C7)</f>
        <v>8250</v>
      </c>
      <c r="G7" s="41" t="n">
        <v>0.8382</v>
      </c>
      <c r="H7" s="93" t="n">
        <f aca="false">SUM(G7*F7)</f>
        <v>6915.15</v>
      </c>
      <c r="I7" s="29" t="n">
        <v>248</v>
      </c>
      <c r="J7" s="29" t="n">
        <v>6200</v>
      </c>
      <c r="K7" s="94" t="s">
        <v>18</v>
      </c>
      <c r="L7" s="95" t="n">
        <v>0.0625</v>
      </c>
      <c r="M7" s="104" t="s">
        <v>46</v>
      </c>
      <c r="N7" s="99" t="n">
        <f aca="false">SUM(O6)</f>
        <v>7619650</v>
      </c>
      <c r="O7" s="98" t="n">
        <v>7619770</v>
      </c>
      <c r="P7" s="99" t="n">
        <f aca="false">SUM(O7-N7)</f>
        <v>120</v>
      </c>
      <c r="Q7" s="41" t="n">
        <v>0.8385</v>
      </c>
      <c r="R7" s="101" t="n">
        <f aca="false">SUM(Q7*P7)</f>
        <v>100.62</v>
      </c>
      <c r="S7" s="102" t="s">
        <v>47</v>
      </c>
    </row>
    <row r="8" customFormat="false" ht="15.75" hidden="false" customHeight="false" outlineLevel="0" collapsed="false">
      <c r="A8" s="89" t="n">
        <v>0.493055555555556</v>
      </c>
      <c r="B8" s="90" t="s">
        <v>44</v>
      </c>
      <c r="C8" s="97" t="n">
        <f aca="false">SUM(D7)</f>
        <v>47754140</v>
      </c>
      <c r="D8" s="75" t="n">
        <v>47755140</v>
      </c>
      <c r="E8" s="91" t="n">
        <f aca="false">SUM(D8-C8)</f>
        <v>1000</v>
      </c>
      <c r="F8" s="92" t="n">
        <f aca="false">SUM(D8-C8)</f>
        <v>1000</v>
      </c>
      <c r="G8" s="41" t="n">
        <v>0.8382</v>
      </c>
      <c r="H8" s="93" t="n">
        <f aca="false">SUM(G8*F8)</f>
        <v>838.2</v>
      </c>
      <c r="I8" s="29" t="n">
        <v>237</v>
      </c>
      <c r="J8" s="29" t="n">
        <v>6201</v>
      </c>
      <c r="K8" s="94" t="s">
        <v>18</v>
      </c>
      <c r="L8" s="95"/>
      <c r="M8" s="96"/>
      <c r="N8" s="99" t="n">
        <f aca="false">SUM(O7)</f>
        <v>7619770</v>
      </c>
      <c r="O8" s="98"/>
      <c r="P8" s="99" t="n">
        <f aca="false">SUM(O8-N8)</f>
        <v>-7619770</v>
      </c>
      <c r="Q8" s="100"/>
      <c r="R8" s="101" t="n">
        <f aca="false">SUM(Q8*P8)</f>
        <v>0</v>
      </c>
      <c r="S8" s="1"/>
    </row>
    <row r="9" customFormat="false" ht="15.75" hidden="false" customHeight="false" outlineLevel="0" collapsed="false">
      <c r="A9" s="89" t="n">
        <v>0.5</v>
      </c>
      <c r="B9" s="90" t="s">
        <v>39</v>
      </c>
      <c r="C9" s="97" t="n">
        <f aca="false">SUM(D8)</f>
        <v>47755140</v>
      </c>
      <c r="D9" s="75" t="n">
        <v>47773410</v>
      </c>
      <c r="E9" s="91" t="n">
        <f aca="false">SUM(D9-C9)</f>
        <v>18270</v>
      </c>
      <c r="F9" s="103" t="n">
        <v>18241</v>
      </c>
      <c r="G9" s="41" t="n">
        <v>0.8412</v>
      </c>
      <c r="H9" s="93" t="n">
        <f aca="false">SUM(G9*F9)</f>
        <v>15344.3292</v>
      </c>
      <c r="I9" s="29" t="n">
        <v>787</v>
      </c>
      <c r="J9" s="29" t="n">
        <v>6202</v>
      </c>
      <c r="K9" s="94" t="s">
        <v>18</v>
      </c>
      <c r="L9" s="95"/>
      <c r="M9" s="96"/>
      <c r="N9" s="99" t="n">
        <f aca="false">SUM(O8)</f>
        <v>0</v>
      </c>
      <c r="O9" s="98"/>
      <c r="P9" s="99" t="n">
        <f aca="false">SUM(O9-N9)</f>
        <v>0</v>
      </c>
      <c r="Q9" s="100"/>
      <c r="R9" s="101" t="n">
        <f aca="false">SUM(Q9*P9)</f>
        <v>0</v>
      </c>
      <c r="S9" s="1"/>
    </row>
    <row r="10" customFormat="false" ht="15.75" hidden="false" customHeight="false" outlineLevel="0" collapsed="false">
      <c r="A10" s="89" t="n">
        <v>0.642361111111111</v>
      </c>
      <c r="B10" s="90" t="s">
        <v>48</v>
      </c>
      <c r="C10" s="97" t="n">
        <f aca="false">SUM(D9)</f>
        <v>47773410</v>
      </c>
      <c r="D10" s="75" t="n">
        <v>47782570</v>
      </c>
      <c r="E10" s="91" t="n">
        <f aca="false">SUM(D10-C10)</f>
        <v>9160</v>
      </c>
      <c r="F10" s="103" t="n">
        <v>9161</v>
      </c>
      <c r="G10" s="41" t="n">
        <v>0.8347</v>
      </c>
      <c r="H10" s="93" t="n">
        <f aca="false">SUM(G10*F10)</f>
        <v>7646.6867</v>
      </c>
      <c r="I10" s="29" t="n">
        <v>787</v>
      </c>
      <c r="J10" s="29" t="n">
        <v>6205</v>
      </c>
      <c r="K10" s="94" t="s">
        <v>18</v>
      </c>
      <c r="L10" s="95"/>
      <c r="M10" s="96"/>
      <c r="N10" s="99" t="n">
        <f aca="false">SUM(O9)</f>
        <v>0</v>
      </c>
      <c r="O10" s="98"/>
      <c r="P10" s="99" t="n">
        <f aca="false">SUM(O10-N10)</f>
        <v>0</v>
      </c>
      <c r="Q10" s="100"/>
      <c r="R10" s="101" t="n">
        <f aca="false">SUM(Q10*P10)</f>
        <v>0</v>
      </c>
      <c r="S10" s="102"/>
    </row>
    <row r="11" customFormat="false" ht="15.75" hidden="false" customHeight="false" outlineLevel="0" collapsed="false">
      <c r="A11" s="89" t="n">
        <v>0.642361111111111</v>
      </c>
      <c r="B11" s="90" t="s">
        <v>48</v>
      </c>
      <c r="C11" s="97" t="n">
        <f aca="false">SUM(D10)</f>
        <v>47782570</v>
      </c>
      <c r="D11" s="75" t="n">
        <v>47791650</v>
      </c>
      <c r="E11" s="91" t="n">
        <f aca="false">SUM(D11-C11)</f>
        <v>9080</v>
      </c>
      <c r="F11" s="103" t="n">
        <v>9080</v>
      </c>
      <c r="G11" s="41" t="n">
        <v>0.8347</v>
      </c>
      <c r="H11" s="93" t="n">
        <f aca="false">SUM(G11*F11)</f>
        <v>7579.076</v>
      </c>
      <c r="I11" s="29" t="n">
        <v>787</v>
      </c>
      <c r="J11" s="29" t="n">
        <v>6206</v>
      </c>
      <c r="K11" s="94" t="s">
        <v>18</v>
      </c>
      <c r="L11" s="95"/>
      <c r="M11" s="96"/>
      <c r="N11" s="99" t="n">
        <f aca="false">SUM(O10)</f>
        <v>0</v>
      </c>
      <c r="O11" s="98"/>
      <c r="P11" s="99" t="n">
        <f aca="false">SUM(O11-N11)</f>
        <v>0</v>
      </c>
      <c r="Q11" s="100"/>
      <c r="R11" s="101" t="n">
        <f aca="false">SUM(Q11*P11)</f>
        <v>0</v>
      </c>
      <c r="S11" s="1"/>
    </row>
    <row r="12" customFormat="false" ht="15.75" hidden="false" customHeight="false" outlineLevel="0" collapsed="false">
      <c r="A12" s="89" t="n">
        <v>0.694444444444444</v>
      </c>
      <c r="B12" s="90" t="s">
        <v>48</v>
      </c>
      <c r="C12" s="97" t="n">
        <f aca="false">SUM(D11)</f>
        <v>47791650</v>
      </c>
      <c r="D12" s="75" t="n">
        <v>47800810</v>
      </c>
      <c r="E12" s="91" t="n">
        <f aca="false">SUM(D12-C12)</f>
        <v>9160</v>
      </c>
      <c r="F12" s="103" t="n">
        <v>9161</v>
      </c>
      <c r="G12" s="41" t="n">
        <v>0.8352</v>
      </c>
      <c r="H12" s="93" t="n">
        <f aca="false">SUM(G12*F12)</f>
        <v>7651.2672</v>
      </c>
      <c r="I12" s="29" t="n">
        <v>787</v>
      </c>
      <c r="J12" s="29" t="n">
        <v>6207</v>
      </c>
      <c r="K12" s="94" t="s">
        <v>18</v>
      </c>
      <c r="L12" s="95"/>
      <c r="M12" s="96"/>
      <c r="N12" s="99" t="n">
        <f aca="false">SUM(O11)</f>
        <v>0</v>
      </c>
      <c r="O12" s="98"/>
      <c r="P12" s="99" t="n">
        <f aca="false">SUM(O12-N12)</f>
        <v>0</v>
      </c>
      <c r="Q12" s="100"/>
      <c r="R12" s="101" t="n">
        <f aca="false">SUM(Q12*P12)</f>
        <v>0</v>
      </c>
      <c r="S12" s="1"/>
    </row>
    <row r="13" customFormat="false" ht="15.75" hidden="false" customHeight="false" outlineLevel="0" collapsed="false">
      <c r="A13" s="89" t="n">
        <v>0.694444444444444</v>
      </c>
      <c r="B13" s="90" t="s">
        <v>44</v>
      </c>
      <c r="C13" s="97" t="n">
        <f aca="false">SUM(D12)</f>
        <v>47800810</v>
      </c>
      <c r="D13" s="75" t="n">
        <v>47809900</v>
      </c>
      <c r="E13" s="91" t="n">
        <f aca="false">SUM(D13-C13)</f>
        <v>9090</v>
      </c>
      <c r="F13" s="103" t="n">
        <v>9080</v>
      </c>
      <c r="G13" s="41" t="n">
        <v>0.8352</v>
      </c>
      <c r="H13" s="93" t="n">
        <f aca="false">SUM(G13*F13)</f>
        <v>7583.616</v>
      </c>
      <c r="I13" s="29" t="n">
        <v>787</v>
      </c>
      <c r="J13" s="29" t="n">
        <v>6207</v>
      </c>
      <c r="K13" s="94" t="s">
        <v>18</v>
      </c>
      <c r="L13" s="95"/>
      <c r="M13" s="96"/>
      <c r="N13" s="99" t="n">
        <f aca="false">SUM(O12)</f>
        <v>0</v>
      </c>
      <c r="O13" s="98"/>
      <c r="P13" s="99" t="n">
        <f aca="false">SUM(O13-N13)</f>
        <v>0</v>
      </c>
      <c r="Q13" s="100"/>
      <c r="R13" s="101" t="n">
        <f aca="false">SUM(Q13*P13)</f>
        <v>0</v>
      </c>
      <c r="S13" s="1"/>
    </row>
    <row r="14" customFormat="false" ht="15.75" hidden="false" customHeight="false" outlineLevel="0" collapsed="false">
      <c r="A14" s="89" t="n">
        <v>0.746527777777778</v>
      </c>
      <c r="B14" s="90" t="s">
        <v>38</v>
      </c>
      <c r="C14" s="97" t="n">
        <f aca="false">SUM(D13)</f>
        <v>47809900</v>
      </c>
      <c r="D14" s="75" t="n">
        <v>47828140</v>
      </c>
      <c r="E14" s="91" t="n">
        <f aca="false">SUM(D14-C14)</f>
        <v>18240</v>
      </c>
      <c r="F14" s="103" t="n">
        <v>18241</v>
      </c>
      <c r="G14" s="41" t="n">
        <v>0.8365</v>
      </c>
      <c r="H14" s="93" t="n">
        <f aca="false">SUM(G14*F14)</f>
        <v>15258.5965</v>
      </c>
      <c r="I14" s="29" t="n">
        <v>787</v>
      </c>
      <c r="J14" s="29" t="n">
        <v>6209</v>
      </c>
      <c r="K14" s="94" t="s">
        <v>18</v>
      </c>
      <c r="L14" s="95"/>
      <c r="M14" s="96"/>
      <c r="N14" s="99" t="n">
        <f aca="false">SUM(O13)</f>
        <v>0</v>
      </c>
      <c r="O14" s="98"/>
      <c r="P14" s="99" t="n">
        <f aca="false">SUM(O14-N14)</f>
        <v>0</v>
      </c>
      <c r="Q14" s="100"/>
      <c r="R14" s="101" t="n">
        <f aca="false">SUM(Q14*P14)</f>
        <v>0</v>
      </c>
      <c r="S14" s="1"/>
    </row>
    <row r="15" customFormat="false" ht="15.75" hidden="false" customHeight="false" outlineLevel="0" collapsed="false">
      <c r="A15" s="89" t="n">
        <v>0.8125</v>
      </c>
      <c r="B15" s="90" t="s">
        <v>38</v>
      </c>
      <c r="C15" s="97" t="n">
        <f aca="false">SUM(D14)</f>
        <v>47828140</v>
      </c>
      <c r="D15" s="75" t="n">
        <v>47846380</v>
      </c>
      <c r="E15" s="91" t="n">
        <f aca="false">SUM(D15-C15)</f>
        <v>18240</v>
      </c>
      <c r="F15" s="103" t="n">
        <v>18241</v>
      </c>
      <c r="G15" s="41" t="n">
        <v>0.8365</v>
      </c>
      <c r="H15" s="93" t="n">
        <f aca="false">SUM(G15*F15)</f>
        <v>15258.5965</v>
      </c>
      <c r="I15" s="29" t="n">
        <v>787</v>
      </c>
      <c r="J15" s="29" t="n">
        <v>6213</v>
      </c>
      <c r="K15" s="94" t="s">
        <v>18</v>
      </c>
      <c r="L15" s="95"/>
      <c r="M15" s="96"/>
      <c r="N15" s="99" t="n">
        <f aca="false">SUM(O14)</f>
        <v>0</v>
      </c>
      <c r="O15" s="98"/>
      <c r="P15" s="99" t="n">
        <f aca="false">SUM(O15-N15)</f>
        <v>0</v>
      </c>
      <c r="Q15" s="100"/>
      <c r="R15" s="101" t="n">
        <f aca="false">SUM(Q15*P15)</f>
        <v>0</v>
      </c>
      <c r="S15" s="1"/>
    </row>
    <row r="16" customFormat="false" ht="15.75" hidden="false" customHeight="false" outlineLevel="0" collapsed="false">
      <c r="A16" s="89" t="n">
        <v>0.888888888888889</v>
      </c>
      <c r="B16" s="90" t="s">
        <v>46</v>
      </c>
      <c r="C16" s="97" t="n">
        <f aca="false">SUM(D15)</f>
        <v>47846380</v>
      </c>
      <c r="D16" s="75" t="n">
        <v>47854850</v>
      </c>
      <c r="E16" s="91" t="n">
        <f aca="false">SUM(D16-C16)</f>
        <v>8470</v>
      </c>
      <c r="F16" s="92" t="n">
        <f aca="false">SUM(D16-C16)</f>
        <v>8470</v>
      </c>
      <c r="G16" s="41" t="n">
        <v>0.8335</v>
      </c>
      <c r="H16" s="93" t="n">
        <f aca="false">SUM(G16*F16)</f>
        <v>7059.745</v>
      </c>
      <c r="I16" s="29" t="n">
        <v>237</v>
      </c>
      <c r="J16" s="29" t="n">
        <v>6215</v>
      </c>
      <c r="K16" s="94" t="s">
        <v>18</v>
      </c>
      <c r="L16" s="95"/>
      <c r="M16" s="104"/>
      <c r="N16" s="99" t="n">
        <f aca="false">SUM(O15)</f>
        <v>0</v>
      </c>
      <c r="O16" s="98"/>
      <c r="P16" s="99" t="n">
        <f aca="false">SUM(O16-N16)</f>
        <v>0</v>
      </c>
      <c r="Q16" s="41"/>
      <c r="R16" s="101" t="n">
        <f aca="false">SUM(Q16*P16)</f>
        <v>0</v>
      </c>
      <c r="S16" s="102"/>
    </row>
    <row r="17" customFormat="false" ht="15.75" hidden="false" customHeight="false" outlineLevel="0" collapsed="false">
      <c r="A17" s="89" t="n">
        <v>0.902777777777778</v>
      </c>
      <c r="B17" s="90" t="s">
        <v>46</v>
      </c>
      <c r="C17" s="97" t="n">
        <f aca="false">SUM(D16)</f>
        <v>47854850</v>
      </c>
      <c r="D17" s="75" t="n">
        <v>47864830</v>
      </c>
      <c r="E17" s="91" t="n">
        <f aca="false">SUM(D17-C17)</f>
        <v>9980</v>
      </c>
      <c r="F17" s="106" t="n">
        <v>9986</v>
      </c>
      <c r="G17" s="41" t="n">
        <v>0.8335</v>
      </c>
      <c r="H17" s="93" t="n">
        <f aca="false">SUM(G17*F17)</f>
        <v>8323.331</v>
      </c>
      <c r="I17" s="29" t="n">
        <v>251</v>
      </c>
      <c r="J17" s="29" t="n">
        <v>6217</v>
      </c>
      <c r="K17" s="94" t="s">
        <v>18</v>
      </c>
      <c r="L17" s="88"/>
      <c r="M17" s="88" t="s">
        <v>49</v>
      </c>
      <c r="N17" s="82"/>
      <c r="O17" s="82"/>
      <c r="P17" s="82"/>
      <c r="Q17" s="83"/>
      <c r="R17" s="84"/>
      <c r="S17" s="85"/>
    </row>
    <row r="18" customFormat="false" ht="15.75" hidden="false" customHeight="false" outlineLevel="0" collapsed="false">
      <c r="A18" s="89" t="n">
        <v>0.913194444444444</v>
      </c>
      <c r="B18" s="90" t="s">
        <v>46</v>
      </c>
      <c r="C18" s="97" t="n">
        <f aca="false">SUM(D17)</f>
        <v>47864830</v>
      </c>
      <c r="D18" s="75" t="n">
        <v>47873890</v>
      </c>
      <c r="E18" s="91" t="n">
        <f aca="false">SUM(D18-C18)</f>
        <v>9060</v>
      </c>
      <c r="F18" s="103" t="n">
        <v>9161</v>
      </c>
      <c r="G18" s="41" t="n">
        <v>0.8348</v>
      </c>
      <c r="H18" s="93" t="n">
        <f aca="false">SUM(G18*F18)</f>
        <v>7647.6028</v>
      </c>
      <c r="I18" s="29" t="n">
        <v>787</v>
      </c>
      <c r="J18" s="29" t="n">
        <v>6218</v>
      </c>
      <c r="K18" s="94" t="s">
        <v>18</v>
      </c>
      <c r="L18" s="95" t="n">
        <v>0.597222222222222</v>
      </c>
      <c r="M18" s="104" t="s">
        <v>50</v>
      </c>
      <c r="N18" s="107" t="n">
        <v>3562620</v>
      </c>
      <c r="O18" s="98" t="n">
        <v>3562720</v>
      </c>
      <c r="P18" s="108" t="n">
        <f aca="false">SUM(O18-N18)</f>
        <v>100</v>
      </c>
      <c r="Q18" s="41" t="n">
        <v>0.8424</v>
      </c>
      <c r="R18" s="93" t="n">
        <f aca="false">SUM(Q18*P18)</f>
        <v>84.24</v>
      </c>
      <c r="S18" s="102" t="s">
        <v>51</v>
      </c>
      <c r="T18" s="0" t="s">
        <v>41</v>
      </c>
    </row>
    <row r="19" customFormat="false" ht="15.75" hidden="false" customHeight="false" outlineLevel="0" collapsed="false">
      <c r="A19" s="89" t="n">
        <v>0.913194444444444</v>
      </c>
      <c r="B19" s="90" t="s">
        <v>46</v>
      </c>
      <c r="C19" s="97" t="n">
        <f aca="false">SUM(D18)</f>
        <v>47873890</v>
      </c>
      <c r="D19" s="75" t="n">
        <v>47883080</v>
      </c>
      <c r="E19" s="91" t="n">
        <f aca="false">SUM(D19-C19)</f>
        <v>9190</v>
      </c>
      <c r="F19" s="103" t="n">
        <v>9080</v>
      </c>
      <c r="G19" s="41" t="n">
        <v>0.8348</v>
      </c>
      <c r="H19" s="93" t="n">
        <f aca="false">SUM(G19*F19)</f>
        <v>7579.984</v>
      </c>
      <c r="I19" s="29" t="n">
        <v>787</v>
      </c>
      <c r="J19" s="29" t="n">
        <v>6219</v>
      </c>
      <c r="K19" s="94" t="s">
        <v>18</v>
      </c>
      <c r="L19" s="95" t="n">
        <v>0.833333333333333</v>
      </c>
      <c r="M19" s="104" t="s">
        <v>52</v>
      </c>
      <c r="N19" s="107" t="n">
        <v>3636360</v>
      </c>
      <c r="O19" s="98" t="n">
        <v>3636470</v>
      </c>
      <c r="P19" s="108" t="n">
        <f aca="false">SUM(O19-N19)</f>
        <v>110</v>
      </c>
      <c r="Q19" s="41" t="n">
        <v>0.8385</v>
      </c>
      <c r="R19" s="93" t="n">
        <f aca="false">SUM(Q19*P19)</f>
        <v>92.235</v>
      </c>
      <c r="S19" s="102" t="s">
        <v>53</v>
      </c>
    </row>
    <row r="20" customFormat="false" ht="15.75" hidden="false" customHeight="false" outlineLevel="0" collapsed="false">
      <c r="A20" s="89" t="n">
        <v>0.96875</v>
      </c>
      <c r="B20" s="90" t="s">
        <v>46</v>
      </c>
      <c r="C20" s="97" t="n">
        <f aca="false">SUM(D19)</f>
        <v>47883080</v>
      </c>
      <c r="D20" s="75" t="n">
        <v>47892240</v>
      </c>
      <c r="E20" s="91" t="n">
        <f aca="false">SUM(D20-C20)</f>
        <v>9160</v>
      </c>
      <c r="F20" s="103" t="n">
        <v>9161</v>
      </c>
      <c r="G20" s="41" t="n">
        <v>0.8348</v>
      </c>
      <c r="H20" s="93" t="n">
        <f aca="false">SUM(G20*F20)</f>
        <v>7647.6028</v>
      </c>
      <c r="I20" s="1" t="n">
        <v>787</v>
      </c>
      <c r="J20" s="29" t="n">
        <v>6223</v>
      </c>
      <c r="K20" s="94" t="s">
        <v>18</v>
      </c>
      <c r="L20" s="95"/>
      <c r="M20" s="104"/>
      <c r="N20" s="97" t="n">
        <f aca="false">SUM(O19)</f>
        <v>3636470</v>
      </c>
      <c r="O20" s="98"/>
      <c r="P20" s="108" t="n">
        <f aca="false">SUM(O20-N20)</f>
        <v>-3636470</v>
      </c>
      <c r="Q20" s="41"/>
      <c r="R20" s="93" t="n">
        <f aca="false">SUM(Q20*P20)</f>
        <v>0</v>
      </c>
      <c r="S20" s="102"/>
    </row>
    <row r="21" customFormat="false" ht="15.75" hidden="false" customHeight="false" outlineLevel="0" collapsed="false">
      <c r="A21" s="89" t="n">
        <v>0.975694444444444</v>
      </c>
      <c r="B21" s="90" t="s">
        <v>46</v>
      </c>
      <c r="C21" s="97" t="n">
        <f aca="false">SUM(D20)</f>
        <v>47892240</v>
      </c>
      <c r="D21" s="75" t="n">
        <v>47909260</v>
      </c>
      <c r="E21" s="91" t="n">
        <f aca="false">SUM(D21-C21)</f>
        <v>17020</v>
      </c>
      <c r="F21" s="106" t="n">
        <v>17019</v>
      </c>
      <c r="G21" s="41" t="n">
        <v>0.8348</v>
      </c>
      <c r="H21" s="93" t="n">
        <f aca="false">SUM(G21*F21)</f>
        <v>14207.4612</v>
      </c>
      <c r="I21" s="1" t="n">
        <v>251</v>
      </c>
      <c r="J21" s="29" t="n">
        <v>6224</v>
      </c>
      <c r="K21" s="94" t="s">
        <v>18</v>
      </c>
      <c r="L21" s="95"/>
      <c r="M21" s="104"/>
      <c r="N21" s="97" t="n">
        <f aca="false">SUM(O20)</f>
        <v>0</v>
      </c>
      <c r="O21" s="98"/>
      <c r="P21" s="108" t="n">
        <f aca="false">SUM(O21-N21)</f>
        <v>0</v>
      </c>
      <c r="Q21" s="41"/>
      <c r="R21" s="93" t="n">
        <f aca="false">SUM(Q21*P21)</f>
        <v>0</v>
      </c>
      <c r="S21" s="102"/>
    </row>
    <row r="22" customFormat="false" ht="15.75" hidden="false" customHeight="false" outlineLevel="0" collapsed="false">
      <c r="A22" s="89" t="n">
        <v>0.00694444444444444</v>
      </c>
      <c r="B22" s="90" t="s">
        <v>38</v>
      </c>
      <c r="C22" s="97" t="n">
        <f aca="false">SUM(D21)</f>
        <v>47909260</v>
      </c>
      <c r="D22" s="75" t="n">
        <v>47927500</v>
      </c>
      <c r="E22" s="91" t="n">
        <f aca="false">SUM(D22-C22)</f>
        <v>18240</v>
      </c>
      <c r="F22" s="103" t="n">
        <v>18241</v>
      </c>
      <c r="G22" s="41" t="n">
        <v>0.8375</v>
      </c>
      <c r="H22" s="93" t="n">
        <f aca="false">SUM(G22*F22)</f>
        <v>15276.8375</v>
      </c>
      <c r="I22" s="1" t="n">
        <v>787</v>
      </c>
      <c r="J22" s="29" t="n">
        <v>6225</v>
      </c>
      <c r="K22" s="94" t="s">
        <v>18</v>
      </c>
      <c r="L22" s="95"/>
      <c r="M22" s="104"/>
      <c r="N22" s="97" t="n">
        <f aca="false">SUM(O21)</f>
        <v>0</v>
      </c>
      <c r="O22" s="98"/>
      <c r="P22" s="108" t="n">
        <f aca="false">SUM(O22-N22)</f>
        <v>0</v>
      </c>
      <c r="Q22" s="41"/>
      <c r="R22" s="93" t="n">
        <f aca="false">SUM(Q22*P22)</f>
        <v>0</v>
      </c>
      <c r="S22" s="102"/>
    </row>
    <row r="23" customFormat="false" ht="15.75" hidden="false" customHeight="false" outlineLevel="0" collapsed="false">
      <c r="A23" s="89" t="n">
        <v>0.229166666666667</v>
      </c>
      <c r="B23" s="90" t="s">
        <v>46</v>
      </c>
      <c r="C23" s="97" t="n">
        <f aca="false">SUM(D22)</f>
        <v>47927500</v>
      </c>
      <c r="D23" s="75" t="n">
        <v>47945760</v>
      </c>
      <c r="E23" s="91" t="n">
        <f aca="false">SUM(D23-C23)</f>
        <v>18260</v>
      </c>
      <c r="F23" s="103" t="n">
        <v>18241</v>
      </c>
      <c r="G23" s="41" t="n">
        <v>0.8375</v>
      </c>
      <c r="H23" s="93" t="n">
        <f aca="false">SUM(G23*F23)</f>
        <v>15276.8375</v>
      </c>
      <c r="I23" s="1" t="n">
        <v>787</v>
      </c>
      <c r="J23" s="29" t="n">
        <v>6229</v>
      </c>
      <c r="K23" s="94" t="s">
        <v>18</v>
      </c>
      <c r="L23" s="95"/>
      <c r="M23" s="104"/>
      <c r="N23" s="97" t="n">
        <f aca="false">SUM(O22)</f>
        <v>0</v>
      </c>
      <c r="O23" s="98"/>
      <c r="P23" s="108" t="n">
        <f aca="false">SUM(O23-N23)</f>
        <v>0</v>
      </c>
      <c r="Q23" s="41"/>
      <c r="R23" s="93" t="n">
        <f aca="false">SUM(Q23*P23)</f>
        <v>0</v>
      </c>
      <c r="S23" s="102"/>
    </row>
    <row r="24" customFormat="false" ht="15.75" hidden="false" customHeight="false" outlineLevel="0" collapsed="false">
      <c r="A24" s="89" t="n">
        <v>0.274305555555555</v>
      </c>
      <c r="B24" s="90" t="s">
        <v>46</v>
      </c>
      <c r="C24" s="97" t="n">
        <f aca="false">SUM(D23)</f>
        <v>47945760</v>
      </c>
      <c r="D24" s="75" t="n">
        <v>47954920</v>
      </c>
      <c r="E24" s="91" t="n">
        <f aca="false">SUM(D24-C24)</f>
        <v>9160</v>
      </c>
      <c r="F24" s="103" t="n">
        <v>9161</v>
      </c>
      <c r="G24" s="41" t="n">
        <v>0.8387</v>
      </c>
      <c r="H24" s="93" t="n">
        <f aca="false">SUM(G24*F24)</f>
        <v>7683.3307</v>
      </c>
      <c r="I24" s="1" t="n">
        <v>787</v>
      </c>
      <c r="J24" s="29" t="n">
        <v>6231</v>
      </c>
      <c r="K24" s="94" t="s">
        <v>18</v>
      </c>
      <c r="L24" s="95"/>
      <c r="M24" s="104"/>
      <c r="N24" s="97" t="n">
        <f aca="false">SUM(O23)</f>
        <v>0</v>
      </c>
      <c r="O24" s="98"/>
      <c r="P24" s="108" t="n">
        <f aca="false">SUM(O24-N24)</f>
        <v>0</v>
      </c>
      <c r="Q24" s="41"/>
      <c r="R24" s="93" t="n">
        <f aca="false">SUM(Q24*P24)</f>
        <v>0</v>
      </c>
      <c r="S24" s="102"/>
    </row>
    <row r="25" customFormat="false" ht="15.75" hidden="false" customHeight="false" outlineLevel="0" collapsed="false">
      <c r="A25" s="89" t="n">
        <v>0.274305555555555</v>
      </c>
      <c r="B25" s="90" t="s">
        <v>54</v>
      </c>
      <c r="C25" s="97" t="n">
        <f aca="false">SUM(D24)</f>
        <v>47954920</v>
      </c>
      <c r="D25" s="75" t="n">
        <v>47964000</v>
      </c>
      <c r="E25" s="91" t="n">
        <f aca="false">SUM(D25-C25)</f>
        <v>9080</v>
      </c>
      <c r="F25" s="103" t="n">
        <v>9080</v>
      </c>
      <c r="G25" s="41" t="n">
        <v>0.8387</v>
      </c>
      <c r="H25" s="93" t="n">
        <f aca="false">SUM(G25*F25)</f>
        <v>7615.396</v>
      </c>
      <c r="I25" s="1" t="n">
        <v>787</v>
      </c>
      <c r="J25" s="29" t="n">
        <v>6231</v>
      </c>
      <c r="K25" s="94" t="s">
        <v>18</v>
      </c>
      <c r="L25" s="95"/>
      <c r="M25" s="96"/>
      <c r="N25" s="97" t="n">
        <f aca="false">SUM(O24)</f>
        <v>0</v>
      </c>
      <c r="O25" s="98"/>
      <c r="P25" s="108" t="n">
        <f aca="false">SUM(O25-N25)</f>
        <v>0</v>
      </c>
      <c r="Q25" s="100"/>
      <c r="R25" s="93" t="n">
        <f aca="false">SUM(Q25*P25)</f>
        <v>0</v>
      </c>
      <c r="S25" s="1"/>
    </row>
    <row r="26" customFormat="false" ht="15.75" hidden="false" customHeight="false" outlineLevel="0" collapsed="false">
      <c r="A26" s="89" t="n">
        <v>0.305555555555555</v>
      </c>
      <c r="B26" s="90" t="s">
        <v>54</v>
      </c>
      <c r="C26" s="97" t="n">
        <f aca="false">SUM(D25)</f>
        <v>47964000</v>
      </c>
      <c r="D26" s="75" t="n">
        <v>47981030</v>
      </c>
      <c r="E26" s="91" t="n">
        <f aca="false">SUM(D26-C26)</f>
        <v>17030</v>
      </c>
      <c r="F26" s="106" t="n">
        <v>17019</v>
      </c>
      <c r="G26" s="41" t="n">
        <v>0.8395</v>
      </c>
      <c r="H26" s="93" t="n">
        <f aca="false">SUM(G26*F26)</f>
        <v>14287.4505</v>
      </c>
      <c r="I26" s="1" t="n">
        <v>251</v>
      </c>
      <c r="J26" s="29" t="n">
        <v>6232</v>
      </c>
      <c r="K26" s="94" t="s">
        <v>18</v>
      </c>
      <c r="L26" s="95"/>
      <c r="M26" s="96"/>
      <c r="N26" s="97" t="n">
        <f aca="false">SUM(O25)</f>
        <v>0</v>
      </c>
      <c r="O26" s="98"/>
      <c r="P26" s="108" t="n">
        <f aca="false">SUM(O26-N26)</f>
        <v>0</v>
      </c>
      <c r="Q26" s="100"/>
      <c r="R26" s="93" t="n">
        <f aca="false">SUM(Q26*P26)</f>
        <v>0</v>
      </c>
      <c r="S26" s="102"/>
    </row>
    <row r="27" customFormat="false" ht="15.75" hidden="false" customHeight="false" outlineLevel="0" collapsed="false">
      <c r="A27" s="89" t="n">
        <v>0.319444444444444</v>
      </c>
      <c r="B27" s="90" t="s">
        <v>54</v>
      </c>
      <c r="C27" s="97" t="n">
        <f aca="false">SUM(D26)</f>
        <v>47981030</v>
      </c>
      <c r="D27" s="75" t="n">
        <v>47999270</v>
      </c>
      <c r="E27" s="91" t="n">
        <f aca="false">SUM(D27-C27)</f>
        <v>18240</v>
      </c>
      <c r="F27" s="103" t="n">
        <v>18241</v>
      </c>
      <c r="G27" s="41" t="n">
        <v>0.8395</v>
      </c>
      <c r="H27" s="93" t="n">
        <f aca="false">SUM(G27*F27)</f>
        <v>15313.3195</v>
      </c>
      <c r="I27" s="1" t="n">
        <v>787</v>
      </c>
      <c r="J27" s="29" t="n">
        <v>6233</v>
      </c>
      <c r="K27" s="94" t="s">
        <v>18</v>
      </c>
      <c r="L27" s="95"/>
      <c r="M27" s="96"/>
      <c r="N27" s="97" t="n">
        <f aca="false">SUM(O26)</f>
        <v>0</v>
      </c>
      <c r="O27" s="98"/>
      <c r="P27" s="108" t="n">
        <f aca="false">SUM(O27-N27)</f>
        <v>0</v>
      </c>
      <c r="Q27" s="100"/>
      <c r="R27" s="93" t="n">
        <f aca="false">SUM(Q27*P27)</f>
        <v>0</v>
      </c>
      <c r="S27" s="1"/>
    </row>
    <row r="28" customFormat="false" ht="15" hidden="false" customHeight="false" outlineLevel="0" collapsed="false">
      <c r="A28" s="89"/>
      <c r="B28" s="90"/>
      <c r="C28" s="97"/>
      <c r="D28" s="75"/>
      <c r="E28" s="91" t="n">
        <f aca="false">SUM(D28-C28)</f>
        <v>0</v>
      </c>
      <c r="F28" s="108" t="n">
        <f aca="false">SUM(D28-C28)</f>
        <v>0</v>
      </c>
      <c r="G28" s="41"/>
      <c r="H28" s="93" t="n">
        <f aca="false">SUM(G28*F28)</f>
        <v>0</v>
      </c>
      <c r="I28" s="1"/>
      <c r="J28" s="29"/>
      <c r="K28" s="94"/>
      <c r="L28" s="95"/>
      <c r="M28" s="96"/>
      <c r="N28" s="97" t="n">
        <f aca="false">SUM(O27)</f>
        <v>0</v>
      </c>
      <c r="O28" s="98"/>
      <c r="P28" s="108" t="n">
        <f aca="false">SUM(O28-N28)</f>
        <v>0</v>
      </c>
      <c r="Q28" s="100"/>
      <c r="R28" s="93" t="n">
        <f aca="false">SUM(Q28*P28)</f>
        <v>0</v>
      </c>
      <c r="S28" s="1"/>
    </row>
    <row r="29" customFormat="false" ht="15" hidden="false" customHeight="false" outlineLevel="0" collapsed="false">
      <c r="A29" s="89"/>
      <c r="B29" s="90"/>
      <c r="C29" s="97" t="n">
        <f aca="false">SUM(D28)</f>
        <v>0</v>
      </c>
      <c r="D29" s="75"/>
      <c r="E29" s="91" t="n">
        <f aca="false">SUM(D29-C29)</f>
        <v>0</v>
      </c>
      <c r="F29" s="108" t="n">
        <f aca="false">SUM(D29-C29)</f>
        <v>0</v>
      </c>
      <c r="G29" s="41"/>
      <c r="H29" s="93" t="n">
        <f aca="false">SUM(G29*F29)</f>
        <v>0</v>
      </c>
      <c r="I29" s="1"/>
      <c r="J29" s="1"/>
      <c r="K29" s="94"/>
      <c r="L29" s="95"/>
      <c r="M29" s="96"/>
      <c r="N29" s="97" t="n">
        <f aca="false">SUM(O28)</f>
        <v>0</v>
      </c>
      <c r="O29" s="98"/>
      <c r="P29" s="108" t="n">
        <f aca="false">SUM(O29-N29)</f>
        <v>0</v>
      </c>
      <c r="Q29" s="100"/>
      <c r="R29" s="93" t="n">
        <f aca="false">SUM(Q29*P29)</f>
        <v>0</v>
      </c>
      <c r="S29" s="1"/>
    </row>
    <row r="30" customFormat="false" ht="15" hidden="false" customHeight="false" outlineLevel="0" collapsed="false">
      <c r="A30" s="89"/>
      <c r="B30" s="90"/>
      <c r="C30" s="97" t="n">
        <f aca="false">SUM(D29)</f>
        <v>0</v>
      </c>
      <c r="D30" s="75"/>
      <c r="E30" s="109"/>
      <c r="F30" s="108" t="n">
        <f aca="false">SUM(F3:F29)</f>
        <v>299595</v>
      </c>
      <c r="G30" s="41"/>
      <c r="H30" s="93" t="n">
        <f aca="false">SUM(H3:H29)</f>
        <v>250853.6129</v>
      </c>
      <c r="I30" s="1"/>
      <c r="J30" s="1"/>
      <c r="K30" s="110"/>
      <c r="L30" s="95"/>
      <c r="M30" s="96"/>
      <c r="N30" s="97" t="n">
        <f aca="false">SUM(O29)</f>
        <v>0</v>
      </c>
      <c r="O30" s="98"/>
      <c r="P30" s="108" t="n">
        <f aca="false">SUM(O30-N30)</f>
        <v>0</v>
      </c>
      <c r="Q30" s="100"/>
      <c r="R30" s="93" t="n">
        <f aca="false">SUM(Q30*P30)</f>
        <v>0</v>
      </c>
      <c r="S30" s="1"/>
    </row>
    <row r="31" customFormat="false" ht="15" hidden="false" customHeight="false" outlineLevel="0" collapsed="false">
      <c r="A31" s="88"/>
      <c r="B31" s="81" t="s">
        <v>49</v>
      </c>
      <c r="C31" s="82"/>
      <c r="D31" s="82"/>
      <c r="E31" s="82"/>
      <c r="F31" s="82"/>
      <c r="G31" s="83"/>
      <c r="H31" s="84"/>
      <c r="I31" s="85"/>
      <c r="J31" s="85"/>
      <c r="K31" s="94"/>
      <c r="L31" s="95"/>
      <c r="M31" s="96"/>
      <c r="N31" s="97" t="n">
        <f aca="false">SUM(O30)</f>
        <v>0</v>
      </c>
      <c r="O31" s="98"/>
      <c r="P31" s="108" t="n">
        <f aca="false">SUM(O31-N31)</f>
        <v>0</v>
      </c>
      <c r="Q31" s="100"/>
      <c r="R31" s="93" t="n">
        <f aca="false">SUM(Q31*P31)</f>
        <v>0</v>
      </c>
      <c r="S31" s="1"/>
    </row>
    <row r="32" customFormat="false" ht="15.75" hidden="false" customHeight="false" outlineLevel="0" collapsed="false">
      <c r="A32" s="89" t="n">
        <v>0.423611111111111</v>
      </c>
      <c r="B32" s="90" t="s">
        <v>55</v>
      </c>
      <c r="C32" s="107" t="n">
        <v>3534490</v>
      </c>
      <c r="D32" s="107" t="n">
        <v>3539870</v>
      </c>
      <c r="E32" s="91" t="n">
        <f aca="false">SUM(D32-C32)</f>
        <v>5380</v>
      </c>
      <c r="F32" s="108" t="n">
        <f aca="false">SUM(D32-C32)</f>
        <v>5380</v>
      </c>
      <c r="G32" s="41" t="n">
        <v>0.8262</v>
      </c>
      <c r="H32" s="93" t="n">
        <f aca="false">SUM(G32*F32)</f>
        <v>4444.956</v>
      </c>
      <c r="I32" s="29" t="n">
        <v>382</v>
      </c>
      <c r="J32" s="1" t="n">
        <v>6193</v>
      </c>
      <c r="K32" s="111" t="s">
        <v>56</v>
      </c>
      <c r="L32" s="112"/>
      <c r="M32" s="113"/>
      <c r="N32" s="113"/>
      <c r="O32" s="114"/>
      <c r="P32" s="115"/>
      <c r="Q32" s="116"/>
      <c r="R32" s="62"/>
      <c r="S32" s="62"/>
    </row>
    <row r="33" customFormat="false" ht="15.75" hidden="false" customHeight="false" outlineLevel="0" collapsed="false">
      <c r="A33" s="89" t="n">
        <v>0.4375</v>
      </c>
      <c r="B33" s="90" t="s">
        <v>55</v>
      </c>
      <c r="C33" s="97" t="n">
        <f aca="false">SUM(D32)</f>
        <v>3539870</v>
      </c>
      <c r="D33" s="107" t="n">
        <v>3549370</v>
      </c>
      <c r="E33" s="91" t="n">
        <f aca="false">SUM(D33-C33)</f>
        <v>9500</v>
      </c>
      <c r="F33" s="108" t="n">
        <f aca="false">SUM(D33-C33)</f>
        <v>9500</v>
      </c>
      <c r="G33" s="41" t="n">
        <v>0.8262</v>
      </c>
      <c r="H33" s="93" t="n">
        <f aca="false">SUM(G33*F33)</f>
        <v>7848.9</v>
      </c>
      <c r="I33" s="29" t="n">
        <v>81</v>
      </c>
      <c r="J33" s="1" t="n">
        <v>6194</v>
      </c>
      <c r="K33" s="111" t="s">
        <v>56</v>
      </c>
      <c r="L33" s="117"/>
      <c r="M33" s="117"/>
      <c r="N33" s="117"/>
      <c r="O33" s="117"/>
      <c r="P33" s="117"/>
      <c r="Q33" s="117"/>
      <c r="R33" s="117"/>
      <c r="S33" s="117"/>
    </row>
    <row r="34" customFormat="false" ht="15.75" hidden="false" customHeight="false" outlineLevel="0" collapsed="false">
      <c r="A34" s="89" t="n">
        <v>0.458333333333333</v>
      </c>
      <c r="B34" s="90" t="s">
        <v>57</v>
      </c>
      <c r="C34" s="97" t="n">
        <f aca="false">SUM(D33)</f>
        <v>3549370</v>
      </c>
      <c r="D34" s="107" t="n">
        <v>3557470</v>
      </c>
      <c r="E34" s="91" t="n">
        <f aca="false">SUM(D34-C34)</f>
        <v>8100</v>
      </c>
      <c r="F34" s="108" t="n">
        <f aca="false">SUM(D34-C34)</f>
        <v>8100</v>
      </c>
      <c r="G34" s="41" t="n">
        <v>0.8283</v>
      </c>
      <c r="H34" s="93" t="n">
        <f aca="false">SUM(G34*F34)</f>
        <v>6709.23</v>
      </c>
      <c r="I34" s="29" t="n">
        <v>119</v>
      </c>
      <c r="J34" s="1" t="n">
        <v>6198</v>
      </c>
      <c r="K34" s="118" t="s">
        <v>58</v>
      </c>
      <c r="L34" s="117"/>
      <c r="M34" s="117"/>
      <c r="N34" s="117"/>
      <c r="O34" s="117"/>
      <c r="P34" s="117"/>
      <c r="Q34" s="117"/>
      <c r="R34" s="117"/>
      <c r="S34" s="117"/>
    </row>
    <row r="35" customFormat="false" ht="15.75" hidden="false" customHeight="false" outlineLevel="0" collapsed="false">
      <c r="A35" s="89" t="n">
        <v>0.472222222222222</v>
      </c>
      <c r="B35" s="90" t="s">
        <v>59</v>
      </c>
      <c r="C35" s="97" t="n">
        <f aca="false">SUM(D34)</f>
        <v>3557470</v>
      </c>
      <c r="D35" s="107" t="n">
        <v>3562620</v>
      </c>
      <c r="E35" s="91" t="n">
        <f aca="false">SUM(D35-C35)</f>
        <v>5150</v>
      </c>
      <c r="F35" s="108" t="n">
        <f aca="false">SUM(D35-C35)</f>
        <v>5150</v>
      </c>
      <c r="G35" s="41" t="n">
        <v>0.8278</v>
      </c>
      <c r="H35" s="93" t="n">
        <f aca="false">SUM(G35*F35)</f>
        <v>4263.17</v>
      </c>
      <c r="I35" s="29" t="n">
        <v>57</v>
      </c>
      <c r="J35" s="1" t="n">
        <v>6199</v>
      </c>
      <c r="K35" s="119" t="s">
        <v>60</v>
      </c>
      <c r="L35" s="117"/>
      <c r="M35" s="117"/>
      <c r="N35" s="117"/>
      <c r="O35" s="117"/>
      <c r="P35" s="117"/>
      <c r="Q35" s="117"/>
      <c r="R35" s="117"/>
      <c r="S35" s="117"/>
    </row>
    <row r="36" customFormat="false" ht="15.75" hidden="false" customHeight="false" outlineLevel="0" collapsed="false">
      <c r="A36" s="89" t="n">
        <v>0.604166666666667</v>
      </c>
      <c r="B36" s="90" t="s">
        <v>59</v>
      </c>
      <c r="C36" s="97" t="n">
        <v>3562720</v>
      </c>
      <c r="D36" s="107" t="n">
        <v>3570420</v>
      </c>
      <c r="E36" s="91" t="n">
        <f aca="false">SUM(D36-C36)</f>
        <v>7700</v>
      </c>
      <c r="F36" s="108" t="n">
        <f aca="false">SUM(D36-C36)</f>
        <v>7700</v>
      </c>
      <c r="G36" s="41" t="n">
        <v>0.8276</v>
      </c>
      <c r="H36" s="93" t="n">
        <f aca="false">SUM(G36*F36)</f>
        <v>6372.52</v>
      </c>
      <c r="I36" s="29" t="n">
        <v>81</v>
      </c>
      <c r="J36" s="1" t="n">
        <v>6203</v>
      </c>
      <c r="K36" s="119" t="s">
        <v>60</v>
      </c>
      <c r="L36" s="117"/>
      <c r="M36" s="117"/>
      <c r="N36" s="117"/>
      <c r="O36" s="117"/>
      <c r="P36" s="117"/>
      <c r="Q36" s="117"/>
      <c r="R36" s="117"/>
      <c r="S36" s="117"/>
    </row>
    <row r="37" customFormat="false" ht="15.75" hidden="false" customHeight="false" outlineLevel="0" collapsed="false">
      <c r="A37" s="89" t="n">
        <v>0.614583333333333</v>
      </c>
      <c r="B37" s="90" t="s">
        <v>59</v>
      </c>
      <c r="C37" s="97" t="n">
        <f aca="false">SUM(D36)</f>
        <v>3570420</v>
      </c>
      <c r="D37" s="107" t="n">
        <v>3577250</v>
      </c>
      <c r="E37" s="91" t="n">
        <f aca="false">SUM(D37-C37)</f>
        <v>6830</v>
      </c>
      <c r="F37" s="108" t="n">
        <f aca="false">SUM(D37-C37)</f>
        <v>6830</v>
      </c>
      <c r="G37" s="41" t="n">
        <v>0.8276</v>
      </c>
      <c r="H37" s="93" t="n">
        <f aca="false">SUM(G37*F37)</f>
        <v>5652.508</v>
      </c>
      <c r="I37" s="29" t="n">
        <v>57</v>
      </c>
      <c r="J37" s="1" t="n">
        <v>6204</v>
      </c>
      <c r="K37" s="119" t="s">
        <v>60</v>
      </c>
      <c r="L37" s="117"/>
      <c r="M37" s="117"/>
      <c r="N37" s="117"/>
      <c r="O37" s="117"/>
      <c r="P37" s="117"/>
      <c r="Q37" s="117"/>
      <c r="R37" s="117"/>
      <c r="S37" s="117"/>
    </row>
    <row r="38" customFormat="false" ht="15.75" hidden="false" customHeight="false" outlineLevel="0" collapsed="false">
      <c r="A38" s="89" t="n">
        <v>0.725694444444444</v>
      </c>
      <c r="B38" s="90" t="s">
        <v>57</v>
      </c>
      <c r="C38" s="97" t="n">
        <f aca="false">SUM(D37)</f>
        <v>3577250</v>
      </c>
      <c r="D38" s="107" t="n">
        <v>3594250</v>
      </c>
      <c r="E38" s="91" t="n">
        <f aca="false">SUM(D38-C38)</f>
        <v>17000</v>
      </c>
      <c r="F38" s="106" t="n">
        <v>17019</v>
      </c>
      <c r="G38" s="41" t="n">
        <v>0.8266</v>
      </c>
      <c r="H38" s="93" t="n">
        <f aca="false">SUM(G38*F38)</f>
        <v>14067.9054</v>
      </c>
      <c r="I38" s="29" t="n">
        <v>251</v>
      </c>
      <c r="J38" s="1" t="n">
        <v>6208</v>
      </c>
      <c r="K38" s="118" t="s">
        <v>58</v>
      </c>
      <c r="L38" s="117"/>
      <c r="M38" s="117"/>
      <c r="N38" s="117"/>
      <c r="O38" s="117"/>
      <c r="P38" s="117"/>
      <c r="Q38" s="117"/>
      <c r="R38" s="117"/>
      <c r="S38" s="117"/>
    </row>
    <row r="39" customFormat="false" ht="15.75" hidden="false" customHeight="false" outlineLevel="0" collapsed="false">
      <c r="A39" s="89" t="n">
        <v>0.770833333333333</v>
      </c>
      <c r="B39" s="90" t="s">
        <v>59</v>
      </c>
      <c r="C39" s="97" t="n">
        <f aca="false">SUM(D38)</f>
        <v>3594250</v>
      </c>
      <c r="D39" s="107" t="n">
        <v>3604240</v>
      </c>
      <c r="E39" s="91" t="n">
        <f aca="false">SUM(D39-C39)</f>
        <v>9990</v>
      </c>
      <c r="F39" s="106" t="n">
        <v>9986</v>
      </c>
      <c r="G39" s="41" t="n">
        <v>0.8266</v>
      </c>
      <c r="H39" s="93" t="n">
        <f aca="false">SUM(G39*F39)</f>
        <v>8254.4276</v>
      </c>
      <c r="I39" s="29" t="n">
        <v>251</v>
      </c>
      <c r="J39" s="29" t="n">
        <v>6210</v>
      </c>
      <c r="K39" s="119" t="s">
        <v>60</v>
      </c>
      <c r="L39" s="117"/>
      <c r="M39" s="117"/>
      <c r="N39" s="117"/>
      <c r="O39" s="117"/>
      <c r="P39" s="117"/>
      <c r="Q39" s="117"/>
      <c r="R39" s="117"/>
      <c r="S39" s="117"/>
    </row>
    <row r="40" customFormat="false" ht="15.75" hidden="false" customHeight="false" outlineLevel="0" collapsed="false">
      <c r="A40" s="89" t="n">
        <v>0.788194444444444</v>
      </c>
      <c r="B40" s="90" t="s">
        <v>59</v>
      </c>
      <c r="C40" s="97" t="n">
        <f aca="false">SUM(D39)</f>
        <v>3604240</v>
      </c>
      <c r="D40" s="107" t="n">
        <v>3612720</v>
      </c>
      <c r="E40" s="91" t="n">
        <f aca="false">SUM(D40-C40)</f>
        <v>8480</v>
      </c>
      <c r="F40" s="108" t="n">
        <f aca="false">SUM(D40-C40)</f>
        <v>8480</v>
      </c>
      <c r="G40" s="41" t="n">
        <v>0.8266</v>
      </c>
      <c r="H40" s="93" t="n">
        <f aca="false">SUM(G40*F40)</f>
        <v>7009.568</v>
      </c>
      <c r="I40" s="29" t="n">
        <v>382</v>
      </c>
      <c r="J40" s="29" t="n">
        <v>6211</v>
      </c>
      <c r="K40" s="119" t="s">
        <v>60</v>
      </c>
      <c r="L40" s="117"/>
      <c r="M40" s="117"/>
      <c r="N40" s="117"/>
      <c r="O40" s="117"/>
      <c r="P40" s="117"/>
      <c r="Q40" s="117"/>
      <c r="R40" s="117"/>
      <c r="S40" s="117"/>
    </row>
    <row r="41" customFormat="false" ht="14.25" hidden="false" customHeight="true" outlineLevel="0" collapsed="false">
      <c r="A41" s="89" t="n">
        <v>0.809027777777778</v>
      </c>
      <c r="B41" s="90" t="s">
        <v>61</v>
      </c>
      <c r="C41" s="97" t="n">
        <f aca="false">SUM(D40)</f>
        <v>3612720</v>
      </c>
      <c r="D41" s="107" t="n">
        <v>3629750</v>
      </c>
      <c r="E41" s="91" t="n">
        <f aca="false">SUM(D41-C41)</f>
        <v>17030</v>
      </c>
      <c r="F41" s="106" t="n">
        <v>17019</v>
      </c>
      <c r="G41" s="41" t="n">
        <v>0.8235</v>
      </c>
      <c r="H41" s="93" t="n">
        <f aca="false">SUM(G41*F41)</f>
        <v>14015.1465</v>
      </c>
      <c r="I41" s="29" t="n">
        <v>251</v>
      </c>
      <c r="J41" s="29" t="n">
        <v>6212</v>
      </c>
      <c r="K41" s="119" t="s">
        <v>60</v>
      </c>
      <c r="L41" s="117"/>
      <c r="M41" s="117"/>
      <c r="N41" s="117"/>
      <c r="O41" s="117"/>
      <c r="P41" s="117"/>
      <c r="Q41" s="117"/>
      <c r="R41" s="117"/>
      <c r="S41" s="117"/>
    </row>
    <row r="42" customFormat="false" ht="15" hidden="false" customHeight="true" outlineLevel="0" collapsed="false">
      <c r="A42" s="89" t="n">
        <v>0.822916666666667</v>
      </c>
      <c r="B42" s="90" t="s">
        <v>61</v>
      </c>
      <c r="C42" s="97" t="n">
        <f aca="false">SUM(D41)</f>
        <v>3629750</v>
      </c>
      <c r="D42" s="107" t="n">
        <v>3636350</v>
      </c>
      <c r="E42" s="91" t="n">
        <f aca="false">SUM(D42-C42)</f>
        <v>6600</v>
      </c>
      <c r="F42" s="108" t="n">
        <f aca="false">SUM(D42-C42)</f>
        <v>6600</v>
      </c>
      <c r="G42" s="41" t="n">
        <v>0.8235</v>
      </c>
      <c r="H42" s="93" t="n">
        <f aca="false">SUM(G42*F42)</f>
        <v>5435.1</v>
      </c>
      <c r="I42" s="29" t="n">
        <v>81</v>
      </c>
      <c r="J42" s="29" t="n">
        <v>6214</v>
      </c>
      <c r="K42" s="119" t="s">
        <v>60</v>
      </c>
      <c r="L42" s="117"/>
      <c r="M42" s="117"/>
      <c r="N42" s="117"/>
      <c r="O42" s="117"/>
      <c r="P42" s="117"/>
      <c r="Q42" s="117"/>
      <c r="R42" s="117"/>
      <c r="S42" s="117"/>
    </row>
    <row r="43" customFormat="false" ht="15.75" hidden="false" customHeight="false" outlineLevel="0" collapsed="false">
      <c r="A43" s="89" t="n">
        <v>0.895833333333333</v>
      </c>
      <c r="B43" s="90" t="s">
        <v>57</v>
      </c>
      <c r="C43" s="97" t="n">
        <v>3636470</v>
      </c>
      <c r="D43" s="107" t="n">
        <v>3646570</v>
      </c>
      <c r="E43" s="91" t="n">
        <f aca="false">SUM(D43-C43)</f>
        <v>10100</v>
      </c>
      <c r="F43" s="108" t="n">
        <f aca="false">SUM(D43-C43)</f>
        <v>10100</v>
      </c>
      <c r="G43" s="41" t="n">
        <v>0.8251</v>
      </c>
      <c r="H43" s="93" t="n">
        <f aca="false">SUM(G43*F43)</f>
        <v>8333.51</v>
      </c>
      <c r="I43" s="29" t="n">
        <v>119</v>
      </c>
      <c r="J43" s="29" t="n">
        <v>6216</v>
      </c>
      <c r="K43" s="118" t="s">
        <v>58</v>
      </c>
      <c r="L43" s="117"/>
      <c r="M43" s="117"/>
      <c r="N43" s="117"/>
      <c r="O43" s="117"/>
      <c r="P43" s="117"/>
      <c r="Q43" s="117"/>
      <c r="R43" s="117"/>
      <c r="S43" s="117"/>
    </row>
    <row r="44" customFormat="false" ht="15.75" hidden="false" customHeight="false" outlineLevel="0" collapsed="false">
      <c r="A44" s="89" t="n">
        <v>0.916666666666667</v>
      </c>
      <c r="B44" s="90" t="s">
        <v>61</v>
      </c>
      <c r="C44" s="97" t="n">
        <f aca="false">SUM(D43)</f>
        <v>3646570</v>
      </c>
      <c r="D44" s="107" t="n">
        <v>3651830</v>
      </c>
      <c r="E44" s="91" t="n">
        <f aca="false">SUM(D44-C44)</f>
        <v>5260</v>
      </c>
      <c r="F44" s="108" t="n">
        <f aca="false">SUM(D44-C44)</f>
        <v>5260</v>
      </c>
      <c r="G44" s="41" t="n">
        <v>0.8222</v>
      </c>
      <c r="H44" s="93" t="n">
        <f aca="false">SUM(G44*F44)</f>
        <v>4324.772</v>
      </c>
      <c r="I44" s="29" t="n">
        <v>57</v>
      </c>
      <c r="J44" s="29" t="n">
        <v>6220</v>
      </c>
      <c r="K44" s="119" t="s">
        <v>60</v>
      </c>
      <c r="L44" s="117"/>
      <c r="M44" s="117"/>
      <c r="N44" s="117"/>
      <c r="O44" s="117"/>
      <c r="P44" s="117"/>
      <c r="Q44" s="117"/>
      <c r="R44" s="117"/>
      <c r="S44" s="117"/>
    </row>
    <row r="45" customFormat="false" ht="15.75" hidden="false" customHeight="false" outlineLevel="0" collapsed="false">
      <c r="A45" s="89" t="n">
        <v>0.923611111111111</v>
      </c>
      <c r="B45" s="90" t="s">
        <v>61</v>
      </c>
      <c r="C45" s="97" t="n">
        <f aca="false">SUM(D44)</f>
        <v>3651830</v>
      </c>
      <c r="D45" s="107" t="n">
        <v>3655030</v>
      </c>
      <c r="E45" s="91" t="n">
        <f aca="false">SUM(D45-C45)</f>
        <v>3200</v>
      </c>
      <c r="F45" s="108" t="n">
        <f aca="false">SUM(D45-C45)</f>
        <v>3200</v>
      </c>
      <c r="G45" s="41" t="n">
        <v>0.8222</v>
      </c>
      <c r="H45" s="93" t="n">
        <f aca="false">SUM(G45*F45)</f>
        <v>2631.04</v>
      </c>
      <c r="I45" s="29" t="n">
        <v>382</v>
      </c>
      <c r="J45" s="29" t="n">
        <v>6221</v>
      </c>
      <c r="K45" s="119" t="s">
        <v>60</v>
      </c>
      <c r="L45" s="117"/>
      <c r="M45" s="117"/>
      <c r="N45" s="117"/>
      <c r="O45" s="117"/>
      <c r="P45" s="117"/>
      <c r="Q45" s="117"/>
      <c r="R45" s="117"/>
      <c r="S45" s="117"/>
    </row>
    <row r="46" customFormat="false" ht="15.75" hidden="false" customHeight="false" outlineLevel="0" collapsed="false">
      <c r="A46" s="89" t="n">
        <v>0.930555555555555</v>
      </c>
      <c r="B46" s="90" t="s">
        <v>62</v>
      </c>
      <c r="C46" s="97" t="n">
        <f aca="false">SUM(D45)</f>
        <v>3655030</v>
      </c>
      <c r="D46" s="107" t="n">
        <v>3672050</v>
      </c>
      <c r="E46" s="91" t="n">
        <f aca="false">SUM(D46-C46)</f>
        <v>17020</v>
      </c>
      <c r="F46" s="106" t="n">
        <v>17019</v>
      </c>
      <c r="G46" s="41" t="n">
        <v>0.8245</v>
      </c>
      <c r="H46" s="93" t="n">
        <f aca="false">SUM(G46*F46)</f>
        <v>14032.1655</v>
      </c>
      <c r="I46" s="1" t="n">
        <v>251</v>
      </c>
      <c r="J46" s="29" t="n">
        <v>6222</v>
      </c>
      <c r="K46" s="118" t="s">
        <v>58</v>
      </c>
      <c r="L46" s="117"/>
      <c r="M46" s="117"/>
      <c r="N46" s="94"/>
      <c r="O46" s="117"/>
      <c r="P46" s="117"/>
      <c r="Q46" s="117"/>
      <c r="R46" s="117"/>
      <c r="S46" s="117"/>
    </row>
    <row r="47" customFormat="false" ht="15.75" hidden="false" customHeight="false" outlineLevel="0" collapsed="false">
      <c r="A47" s="89" t="n">
        <v>0.0763888888888889</v>
      </c>
      <c r="B47" s="90" t="s">
        <v>55</v>
      </c>
      <c r="C47" s="97" t="n">
        <f aca="false">SUM(D46)</f>
        <v>3672050</v>
      </c>
      <c r="D47" s="107" t="n">
        <v>3680320</v>
      </c>
      <c r="E47" s="91" t="n">
        <f aca="false">SUM(D47-C47)</f>
        <v>8270</v>
      </c>
      <c r="F47" s="108" t="n">
        <f aca="false">SUM(D47-C47)</f>
        <v>8270</v>
      </c>
      <c r="G47" s="41" t="n">
        <v>0.8268</v>
      </c>
      <c r="H47" s="93" t="n">
        <f aca="false">SUM(G47*F47)</f>
        <v>6837.636</v>
      </c>
      <c r="I47" s="1" t="n">
        <v>81</v>
      </c>
      <c r="J47" s="29" t="n">
        <v>6226</v>
      </c>
      <c r="K47" s="119" t="s">
        <v>60</v>
      </c>
      <c r="L47" s="117"/>
      <c r="M47" s="117"/>
      <c r="N47" s="94"/>
      <c r="O47" s="117"/>
      <c r="P47" s="117"/>
      <c r="Q47" s="117"/>
      <c r="R47" s="117"/>
      <c r="S47" s="117"/>
    </row>
    <row r="48" customFormat="false" ht="15.75" hidden="false" customHeight="false" outlineLevel="0" collapsed="false">
      <c r="A48" s="89" t="n">
        <v>0.0833333333333333</v>
      </c>
      <c r="B48" s="90" t="s">
        <v>55</v>
      </c>
      <c r="C48" s="97" t="n">
        <f aca="false">SUM(D47)</f>
        <v>3680320</v>
      </c>
      <c r="D48" s="107" t="n">
        <v>3686000</v>
      </c>
      <c r="E48" s="91" t="n">
        <f aca="false">SUM(D48-C48)</f>
        <v>5680</v>
      </c>
      <c r="F48" s="108" t="n">
        <f aca="false">SUM(D48-C48)</f>
        <v>5680</v>
      </c>
      <c r="G48" s="41" t="n">
        <v>0.8268</v>
      </c>
      <c r="H48" s="93" t="n">
        <f aca="false">SUM(G48*F48)</f>
        <v>4696.224</v>
      </c>
      <c r="I48" s="1" t="n">
        <v>57</v>
      </c>
      <c r="J48" s="29" t="n">
        <v>6227</v>
      </c>
      <c r="K48" s="119" t="s">
        <v>60</v>
      </c>
      <c r="L48" s="117"/>
      <c r="M48" s="117"/>
      <c r="N48" s="94"/>
      <c r="O48" s="117"/>
      <c r="P48" s="117"/>
      <c r="Q48" s="117"/>
      <c r="R48" s="117"/>
      <c r="S48" s="117"/>
    </row>
    <row r="49" customFormat="false" ht="15.75" hidden="false" customHeight="false" outlineLevel="0" collapsed="false">
      <c r="A49" s="89" t="n">
        <v>0.222222222222222</v>
      </c>
      <c r="B49" s="90" t="s">
        <v>57</v>
      </c>
      <c r="C49" s="97" t="n">
        <f aca="false">SUM(D48)</f>
        <v>3686000</v>
      </c>
      <c r="D49" s="107" t="n">
        <v>3703020</v>
      </c>
      <c r="E49" s="91" t="n">
        <f aca="false">SUM(D49-C49)</f>
        <v>17020</v>
      </c>
      <c r="F49" s="106" t="n">
        <v>17019</v>
      </c>
      <c r="G49" s="41" t="n">
        <v>0.8242</v>
      </c>
      <c r="H49" s="93" t="n">
        <f aca="false">SUM(G49*F49)</f>
        <v>14027.0598</v>
      </c>
      <c r="I49" s="1" t="n">
        <v>251</v>
      </c>
      <c r="J49" s="29" t="n">
        <v>6228</v>
      </c>
      <c r="K49" s="118" t="s">
        <v>58</v>
      </c>
      <c r="L49" s="117"/>
      <c r="M49" s="117"/>
      <c r="N49" s="94"/>
      <c r="O49" s="117"/>
      <c r="P49" s="117"/>
      <c r="Q49" s="117"/>
      <c r="R49" s="117"/>
      <c r="S49" s="117"/>
    </row>
    <row r="50" customFormat="false" ht="15.75" hidden="false" customHeight="false" outlineLevel="0" collapsed="false">
      <c r="A50" s="89" t="n">
        <v>0.267361111111111</v>
      </c>
      <c r="B50" s="90" t="s">
        <v>57</v>
      </c>
      <c r="C50" s="97" t="n">
        <f aca="false">SUM(D49)</f>
        <v>3703020</v>
      </c>
      <c r="D50" s="107" t="n">
        <v>3720040</v>
      </c>
      <c r="E50" s="91" t="n">
        <f aca="false">SUM(D50-C50)</f>
        <v>17020</v>
      </c>
      <c r="F50" s="106" t="n">
        <v>17019</v>
      </c>
      <c r="G50" s="41" t="n">
        <v>0.8249</v>
      </c>
      <c r="H50" s="93" t="n">
        <f aca="false">SUM(G50*F50)</f>
        <v>14038.9731</v>
      </c>
      <c r="I50" s="1" t="n">
        <v>251</v>
      </c>
      <c r="J50" s="29" t="n">
        <v>6230</v>
      </c>
      <c r="K50" s="118" t="s">
        <v>58</v>
      </c>
      <c r="L50" s="117"/>
      <c r="M50" s="117"/>
      <c r="N50" s="94"/>
      <c r="O50" s="117"/>
      <c r="P50" s="117"/>
      <c r="Q50" s="117"/>
      <c r="R50" s="117"/>
      <c r="S50" s="117"/>
    </row>
    <row r="51" customFormat="false" ht="15" hidden="false" customHeight="false" outlineLevel="0" collapsed="false">
      <c r="A51" s="89"/>
      <c r="B51" s="90"/>
      <c r="C51" s="97"/>
      <c r="D51" s="107"/>
      <c r="E51" s="91" t="n">
        <f aca="false">SUM(D51-C51)</f>
        <v>0</v>
      </c>
      <c r="F51" s="108" t="n">
        <f aca="false">SUM(D51-C51)</f>
        <v>0</v>
      </c>
      <c r="G51" s="41"/>
      <c r="H51" s="93" t="n">
        <f aca="false">SUM(G51*F51)</f>
        <v>0</v>
      </c>
      <c r="I51" s="1"/>
      <c r="J51" s="29"/>
      <c r="K51" s="118"/>
      <c r="L51" s="117"/>
      <c r="M51" s="117"/>
      <c r="N51" s="94"/>
      <c r="O51" s="117"/>
      <c r="P51" s="117"/>
      <c r="Q51" s="117"/>
      <c r="R51" s="117"/>
      <c r="S51" s="117"/>
    </row>
    <row r="52" customFormat="false" ht="15" hidden="false" customHeight="true" outlineLevel="0" collapsed="false">
      <c r="A52" s="89"/>
      <c r="B52" s="90"/>
      <c r="C52" s="97" t="n">
        <f aca="false">SUM(D51)</f>
        <v>0</v>
      </c>
      <c r="D52" s="107"/>
      <c r="E52" s="91" t="n">
        <f aca="false">SUM(D52-C52)</f>
        <v>0</v>
      </c>
      <c r="F52" s="108" t="n">
        <f aca="false">SUM(D52-C52)</f>
        <v>0</v>
      </c>
      <c r="G52" s="41"/>
      <c r="H52" s="93" t="n">
        <f aca="false">SUM(G52*F52)</f>
        <v>0</v>
      </c>
      <c r="I52" s="1"/>
      <c r="J52" s="29"/>
      <c r="K52" s="118"/>
      <c r="L52" s="117"/>
      <c r="M52" s="117"/>
      <c r="N52" s="94"/>
      <c r="O52" s="117"/>
      <c r="P52" s="117"/>
      <c r="Q52" s="117"/>
      <c r="R52" s="117"/>
      <c r="S52" s="117"/>
    </row>
    <row r="53" customFormat="false" ht="15" hidden="false" customHeight="false" outlineLevel="0" collapsed="false">
      <c r="A53" s="89"/>
      <c r="B53" s="90"/>
      <c r="C53" s="97" t="n">
        <f aca="false">SUM(D52)</f>
        <v>0</v>
      </c>
      <c r="D53" s="107"/>
      <c r="E53" s="91" t="n">
        <f aca="false">SUM(D53-C53)</f>
        <v>0</v>
      </c>
      <c r="F53" s="108" t="n">
        <f aca="false">SUM(D53-C53)</f>
        <v>0</v>
      </c>
      <c r="G53" s="41"/>
      <c r="H53" s="93" t="n">
        <f aca="false">SUM(G53*F53)</f>
        <v>0</v>
      </c>
      <c r="I53" s="1"/>
      <c r="J53" s="29"/>
      <c r="K53" s="119"/>
      <c r="L53" s="117"/>
      <c r="M53" s="117"/>
      <c r="N53" s="117"/>
      <c r="O53" s="117"/>
      <c r="P53" s="117"/>
      <c r="Q53" s="117"/>
      <c r="R53" s="117"/>
      <c r="S53" s="117"/>
    </row>
    <row r="54" customFormat="false" ht="15" hidden="false" customHeight="false" outlineLevel="0" collapsed="false">
      <c r="A54" s="89"/>
      <c r="B54" s="90"/>
      <c r="C54" s="97" t="n">
        <f aca="false">SUM(D53)</f>
        <v>0</v>
      </c>
      <c r="D54" s="107"/>
      <c r="E54" s="91" t="n">
        <f aca="false">SUM(D54-C54)</f>
        <v>0</v>
      </c>
      <c r="F54" s="108" t="n">
        <f aca="false">SUM(D54-C54)</f>
        <v>0</v>
      </c>
      <c r="G54" s="41"/>
      <c r="H54" s="93" t="n">
        <f aca="false">SUM(G54*F54)</f>
        <v>0</v>
      </c>
      <c r="I54" s="1"/>
      <c r="J54" s="29"/>
      <c r="K54" s="119"/>
      <c r="L54" s="117"/>
      <c r="M54" s="117"/>
      <c r="N54" s="117"/>
      <c r="O54" s="117"/>
      <c r="P54" s="117"/>
      <c r="Q54" s="117"/>
      <c r="R54" s="117"/>
      <c r="S54" s="117"/>
    </row>
    <row r="55" customFormat="false" ht="15" hidden="false" customHeight="false" outlineLevel="0" collapsed="false">
      <c r="A55" s="89"/>
      <c r="B55" s="90"/>
      <c r="C55" s="97" t="n">
        <f aca="false">SUM(D54)</f>
        <v>0</v>
      </c>
      <c r="D55" s="75"/>
      <c r="E55" s="91" t="n">
        <f aca="false">SUM(D55-C55)</f>
        <v>0</v>
      </c>
      <c r="F55" s="108" t="n">
        <f aca="false">SUM(D55-C55)</f>
        <v>0</v>
      </c>
      <c r="G55" s="41"/>
      <c r="H55" s="93" t="n">
        <f aca="false">SUM(G55*F55)</f>
        <v>0</v>
      </c>
      <c r="I55" s="1"/>
      <c r="J55" s="29"/>
      <c r="K55" s="119"/>
      <c r="L55" s="117"/>
      <c r="M55" s="117"/>
      <c r="N55" s="117"/>
      <c r="O55" s="117"/>
      <c r="P55" s="117"/>
      <c r="Q55" s="117"/>
      <c r="R55" s="117"/>
      <c r="S55" s="117"/>
    </row>
    <row r="56" customFormat="false" ht="15" hidden="false" customHeight="false" outlineLevel="0" collapsed="false">
      <c r="A56" s="89"/>
      <c r="B56" s="90"/>
      <c r="C56" s="97" t="n">
        <f aca="false">SUM(D55)</f>
        <v>0</v>
      </c>
      <c r="D56" s="75"/>
      <c r="E56" s="91" t="n">
        <f aca="false">SUM(D56-C56)</f>
        <v>0</v>
      </c>
      <c r="F56" s="108" t="n">
        <f aca="false">SUM(F32:F55)</f>
        <v>185331</v>
      </c>
      <c r="G56" s="41"/>
      <c r="H56" s="93" t="n">
        <f aca="false">SUM(H32:H55)</f>
        <v>152994.8119</v>
      </c>
      <c r="I56" s="1"/>
      <c r="J56" s="29"/>
      <c r="K56" s="118"/>
      <c r="L56" s="117"/>
      <c r="M56" s="117"/>
      <c r="N56" s="117"/>
      <c r="O56" s="117"/>
      <c r="P56" s="117"/>
      <c r="Q56" s="117"/>
      <c r="R56" s="117"/>
      <c r="S56" s="117"/>
    </row>
    <row r="57" customFormat="false" ht="15" hidden="false" customHeight="false" outlineLevel="0" collapsed="false">
      <c r="K57" s="110"/>
      <c r="L57" s="117"/>
      <c r="M57" s="117"/>
      <c r="N57" s="117"/>
      <c r="O57" s="117"/>
      <c r="P57" s="117"/>
      <c r="Q57" s="117"/>
      <c r="R57" s="117"/>
      <c r="S57" s="117"/>
    </row>
    <row r="58" customFormat="false" ht="15" hidden="false" customHeight="false" outlineLevel="0" collapsed="false">
      <c r="F58" s="97" t="n">
        <f aca="false">SUM(F30+F56)</f>
        <v>484926</v>
      </c>
      <c r="G58" s="41"/>
      <c r="H58" s="93" t="n">
        <f aca="false">SUM(H30+H56)</f>
        <v>403848.4248</v>
      </c>
      <c r="K58" s="110"/>
      <c r="L58" s="117"/>
      <c r="M58" s="117"/>
      <c r="N58" s="117"/>
      <c r="O58" s="117"/>
      <c r="P58" s="117"/>
      <c r="Q58" s="117"/>
      <c r="R58" s="117"/>
      <c r="S58" s="117"/>
    </row>
    <row r="59" customFormat="false" ht="15" hidden="false" customHeight="false" outlineLevel="0" collapsed="false">
      <c r="E59" s="117"/>
      <c r="K59" s="110"/>
      <c r="L59" s="117"/>
      <c r="M59" s="117"/>
      <c r="N59" s="117"/>
      <c r="O59" s="117"/>
      <c r="P59" s="117"/>
      <c r="Q59" s="117"/>
      <c r="R59" s="117"/>
      <c r="S59" s="117"/>
    </row>
    <row r="60" customFormat="false" ht="15" hidden="false" customHeight="false" outlineLevel="0" collapsed="false">
      <c r="E60" s="117"/>
      <c r="K60" s="110"/>
      <c r="L60" s="117"/>
      <c r="M60" s="117"/>
      <c r="N60" s="117"/>
      <c r="O60" s="117"/>
      <c r="P60" s="117"/>
      <c r="Q60" s="117"/>
      <c r="R60" s="117"/>
      <c r="S60" s="117"/>
    </row>
    <row r="61" customFormat="false" ht="15" hidden="false" customHeight="false" outlineLevel="0" collapsed="false">
      <c r="E61" s="117"/>
      <c r="K61" s="110"/>
      <c r="L61" s="117"/>
      <c r="M61" s="117"/>
      <c r="N61" s="117"/>
      <c r="O61" s="117"/>
      <c r="P61" s="117"/>
      <c r="Q61" s="117"/>
      <c r="R61" s="117"/>
      <c r="S61" s="117"/>
    </row>
    <row r="62" customFormat="false" ht="15" hidden="false" customHeight="false" outlineLevel="0" collapsed="false">
      <c r="E62" s="117"/>
      <c r="K62" s="117"/>
      <c r="L62" s="117"/>
      <c r="M62" s="117"/>
      <c r="N62" s="117"/>
      <c r="O62" s="117"/>
      <c r="P62" s="117"/>
      <c r="Q62" s="117"/>
      <c r="R62" s="117"/>
      <c r="S62" s="117"/>
    </row>
    <row r="63" customFormat="false" ht="15" hidden="false" customHeight="false" outlineLevel="0" collapsed="false">
      <c r="E63" s="117"/>
      <c r="K63" s="117"/>
      <c r="L63" s="117"/>
      <c r="M63" s="117"/>
      <c r="N63" s="117"/>
      <c r="O63" s="117"/>
      <c r="P63" s="117"/>
      <c r="Q63" s="117"/>
      <c r="R63" s="117"/>
      <c r="S63" s="117"/>
    </row>
    <row r="64" customFormat="false" ht="15" hidden="false" customHeight="false" outlineLevel="0" collapsed="false">
      <c r="E64" s="117"/>
      <c r="K64" s="120"/>
      <c r="L64" s="117"/>
      <c r="M64" s="117"/>
      <c r="N64" s="117"/>
      <c r="O64" s="117"/>
      <c r="P64" s="117"/>
      <c r="Q64" s="117"/>
      <c r="R64" s="117"/>
      <c r="S64" s="117"/>
    </row>
    <row r="65" customFormat="false" ht="15" hidden="false" customHeight="false" outlineLevel="0" collapsed="false">
      <c r="E65" s="117"/>
      <c r="L65" s="117"/>
      <c r="M65" s="117"/>
      <c r="N65" s="117"/>
      <c r="O65" s="117"/>
      <c r="P65" s="117"/>
      <c r="Q65" s="117"/>
      <c r="R65" s="117"/>
      <c r="S65" s="117"/>
    </row>
    <row r="66" customFormat="false" ht="15" hidden="false" customHeight="false" outlineLevel="0" collapsed="false">
      <c r="E66" s="117"/>
      <c r="L66" s="117"/>
      <c r="M66" s="117"/>
      <c r="N66" s="117"/>
      <c r="O66" s="117"/>
      <c r="P66" s="117"/>
      <c r="Q66" s="117"/>
      <c r="R66" s="117"/>
      <c r="S66" s="117"/>
    </row>
    <row r="67" customFormat="false" ht="15" hidden="false" customHeight="false" outlineLevel="0" collapsed="false">
      <c r="E67" s="117"/>
      <c r="L67" s="117"/>
      <c r="M67" s="117"/>
      <c r="N67" s="117"/>
      <c r="O67" s="117"/>
      <c r="P67" s="117"/>
      <c r="Q67" s="117"/>
      <c r="R67" s="117"/>
      <c r="S67" s="117"/>
    </row>
    <row r="68" customFormat="false" ht="15" hidden="false" customHeight="false" outlineLevel="0" collapsed="false">
      <c r="E68" s="117"/>
      <c r="L68" s="117"/>
      <c r="M68" s="117"/>
      <c r="N68" s="117"/>
      <c r="O68" s="117"/>
      <c r="P68" s="117"/>
      <c r="Q68" s="117"/>
      <c r="R68" s="117"/>
      <c r="S68" s="117"/>
    </row>
    <row r="69" customFormat="false" ht="15" hidden="false" customHeight="false" outlineLevel="0" collapsed="false">
      <c r="E69" s="117"/>
      <c r="L69" s="117"/>
      <c r="M69" s="117"/>
      <c r="N69" s="117"/>
      <c r="O69" s="117"/>
      <c r="P69" s="117"/>
      <c r="Q69" s="117"/>
      <c r="R69" s="117"/>
      <c r="S69" s="117"/>
    </row>
    <row r="70" customFormat="false" ht="15" hidden="false" customHeight="false" outlineLevel="0" collapsed="false">
      <c r="E70" s="117"/>
      <c r="L70" s="117"/>
      <c r="M70" s="117"/>
      <c r="N70" s="117"/>
      <c r="O70" s="117"/>
      <c r="P70" s="117"/>
      <c r="Q70" s="117"/>
      <c r="R70" s="117"/>
      <c r="S70" s="117"/>
    </row>
    <row r="71" customFormat="false" ht="15" hidden="false" customHeight="false" outlineLevel="0" collapsed="false">
      <c r="E71" s="117"/>
      <c r="L71" s="117"/>
      <c r="M71" s="117"/>
      <c r="N71" s="117"/>
      <c r="O71" s="117"/>
      <c r="P71" s="117"/>
      <c r="Q71" s="117"/>
      <c r="R71" s="117"/>
      <c r="S71" s="117"/>
    </row>
    <row r="72" customFormat="false" ht="15" hidden="false" customHeight="false" outlineLevel="0" collapsed="false">
      <c r="E72" s="117"/>
      <c r="L72" s="117"/>
      <c r="M72" s="117"/>
      <c r="N72" s="117"/>
      <c r="O72" s="117"/>
      <c r="P72" s="117"/>
      <c r="Q72" s="117"/>
      <c r="R72" s="117"/>
      <c r="S72" s="117"/>
    </row>
    <row r="73" customFormat="false" ht="15" hidden="false" customHeight="false" outlineLevel="0" collapsed="false">
      <c r="E73" s="117"/>
      <c r="L73" s="117"/>
      <c r="M73" s="117"/>
      <c r="N73" s="117"/>
      <c r="O73" s="117"/>
      <c r="P73" s="117"/>
      <c r="Q73" s="117"/>
      <c r="R73" s="117"/>
      <c r="S73" s="117"/>
    </row>
    <row r="74" customFormat="false" ht="15" hidden="false" customHeight="false" outlineLevel="0" collapsed="false">
      <c r="E74" s="117"/>
      <c r="L74" s="117"/>
      <c r="M74" s="117"/>
      <c r="N74" s="117"/>
      <c r="O74" s="117"/>
      <c r="P74" s="117"/>
      <c r="Q74" s="117"/>
      <c r="R74" s="117"/>
      <c r="S74" s="117"/>
    </row>
    <row r="75" customFormat="false" ht="15" hidden="false" customHeight="false" outlineLevel="0" collapsed="false">
      <c r="E75" s="117"/>
      <c r="L75" s="117"/>
      <c r="M75" s="117"/>
      <c r="N75" s="117"/>
      <c r="O75" s="117"/>
      <c r="P75" s="117"/>
      <c r="Q75" s="117"/>
      <c r="R75" s="117"/>
      <c r="S75" s="117"/>
    </row>
    <row r="76" customFormat="false" ht="15" hidden="false" customHeight="false" outlineLevel="0" collapsed="false">
      <c r="E76" s="117"/>
      <c r="L76" s="117"/>
      <c r="M76" s="117"/>
      <c r="N76" s="117"/>
      <c r="O76" s="117"/>
      <c r="P76" s="117"/>
      <c r="Q76" s="117"/>
      <c r="R76" s="117"/>
      <c r="S76" s="117"/>
    </row>
    <row r="77" customFormat="false" ht="15" hidden="false" customHeight="false" outlineLevel="0" collapsed="false">
      <c r="E77" s="117"/>
      <c r="L77" s="117"/>
      <c r="M77" s="117"/>
      <c r="N77" s="117"/>
      <c r="O77" s="117"/>
      <c r="P77" s="117"/>
      <c r="Q77" s="117"/>
      <c r="R77" s="117"/>
      <c r="S77" s="117"/>
    </row>
    <row r="78" customFormat="false" ht="15" hidden="false" customHeight="false" outlineLevel="0" collapsed="false">
      <c r="E78" s="117"/>
      <c r="L78" s="117"/>
      <c r="M78" s="117"/>
      <c r="N78" s="117"/>
      <c r="O78" s="117"/>
      <c r="P78" s="117"/>
      <c r="Q78" s="117"/>
      <c r="R78" s="117"/>
      <c r="S78" s="117"/>
    </row>
    <row r="79" customFormat="false" ht="15" hidden="false" customHeight="false" outlineLevel="0" collapsed="false">
      <c r="E79" s="117"/>
      <c r="L79" s="117"/>
      <c r="M79" s="117"/>
      <c r="N79" s="117"/>
      <c r="O79" s="117"/>
      <c r="P79" s="117"/>
      <c r="Q79" s="117"/>
      <c r="R79" s="117"/>
      <c r="S79" s="117"/>
    </row>
    <row r="80" customFormat="false" ht="15" hidden="false" customHeight="false" outlineLevel="0" collapsed="false">
      <c r="E80" s="117"/>
      <c r="L80" s="117"/>
      <c r="M80" s="117"/>
      <c r="N80" s="117"/>
      <c r="O80" s="117"/>
      <c r="P80" s="117"/>
      <c r="Q80" s="117"/>
      <c r="R80" s="117"/>
      <c r="S80" s="117"/>
    </row>
    <row r="81" customFormat="false" ht="15" hidden="false" customHeight="false" outlineLevel="0" collapsed="false">
      <c r="E81" s="117"/>
      <c r="L81" s="117"/>
      <c r="M81" s="117"/>
      <c r="N81" s="117"/>
      <c r="O81" s="117"/>
      <c r="P81" s="117"/>
      <c r="Q81" s="117"/>
      <c r="R81" s="117"/>
      <c r="S81" s="117"/>
    </row>
    <row r="82" customFormat="false" ht="15" hidden="false" customHeight="false" outlineLevel="0" collapsed="false">
      <c r="E82" s="117"/>
      <c r="L82" s="117"/>
      <c r="M82" s="117"/>
      <c r="N82" s="117"/>
      <c r="O82" s="117"/>
      <c r="P82" s="117"/>
      <c r="Q82" s="117"/>
      <c r="R82" s="117"/>
      <c r="S82" s="117"/>
    </row>
    <row r="83" customFormat="false" ht="15" hidden="false" customHeight="false" outlineLevel="0" collapsed="false">
      <c r="E83" s="117"/>
      <c r="L83" s="117"/>
      <c r="M83" s="117"/>
      <c r="N83" s="117"/>
      <c r="O83" s="117"/>
      <c r="P83" s="117"/>
      <c r="Q83" s="117"/>
      <c r="R83" s="117"/>
      <c r="S83" s="117"/>
    </row>
    <row r="84" customFormat="false" ht="15" hidden="true" customHeight="false" outlineLevel="0" collapsed="false">
      <c r="E84" s="117"/>
      <c r="L84" s="117"/>
      <c r="M84" s="117"/>
      <c r="N84" s="117"/>
      <c r="O84" s="117"/>
      <c r="P84" s="117"/>
      <c r="Q84" s="117"/>
      <c r="R84" s="117"/>
      <c r="S84" s="117"/>
    </row>
    <row r="85" customFormat="false" ht="15" hidden="true" customHeight="false" outlineLevel="0" collapsed="false">
      <c r="E85" s="117"/>
      <c r="L85" s="117"/>
      <c r="M85" s="117"/>
      <c r="N85" s="117"/>
      <c r="O85" s="117"/>
      <c r="P85" s="117"/>
      <c r="Q85" s="117"/>
      <c r="R85" s="117"/>
      <c r="S85" s="117"/>
    </row>
    <row r="86" customFormat="false" ht="15" hidden="true" customHeight="false" outlineLevel="0" collapsed="false">
      <c r="E86" s="117"/>
      <c r="L86" s="117"/>
      <c r="M86" s="117"/>
      <c r="N86" s="117"/>
      <c r="O86" s="117"/>
      <c r="P86" s="117"/>
      <c r="Q86" s="117"/>
      <c r="R86" s="117"/>
      <c r="S86" s="117"/>
    </row>
    <row r="87" customFormat="false" ht="15" hidden="true" customHeight="false" outlineLevel="0" collapsed="false">
      <c r="E87" s="117"/>
      <c r="L87" s="117"/>
      <c r="M87" s="117"/>
      <c r="N87" s="117"/>
      <c r="O87" s="117"/>
      <c r="P87" s="117"/>
      <c r="Q87" s="117"/>
      <c r="R87" s="117"/>
      <c r="S87" s="117"/>
    </row>
    <row r="88" customFormat="false" ht="15" hidden="true" customHeight="false" outlineLevel="0" collapsed="false">
      <c r="E88" s="117"/>
      <c r="L88" s="117"/>
      <c r="M88" s="117"/>
      <c r="N88" s="117"/>
      <c r="O88" s="117"/>
      <c r="P88" s="117"/>
      <c r="Q88" s="117"/>
      <c r="R88" s="117"/>
      <c r="S88" s="117"/>
    </row>
    <row r="89" customFormat="false" ht="15" hidden="false" customHeight="false" outlineLevel="0" collapsed="false">
      <c r="E89" s="117"/>
      <c r="L89" s="117"/>
      <c r="M89" s="117"/>
      <c r="N89" s="117"/>
      <c r="O89" s="117"/>
      <c r="P89" s="117"/>
      <c r="Q89" s="117"/>
      <c r="R89" s="117"/>
      <c r="S89" s="117"/>
    </row>
    <row r="90" customFormat="false" ht="15" hidden="false" customHeight="false" outlineLevel="0" collapsed="false">
      <c r="E90" s="117"/>
      <c r="L90" s="117"/>
      <c r="M90" s="117"/>
      <c r="N90" s="117"/>
      <c r="O90" s="117"/>
      <c r="P90" s="117"/>
      <c r="Q90" s="117"/>
      <c r="R90" s="117"/>
      <c r="S90" s="117"/>
    </row>
    <row r="91" customFormat="false" ht="15" hidden="false" customHeight="false" outlineLevel="0" collapsed="false">
      <c r="E91" s="117"/>
      <c r="L91" s="117"/>
      <c r="M91" s="117"/>
      <c r="N91" s="117"/>
      <c r="O91" s="117"/>
      <c r="P91" s="117"/>
      <c r="Q91" s="117"/>
      <c r="R91" s="117"/>
      <c r="S91" s="117"/>
    </row>
    <row r="92" customFormat="false" ht="15" hidden="false" customHeight="false" outlineLevel="0" collapsed="false">
      <c r="E92" s="117"/>
    </row>
    <row r="93" customFormat="false" ht="15" hidden="false" customHeight="false" outlineLevel="0" collapsed="false">
      <c r="E93" s="117"/>
    </row>
    <row r="94" customFormat="false" ht="15" hidden="false" customHeight="false" outlineLevel="0" collapsed="false">
      <c r="E94" s="117"/>
    </row>
    <row r="95" customFormat="false" ht="15" hidden="false" customHeight="false" outlineLevel="0" collapsed="false">
      <c r="E95" s="117"/>
    </row>
    <row r="96" customFormat="false" ht="15" hidden="false" customHeight="false" outlineLevel="0" collapsed="false">
      <c r="E96" s="117"/>
    </row>
    <row r="97" customFormat="false" ht="15" hidden="false" customHeight="false" outlineLevel="0" collapsed="false">
      <c r="E97" s="117"/>
    </row>
    <row r="98" customFormat="false" ht="15" hidden="false" customHeight="false" outlineLevel="0" collapsed="false">
      <c r="E98" s="117"/>
    </row>
    <row r="99" customFormat="false" ht="15" hidden="false" customHeight="false" outlineLevel="0" collapsed="false">
      <c r="E99" s="117"/>
    </row>
    <row r="100" customFormat="false" ht="15" hidden="false" customHeight="false" outlineLevel="0" collapsed="false">
      <c r="E100" s="117"/>
    </row>
    <row r="101" customFormat="false" ht="15" hidden="false" customHeight="false" outlineLevel="0" collapsed="false">
      <c r="E101" s="117"/>
    </row>
    <row r="102" customFormat="false" ht="15" hidden="false" customHeight="false" outlineLevel="0" collapsed="false">
      <c r="E102" s="117"/>
    </row>
    <row r="103" customFormat="false" ht="15" hidden="false" customHeight="false" outlineLevel="0" collapsed="false">
      <c r="E103" s="117"/>
    </row>
    <row r="104" customFormat="false" ht="15" hidden="false" customHeight="false" outlineLevel="0" collapsed="false">
      <c r="E104" s="117"/>
    </row>
    <row r="105" customFormat="false" ht="15" hidden="false" customHeight="false" outlineLevel="0" collapsed="false">
      <c r="E105" s="117"/>
    </row>
    <row r="106" customFormat="false" ht="15" hidden="false" customHeight="false" outlineLevel="0" collapsed="false">
      <c r="E106" s="117"/>
    </row>
    <row r="107" customFormat="false" ht="15" hidden="false" customHeight="false" outlineLevel="0" collapsed="false">
      <c r="E107" s="117"/>
    </row>
    <row r="108" customFormat="false" ht="15" hidden="false" customHeight="false" outlineLevel="0" collapsed="false">
      <c r="E108" s="117"/>
    </row>
    <row r="109" customFormat="false" ht="15" hidden="false" customHeight="false" outlineLevel="0" collapsed="false">
      <c r="E109" s="117"/>
    </row>
    <row r="110" customFormat="false" ht="15" hidden="false" customHeight="false" outlineLevel="0" collapsed="false">
      <c r="E110" s="117"/>
    </row>
    <row r="111" customFormat="false" ht="15" hidden="false" customHeight="false" outlineLevel="0" collapsed="false">
      <c r="E111" s="117"/>
    </row>
    <row r="112" customFormat="false" ht="15" hidden="false" customHeight="false" outlineLevel="0" collapsed="false">
      <c r="E112" s="117"/>
    </row>
    <row r="113" customFormat="false" ht="15" hidden="false" customHeight="false" outlineLevel="0" collapsed="false">
      <c r="E113" s="117"/>
    </row>
    <row r="114" customFormat="false" ht="15" hidden="false" customHeight="false" outlineLevel="0" collapsed="false">
      <c r="E114" s="117"/>
    </row>
    <row r="115" customFormat="false" ht="15" hidden="false" customHeight="false" outlineLevel="0" collapsed="false">
      <c r="E115" s="117"/>
    </row>
    <row r="116" customFormat="false" ht="15" hidden="false" customHeight="false" outlineLevel="0" collapsed="false">
      <c r="E116" s="117"/>
    </row>
    <row r="117" customFormat="false" ht="15" hidden="false" customHeight="false" outlineLevel="0" collapsed="false">
      <c r="E117" s="117"/>
    </row>
    <row r="118" customFormat="false" ht="15" hidden="false" customHeight="false" outlineLevel="0" collapsed="false">
      <c r="E118" s="117"/>
    </row>
    <row r="119" customFormat="false" ht="15" hidden="false" customHeight="false" outlineLevel="0" collapsed="false">
      <c r="E119" s="117"/>
    </row>
    <row r="120" customFormat="false" ht="15" hidden="false" customHeight="false" outlineLevel="0" collapsed="false">
      <c r="E120" s="117"/>
    </row>
    <row r="121" customFormat="false" ht="15" hidden="false" customHeight="false" outlineLevel="0" collapsed="false">
      <c r="E121" s="117"/>
    </row>
    <row r="122" customFormat="false" ht="15" hidden="false" customHeight="false" outlineLevel="0" collapsed="false">
      <c r="E122" s="117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V131"/>
  <sheetViews>
    <sheetView showFormulas="false" showGridLines="true" showRowColHeaders="true" showZeros="true" rightToLeft="false" tabSelected="false" showOutlineSymbols="true" defaultGridColor="true" view="normal" topLeftCell="A25" colorId="64" zoomScale="60" zoomScaleNormal="60" zoomScalePageLayoutView="100" workbookViewId="0">
      <selection pane="topLeft" activeCell="K52" activeCellId="0" sqref="K52"/>
    </sheetView>
  </sheetViews>
  <sheetFormatPr defaultColWidth="8.8359375" defaultRowHeight="15" zeroHeight="false" outlineLevelRow="0" outlineLevelCol="0"/>
  <cols>
    <col collapsed="false" customWidth="true" hidden="false" outlineLevel="0" max="1" min="1" style="66" width="13.66"/>
    <col collapsed="false" customWidth="true" hidden="false" outlineLevel="0" max="2" min="2" style="67" width="10.33"/>
    <col collapsed="false" customWidth="true" hidden="false" outlineLevel="0" max="4" min="3" style="68" width="18.17"/>
    <col collapsed="false" customWidth="true" hidden="false" outlineLevel="0" max="6" min="5" style="68" width="14"/>
    <col collapsed="false" customWidth="true" hidden="false" outlineLevel="0" max="7" min="7" style="66" width="13.51"/>
    <col collapsed="false" customWidth="true" hidden="false" outlineLevel="0" max="8" min="8" style="69" width="13.83"/>
    <col collapsed="false" customWidth="true" hidden="false" outlineLevel="0" max="10" min="9" style="70" width="14.33"/>
    <col collapsed="false" customWidth="true" hidden="false" outlineLevel="0" max="11" min="11" style="71" width="16.5"/>
    <col collapsed="false" customWidth="true" hidden="false" outlineLevel="0" max="12" min="12" style="70" width="12.17"/>
    <col collapsed="false" customWidth="true" hidden="false" outlineLevel="0" max="13" min="13" style="70" width="12.51"/>
    <col collapsed="false" customWidth="true" hidden="false" outlineLevel="0" max="14" min="14" style="70" width="18.5"/>
    <col collapsed="false" customWidth="true" hidden="false" outlineLevel="0" max="15" min="15" style="70" width="17.83"/>
    <col collapsed="false" customWidth="true" hidden="false" outlineLevel="0" max="16" min="16" style="70" width="13.83"/>
    <col collapsed="false" customWidth="true" hidden="false" outlineLevel="0" max="17" min="17" style="70" width="12.66"/>
    <col collapsed="false" customWidth="true" hidden="false" outlineLevel="0" max="18" min="18" style="70" width="12.83"/>
    <col collapsed="false" customWidth="true" hidden="false" outlineLevel="0" max="19" min="19" style="70" width="12.17"/>
  </cols>
  <sheetData>
    <row r="1" customFormat="false" ht="48" hidden="false" customHeight="false" outlineLevel="0" collapsed="false">
      <c r="A1" s="41" t="s">
        <v>25</v>
      </c>
      <c r="B1" s="72" t="s">
        <v>26</v>
      </c>
      <c r="C1" s="73" t="s">
        <v>27</v>
      </c>
      <c r="D1" s="73" t="s">
        <v>28</v>
      </c>
      <c r="E1" s="73" t="s">
        <v>29</v>
      </c>
      <c r="F1" s="73" t="s">
        <v>29</v>
      </c>
      <c r="G1" s="73" t="s">
        <v>30</v>
      </c>
      <c r="H1" s="74" t="s">
        <v>31</v>
      </c>
      <c r="I1" s="75" t="s">
        <v>32</v>
      </c>
      <c r="J1" s="76" t="s">
        <v>3</v>
      </c>
      <c r="L1" s="77" t="s">
        <v>33</v>
      </c>
      <c r="M1" s="78" t="s">
        <v>34</v>
      </c>
      <c r="N1" s="79" t="s">
        <v>27</v>
      </c>
      <c r="O1" s="79" t="s">
        <v>28</v>
      </c>
      <c r="P1" s="79" t="s">
        <v>29</v>
      </c>
      <c r="Q1" s="79" t="s">
        <v>30</v>
      </c>
      <c r="R1" s="80" t="s">
        <v>31</v>
      </c>
      <c r="S1" s="79" t="s">
        <v>35</v>
      </c>
    </row>
    <row r="2" customFormat="false" ht="15" hidden="false" customHeight="false" outlineLevel="0" collapsed="false">
      <c r="A2" s="81"/>
      <c r="B2" s="81" t="s">
        <v>36</v>
      </c>
      <c r="C2" s="82"/>
      <c r="D2" s="82"/>
      <c r="E2" s="82"/>
      <c r="F2" s="82"/>
      <c r="G2" s="83"/>
      <c r="H2" s="84"/>
      <c r="I2" s="85"/>
      <c r="J2" s="86" t="s">
        <v>18</v>
      </c>
      <c r="K2" s="87"/>
      <c r="L2" s="88"/>
      <c r="M2" s="81" t="s">
        <v>37</v>
      </c>
      <c r="N2" s="82"/>
      <c r="O2" s="82"/>
      <c r="P2" s="82"/>
      <c r="Q2" s="83"/>
      <c r="R2" s="84"/>
      <c r="S2" s="85"/>
    </row>
    <row r="3" customFormat="false" ht="15.75" hidden="false" customHeight="false" outlineLevel="0" collapsed="false">
      <c r="A3" s="89" t="n">
        <v>0.4375</v>
      </c>
      <c r="B3" s="121" t="s">
        <v>54</v>
      </c>
      <c r="C3" s="75" t="n">
        <v>47999270</v>
      </c>
      <c r="D3" s="75" t="n">
        <v>48017520</v>
      </c>
      <c r="E3" s="91" t="n">
        <f aca="false">SUM(D3-C3)</f>
        <v>18250</v>
      </c>
      <c r="F3" s="122" t="n">
        <f aca="false">SUM(E3)</f>
        <v>18250</v>
      </c>
      <c r="G3" s="41" t="n">
        <v>0.8415</v>
      </c>
      <c r="H3" s="123" t="n">
        <f aca="false">SUM(G3*F3)</f>
        <v>15357.375</v>
      </c>
      <c r="I3" s="29" t="n">
        <v>787</v>
      </c>
      <c r="J3" s="29" t="n">
        <v>6237</v>
      </c>
      <c r="K3" s="94"/>
      <c r="L3" s="95" t="n">
        <v>0.552083333333333</v>
      </c>
      <c r="M3" s="96" t="s">
        <v>46</v>
      </c>
      <c r="N3" s="98" t="n">
        <v>7619770</v>
      </c>
      <c r="O3" s="98" t="n">
        <v>7619850</v>
      </c>
      <c r="P3" s="99" t="n">
        <f aca="false">SUM(O3-N3)</f>
        <v>80</v>
      </c>
      <c r="Q3" s="100" t="n">
        <v>0.8301</v>
      </c>
      <c r="R3" s="101" t="n">
        <f aca="false">SUM(Q3*P3)</f>
        <v>66.408</v>
      </c>
      <c r="S3" s="102" t="s">
        <v>63</v>
      </c>
      <c r="V3" s="0" t="s">
        <v>41</v>
      </c>
    </row>
    <row r="4" customFormat="false" ht="15.75" hidden="false" customHeight="false" outlineLevel="0" collapsed="false">
      <c r="A4" s="89" t="n">
        <v>0.475694444444444</v>
      </c>
      <c r="B4" s="124" t="s">
        <v>39</v>
      </c>
      <c r="C4" s="97" t="n">
        <f aca="false">SUM(D3)</f>
        <v>48017520</v>
      </c>
      <c r="D4" s="75" t="n">
        <v>48027650</v>
      </c>
      <c r="E4" s="91" t="n">
        <f aca="false">SUM(D4-C4)</f>
        <v>10130</v>
      </c>
      <c r="F4" s="108" t="n">
        <f aca="false">SUM(D4-C4)</f>
        <v>10130</v>
      </c>
      <c r="G4" s="41" t="n">
        <v>0.8415</v>
      </c>
      <c r="H4" s="125" t="n">
        <f aca="false">SUM(G4*F4)</f>
        <v>8524.395</v>
      </c>
      <c r="I4" s="29" t="n">
        <v>237</v>
      </c>
      <c r="J4" s="29" t="n">
        <v>6241</v>
      </c>
      <c r="K4" s="94"/>
      <c r="L4" s="95" t="n">
        <v>0.555555555555556</v>
      </c>
      <c r="M4" s="104" t="s">
        <v>54</v>
      </c>
      <c r="N4" s="99" t="n">
        <f aca="false">SUM(O3)</f>
        <v>7619850</v>
      </c>
      <c r="O4" s="98" t="n">
        <v>7620010</v>
      </c>
      <c r="P4" s="99" t="n">
        <f aca="false">SUM(O4-N4)</f>
        <v>160</v>
      </c>
      <c r="Q4" s="105" t="n">
        <v>0.8392</v>
      </c>
      <c r="R4" s="101" t="n">
        <f aca="false">SUM(Q4*P4)</f>
        <v>134.272</v>
      </c>
      <c r="S4" s="102" t="s">
        <v>64</v>
      </c>
    </row>
    <row r="5" customFormat="false" ht="15.75" hidden="false" customHeight="false" outlineLevel="0" collapsed="false">
      <c r="A5" s="89" t="n">
        <v>0.486111111111111</v>
      </c>
      <c r="B5" s="90" t="s">
        <v>39</v>
      </c>
      <c r="C5" s="97" t="n">
        <f aca="false">SUM(D4)</f>
        <v>48027650</v>
      </c>
      <c r="D5" s="75" t="n">
        <v>48038490</v>
      </c>
      <c r="E5" s="91" t="n">
        <f aca="false">SUM(D5-C5)</f>
        <v>10840</v>
      </c>
      <c r="F5" s="108" t="n">
        <f aca="false">SUM(D5-C5)</f>
        <v>10840</v>
      </c>
      <c r="G5" s="41" t="n">
        <v>0.8415</v>
      </c>
      <c r="H5" s="125" t="n">
        <f aca="false">SUM(G5*F5)</f>
        <v>9121.86</v>
      </c>
      <c r="I5" s="29" t="n">
        <v>248</v>
      </c>
      <c r="J5" s="29" t="n">
        <v>6242</v>
      </c>
      <c r="K5" s="94"/>
      <c r="L5" s="95" t="n">
        <v>0.59375</v>
      </c>
      <c r="M5" s="104" t="s">
        <v>39</v>
      </c>
      <c r="N5" s="99" t="n">
        <f aca="false">SUM(O4)</f>
        <v>7620010</v>
      </c>
      <c r="O5" s="98" t="n">
        <v>7620170</v>
      </c>
      <c r="P5" s="99" t="n">
        <f aca="false">SUM(O5-N5)</f>
        <v>160</v>
      </c>
      <c r="Q5" s="100" t="n">
        <v>0.8375</v>
      </c>
      <c r="R5" s="101" t="n">
        <f aca="false">SUM(Q5*P5)</f>
        <v>134</v>
      </c>
      <c r="S5" s="102" t="s">
        <v>65</v>
      </c>
    </row>
    <row r="6" customFormat="false" ht="15.75" hidden="false" customHeight="false" outlineLevel="0" collapsed="false">
      <c r="A6" s="89" t="n">
        <v>0.496527777777778</v>
      </c>
      <c r="B6" s="90" t="s">
        <v>39</v>
      </c>
      <c r="C6" s="97" t="n">
        <f aca="false">SUM(D5)</f>
        <v>48038490</v>
      </c>
      <c r="D6" s="75" t="n">
        <v>48047650</v>
      </c>
      <c r="E6" s="91" t="n">
        <f aca="false">SUM(D6-C6)</f>
        <v>9160</v>
      </c>
      <c r="F6" s="122" t="n">
        <v>9161</v>
      </c>
      <c r="G6" s="41" t="n">
        <v>0.8415</v>
      </c>
      <c r="H6" s="125" t="n">
        <f aca="false">SUM(G6*F6)</f>
        <v>7708.9815</v>
      </c>
      <c r="I6" s="29" t="n">
        <v>787</v>
      </c>
      <c r="J6" s="29" t="n">
        <v>6243</v>
      </c>
      <c r="K6" s="94"/>
      <c r="L6" s="95" t="n">
        <v>0.951388888888889</v>
      </c>
      <c r="M6" s="104" t="s">
        <v>66</v>
      </c>
      <c r="N6" s="99" t="n">
        <f aca="false">SUM(O5)</f>
        <v>7620170</v>
      </c>
      <c r="O6" s="98" t="n">
        <v>7620220</v>
      </c>
      <c r="P6" s="99" t="n">
        <f aca="false">SUM(O6-N6)</f>
        <v>50</v>
      </c>
      <c r="Q6" s="41" t="n">
        <v>0.8326</v>
      </c>
      <c r="R6" s="101" t="n">
        <f aca="false">SUM(Q6*P6)</f>
        <v>41.63</v>
      </c>
      <c r="S6" s="102" t="s">
        <v>67</v>
      </c>
    </row>
    <row r="7" customFormat="false" ht="15.75" hidden="false" customHeight="false" outlineLevel="0" collapsed="false">
      <c r="A7" s="89" t="n">
        <v>0.496527777777778</v>
      </c>
      <c r="B7" s="90" t="s">
        <v>39</v>
      </c>
      <c r="C7" s="97" t="n">
        <f aca="false">SUM(D6)</f>
        <v>48047650</v>
      </c>
      <c r="D7" s="75" t="n">
        <v>48056730</v>
      </c>
      <c r="E7" s="91" t="n">
        <f aca="false">SUM(D7-C7)</f>
        <v>9080</v>
      </c>
      <c r="F7" s="122" t="n">
        <v>9080</v>
      </c>
      <c r="G7" s="41" t="n">
        <v>0.8415</v>
      </c>
      <c r="H7" s="125" t="n">
        <f aca="false">SUM(G7*F7)</f>
        <v>7640.82</v>
      </c>
      <c r="I7" s="29" t="n">
        <v>787</v>
      </c>
      <c r="J7" s="29" t="n">
        <v>6244</v>
      </c>
      <c r="K7" s="94"/>
      <c r="L7" s="95" t="n">
        <v>0.958333333333333</v>
      </c>
      <c r="M7" s="104" t="s">
        <v>48</v>
      </c>
      <c r="N7" s="99" t="n">
        <f aca="false">SUM(O6)</f>
        <v>7620220</v>
      </c>
      <c r="O7" s="98" t="n">
        <v>7620360</v>
      </c>
      <c r="P7" s="99" t="n">
        <f aca="false">SUM(O7-N7)</f>
        <v>140</v>
      </c>
      <c r="Q7" s="41" t="n">
        <v>0.8327</v>
      </c>
      <c r="R7" s="101" t="n">
        <f aca="false">SUM(Q7*P7)</f>
        <v>116.578</v>
      </c>
      <c r="S7" s="102" t="s">
        <v>53</v>
      </c>
    </row>
    <row r="8" customFormat="false" ht="15.75" hidden="false" customHeight="false" outlineLevel="0" collapsed="false">
      <c r="A8" s="89" t="n">
        <v>0.541666666666667</v>
      </c>
      <c r="B8" s="90" t="s">
        <v>39</v>
      </c>
      <c r="C8" s="97" t="n">
        <f aca="false">SUM(D7)</f>
        <v>48056730</v>
      </c>
      <c r="D8" s="75" t="n">
        <v>48074970</v>
      </c>
      <c r="E8" s="91" t="n">
        <f aca="false">SUM(D8-C8)</f>
        <v>18240</v>
      </c>
      <c r="F8" s="122" t="n">
        <v>18241</v>
      </c>
      <c r="G8" s="41" t="n">
        <v>0.8415</v>
      </c>
      <c r="H8" s="125" t="n">
        <f aca="false">SUM(G8*F8)</f>
        <v>15349.8015</v>
      </c>
      <c r="I8" s="29" t="n">
        <v>787</v>
      </c>
      <c r="J8" s="29" t="n">
        <v>6245</v>
      </c>
      <c r="K8" s="94"/>
      <c r="L8" s="95" t="n">
        <v>0.979166666666667</v>
      </c>
      <c r="M8" s="96" t="s">
        <v>54</v>
      </c>
      <c r="N8" s="99" t="n">
        <f aca="false">SUM(O7)</f>
        <v>7620360</v>
      </c>
      <c r="O8" s="98" t="n">
        <v>7620550</v>
      </c>
      <c r="P8" s="99" t="n">
        <f aca="false">SUM(O8-N8)</f>
        <v>190</v>
      </c>
      <c r="Q8" s="100" t="n">
        <v>0.8322</v>
      </c>
      <c r="R8" s="101" t="n">
        <f aca="false">SUM(Q8*P8)</f>
        <v>158.118</v>
      </c>
      <c r="S8" s="1" t="s">
        <v>43</v>
      </c>
    </row>
    <row r="9" customFormat="false" ht="15.75" hidden="false" customHeight="false" outlineLevel="0" collapsed="false">
      <c r="A9" s="89" t="n">
        <v>0.6875</v>
      </c>
      <c r="B9" s="90" t="s">
        <v>66</v>
      </c>
      <c r="C9" s="97" t="n">
        <f aca="false">SUM(D8)</f>
        <v>48074970</v>
      </c>
      <c r="D9" s="75" t="n">
        <v>48093210</v>
      </c>
      <c r="E9" s="91" t="n">
        <f aca="false">SUM(D9-C9)</f>
        <v>18240</v>
      </c>
      <c r="F9" s="122" t="n">
        <v>18241</v>
      </c>
      <c r="G9" s="41" t="n">
        <v>0.84</v>
      </c>
      <c r="H9" s="93" t="n">
        <f aca="false">SUM(G9*F9)</f>
        <v>15322.44</v>
      </c>
      <c r="I9" s="29" t="n">
        <v>787</v>
      </c>
      <c r="J9" s="29" t="n">
        <v>6248</v>
      </c>
      <c r="K9" s="94"/>
      <c r="L9" s="95"/>
      <c r="M9" s="96"/>
      <c r="N9" s="99" t="n">
        <v>0</v>
      </c>
      <c r="O9" s="98"/>
      <c r="P9" s="99" t="n">
        <f aca="false">SUM(O9-N9)</f>
        <v>0</v>
      </c>
      <c r="Q9" s="100"/>
      <c r="R9" s="101" t="n">
        <f aca="false">SUM(Q9*P9)</f>
        <v>0</v>
      </c>
      <c r="S9" s="1"/>
    </row>
    <row r="10" customFormat="false" ht="15.75" hidden="false" customHeight="false" outlineLevel="0" collapsed="false">
      <c r="A10" s="89" t="n">
        <v>0.743055555555555</v>
      </c>
      <c r="B10" s="90" t="s">
        <v>66</v>
      </c>
      <c r="C10" s="97" t="n">
        <f aca="false">SUM(D9)</f>
        <v>48093210</v>
      </c>
      <c r="D10" s="75" t="n">
        <v>48111470</v>
      </c>
      <c r="E10" s="91" t="n">
        <f aca="false">SUM(D10-C10)</f>
        <v>18260</v>
      </c>
      <c r="F10" s="122" t="n">
        <v>18241</v>
      </c>
      <c r="G10" s="41" t="n">
        <v>0.84</v>
      </c>
      <c r="H10" s="93" t="n">
        <f aca="false">SUM(G10*F10)</f>
        <v>15322.44</v>
      </c>
      <c r="I10" s="29" t="n">
        <v>787</v>
      </c>
      <c r="J10" s="29" t="n">
        <v>6251</v>
      </c>
      <c r="K10" s="94"/>
      <c r="L10" s="95"/>
      <c r="M10" s="96"/>
      <c r="N10" s="99" t="n">
        <f aca="false">SUM(O9)</f>
        <v>0</v>
      </c>
      <c r="O10" s="98"/>
      <c r="P10" s="99" t="n">
        <f aca="false">SUM(O10-N10)</f>
        <v>0</v>
      </c>
      <c r="Q10" s="100"/>
      <c r="R10" s="101" t="n">
        <f aca="false">SUM(Q10*P10)</f>
        <v>0</v>
      </c>
      <c r="S10" s="102"/>
    </row>
    <row r="11" customFormat="false" ht="15.75" hidden="false" customHeight="false" outlineLevel="0" collapsed="false">
      <c r="A11" s="89" t="n">
        <v>0.798611111111111</v>
      </c>
      <c r="B11" s="90" t="s">
        <v>66</v>
      </c>
      <c r="C11" s="97" t="n">
        <f aca="false">SUM(D10)</f>
        <v>48111470</v>
      </c>
      <c r="D11" s="75" t="n">
        <v>48129710</v>
      </c>
      <c r="E11" s="91" t="n">
        <f aca="false">SUM(D11-C11)</f>
        <v>18240</v>
      </c>
      <c r="F11" s="122" t="n">
        <v>18241</v>
      </c>
      <c r="G11" s="41" t="n">
        <v>0.84</v>
      </c>
      <c r="H11" s="93" t="n">
        <f aca="false">SUM(G11*F11)</f>
        <v>15322.44</v>
      </c>
      <c r="I11" s="29" t="n">
        <v>787</v>
      </c>
      <c r="J11" s="29" t="n">
        <v>6253</v>
      </c>
      <c r="K11" s="94"/>
      <c r="L11" s="95"/>
      <c r="M11" s="96"/>
      <c r="N11" s="99" t="n">
        <f aca="false">SUM(O10)</f>
        <v>0</v>
      </c>
      <c r="O11" s="98"/>
      <c r="P11" s="99" t="n">
        <f aca="false">SUM(O11-N11)</f>
        <v>0</v>
      </c>
      <c r="Q11" s="100"/>
      <c r="R11" s="101" t="n">
        <f aca="false">SUM(Q11*P11)</f>
        <v>0</v>
      </c>
      <c r="S11" s="1"/>
    </row>
    <row r="12" customFormat="false" ht="15.75" hidden="false" customHeight="false" outlineLevel="0" collapsed="false">
      <c r="A12" s="89" t="n">
        <v>0.885416666666667</v>
      </c>
      <c r="B12" s="126" t="s">
        <v>48</v>
      </c>
      <c r="C12" s="97" t="n">
        <f aca="false">SUM(D11)</f>
        <v>48129710</v>
      </c>
      <c r="D12" s="75" t="n">
        <v>48136130</v>
      </c>
      <c r="E12" s="91" t="n">
        <f aca="false">SUM(D12-C12)</f>
        <v>6420</v>
      </c>
      <c r="F12" s="108" t="n">
        <f aca="false">SUM(D12-C12)</f>
        <v>6420</v>
      </c>
      <c r="G12" s="41" t="n">
        <v>0.8345</v>
      </c>
      <c r="H12" s="127" t="n">
        <f aca="false">SUM(G12*F12)</f>
        <v>5357.49</v>
      </c>
      <c r="I12" s="29" t="n">
        <v>237</v>
      </c>
      <c r="J12" s="29" t="n">
        <v>6258</v>
      </c>
      <c r="K12" s="94"/>
      <c r="L12" s="95"/>
      <c r="M12" s="96"/>
      <c r="N12" s="99" t="n">
        <f aca="false">SUM(O11)</f>
        <v>0</v>
      </c>
      <c r="O12" s="98"/>
      <c r="P12" s="99" t="n">
        <f aca="false">SUM(O12-N12)</f>
        <v>0</v>
      </c>
      <c r="Q12" s="100"/>
      <c r="R12" s="101" t="n">
        <f aca="false">SUM(Q12*P12)</f>
        <v>0</v>
      </c>
      <c r="S12" s="1"/>
    </row>
    <row r="13" customFormat="false" ht="15.75" hidden="false" customHeight="false" outlineLevel="0" collapsed="false">
      <c r="A13" s="89" t="n">
        <v>0.902777777777778</v>
      </c>
      <c r="B13" s="90" t="s">
        <v>48</v>
      </c>
      <c r="C13" s="97" t="n">
        <f aca="false">SUM(D12)</f>
        <v>48136130</v>
      </c>
      <c r="D13" s="75" t="n">
        <v>48145290</v>
      </c>
      <c r="E13" s="91" t="n">
        <f aca="false">SUM(D13-C13)</f>
        <v>9160</v>
      </c>
      <c r="F13" s="122" t="n">
        <v>9161</v>
      </c>
      <c r="G13" s="41" t="n">
        <v>0.8345</v>
      </c>
      <c r="H13" s="127" t="n">
        <f aca="false">SUM(G13*F13)</f>
        <v>7644.8545</v>
      </c>
      <c r="I13" s="29" t="n">
        <v>787</v>
      </c>
      <c r="J13" s="29" t="n">
        <v>6260</v>
      </c>
      <c r="K13" s="94"/>
      <c r="L13" s="95"/>
      <c r="M13" s="96"/>
      <c r="N13" s="99" t="n">
        <f aca="false">SUM(O12)</f>
        <v>0</v>
      </c>
      <c r="O13" s="98"/>
      <c r="P13" s="99" t="n">
        <f aca="false">SUM(O13-N13)</f>
        <v>0</v>
      </c>
      <c r="Q13" s="100"/>
      <c r="R13" s="101" t="n">
        <f aca="false">SUM(Q13*P13)</f>
        <v>0</v>
      </c>
      <c r="S13" s="1"/>
    </row>
    <row r="14" customFormat="false" ht="15.75" hidden="false" customHeight="false" outlineLevel="0" collapsed="false">
      <c r="A14" s="89" t="n">
        <v>0.909722222222222</v>
      </c>
      <c r="B14" s="90" t="s">
        <v>48</v>
      </c>
      <c r="C14" s="97" t="n">
        <f aca="false">SUM(D13)</f>
        <v>48145290</v>
      </c>
      <c r="D14" s="75" t="n">
        <v>48152330</v>
      </c>
      <c r="E14" s="91" t="n">
        <f aca="false">SUM(D14-C14)</f>
        <v>7040</v>
      </c>
      <c r="F14" s="128" t="n">
        <v>7033</v>
      </c>
      <c r="G14" s="41" t="n">
        <v>0.8345</v>
      </c>
      <c r="H14" s="127" t="n">
        <f aca="false">SUM(G14*F14)</f>
        <v>5869.0385</v>
      </c>
      <c r="I14" s="29" t="n">
        <v>251</v>
      </c>
      <c r="J14" s="29" t="n">
        <v>6262</v>
      </c>
      <c r="K14" s="94"/>
      <c r="L14" s="95"/>
      <c r="M14" s="96"/>
      <c r="N14" s="99" t="n">
        <f aca="false">SUM(O13)</f>
        <v>0</v>
      </c>
      <c r="O14" s="98"/>
      <c r="P14" s="99" t="n">
        <f aca="false">SUM(O14-N14)</f>
        <v>0</v>
      </c>
      <c r="Q14" s="100"/>
      <c r="R14" s="101" t="n">
        <f aca="false">SUM(Q14*P14)</f>
        <v>0</v>
      </c>
      <c r="S14" s="1"/>
    </row>
    <row r="15" customFormat="false" ht="15.75" hidden="false" customHeight="false" outlineLevel="0" collapsed="false">
      <c r="A15" s="89" t="n">
        <v>0.9375</v>
      </c>
      <c r="B15" s="90" t="s">
        <v>48</v>
      </c>
      <c r="C15" s="97" t="n">
        <f aca="false">SUM(D14)</f>
        <v>48152330</v>
      </c>
      <c r="D15" s="75" t="n">
        <v>48170580</v>
      </c>
      <c r="E15" s="91" t="n">
        <f aca="false">SUM(D15-C15)</f>
        <v>18250</v>
      </c>
      <c r="F15" s="122" t="n">
        <v>18241</v>
      </c>
      <c r="G15" s="41" t="n">
        <v>0.8345</v>
      </c>
      <c r="H15" s="127" t="n">
        <f aca="false">SUM(G15*F15)</f>
        <v>15222.1145</v>
      </c>
      <c r="I15" s="29" t="n">
        <v>787</v>
      </c>
      <c r="J15" s="29" t="n">
        <v>6263</v>
      </c>
      <c r="K15" s="94"/>
      <c r="L15" s="95"/>
      <c r="M15" s="96"/>
      <c r="N15" s="99" t="n">
        <f aca="false">SUM(O14)</f>
        <v>0</v>
      </c>
      <c r="O15" s="98"/>
      <c r="P15" s="99" t="n">
        <f aca="false">SUM(O15-N15)</f>
        <v>0</v>
      </c>
      <c r="Q15" s="100"/>
      <c r="R15" s="101" t="n">
        <f aca="false">SUM(Q15*P15)</f>
        <v>0</v>
      </c>
      <c r="S15" s="1"/>
    </row>
    <row r="16" customFormat="false" ht="15.75" hidden="false" customHeight="false" outlineLevel="0" collapsed="false">
      <c r="A16" s="89" t="n">
        <v>0.954861111111111</v>
      </c>
      <c r="B16" s="90" t="s">
        <v>54</v>
      </c>
      <c r="C16" s="97" t="n">
        <f aca="false">SUM(D15)</f>
        <v>48170580</v>
      </c>
      <c r="D16" s="75" t="n">
        <v>48177620</v>
      </c>
      <c r="E16" s="91" t="n">
        <f aca="false">SUM(D16-C16)</f>
        <v>7040</v>
      </c>
      <c r="F16" s="128" t="n">
        <v>7033</v>
      </c>
      <c r="G16" s="41" t="n">
        <v>0.834</v>
      </c>
      <c r="H16" s="123" t="n">
        <f aca="false">SUM(G16*F16)</f>
        <v>5865.522</v>
      </c>
      <c r="I16" s="29" t="n">
        <v>251</v>
      </c>
      <c r="J16" s="29" t="n">
        <v>6265</v>
      </c>
      <c r="K16" s="94"/>
      <c r="L16" s="95"/>
      <c r="M16" s="104"/>
      <c r="N16" s="99" t="n">
        <f aca="false">SUM(O15)</f>
        <v>0</v>
      </c>
      <c r="O16" s="98"/>
      <c r="P16" s="99" t="n">
        <f aca="false">SUM(O16-N16)</f>
        <v>0</v>
      </c>
      <c r="Q16" s="41"/>
      <c r="R16" s="101" t="n">
        <f aca="false">SUM(Q16*P16)</f>
        <v>0</v>
      </c>
      <c r="S16" s="102"/>
    </row>
    <row r="17" customFormat="false" ht="15.75" hidden="false" customHeight="false" outlineLevel="0" collapsed="false">
      <c r="A17" s="89" t="n">
        <v>0.986111111111111</v>
      </c>
      <c r="B17" s="90" t="s">
        <v>54</v>
      </c>
      <c r="C17" s="97" t="n">
        <f aca="false">SUM(D16)</f>
        <v>48177620</v>
      </c>
      <c r="D17" s="75" t="n">
        <v>48195870</v>
      </c>
      <c r="E17" s="91" t="n">
        <f aca="false">SUM(D17-C17)</f>
        <v>18250</v>
      </c>
      <c r="F17" s="122" t="n">
        <v>18241</v>
      </c>
      <c r="G17" s="41" t="n">
        <v>0.834</v>
      </c>
      <c r="H17" s="123" t="n">
        <f aca="false">SUM(G17*F17)</f>
        <v>15212.994</v>
      </c>
      <c r="I17" s="29" t="n">
        <v>787</v>
      </c>
      <c r="J17" s="29" t="n">
        <v>6266</v>
      </c>
      <c r="K17" s="94"/>
      <c r="L17" s="88"/>
      <c r="M17" s="88" t="s">
        <v>49</v>
      </c>
      <c r="N17" s="82"/>
      <c r="O17" s="82"/>
      <c r="P17" s="82"/>
      <c r="Q17" s="83"/>
      <c r="R17" s="84"/>
      <c r="S17" s="85"/>
    </row>
    <row r="18" customFormat="false" ht="15.75" hidden="false" customHeight="false" outlineLevel="0" collapsed="false">
      <c r="A18" s="89" t="n">
        <v>0.208333333333333</v>
      </c>
      <c r="B18" s="90" t="s">
        <v>48</v>
      </c>
      <c r="C18" s="97" t="n">
        <f aca="false">SUM(D17)</f>
        <v>48195870</v>
      </c>
      <c r="D18" s="75" t="n">
        <v>48214110</v>
      </c>
      <c r="E18" s="91" t="n">
        <f aca="false">SUM(D18-C18)</f>
        <v>18240</v>
      </c>
      <c r="F18" s="122" t="n">
        <v>18241</v>
      </c>
      <c r="G18" s="41" t="n">
        <v>0.8363</v>
      </c>
      <c r="H18" s="127" t="n">
        <f aca="false">SUM(G18*F18)</f>
        <v>15254.9483</v>
      </c>
      <c r="I18" s="29" t="n">
        <v>787</v>
      </c>
      <c r="J18" s="29" t="n">
        <v>6270</v>
      </c>
      <c r="K18" s="94"/>
      <c r="L18" s="95" t="n">
        <v>0.458333333333333</v>
      </c>
      <c r="M18" s="104" t="s">
        <v>57</v>
      </c>
      <c r="N18" s="129" t="n">
        <f aca="false">D45</f>
        <v>3777830</v>
      </c>
      <c r="O18" s="98" t="n">
        <v>3777920</v>
      </c>
      <c r="P18" s="108" t="n">
        <f aca="false">SUM(O18-N18)</f>
        <v>90</v>
      </c>
      <c r="Q18" s="41" t="n">
        <v>0.825</v>
      </c>
      <c r="R18" s="93" t="n">
        <f aca="false">SUM(Q18*P18)</f>
        <v>74.25</v>
      </c>
      <c r="S18" s="102" t="s">
        <v>68</v>
      </c>
      <c r="T18" s="0" t="s">
        <v>41</v>
      </c>
    </row>
    <row r="19" customFormat="false" ht="15.75" hidden="false" customHeight="false" outlineLevel="0" collapsed="false">
      <c r="A19" s="89" t="n">
        <v>0.222222222222222</v>
      </c>
      <c r="B19" s="90" t="s">
        <v>48</v>
      </c>
      <c r="C19" s="97" t="n">
        <f aca="false">SUM(D18)</f>
        <v>48214110</v>
      </c>
      <c r="D19" s="75" t="n">
        <v>48231130</v>
      </c>
      <c r="E19" s="91" t="n">
        <f aca="false">SUM(D19-C19)</f>
        <v>17020</v>
      </c>
      <c r="F19" s="128" t="n">
        <v>17019</v>
      </c>
      <c r="G19" s="41" t="n">
        <v>0.8363</v>
      </c>
      <c r="H19" s="127" t="n">
        <f aca="false">SUM(G19*F19)</f>
        <v>14232.9897</v>
      </c>
      <c r="I19" s="29" t="n">
        <v>251</v>
      </c>
      <c r="J19" s="29" t="n">
        <v>6271</v>
      </c>
      <c r="K19" s="94"/>
      <c r="L19" s="95" t="n">
        <v>0.215277777777778</v>
      </c>
      <c r="M19" s="104" t="s">
        <v>50</v>
      </c>
      <c r="N19" s="97" t="n">
        <f aca="false">D62</f>
        <v>3933330</v>
      </c>
      <c r="O19" s="98" t="n">
        <v>3933470</v>
      </c>
      <c r="P19" s="108" t="n">
        <f aca="false">SUM(O19-N19)</f>
        <v>140</v>
      </c>
      <c r="Q19" s="41" t="n">
        <v>0.8397</v>
      </c>
      <c r="R19" s="93" t="n">
        <f aca="false">SUM(Q19*P19)</f>
        <v>117.558</v>
      </c>
      <c r="S19" s="102" t="s">
        <v>69</v>
      </c>
    </row>
    <row r="20" customFormat="false" ht="15.75" hidden="false" customHeight="false" outlineLevel="0" collapsed="false">
      <c r="A20" s="89" t="n">
        <v>0.256944444444444</v>
      </c>
      <c r="B20" s="90" t="s">
        <v>54</v>
      </c>
      <c r="C20" s="97" t="n">
        <f aca="false">SUM(D19)</f>
        <v>48231130</v>
      </c>
      <c r="D20" s="75" t="n">
        <v>48249390</v>
      </c>
      <c r="E20" s="91" t="n">
        <f aca="false">SUM(D20-C20)</f>
        <v>18260</v>
      </c>
      <c r="F20" s="122" t="n">
        <v>18241</v>
      </c>
      <c r="G20" s="41" t="n">
        <v>0.836</v>
      </c>
      <c r="H20" s="123" t="n">
        <f aca="false">SUM(G20*F20)</f>
        <v>15249.476</v>
      </c>
      <c r="I20" s="1" t="n">
        <v>787</v>
      </c>
      <c r="J20" s="29" t="n">
        <v>6272</v>
      </c>
      <c r="K20" s="94"/>
      <c r="L20" s="95"/>
      <c r="M20" s="104"/>
      <c r="N20" s="97"/>
      <c r="O20" s="98"/>
      <c r="P20" s="108" t="n">
        <f aca="false">SUM(O20-N20)</f>
        <v>0</v>
      </c>
      <c r="Q20" s="41"/>
      <c r="R20" s="93" t="n">
        <f aca="false">SUM(Q20*P20)</f>
        <v>0</v>
      </c>
      <c r="S20" s="102"/>
    </row>
    <row r="21" customFormat="false" ht="15.75" hidden="false" customHeight="false" outlineLevel="0" collapsed="false">
      <c r="A21" s="89" t="n">
        <v>0.305555555555555</v>
      </c>
      <c r="B21" s="90" t="s">
        <v>54</v>
      </c>
      <c r="C21" s="97" t="n">
        <f aca="false">SUM(D20)</f>
        <v>48249390</v>
      </c>
      <c r="D21" s="75" t="n">
        <v>48267630</v>
      </c>
      <c r="E21" s="91" t="n">
        <f aca="false">SUM(D21-C21)</f>
        <v>18240</v>
      </c>
      <c r="F21" s="122" t="n">
        <v>18241</v>
      </c>
      <c r="G21" s="41" t="n">
        <v>0.836</v>
      </c>
      <c r="H21" s="123" t="n">
        <f aca="false">SUM(G21*F21)</f>
        <v>15249.476</v>
      </c>
      <c r="I21" s="1" t="n">
        <v>251</v>
      </c>
      <c r="J21" s="29" t="n">
        <v>6274</v>
      </c>
      <c r="K21" s="94"/>
      <c r="L21" s="95"/>
      <c r="M21" s="104"/>
      <c r="N21" s="97" t="n">
        <f aca="false">SUM(O20)</f>
        <v>0</v>
      </c>
      <c r="O21" s="98"/>
      <c r="P21" s="108" t="n">
        <f aca="false">SUM(O21-N21)</f>
        <v>0</v>
      </c>
      <c r="Q21" s="41"/>
      <c r="R21" s="93" t="n">
        <f aca="false">SUM(Q21*P21)</f>
        <v>0</v>
      </c>
      <c r="S21" s="102"/>
    </row>
    <row r="22" customFormat="false" ht="15.75" hidden="false" customHeight="false" outlineLevel="0" collapsed="false">
      <c r="A22" s="89" t="n">
        <v>0.319444444444444</v>
      </c>
      <c r="B22" s="90" t="s">
        <v>54</v>
      </c>
      <c r="C22" s="97" t="n">
        <f aca="false">SUM(D21)</f>
        <v>48267630</v>
      </c>
      <c r="D22" s="75" t="n">
        <v>48284650</v>
      </c>
      <c r="E22" s="91" t="n">
        <f aca="false">SUM(D22-C22)</f>
        <v>17020</v>
      </c>
      <c r="F22" s="128" t="n">
        <v>17019</v>
      </c>
      <c r="G22" s="41" t="n">
        <v>0.836</v>
      </c>
      <c r="H22" s="123" t="n">
        <f aca="false">SUM(G22*F22)</f>
        <v>14227.884</v>
      </c>
      <c r="I22" s="1" t="n">
        <v>787</v>
      </c>
      <c r="J22" s="29" t="n">
        <v>6275</v>
      </c>
      <c r="K22" s="94"/>
      <c r="L22" s="95"/>
      <c r="M22" s="104"/>
      <c r="N22" s="97" t="n">
        <f aca="false">SUM(O21)</f>
        <v>0</v>
      </c>
      <c r="O22" s="98"/>
      <c r="P22" s="108" t="n">
        <f aca="false">SUM(O22-N22)</f>
        <v>0</v>
      </c>
      <c r="Q22" s="41"/>
      <c r="R22" s="93" t="n">
        <f aca="false">SUM(Q22*P22)</f>
        <v>0</v>
      </c>
      <c r="S22" s="102"/>
    </row>
    <row r="23" customFormat="false" ht="15" hidden="false" customHeight="false" outlineLevel="0" collapsed="false">
      <c r="A23" s="89"/>
      <c r="B23" s="90"/>
      <c r="C23" s="97" t="n">
        <v>0</v>
      </c>
      <c r="D23" s="75"/>
      <c r="E23" s="91" t="n">
        <f aca="false">SUM(D23-C23)</f>
        <v>0</v>
      </c>
      <c r="F23" s="108" t="n">
        <f aca="false">SUM(D23-C23)</f>
        <v>0</v>
      </c>
      <c r="G23" s="41"/>
      <c r="H23" s="93" t="n">
        <f aca="false">SUM(G23*F23)</f>
        <v>0</v>
      </c>
      <c r="I23" s="1"/>
      <c r="J23" s="29"/>
      <c r="K23" s="94"/>
      <c r="L23" s="95"/>
      <c r="M23" s="104"/>
      <c r="N23" s="97" t="n">
        <f aca="false">SUM(O22)</f>
        <v>0</v>
      </c>
      <c r="O23" s="98"/>
      <c r="P23" s="108" t="n">
        <f aca="false">SUM(O23-N23)</f>
        <v>0</v>
      </c>
      <c r="Q23" s="41"/>
      <c r="R23" s="93" t="n">
        <f aca="false">SUM(Q23*P23)</f>
        <v>0</v>
      </c>
      <c r="S23" s="102"/>
    </row>
    <row r="24" customFormat="false" ht="15" hidden="false" customHeight="false" outlineLevel="0" collapsed="false">
      <c r="A24" s="89"/>
      <c r="B24" s="90"/>
      <c r="C24" s="97" t="n">
        <f aca="false">SUM(D23)</f>
        <v>0</v>
      </c>
      <c r="D24" s="75"/>
      <c r="E24" s="91" t="n">
        <f aca="false">SUM(D24-C24)</f>
        <v>0</v>
      </c>
      <c r="F24" s="108" t="n">
        <f aca="false">SUM(D24-C24)</f>
        <v>0</v>
      </c>
      <c r="G24" s="41"/>
      <c r="H24" s="93" t="n">
        <f aca="false">SUM(G24*F24)</f>
        <v>0</v>
      </c>
      <c r="I24" s="1"/>
      <c r="J24" s="29"/>
      <c r="K24" s="94"/>
      <c r="L24" s="95"/>
      <c r="M24" s="104"/>
      <c r="N24" s="97" t="n">
        <f aca="false">SUM(O23)</f>
        <v>0</v>
      </c>
      <c r="O24" s="98"/>
      <c r="P24" s="108" t="n">
        <f aca="false">SUM(O24-N24)</f>
        <v>0</v>
      </c>
      <c r="Q24" s="41"/>
      <c r="R24" s="93" t="n">
        <f aca="false">SUM(Q24*P24)</f>
        <v>0</v>
      </c>
      <c r="S24" s="102"/>
    </row>
    <row r="25" customFormat="false" ht="15" hidden="false" customHeight="false" outlineLevel="0" collapsed="false">
      <c r="A25" s="89"/>
      <c r="B25" s="90"/>
      <c r="C25" s="97" t="n">
        <f aca="false">SUM(D24)</f>
        <v>0</v>
      </c>
      <c r="D25" s="75"/>
      <c r="E25" s="91" t="n">
        <f aca="false">SUM(D25-C25)</f>
        <v>0</v>
      </c>
      <c r="F25" s="108" t="n">
        <f aca="false">SUM(D25-C25)</f>
        <v>0</v>
      </c>
      <c r="G25" s="41"/>
      <c r="H25" s="93" t="n">
        <f aca="false">SUM(G25*F25)</f>
        <v>0</v>
      </c>
      <c r="I25" s="1"/>
      <c r="J25" s="29"/>
      <c r="K25" s="94"/>
      <c r="L25" s="95"/>
      <c r="M25" s="96"/>
      <c r="N25" s="97" t="n">
        <f aca="false">SUM(O24)</f>
        <v>0</v>
      </c>
      <c r="O25" s="98"/>
      <c r="P25" s="108" t="n">
        <f aca="false">SUM(O25-N25)</f>
        <v>0</v>
      </c>
      <c r="Q25" s="100"/>
      <c r="R25" s="93" t="n">
        <f aca="false">SUM(Q25*P25)</f>
        <v>0</v>
      </c>
      <c r="S25" s="1"/>
    </row>
    <row r="26" customFormat="false" ht="15" hidden="true" customHeight="false" outlineLevel="0" collapsed="false">
      <c r="A26" s="89"/>
      <c r="B26" s="90"/>
      <c r="C26" s="97" t="n">
        <f aca="false">SUM(D25)</f>
        <v>0</v>
      </c>
      <c r="D26" s="75"/>
      <c r="E26" s="91" t="n">
        <f aca="false">SUM(D26-C26)</f>
        <v>0</v>
      </c>
      <c r="F26" s="108" t="n">
        <f aca="false">SUM(D26-C26)</f>
        <v>0</v>
      </c>
      <c r="G26" s="41"/>
      <c r="H26" s="93" t="n">
        <f aca="false">SUM(G26*F26)</f>
        <v>0</v>
      </c>
      <c r="I26" s="1"/>
      <c r="J26" s="29"/>
      <c r="K26" s="94"/>
      <c r="L26" s="95"/>
      <c r="M26" s="96"/>
      <c r="N26" s="97" t="n">
        <f aca="false">SUM(O25)</f>
        <v>0</v>
      </c>
      <c r="O26" s="98"/>
      <c r="P26" s="108" t="n">
        <f aca="false">SUM(O26-N26)</f>
        <v>0</v>
      </c>
      <c r="Q26" s="100"/>
      <c r="R26" s="93" t="n">
        <f aca="false">SUM(Q26*P26)</f>
        <v>0</v>
      </c>
      <c r="S26" s="102"/>
    </row>
    <row r="27" customFormat="false" ht="15" hidden="true" customHeight="false" outlineLevel="0" collapsed="false">
      <c r="A27" s="89"/>
      <c r="B27" s="90"/>
      <c r="C27" s="97" t="n">
        <f aca="false">SUM(D26)</f>
        <v>0</v>
      </c>
      <c r="D27" s="75"/>
      <c r="E27" s="91" t="n">
        <f aca="false">SUM(D27-C27)</f>
        <v>0</v>
      </c>
      <c r="F27" s="108" t="n">
        <f aca="false">SUM(D27-C27)</f>
        <v>0</v>
      </c>
      <c r="G27" s="41"/>
      <c r="H27" s="93" t="n">
        <f aca="false">SUM(G27*F27)</f>
        <v>0</v>
      </c>
      <c r="I27" s="1"/>
      <c r="J27" s="29"/>
      <c r="K27" s="94"/>
      <c r="L27" s="95"/>
      <c r="M27" s="96"/>
      <c r="N27" s="97" t="n">
        <f aca="false">SUM(O26)</f>
        <v>0</v>
      </c>
      <c r="O27" s="98"/>
      <c r="P27" s="108" t="n">
        <f aca="false">SUM(O27-N27)</f>
        <v>0</v>
      </c>
      <c r="Q27" s="100"/>
      <c r="R27" s="93" t="n">
        <f aca="false">SUM(Q27*P27)</f>
        <v>0</v>
      </c>
      <c r="S27" s="1"/>
    </row>
    <row r="28" customFormat="false" ht="15" hidden="true" customHeight="false" outlineLevel="0" collapsed="false">
      <c r="A28" s="89"/>
      <c r="B28" s="90"/>
      <c r="C28" s="97" t="n">
        <f aca="false">SUM(D27)</f>
        <v>0</v>
      </c>
      <c r="D28" s="75"/>
      <c r="E28" s="91" t="n">
        <f aca="false">SUM(D28-C28)</f>
        <v>0</v>
      </c>
      <c r="F28" s="108" t="n">
        <f aca="false">SUM(D28-C28)</f>
        <v>0</v>
      </c>
      <c r="G28" s="41"/>
      <c r="H28" s="93" t="n">
        <f aca="false">SUM(G28*F28)</f>
        <v>0</v>
      </c>
      <c r="I28" s="1"/>
      <c r="J28" s="29"/>
      <c r="K28" s="94"/>
      <c r="L28" s="95"/>
      <c r="M28" s="96"/>
      <c r="N28" s="97" t="n">
        <f aca="false">SUM(O27)</f>
        <v>0</v>
      </c>
      <c r="O28" s="98"/>
      <c r="P28" s="108" t="n">
        <f aca="false">SUM(O28-N28)</f>
        <v>0</v>
      </c>
      <c r="Q28" s="100"/>
      <c r="R28" s="93" t="n">
        <f aca="false">SUM(Q28*P28)</f>
        <v>0</v>
      </c>
      <c r="S28" s="1"/>
    </row>
    <row r="29" customFormat="false" ht="15" hidden="true" customHeight="false" outlineLevel="0" collapsed="false">
      <c r="A29" s="89"/>
      <c r="B29" s="90"/>
      <c r="C29" s="97" t="n">
        <f aca="false">SUM(D28)</f>
        <v>0</v>
      </c>
      <c r="D29" s="75"/>
      <c r="E29" s="91" t="n">
        <f aca="false">SUM(D29-C29)</f>
        <v>0</v>
      </c>
      <c r="F29" s="108" t="n">
        <f aca="false">SUM(D29-C29)</f>
        <v>0</v>
      </c>
      <c r="G29" s="41"/>
      <c r="H29" s="93" t="n">
        <f aca="false">SUM(G29*F29)</f>
        <v>0</v>
      </c>
      <c r="I29" s="1"/>
      <c r="J29" s="29"/>
      <c r="K29" s="94"/>
      <c r="L29" s="95"/>
      <c r="M29" s="96"/>
      <c r="N29" s="97" t="n">
        <f aca="false">SUM(O28)</f>
        <v>0</v>
      </c>
      <c r="O29" s="98"/>
      <c r="P29" s="108" t="n">
        <f aca="false">SUM(O29-N29)</f>
        <v>0</v>
      </c>
      <c r="Q29" s="100"/>
      <c r="R29" s="93" t="n">
        <f aca="false">SUM(Q29*P29)</f>
        <v>0</v>
      </c>
      <c r="S29" s="1"/>
    </row>
    <row r="30" customFormat="false" ht="15" hidden="true" customHeight="false" outlineLevel="0" collapsed="false">
      <c r="A30" s="89"/>
      <c r="B30" s="90"/>
      <c r="C30" s="97" t="n">
        <f aca="false">SUM(D29)</f>
        <v>0</v>
      </c>
      <c r="D30" s="75"/>
      <c r="E30" s="91" t="n">
        <f aca="false">SUM(D30-C30)</f>
        <v>0</v>
      </c>
      <c r="F30" s="108" t="n">
        <f aca="false">SUM(D30-C30)</f>
        <v>0</v>
      </c>
      <c r="G30" s="41"/>
      <c r="H30" s="93" t="n">
        <f aca="false">SUM(G30*F30)</f>
        <v>0</v>
      </c>
      <c r="I30" s="1"/>
      <c r="J30" s="29"/>
      <c r="K30" s="110"/>
      <c r="L30" s="95"/>
      <c r="M30" s="96"/>
      <c r="N30" s="97" t="n">
        <f aca="false">SUM(O29)</f>
        <v>0</v>
      </c>
      <c r="O30" s="98"/>
      <c r="P30" s="108" t="n">
        <f aca="false">SUM(O30-N30)</f>
        <v>0</v>
      </c>
      <c r="Q30" s="100"/>
      <c r="R30" s="93" t="n">
        <f aca="false">SUM(Q30*P30)</f>
        <v>0</v>
      </c>
      <c r="S30" s="1"/>
    </row>
    <row r="31" customFormat="false" ht="15" hidden="true" customHeight="false" outlineLevel="0" collapsed="false">
      <c r="A31" s="89"/>
      <c r="B31" s="90"/>
      <c r="C31" s="97" t="n">
        <f aca="false">SUM(D30)</f>
        <v>0</v>
      </c>
      <c r="D31" s="75"/>
      <c r="E31" s="91" t="n">
        <f aca="false">SUM(D31-C31)</f>
        <v>0</v>
      </c>
      <c r="F31" s="108" t="n">
        <f aca="false">SUM(D31-C31)</f>
        <v>0</v>
      </c>
      <c r="G31" s="41"/>
      <c r="H31" s="93" t="n">
        <f aca="false">SUM(G31*F31)</f>
        <v>0</v>
      </c>
      <c r="I31" s="1"/>
      <c r="J31" s="29"/>
      <c r="K31" s="94"/>
      <c r="L31" s="95"/>
      <c r="M31" s="96"/>
      <c r="N31" s="97" t="n">
        <f aca="false">SUM(O30)</f>
        <v>0</v>
      </c>
      <c r="O31" s="98"/>
      <c r="P31" s="108" t="n">
        <f aca="false">SUM(O31-N31)</f>
        <v>0</v>
      </c>
      <c r="Q31" s="100"/>
      <c r="R31" s="93" t="n">
        <f aca="false">SUM(Q31*P31)</f>
        <v>0</v>
      </c>
      <c r="S31" s="1"/>
    </row>
    <row r="32" customFormat="false" ht="15" hidden="true" customHeight="false" outlineLevel="0" collapsed="false">
      <c r="A32" s="89"/>
      <c r="B32" s="90"/>
      <c r="C32" s="97" t="n">
        <f aca="false">SUM(D31)</f>
        <v>0</v>
      </c>
      <c r="D32" s="75"/>
      <c r="E32" s="91" t="n">
        <f aca="false">SUM(D32-C32)</f>
        <v>0</v>
      </c>
      <c r="F32" s="108" t="n">
        <f aca="false">SUM(D32-C32)</f>
        <v>0</v>
      </c>
      <c r="G32" s="41"/>
      <c r="H32" s="93" t="n">
        <f aca="false">SUM(G32*F32)</f>
        <v>0</v>
      </c>
      <c r="I32" s="1"/>
      <c r="J32" s="29"/>
      <c r="K32" s="94"/>
      <c r="L32" s="112"/>
      <c r="M32" s="113"/>
      <c r="N32" s="113"/>
      <c r="O32" s="114"/>
      <c r="P32" s="115"/>
      <c r="Q32" s="116"/>
      <c r="R32" s="62"/>
      <c r="S32" s="62"/>
    </row>
    <row r="33" customFormat="false" ht="15" hidden="true" customHeight="false" outlineLevel="0" collapsed="false">
      <c r="A33" s="89"/>
      <c r="B33" s="90"/>
      <c r="C33" s="97" t="n">
        <f aca="false">SUM(D32)</f>
        <v>0</v>
      </c>
      <c r="D33" s="75"/>
      <c r="E33" s="91" t="n">
        <f aca="false">SUM(D33-C33)</f>
        <v>0</v>
      </c>
      <c r="F33" s="108" t="n">
        <f aca="false">SUM(D33-C33)</f>
        <v>0</v>
      </c>
      <c r="G33" s="41"/>
      <c r="H33" s="93" t="n">
        <f aca="false">SUM(G33*F33)</f>
        <v>0</v>
      </c>
      <c r="I33" s="1"/>
      <c r="J33" s="29"/>
      <c r="K33" s="94"/>
      <c r="L33" s="117"/>
      <c r="M33" s="117"/>
      <c r="N33" s="117"/>
      <c r="O33" s="117"/>
      <c r="P33" s="117"/>
      <c r="Q33" s="117"/>
      <c r="R33" s="117"/>
      <c r="S33" s="117"/>
    </row>
    <row r="34" customFormat="false" ht="15" hidden="true" customHeight="false" outlineLevel="0" collapsed="false">
      <c r="A34" s="89"/>
      <c r="B34" s="90"/>
      <c r="C34" s="97" t="n">
        <f aca="false">SUM(D33)</f>
        <v>0</v>
      </c>
      <c r="D34" s="75"/>
      <c r="E34" s="91" t="n">
        <f aca="false">SUM(D34-C34)</f>
        <v>0</v>
      </c>
      <c r="F34" s="108" t="n">
        <f aca="false">SUM(D34-C34)</f>
        <v>0</v>
      </c>
      <c r="G34" s="41"/>
      <c r="H34" s="93" t="n">
        <f aca="false">SUM(G34*F34)</f>
        <v>0</v>
      </c>
      <c r="I34" s="1"/>
      <c r="J34" s="29"/>
      <c r="K34" s="94"/>
      <c r="L34" s="117"/>
      <c r="M34" s="117"/>
      <c r="N34" s="117"/>
      <c r="O34" s="117"/>
      <c r="P34" s="117"/>
      <c r="Q34" s="117"/>
      <c r="R34" s="117"/>
      <c r="S34" s="117"/>
    </row>
    <row r="35" customFormat="false" ht="15" hidden="true" customHeight="false" outlineLevel="0" collapsed="false">
      <c r="A35" s="89"/>
      <c r="B35" s="90"/>
      <c r="C35" s="97" t="n">
        <f aca="false">SUM(D34)</f>
        <v>0</v>
      </c>
      <c r="D35" s="75"/>
      <c r="E35" s="91" t="n">
        <f aca="false">SUM(D35-C35)</f>
        <v>0</v>
      </c>
      <c r="F35" s="108" t="n">
        <f aca="false">SUM(D35-C35)</f>
        <v>0</v>
      </c>
      <c r="G35" s="41"/>
      <c r="H35" s="93" t="n">
        <f aca="false">SUM(G35*F35)</f>
        <v>0</v>
      </c>
      <c r="I35" s="1"/>
      <c r="J35" s="29"/>
      <c r="K35" s="94"/>
      <c r="L35" s="117"/>
      <c r="M35" s="117"/>
      <c r="N35" s="117"/>
      <c r="O35" s="117"/>
      <c r="P35" s="117"/>
      <c r="Q35" s="117"/>
      <c r="R35" s="117"/>
      <c r="S35" s="117"/>
    </row>
    <row r="36" customFormat="false" ht="15" hidden="true" customHeight="false" outlineLevel="0" collapsed="false">
      <c r="A36" s="89"/>
      <c r="B36" s="90"/>
      <c r="C36" s="97" t="n">
        <f aca="false">SUM(D35)</f>
        <v>0</v>
      </c>
      <c r="D36" s="75"/>
      <c r="E36" s="91" t="n">
        <f aca="false">SUM(D36-C36)</f>
        <v>0</v>
      </c>
      <c r="F36" s="108" t="n">
        <f aca="false">SUM(D36-C36)</f>
        <v>0</v>
      </c>
      <c r="G36" s="41"/>
      <c r="H36" s="93" t="n">
        <f aca="false">SUM(G36*F36)</f>
        <v>0</v>
      </c>
      <c r="I36" s="1"/>
      <c r="J36" s="29"/>
      <c r="K36" s="94"/>
      <c r="L36" s="117"/>
      <c r="M36" s="117"/>
      <c r="N36" s="117"/>
      <c r="O36" s="117"/>
      <c r="P36" s="117"/>
      <c r="Q36" s="117"/>
      <c r="R36" s="117"/>
      <c r="S36" s="117"/>
    </row>
    <row r="37" customFormat="false" ht="15" hidden="true" customHeight="false" outlineLevel="0" collapsed="false">
      <c r="A37" s="89"/>
      <c r="B37" s="90"/>
      <c r="C37" s="97" t="n">
        <f aca="false">SUM(D36)</f>
        <v>0</v>
      </c>
      <c r="D37" s="75"/>
      <c r="E37" s="91" t="n">
        <f aca="false">SUM(D37-C37)</f>
        <v>0</v>
      </c>
      <c r="F37" s="130" t="n">
        <f aca="false">SUM(D37-C37)</f>
        <v>0</v>
      </c>
      <c r="G37" s="41"/>
      <c r="H37" s="131" t="n">
        <f aca="false">SUM(G37*F37)</f>
        <v>0</v>
      </c>
      <c r="I37" s="1"/>
      <c r="J37" s="1"/>
      <c r="K37" s="94"/>
      <c r="L37" s="117"/>
      <c r="M37" s="117"/>
      <c r="N37" s="117"/>
      <c r="O37" s="117"/>
      <c r="P37" s="117"/>
      <c r="Q37" s="117"/>
      <c r="R37" s="117"/>
      <c r="S37" s="117"/>
    </row>
    <row r="38" customFormat="false" ht="15" hidden="false" customHeight="false" outlineLevel="0" collapsed="false">
      <c r="A38" s="89"/>
      <c r="B38" s="90"/>
      <c r="C38" s="97" t="n">
        <f aca="false">SUM(D37)</f>
        <v>0</v>
      </c>
      <c r="D38" s="75"/>
      <c r="E38" s="109"/>
      <c r="F38" s="132" t="n">
        <f aca="false">SUM(F3:F37)</f>
        <v>285315</v>
      </c>
      <c r="G38" s="133"/>
      <c r="H38" s="134" t="n">
        <f aca="false">SUM(H3:H25)</f>
        <v>239057.3405</v>
      </c>
      <c r="I38" s="135"/>
      <c r="J38" s="1"/>
      <c r="L38" s="117"/>
      <c r="M38" s="117"/>
      <c r="N38" s="117"/>
      <c r="O38" s="117"/>
      <c r="P38" s="117"/>
      <c r="Q38" s="117"/>
      <c r="R38" s="117"/>
      <c r="S38" s="117"/>
    </row>
    <row r="39" customFormat="false" ht="15" hidden="false" customHeight="false" outlineLevel="0" collapsed="false">
      <c r="A39" s="88"/>
      <c r="B39" s="81" t="s">
        <v>49</v>
      </c>
      <c r="C39" s="82"/>
      <c r="D39" s="82"/>
      <c r="E39" s="82"/>
      <c r="F39" s="136"/>
      <c r="G39" s="83"/>
      <c r="H39" s="137"/>
      <c r="I39" s="85"/>
      <c r="J39" s="85"/>
      <c r="L39" s="117"/>
      <c r="M39" s="117"/>
      <c r="N39" s="117"/>
      <c r="O39" s="117"/>
      <c r="P39" s="117"/>
      <c r="Q39" s="117"/>
      <c r="R39" s="117"/>
      <c r="S39" s="117"/>
    </row>
    <row r="40" customFormat="false" ht="15.75" hidden="false" customHeight="false" outlineLevel="0" collapsed="false">
      <c r="A40" s="89" t="n">
        <v>0.416666666666667</v>
      </c>
      <c r="B40" s="126" t="s">
        <v>59</v>
      </c>
      <c r="C40" s="107" t="n">
        <v>3720040</v>
      </c>
      <c r="D40" s="107" t="n">
        <v>3736950</v>
      </c>
      <c r="E40" s="91" t="n">
        <f aca="false">SUM(D40-C40)</f>
        <v>16910</v>
      </c>
      <c r="F40" s="128" t="n">
        <v>17019</v>
      </c>
      <c r="G40" s="41" t="n">
        <v>0.8286</v>
      </c>
      <c r="H40" s="127" t="n">
        <f aca="false">SUM(G40*F40)</f>
        <v>14101.9434</v>
      </c>
      <c r="I40" s="29" t="n">
        <v>251</v>
      </c>
      <c r="J40" s="29" t="n">
        <v>6234</v>
      </c>
      <c r="K40" s="119" t="s">
        <v>60</v>
      </c>
      <c r="L40" s="117"/>
      <c r="M40" s="117"/>
      <c r="N40" s="117"/>
      <c r="O40" s="117"/>
      <c r="P40" s="117"/>
      <c r="Q40" s="117"/>
      <c r="R40" s="117"/>
      <c r="S40" s="117"/>
    </row>
    <row r="41" customFormat="false" ht="14.25" hidden="false" customHeight="true" outlineLevel="0" collapsed="false">
      <c r="A41" s="89" t="n">
        <v>0.430555555555556</v>
      </c>
      <c r="B41" s="90" t="s">
        <v>59</v>
      </c>
      <c r="C41" s="97" t="n">
        <f aca="false">SUM(D40)</f>
        <v>3736950</v>
      </c>
      <c r="D41" s="107" t="n">
        <v>3743340</v>
      </c>
      <c r="E41" s="91" t="n">
        <f aca="false">SUM(D41-C41)</f>
        <v>6390</v>
      </c>
      <c r="F41" s="108" t="n">
        <f aca="false">SUM(D41-C41)</f>
        <v>6390</v>
      </c>
      <c r="G41" s="41" t="n">
        <v>0.8286</v>
      </c>
      <c r="H41" s="127" t="n">
        <f aca="false">SUM(G41*F41)</f>
        <v>5294.754</v>
      </c>
      <c r="I41" s="29" t="n">
        <v>382</v>
      </c>
      <c r="J41" s="29" t="n">
        <v>6235</v>
      </c>
      <c r="K41" s="119" t="s">
        <v>60</v>
      </c>
      <c r="L41" s="117"/>
      <c r="M41" s="117"/>
      <c r="N41" s="117"/>
      <c r="O41" s="117"/>
      <c r="P41" s="117"/>
      <c r="Q41" s="117"/>
      <c r="R41" s="117"/>
      <c r="S41" s="117"/>
    </row>
    <row r="42" customFormat="false" ht="15" hidden="false" customHeight="true" outlineLevel="0" collapsed="false">
      <c r="A42" s="89" t="n">
        <v>0.4375</v>
      </c>
      <c r="B42" s="90" t="s">
        <v>59</v>
      </c>
      <c r="C42" s="97" t="n">
        <f aca="false">SUM(D41)</f>
        <v>3743340</v>
      </c>
      <c r="D42" s="107" t="n">
        <v>3749410</v>
      </c>
      <c r="E42" s="91" t="n">
        <f aca="false">SUM(D42-C42)</f>
        <v>6070</v>
      </c>
      <c r="F42" s="108" t="n">
        <f aca="false">SUM(D42-C42)</f>
        <v>6070</v>
      </c>
      <c r="G42" s="41" t="n">
        <v>0.8286</v>
      </c>
      <c r="H42" s="127" t="n">
        <f aca="false">SUM(G42*F42)</f>
        <v>5029.602</v>
      </c>
      <c r="I42" s="29" t="n">
        <v>81</v>
      </c>
      <c r="J42" s="29" t="n">
        <v>6236</v>
      </c>
      <c r="K42" s="119" t="s">
        <v>60</v>
      </c>
      <c r="L42" s="117"/>
      <c r="M42" s="117"/>
      <c r="N42" s="117"/>
      <c r="O42" s="117"/>
      <c r="P42" s="117"/>
      <c r="Q42" s="117"/>
      <c r="R42" s="117"/>
      <c r="S42" s="117"/>
    </row>
    <row r="43" customFormat="false" ht="15.75" hidden="false" customHeight="false" outlineLevel="0" collapsed="false">
      <c r="A43" s="89" t="n">
        <v>0.447916666666667</v>
      </c>
      <c r="B43" s="90" t="s">
        <v>59</v>
      </c>
      <c r="C43" s="97" t="n">
        <f aca="false">SUM(D42)</f>
        <v>3749410</v>
      </c>
      <c r="D43" s="107" t="n">
        <v>3755860</v>
      </c>
      <c r="E43" s="91" t="n">
        <f aca="false">SUM(D43-C43)</f>
        <v>6450</v>
      </c>
      <c r="F43" s="108" t="n">
        <f aca="false">SUM(D43-C43)</f>
        <v>6450</v>
      </c>
      <c r="G43" s="41" t="n">
        <v>0.8286</v>
      </c>
      <c r="H43" s="127" t="n">
        <f aca="false">SUM(G43*F43)</f>
        <v>5344.47</v>
      </c>
      <c r="I43" s="29" t="n">
        <v>57</v>
      </c>
      <c r="J43" s="29" t="n">
        <v>6238</v>
      </c>
      <c r="K43" s="119" t="s">
        <v>60</v>
      </c>
      <c r="L43" s="117"/>
      <c r="M43" s="117"/>
      <c r="N43" s="117"/>
      <c r="O43" s="117"/>
      <c r="P43" s="117"/>
      <c r="Q43" s="117"/>
      <c r="R43" s="117"/>
      <c r="S43" s="117"/>
    </row>
    <row r="44" customFormat="false" ht="15.75" hidden="false" customHeight="false" outlineLevel="0" collapsed="false">
      <c r="A44" s="89" t="n">
        <v>0.458333333333333</v>
      </c>
      <c r="B44" s="121" t="s">
        <v>57</v>
      </c>
      <c r="C44" s="97" t="n">
        <f aca="false">SUM(D43)</f>
        <v>3755860</v>
      </c>
      <c r="D44" s="107" t="n">
        <v>3760830</v>
      </c>
      <c r="E44" s="91" t="n">
        <f aca="false">SUM(D44-C44)</f>
        <v>4970</v>
      </c>
      <c r="F44" s="108" t="n">
        <f aca="false">SUM(D44-C44)</f>
        <v>4970</v>
      </c>
      <c r="G44" s="41" t="n">
        <v>0.8278</v>
      </c>
      <c r="H44" s="123" t="n">
        <f aca="false">SUM(G44*F44)</f>
        <v>4114.166</v>
      </c>
      <c r="I44" s="29" t="n">
        <v>119</v>
      </c>
      <c r="J44" s="29" t="n">
        <v>6239</v>
      </c>
      <c r="K44" s="118" t="s">
        <v>58</v>
      </c>
      <c r="L44" s="117"/>
      <c r="M44" s="117"/>
      <c r="N44" s="117"/>
      <c r="O44" s="117"/>
      <c r="P44" s="117"/>
      <c r="Q44" s="117"/>
      <c r="R44" s="117"/>
      <c r="S44" s="117"/>
    </row>
    <row r="45" customFormat="false" ht="15.75" hidden="false" customHeight="false" outlineLevel="0" collapsed="false">
      <c r="A45" s="89" t="n">
        <v>0.465277777777778</v>
      </c>
      <c r="B45" s="138" t="s">
        <v>62</v>
      </c>
      <c r="C45" s="97" t="n">
        <f aca="false">SUM(D44)</f>
        <v>3760830</v>
      </c>
      <c r="D45" s="107" t="n">
        <v>3777830</v>
      </c>
      <c r="E45" s="91" t="n">
        <f aca="false">SUM(D45-C45)</f>
        <v>17000</v>
      </c>
      <c r="F45" s="128" t="n">
        <v>17019</v>
      </c>
      <c r="G45" s="41" t="n">
        <v>0.831</v>
      </c>
      <c r="H45" s="139" t="n">
        <f aca="false">SUM(G45*F45)</f>
        <v>14142.789</v>
      </c>
      <c r="I45" s="29" t="n">
        <v>251</v>
      </c>
      <c r="J45" s="29" t="n">
        <v>6240</v>
      </c>
      <c r="K45" s="118" t="s">
        <v>58</v>
      </c>
      <c r="L45" s="117"/>
      <c r="M45" s="117"/>
      <c r="N45" s="117"/>
      <c r="O45" s="117"/>
      <c r="P45" s="117"/>
      <c r="Q45" s="117"/>
      <c r="R45" s="117"/>
      <c r="S45" s="117"/>
    </row>
    <row r="46" customFormat="false" ht="15.75" hidden="false" customHeight="false" outlineLevel="0" collapsed="false">
      <c r="A46" s="89" t="n">
        <v>0.583333333333333</v>
      </c>
      <c r="B46" s="90" t="s">
        <v>59</v>
      </c>
      <c r="C46" s="97" t="n">
        <f aca="false">O18</f>
        <v>3777920</v>
      </c>
      <c r="D46" s="107" t="n">
        <v>3785880</v>
      </c>
      <c r="E46" s="91" t="n">
        <f aca="false">SUM(D46-C46)</f>
        <v>7960</v>
      </c>
      <c r="F46" s="108" t="n">
        <f aca="false">SUM(D46-C46)</f>
        <v>7960</v>
      </c>
      <c r="G46" s="41" t="n">
        <v>0.8286</v>
      </c>
      <c r="H46" s="127" t="n">
        <f aca="false">SUM(G46*F46)</f>
        <v>6595.656</v>
      </c>
      <c r="I46" s="29" t="n">
        <v>81</v>
      </c>
      <c r="J46" s="29" t="n">
        <v>6246</v>
      </c>
      <c r="K46" s="119" t="s">
        <v>60</v>
      </c>
      <c r="L46" s="117"/>
      <c r="M46" s="117"/>
      <c r="N46" s="94"/>
      <c r="O46" s="117"/>
      <c r="P46" s="117"/>
      <c r="Q46" s="117"/>
      <c r="R46" s="117"/>
      <c r="S46" s="117"/>
    </row>
    <row r="47" customFormat="false" ht="15.75" hidden="false" customHeight="false" outlineLevel="0" collapsed="false">
      <c r="A47" s="89" t="n">
        <v>0.59375</v>
      </c>
      <c r="B47" s="90" t="s">
        <v>59</v>
      </c>
      <c r="C47" s="97" t="n">
        <f aca="false">SUM(D46)</f>
        <v>3785880</v>
      </c>
      <c r="D47" s="107" t="n">
        <v>3793740</v>
      </c>
      <c r="E47" s="91" t="n">
        <f aca="false">SUM(D47-C47)</f>
        <v>7860</v>
      </c>
      <c r="F47" s="108" t="n">
        <f aca="false">SUM(D47-C47)</f>
        <v>7860</v>
      </c>
      <c r="G47" s="41" t="n">
        <v>0.8286</v>
      </c>
      <c r="H47" s="127" t="n">
        <f aca="false">SUM(G47*F47)</f>
        <v>6512.796</v>
      </c>
      <c r="I47" s="29" t="n">
        <v>57</v>
      </c>
      <c r="J47" s="29" t="n">
        <v>6247</v>
      </c>
      <c r="K47" s="119" t="s">
        <v>60</v>
      </c>
      <c r="L47" s="117"/>
      <c r="M47" s="117"/>
      <c r="N47" s="94"/>
      <c r="O47" s="117"/>
      <c r="P47" s="117"/>
      <c r="Q47" s="117"/>
      <c r="R47" s="117"/>
      <c r="S47" s="117"/>
    </row>
    <row r="48" customFormat="false" ht="15.75" hidden="false" customHeight="false" outlineLevel="0" collapsed="false">
      <c r="A48" s="89" t="n">
        <v>0.71875</v>
      </c>
      <c r="B48" s="124" t="s">
        <v>61</v>
      </c>
      <c r="C48" s="97" t="n">
        <f aca="false">SUM(D47)</f>
        <v>3793740</v>
      </c>
      <c r="D48" s="107" t="n">
        <v>3803720</v>
      </c>
      <c r="E48" s="91" t="n">
        <f aca="false">SUM(D48-C48)</f>
        <v>9980</v>
      </c>
      <c r="F48" s="128" t="n">
        <v>9986</v>
      </c>
      <c r="G48" s="41" t="n">
        <v>0.828</v>
      </c>
      <c r="H48" s="125" t="n">
        <f aca="false">SUM(G48*F48)</f>
        <v>8268.408</v>
      </c>
      <c r="I48" s="29" t="n">
        <v>251</v>
      </c>
      <c r="J48" s="29" t="n">
        <v>6249</v>
      </c>
      <c r="K48" s="140" t="s">
        <v>70</v>
      </c>
      <c r="L48" s="117"/>
      <c r="M48" s="117"/>
      <c r="N48" s="94"/>
      <c r="O48" s="117"/>
      <c r="P48" s="117"/>
      <c r="Q48" s="117"/>
      <c r="R48" s="117"/>
      <c r="S48" s="117"/>
    </row>
    <row r="49" customFormat="false" ht="15" hidden="false" customHeight="true" outlineLevel="0" collapsed="false">
      <c r="A49" s="89" t="n">
        <v>0.71875</v>
      </c>
      <c r="B49" s="90" t="s">
        <v>61</v>
      </c>
      <c r="C49" s="97" t="n">
        <f aca="false">SUM(D48)</f>
        <v>3803720</v>
      </c>
      <c r="D49" s="107" t="n">
        <v>3810800</v>
      </c>
      <c r="E49" s="91" t="n">
        <f aca="false">SUM(D49-C49)</f>
        <v>7080</v>
      </c>
      <c r="F49" s="128" t="n">
        <v>7033</v>
      </c>
      <c r="G49" s="41" t="n">
        <v>0.828</v>
      </c>
      <c r="H49" s="125" t="n">
        <f aca="false">SUM(G49*F49)</f>
        <v>5823.324</v>
      </c>
      <c r="I49" s="29" t="n">
        <v>251</v>
      </c>
      <c r="J49" s="29" t="n">
        <v>6250</v>
      </c>
      <c r="K49" s="140" t="s">
        <v>70</v>
      </c>
      <c r="L49" s="117"/>
      <c r="M49" s="117"/>
      <c r="N49" s="94"/>
      <c r="O49" s="117"/>
      <c r="P49" s="117"/>
      <c r="Q49" s="117"/>
      <c r="R49" s="117"/>
      <c r="S49" s="117"/>
    </row>
    <row r="50" customFormat="false" ht="15.75" hidden="false" customHeight="false" outlineLevel="0" collapsed="false">
      <c r="A50" s="89" t="n">
        <v>0.784722222222222</v>
      </c>
      <c r="B50" s="90" t="s">
        <v>62</v>
      </c>
      <c r="C50" s="97" t="n">
        <f aca="false">SUM(D49)</f>
        <v>3810800</v>
      </c>
      <c r="D50" s="107" t="n">
        <v>3827760</v>
      </c>
      <c r="E50" s="91" t="n">
        <f aca="false">SUM(D50-C50)</f>
        <v>16960</v>
      </c>
      <c r="F50" s="128" t="n">
        <v>17019</v>
      </c>
      <c r="G50" s="41" t="n">
        <v>0.8295</v>
      </c>
      <c r="H50" s="139" t="n">
        <f aca="false">SUM(G50*F50)</f>
        <v>14117.2605</v>
      </c>
      <c r="I50" s="29" t="n">
        <v>251</v>
      </c>
      <c r="J50" s="29" t="n">
        <v>6252</v>
      </c>
      <c r="K50" s="118" t="s">
        <v>58</v>
      </c>
      <c r="L50" s="117"/>
      <c r="M50" s="117"/>
      <c r="N50" s="117"/>
      <c r="O50" s="117"/>
      <c r="P50" s="117"/>
      <c r="Q50" s="117"/>
      <c r="R50" s="117"/>
      <c r="S50" s="117"/>
    </row>
    <row r="51" customFormat="false" ht="15.75" hidden="false" customHeight="false" outlineLevel="0" collapsed="false">
      <c r="A51" s="89" t="n">
        <v>0.798611111111111</v>
      </c>
      <c r="B51" s="90" t="s">
        <v>61</v>
      </c>
      <c r="C51" s="97" t="n">
        <f aca="false">SUM(D50)</f>
        <v>3827760</v>
      </c>
      <c r="D51" s="107" t="n">
        <v>3834520</v>
      </c>
      <c r="E51" s="91" t="n">
        <f aca="false">SUM(D51-C51)</f>
        <v>6760</v>
      </c>
      <c r="F51" s="108" t="n">
        <f aca="false">SUM(D51-C51)</f>
        <v>6760</v>
      </c>
      <c r="G51" s="41" t="n">
        <v>0.828</v>
      </c>
      <c r="H51" s="125" t="n">
        <f aca="false">SUM(G51*F51)</f>
        <v>5597.28</v>
      </c>
      <c r="I51" s="29" t="n">
        <v>81</v>
      </c>
      <c r="J51" s="29" t="n">
        <v>6254</v>
      </c>
      <c r="K51" s="140" t="s">
        <v>70</v>
      </c>
      <c r="L51" s="117"/>
      <c r="M51" s="117"/>
      <c r="N51" s="117"/>
      <c r="O51" s="117"/>
      <c r="P51" s="117"/>
      <c r="Q51" s="117"/>
      <c r="R51" s="117"/>
      <c r="S51" s="117"/>
    </row>
    <row r="52" customFormat="false" ht="15.75" hidden="false" customHeight="false" outlineLevel="0" collapsed="false">
      <c r="A52" s="89" t="n">
        <v>0.826388888888889</v>
      </c>
      <c r="B52" s="90" t="s">
        <v>61</v>
      </c>
      <c r="C52" s="97" t="n">
        <f aca="false">SUM(D51)</f>
        <v>3834520</v>
      </c>
      <c r="D52" s="107" t="n">
        <v>3844500</v>
      </c>
      <c r="E52" s="91" t="n">
        <f aca="false">SUM(D52-C52)</f>
        <v>9980</v>
      </c>
      <c r="F52" s="128" t="n">
        <v>9986</v>
      </c>
      <c r="G52" s="41" t="n">
        <v>0.828</v>
      </c>
      <c r="H52" s="125" t="n">
        <f aca="false">SUM(G52*F52)</f>
        <v>8268.408</v>
      </c>
      <c r="I52" s="29" t="n">
        <v>251</v>
      </c>
      <c r="J52" s="29" t="n">
        <v>6255</v>
      </c>
      <c r="K52" s="140" t="s">
        <v>70</v>
      </c>
      <c r="L52" s="117"/>
      <c r="M52" s="117"/>
      <c r="N52" s="117"/>
      <c r="O52" s="117"/>
      <c r="P52" s="117"/>
      <c r="Q52" s="117"/>
      <c r="R52" s="117"/>
      <c r="S52" s="117"/>
    </row>
    <row r="53" customFormat="false" ht="15.75" hidden="false" customHeight="false" outlineLevel="0" collapsed="false">
      <c r="A53" s="89" t="n">
        <v>0.826388888888889</v>
      </c>
      <c r="B53" s="90" t="s">
        <v>61</v>
      </c>
      <c r="C53" s="97" t="n">
        <f aca="false">SUM(D52)</f>
        <v>3844500</v>
      </c>
      <c r="D53" s="107" t="n">
        <v>3851570</v>
      </c>
      <c r="E53" s="91" t="n">
        <f aca="false">SUM(D53-C53)</f>
        <v>7070</v>
      </c>
      <c r="F53" s="128" t="n">
        <v>7033</v>
      </c>
      <c r="G53" s="41" t="n">
        <v>0.828</v>
      </c>
      <c r="H53" s="125" t="n">
        <f aca="false">SUM(G53*F53)</f>
        <v>5823.324</v>
      </c>
      <c r="I53" s="29" t="n">
        <v>251</v>
      </c>
      <c r="J53" s="29" t="n">
        <v>6255</v>
      </c>
      <c r="K53" s="119" t="s">
        <v>60</v>
      </c>
      <c r="L53" s="117"/>
      <c r="M53" s="117"/>
      <c r="N53" s="117"/>
      <c r="O53" s="117"/>
      <c r="P53" s="117"/>
      <c r="Q53" s="117"/>
      <c r="R53" s="117"/>
      <c r="S53" s="117"/>
    </row>
    <row r="54" customFormat="false" ht="15.75" hidden="false" customHeight="false" outlineLevel="0" collapsed="false">
      <c r="A54" s="89" t="n">
        <v>0.875</v>
      </c>
      <c r="B54" s="90" t="s">
        <v>62</v>
      </c>
      <c r="C54" s="97" t="n">
        <f aca="false">SUM(D53)</f>
        <v>3851570</v>
      </c>
      <c r="D54" s="107" t="n">
        <v>3862680</v>
      </c>
      <c r="E54" s="91" t="n">
        <f aca="false">SUM(D54-C54)</f>
        <v>11110</v>
      </c>
      <c r="F54" s="108" t="n">
        <f aca="false">SUM(D54-C54)</f>
        <v>11110</v>
      </c>
      <c r="G54" s="41" t="n">
        <v>0.829</v>
      </c>
      <c r="H54" s="139" t="n">
        <f aca="false">SUM(G54*F54)</f>
        <v>9210.19</v>
      </c>
      <c r="I54" s="1" t="n">
        <v>119</v>
      </c>
      <c r="J54" s="29" t="n">
        <v>6256</v>
      </c>
      <c r="K54" s="118" t="s">
        <v>58</v>
      </c>
      <c r="L54" s="117"/>
      <c r="M54" s="117"/>
      <c r="N54" s="117"/>
      <c r="O54" s="117"/>
      <c r="P54" s="117"/>
      <c r="Q54" s="117"/>
      <c r="R54" s="117"/>
      <c r="S54" s="117"/>
    </row>
    <row r="55" customFormat="false" ht="15.75" hidden="false" customHeight="false" outlineLevel="0" collapsed="false">
      <c r="A55" s="89" t="n">
        <v>0.885416666666667</v>
      </c>
      <c r="B55" s="90" t="s">
        <v>61</v>
      </c>
      <c r="C55" s="97" t="n">
        <f aca="false">SUM(D54)</f>
        <v>3862680</v>
      </c>
      <c r="D55" s="107" t="n">
        <v>3872220</v>
      </c>
      <c r="E55" s="91" t="n">
        <f aca="false">SUM(D55-C55)</f>
        <v>9540</v>
      </c>
      <c r="F55" s="141" t="n">
        <v>9540</v>
      </c>
      <c r="G55" s="41" t="n">
        <v>0.8265</v>
      </c>
      <c r="H55" s="125" t="n">
        <f aca="false">SUM(G55*F55)</f>
        <v>7884.81</v>
      </c>
      <c r="I55" s="1" t="n">
        <v>467</v>
      </c>
      <c r="J55" s="29" t="n">
        <v>6257</v>
      </c>
      <c r="K55" s="119" t="s">
        <v>60</v>
      </c>
      <c r="L55" s="117"/>
      <c r="M55" s="117"/>
      <c r="N55" s="117"/>
      <c r="O55" s="117"/>
      <c r="P55" s="117"/>
      <c r="Q55" s="117"/>
      <c r="R55" s="117"/>
      <c r="S55" s="117"/>
    </row>
    <row r="56" customFormat="false" ht="15.75" hidden="false" customHeight="false" outlineLevel="0" collapsed="false">
      <c r="A56" s="89" t="n">
        <v>0.885416666666667</v>
      </c>
      <c r="B56" s="90" t="s">
        <v>50</v>
      </c>
      <c r="C56" s="97" t="n">
        <f aca="false">SUM(D55)</f>
        <v>3872220</v>
      </c>
      <c r="D56" s="107" t="n">
        <v>3877760</v>
      </c>
      <c r="E56" s="91" t="n">
        <f aca="false">SUM(D56-C56)</f>
        <v>5540</v>
      </c>
      <c r="F56" s="141" t="n">
        <v>5500</v>
      </c>
      <c r="G56" s="41" t="n">
        <v>0.838</v>
      </c>
      <c r="H56" s="93" t="n">
        <f aca="false">SUM(G56*F56)</f>
        <v>4609</v>
      </c>
      <c r="I56" s="1" t="n">
        <v>467</v>
      </c>
      <c r="J56" s="29" t="n">
        <v>6257</v>
      </c>
      <c r="K56" s="142" t="s">
        <v>71</v>
      </c>
      <c r="L56" s="117"/>
      <c r="M56" s="117"/>
      <c r="N56" s="117"/>
      <c r="O56" s="117"/>
      <c r="P56" s="117"/>
      <c r="Q56" s="117"/>
      <c r="R56" s="117"/>
      <c r="S56" s="117"/>
    </row>
    <row r="57" customFormat="false" ht="15.75" hidden="false" customHeight="false" outlineLevel="0" collapsed="false">
      <c r="A57" s="89" t="n">
        <v>0.899305555555555</v>
      </c>
      <c r="B57" s="90" t="s">
        <v>50</v>
      </c>
      <c r="C57" s="97" t="n">
        <f aca="false">SUM(D56)</f>
        <v>3877760</v>
      </c>
      <c r="D57" s="107" t="n">
        <v>3887740</v>
      </c>
      <c r="E57" s="91" t="n">
        <f aca="false">SUM(D57-C57)</f>
        <v>9980</v>
      </c>
      <c r="F57" s="128" t="n">
        <v>9986</v>
      </c>
      <c r="G57" s="41" t="n">
        <v>0.838</v>
      </c>
      <c r="H57" s="93" t="n">
        <f aca="false">SUM(G57*F57)</f>
        <v>8368.268</v>
      </c>
      <c r="I57" s="1" t="n">
        <v>251</v>
      </c>
      <c r="J57" s="29" t="n">
        <v>6259</v>
      </c>
      <c r="K57" s="142" t="s">
        <v>71</v>
      </c>
      <c r="L57" s="117"/>
      <c r="M57" s="117"/>
      <c r="N57" s="117"/>
      <c r="O57" s="117"/>
      <c r="P57" s="117"/>
      <c r="Q57" s="117"/>
      <c r="R57" s="117"/>
      <c r="S57" s="117"/>
    </row>
    <row r="58" customFormat="false" ht="15.75" hidden="false" customHeight="false" outlineLevel="0" collapsed="false">
      <c r="A58" s="89" t="n">
        <v>0.909722222222222</v>
      </c>
      <c r="B58" s="143" t="s">
        <v>72</v>
      </c>
      <c r="C58" s="97" t="n">
        <f aca="false">SUM(D57)</f>
        <v>3887740</v>
      </c>
      <c r="D58" s="107" t="n">
        <v>3893760</v>
      </c>
      <c r="E58" s="91" t="n">
        <f aca="false">SUM(D58-C58)</f>
        <v>6020</v>
      </c>
      <c r="F58" s="108" t="n">
        <f aca="false">SUM(D58-C58)</f>
        <v>6020</v>
      </c>
      <c r="G58" s="41" t="n">
        <v>0.828</v>
      </c>
      <c r="H58" s="144" t="n">
        <f aca="false">SUM(G58*F58)</f>
        <v>4984.56</v>
      </c>
      <c r="I58" s="1" t="n">
        <v>57</v>
      </c>
      <c r="J58" s="29" t="n">
        <v>6261</v>
      </c>
      <c r="K58" s="119" t="s">
        <v>60</v>
      </c>
      <c r="L58" s="117"/>
      <c r="M58" s="117"/>
      <c r="N58" s="117"/>
      <c r="O58" s="117"/>
      <c r="P58" s="117"/>
      <c r="Q58" s="117"/>
      <c r="R58" s="117"/>
      <c r="S58" s="117"/>
    </row>
    <row r="59" customFormat="false" ht="15.75" hidden="false" customHeight="false" outlineLevel="0" collapsed="false">
      <c r="A59" s="89" t="n">
        <v>0.954861111111111</v>
      </c>
      <c r="B59" s="90" t="s">
        <v>72</v>
      </c>
      <c r="C59" s="97" t="n">
        <f aca="false">SUM(D58)</f>
        <v>3893760</v>
      </c>
      <c r="D59" s="107" t="n">
        <v>3903720</v>
      </c>
      <c r="E59" s="91" t="n">
        <f aca="false">SUM(D59-C59)</f>
        <v>9960</v>
      </c>
      <c r="F59" s="108" t="n">
        <f aca="false">SUM(D59-C59)</f>
        <v>9960</v>
      </c>
      <c r="G59" s="41" t="n">
        <v>0.828</v>
      </c>
      <c r="H59" s="144" t="n">
        <f aca="false">SUM(G59*F59)</f>
        <v>8246.88</v>
      </c>
      <c r="I59" s="1" t="n">
        <v>382</v>
      </c>
      <c r="J59" s="29" t="n">
        <v>6264</v>
      </c>
      <c r="K59" s="119" t="s">
        <v>60</v>
      </c>
      <c r="L59" s="117"/>
      <c r="M59" s="117"/>
      <c r="N59" s="117"/>
      <c r="O59" s="117"/>
      <c r="P59" s="117"/>
      <c r="Q59" s="117"/>
      <c r="R59" s="117"/>
      <c r="S59" s="117"/>
    </row>
    <row r="60" customFormat="false" ht="15.75" hidden="false" customHeight="false" outlineLevel="0" collapsed="false">
      <c r="A60" s="89" t="n">
        <v>0.0625</v>
      </c>
      <c r="B60" s="90" t="s">
        <v>72</v>
      </c>
      <c r="C60" s="97" t="n">
        <f aca="false">SUM(D59)</f>
        <v>3903720</v>
      </c>
      <c r="D60" s="107" t="n">
        <v>3909660</v>
      </c>
      <c r="E60" s="91" t="n">
        <f aca="false">SUM(D60-C60)</f>
        <v>5940</v>
      </c>
      <c r="F60" s="108" t="n">
        <f aca="false">SUM(D60-C60)</f>
        <v>5940</v>
      </c>
      <c r="G60" s="41" t="n">
        <v>0.828</v>
      </c>
      <c r="H60" s="144" t="n">
        <f aca="false">SUM(G60*F60)</f>
        <v>4918.32</v>
      </c>
      <c r="I60" s="1" t="n">
        <v>57</v>
      </c>
      <c r="J60" s="29" t="n">
        <v>6267</v>
      </c>
      <c r="K60" s="119" t="s">
        <v>60</v>
      </c>
      <c r="L60" s="117"/>
      <c r="M60" s="117"/>
      <c r="N60" s="117"/>
      <c r="O60" s="117"/>
      <c r="P60" s="117"/>
      <c r="Q60" s="117"/>
      <c r="R60" s="117"/>
      <c r="S60" s="117"/>
    </row>
    <row r="61" customFormat="false" ht="15.75" hidden="false" customHeight="false" outlineLevel="0" collapsed="false">
      <c r="A61" s="89" t="n">
        <v>0.0694444444444444</v>
      </c>
      <c r="B61" s="90" t="s">
        <v>72</v>
      </c>
      <c r="C61" s="97" t="n">
        <f aca="false">SUM(D60)</f>
        <v>3909660</v>
      </c>
      <c r="D61" s="107" t="n">
        <v>3916310</v>
      </c>
      <c r="E61" s="91" t="n">
        <f aca="false">SUM(D61-C61)</f>
        <v>6650</v>
      </c>
      <c r="F61" s="108" t="n">
        <f aca="false">SUM(D61-C61)</f>
        <v>6650</v>
      </c>
      <c r="G61" s="41" t="n">
        <v>0.828</v>
      </c>
      <c r="H61" s="144" t="n">
        <f aca="false">SUM(G61*F61)</f>
        <v>5506.2</v>
      </c>
      <c r="I61" s="1" t="n">
        <v>81</v>
      </c>
      <c r="J61" s="29" t="n">
        <v>6268</v>
      </c>
      <c r="K61" s="119" t="s">
        <v>60</v>
      </c>
      <c r="L61" s="117"/>
      <c r="M61" s="117"/>
      <c r="N61" s="117"/>
      <c r="O61" s="117"/>
      <c r="P61" s="117"/>
      <c r="Q61" s="117"/>
      <c r="R61" s="117"/>
      <c r="S61" s="117"/>
    </row>
    <row r="62" customFormat="false" ht="15.75" hidden="false" customHeight="false" outlineLevel="0" collapsed="false">
      <c r="A62" s="89" t="n">
        <v>0.177083333333333</v>
      </c>
      <c r="B62" s="90" t="s">
        <v>57</v>
      </c>
      <c r="C62" s="97" t="n">
        <f aca="false">SUM(D61)</f>
        <v>3916310</v>
      </c>
      <c r="D62" s="107" t="n">
        <v>3933330</v>
      </c>
      <c r="E62" s="91" t="n">
        <f aca="false">SUM(D62-C62)</f>
        <v>17020</v>
      </c>
      <c r="F62" s="128" t="n">
        <v>17019</v>
      </c>
      <c r="G62" s="41" t="n">
        <v>0.8275</v>
      </c>
      <c r="H62" s="123" t="n">
        <f aca="false">SUM(G62*F62)</f>
        <v>14083.2225</v>
      </c>
      <c r="I62" s="1" t="n">
        <v>251</v>
      </c>
      <c r="J62" s="29" t="n">
        <v>6269</v>
      </c>
      <c r="K62" s="118" t="s">
        <v>58</v>
      </c>
      <c r="L62" s="117"/>
      <c r="M62" s="117"/>
      <c r="N62" s="117"/>
      <c r="O62" s="117"/>
      <c r="P62" s="117"/>
      <c r="Q62" s="117"/>
      <c r="R62" s="117"/>
      <c r="S62" s="117"/>
    </row>
    <row r="63" customFormat="false" ht="15.75" hidden="false" customHeight="false" outlineLevel="0" collapsed="false">
      <c r="A63" s="89" t="n">
        <v>0.263888888888889</v>
      </c>
      <c r="B63" s="90" t="s">
        <v>57</v>
      </c>
      <c r="C63" s="97" t="n">
        <f aca="false">O19</f>
        <v>3933470</v>
      </c>
      <c r="D63" s="107" t="n">
        <v>3950490</v>
      </c>
      <c r="E63" s="91" t="n">
        <f aca="false">SUM(D63-C63)</f>
        <v>17020</v>
      </c>
      <c r="F63" s="128" t="n">
        <v>17019</v>
      </c>
      <c r="G63" s="41" t="n">
        <v>0.8275</v>
      </c>
      <c r="H63" s="123" t="n">
        <f aca="false">SUM(G63*F63)</f>
        <v>14083.2225</v>
      </c>
      <c r="I63" s="1" t="n">
        <v>251</v>
      </c>
      <c r="J63" s="29" t="n">
        <v>6273</v>
      </c>
      <c r="K63" s="118" t="s">
        <v>58</v>
      </c>
      <c r="L63" s="117"/>
      <c r="M63" s="117"/>
      <c r="N63" s="117"/>
      <c r="O63" s="117"/>
      <c r="P63" s="117"/>
      <c r="Q63" s="117"/>
      <c r="R63" s="117"/>
      <c r="S63" s="117"/>
    </row>
    <row r="64" customFormat="false" ht="15" hidden="false" customHeight="false" outlineLevel="0" collapsed="false">
      <c r="A64" s="89"/>
      <c r="B64" s="90"/>
      <c r="C64" s="97" t="n">
        <v>0</v>
      </c>
      <c r="D64" s="75"/>
      <c r="E64" s="91" t="n">
        <f aca="false">SUM(D64-C64)</f>
        <v>0</v>
      </c>
      <c r="F64" s="130" t="n">
        <f aca="false">SUM(D64-C64)</f>
        <v>0</v>
      </c>
      <c r="G64" s="41"/>
      <c r="H64" s="131" t="n">
        <f aca="false">SUM(G64*F64)</f>
        <v>0</v>
      </c>
      <c r="I64" s="1"/>
      <c r="J64" s="29"/>
      <c r="K64" s="117"/>
      <c r="L64" s="117"/>
      <c r="M64" s="117"/>
      <c r="N64" s="117"/>
      <c r="O64" s="117"/>
      <c r="P64" s="117"/>
      <c r="Q64" s="117"/>
      <c r="R64" s="117"/>
      <c r="S64" s="117"/>
    </row>
    <row r="65" customFormat="false" ht="15" hidden="false" customHeight="false" outlineLevel="0" collapsed="false">
      <c r="A65" s="89"/>
      <c r="B65" s="90"/>
      <c r="C65" s="97" t="n">
        <f aca="false">SUM(D64)</f>
        <v>0</v>
      </c>
      <c r="D65" s="75"/>
      <c r="E65" s="109" t="n">
        <f aca="false">SUM(D65-C65)</f>
        <v>0</v>
      </c>
      <c r="F65" s="132" t="n">
        <f aca="false">SUM(F40:F64)</f>
        <v>230299</v>
      </c>
      <c r="G65" s="133"/>
      <c r="H65" s="134" t="n">
        <f aca="false">SUM(H40:H64)</f>
        <v>190928.8539</v>
      </c>
      <c r="I65" s="135"/>
      <c r="J65" s="29"/>
      <c r="K65" s="120"/>
      <c r="L65" s="117"/>
      <c r="M65" s="117"/>
      <c r="N65" s="117"/>
      <c r="O65" s="117"/>
      <c r="P65" s="117"/>
      <c r="Q65" s="117"/>
      <c r="R65" s="117"/>
      <c r="S65" s="117"/>
    </row>
    <row r="66" customFormat="false" ht="15" hidden="false" customHeight="false" outlineLevel="0" collapsed="false">
      <c r="L66" s="117"/>
      <c r="M66" s="117"/>
      <c r="N66" s="117"/>
      <c r="O66" s="117"/>
      <c r="P66" s="117"/>
      <c r="Q66" s="117"/>
      <c r="R66" s="117"/>
      <c r="S66" s="117"/>
    </row>
    <row r="67" customFormat="false" ht="15" hidden="false" customHeight="false" outlineLevel="0" collapsed="false">
      <c r="F67" s="145" t="n">
        <f aca="false">F65+F38</f>
        <v>515614</v>
      </c>
      <c r="G67" s="133"/>
      <c r="H67" s="134" t="n">
        <f aca="false">H65+H38</f>
        <v>429986.1944</v>
      </c>
      <c r="L67" s="117"/>
      <c r="M67" s="117"/>
      <c r="N67" s="117"/>
      <c r="O67" s="117"/>
      <c r="P67" s="117"/>
      <c r="Q67" s="117"/>
      <c r="R67" s="117"/>
      <c r="S67" s="117"/>
    </row>
    <row r="68" customFormat="false" ht="15" hidden="false" customHeight="false" outlineLevel="0" collapsed="false">
      <c r="E68" s="117"/>
      <c r="L68" s="117"/>
      <c r="M68" s="117"/>
      <c r="N68" s="117"/>
      <c r="O68" s="117"/>
      <c r="P68" s="117"/>
      <c r="Q68" s="117"/>
      <c r="R68" s="117"/>
      <c r="S68" s="117"/>
    </row>
    <row r="69" customFormat="false" ht="15" hidden="false" customHeight="false" outlineLevel="0" collapsed="false">
      <c r="E69" s="117"/>
      <c r="L69" s="117"/>
      <c r="M69" s="117"/>
      <c r="N69" s="117"/>
      <c r="O69" s="117"/>
      <c r="P69" s="117"/>
      <c r="Q69" s="117"/>
      <c r="R69" s="117"/>
      <c r="S69" s="117"/>
    </row>
    <row r="70" customFormat="false" ht="15" hidden="false" customHeight="false" outlineLevel="0" collapsed="false">
      <c r="E70" s="117"/>
      <c r="L70" s="117"/>
      <c r="M70" s="117"/>
      <c r="N70" s="117"/>
      <c r="O70" s="117"/>
      <c r="P70" s="117"/>
      <c r="Q70" s="117"/>
      <c r="R70" s="117"/>
      <c r="S70" s="117"/>
    </row>
    <row r="71" customFormat="false" ht="15" hidden="false" customHeight="false" outlineLevel="0" collapsed="false">
      <c r="E71" s="117"/>
      <c r="L71" s="117"/>
      <c r="M71" s="117"/>
      <c r="N71" s="117"/>
      <c r="O71" s="117"/>
      <c r="P71" s="117"/>
      <c r="Q71" s="117"/>
      <c r="R71" s="117"/>
      <c r="S71" s="117"/>
    </row>
    <row r="72" customFormat="false" ht="15" hidden="false" customHeight="false" outlineLevel="0" collapsed="false">
      <c r="E72" s="117"/>
      <c r="L72" s="117"/>
      <c r="M72" s="117"/>
      <c r="N72" s="117"/>
      <c r="O72" s="117"/>
      <c r="P72" s="117"/>
      <c r="Q72" s="117"/>
      <c r="R72" s="117"/>
      <c r="S72" s="117"/>
    </row>
    <row r="73" customFormat="false" ht="15" hidden="false" customHeight="false" outlineLevel="0" collapsed="false">
      <c r="E73" s="117"/>
      <c r="L73" s="117"/>
      <c r="M73" s="117"/>
      <c r="N73" s="117"/>
      <c r="O73" s="117"/>
      <c r="P73" s="117"/>
      <c r="Q73" s="117"/>
      <c r="R73" s="117"/>
      <c r="S73" s="117"/>
    </row>
    <row r="74" customFormat="false" ht="15" hidden="false" customHeight="false" outlineLevel="0" collapsed="false">
      <c r="E74" s="117"/>
      <c r="L74" s="117"/>
      <c r="M74" s="117"/>
      <c r="N74" s="117"/>
      <c r="O74" s="117"/>
      <c r="P74" s="117"/>
      <c r="Q74" s="117"/>
      <c r="R74" s="117"/>
      <c r="S74" s="117"/>
    </row>
    <row r="75" customFormat="false" ht="15" hidden="false" customHeight="false" outlineLevel="0" collapsed="false">
      <c r="E75" s="117"/>
      <c r="L75" s="117"/>
      <c r="M75" s="117"/>
      <c r="N75" s="117"/>
      <c r="O75" s="117"/>
      <c r="P75" s="117"/>
      <c r="Q75" s="117"/>
      <c r="R75" s="117"/>
      <c r="S75" s="117"/>
    </row>
    <row r="76" customFormat="false" ht="15" hidden="false" customHeight="false" outlineLevel="0" collapsed="false">
      <c r="E76" s="117"/>
      <c r="L76" s="117"/>
      <c r="M76" s="117"/>
      <c r="N76" s="117"/>
      <c r="O76" s="117"/>
      <c r="P76" s="117"/>
      <c r="Q76" s="117"/>
      <c r="R76" s="117"/>
      <c r="S76" s="117"/>
    </row>
    <row r="77" customFormat="false" ht="15" hidden="false" customHeight="false" outlineLevel="0" collapsed="false">
      <c r="E77" s="117"/>
      <c r="L77" s="117"/>
      <c r="M77" s="117"/>
      <c r="N77" s="117"/>
      <c r="O77" s="117"/>
      <c r="P77" s="117"/>
      <c r="Q77" s="117"/>
      <c r="R77" s="117"/>
      <c r="S77" s="117"/>
    </row>
    <row r="78" customFormat="false" ht="15" hidden="false" customHeight="false" outlineLevel="0" collapsed="false">
      <c r="E78" s="117"/>
      <c r="L78" s="117"/>
      <c r="M78" s="117"/>
      <c r="N78" s="117"/>
      <c r="O78" s="117"/>
      <c r="P78" s="117"/>
      <c r="Q78" s="117"/>
      <c r="R78" s="117"/>
      <c r="S78" s="117"/>
    </row>
    <row r="79" customFormat="false" ht="15" hidden="false" customHeight="false" outlineLevel="0" collapsed="false">
      <c r="E79" s="117"/>
      <c r="L79" s="117"/>
      <c r="M79" s="117"/>
      <c r="N79" s="117"/>
      <c r="O79" s="117"/>
      <c r="P79" s="117"/>
      <c r="Q79" s="117"/>
      <c r="R79" s="117"/>
      <c r="S79" s="117"/>
    </row>
    <row r="80" customFormat="false" ht="15" hidden="false" customHeight="false" outlineLevel="0" collapsed="false">
      <c r="E80" s="117"/>
      <c r="L80" s="117"/>
      <c r="M80" s="117"/>
      <c r="N80" s="117"/>
      <c r="O80" s="117"/>
      <c r="P80" s="117"/>
      <c r="Q80" s="117"/>
      <c r="R80" s="117"/>
      <c r="S80" s="117"/>
    </row>
    <row r="81" customFormat="false" ht="15" hidden="false" customHeight="false" outlineLevel="0" collapsed="false">
      <c r="E81" s="117"/>
      <c r="L81" s="117"/>
      <c r="M81" s="117"/>
      <c r="N81" s="117"/>
      <c r="O81" s="117"/>
      <c r="P81" s="117"/>
      <c r="Q81" s="117"/>
      <c r="R81" s="117"/>
      <c r="S81" s="117"/>
    </row>
    <row r="82" customFormat="false" ht="15" hidden="false" customHeight="false" outlineLevel="0" collapsed="false">
      <c r="E82" s="117"/>
      <c r="L82" s="117"/>
      <c r="M82" s="117"/>
      <c r="N82" s="117"/>
      <c r="O82" s="117"/>
      <c r="P82" s="117"/>
      <c r="Q82" s="117"/>
      <c r="R82" s="117"/>
      <c r="S82" s="117"/>
    </row>
    <row r="83" customFormat="false" ht="15" hidden="false" customHeight="false" outlineLevel="0" collapsed="false">
      <c r="E83" s="117"/>
      <c r="L83" s="117"/>
      <c r="M83" s="117"/>
      <c r="N83" s="117"/>
      <c r="O83" s="117"/>
      <c r="P83" s="117"/>
      <c r="Q83" s="117"/>
      <c r="R83" s="117"/>
      <c r="S83" s="117"/>
    </row>
    <row r="84" customFormat="false" ht="15" hidden="false" customHeight="false" outlineLevel="0" collapsed="false">
      <c r="E84" s="117"/>
      <c r="L84" s="117"/>
      <c r="M84" s="117"/>
      <c r="N84" s="117"/>
      <c r="O84" s="117"/>
      <c r="P84" s="117"/>
      <c r="Q84" s="117"/>
      <c r="R84" s="117"/>
      <c r="S84" s="117"/>
    </row>
    <row r="85" customFormat="false" ht="15" hidden="true" customHeight="false" outlineLevel="0" collapsed="false">
      <c r="E85" s="117"/>
      <c r="L85" s="117"/>
      <c r="M85" s="117"/>
      <c r="N85" s="117"/>
      <c r="O85" s="117"/>
      <c r="P85" s="117"/>
      <c r="Q85" s="117"/>
      <c r="R85" s="117"/>
      <c r="S85" s="117"/>
    </row>
    <row r="86" customFormat="false" ht="15" hidden="true" customHeight="false" outlineLevel="0" collapsed="false">
      <c r="E86" s="117"/>
      <c r="L86" s="117"/>
      <c r="M86" s="117"/>
      <c r="N86" s="117"/>
      <c r="O86" s="117"/>
      <c r="P86" s="117"/>
      <c r="Q86" s="117"/>
      <c r="R86" s="117"/>
      <c r="S86" s="117"/>
    </row>
    <row r="87" customFormat="false" ht="15" hidden="true" customHeight="false" outlineLevel="0" collapsed="false">
      <c r="E87" s="117"/>
      <c r="L87" s="117"/>
      <c r="M87" s="117"/>
      <c r="N87" s="117"/>
      <c r="O87" s="117"/>
      <c r="P87" s="117"/>
      <c r="Q87" s="117"/>
      <c r="R87" s="117"/>
      <c r="S87" s="117"/>
    </row>
    <row r="88" customFormat="false" ht="15" hidden="true" customHeight="false" outlineLevel="0" collapsed="false">
      <c r="E88" s="117"/>
      <c r="L88" s="117"/>
      <c r="M88" s="117"/>
      <c r="N88" s="117"/>
      <c r="O88" s="117"/>
      <c r="P88" s="117"/>
      <c r="Q88" s="117"/>
      <c r="R88" s="117"/>
      <c r="S88" s="117"/>
    </row>
    <row r="89" customFormat="false" ht="15" hidden="true" customHeight="false" outlineLevel="0" collapsed="false">
      <c r="E89" s="117"/>
      <c r="L89" s="117"/>
      <c r="M89" s="117"/>
      <c r="N89" s="117"/>
      <c r="O89" s="117"/>
      <c r="P89" s="117"/>
      <c r="Q89" s="117"/>
      <c r="R89" s="117"/>
      <c r="S89" s="117"/>
    </row>
    <row r="90" customFormat="false" ht="15" hidden="false" customHeight="false" outlineLevel="0" collapsed="false">
      <c r="E90" s="117"/>
      <c r="L90" s="117"/>
      <c r="M90" s="117"/>
      <c r="N90" s="117"/>
      <c r="O90" s="117"/>
      <c r="P90" s="117"/>
      <c r="Q90" s="117"/>
      <c r="R90" s="117"/>
      <c r="S90" s="117"/>
    </row>
    <row r="91" customFormat="false" ht="15" hidden="false" customHeight="false" outlineLevel="0" collapsed="false">
      <c r="E91" s="117"/>
      <c r="L91" s="117"/>
      <c r="M91" s="117"/>
      <c r="N91" s="117"/>
      <c r="O91" s="117"/>
      <c r="P91" s="117"/>
      <c r="Q91" s="117"/>
      <c r="R91" s="117"/>
      <c r="S91" s="117"/>
    </row>
    <row r="92" customFormat="false" ht="15" hidden="false" customHeight="false" outlineLevel="0" collapsed="false">
      <c r="E92" s="117"/>
      <c r="L92" s="117"/>
      <c r="M92" s="117"/>
      <c r="N92" s="117"/>
      <c r="O92" s="117"/>
      <c r="P92" s="117"/>
      <c r="Q92" s="117"/>
      <c r="R92" s="117"/>
      <c r="S92" s="117"/>
    </row>
    <row r="93" customFormat="false" ht="15" hidden="false" customHeight="false" outlineLevel="0" collapsed="false">
      <c r="E93" s="117"/>
    </row>
    <row r="94" customFormat="false" ht="15" hidden="false" customHeight="false" outlineLevel="0" collapsed="false">
      <c r="E94" s="117"/>
    </row>
    <row r="95" customFormat="false" ht="15" hidden="false" customHeight="false" outlineLevel="0" collapsed="false">
      <c r="E95" s="117"/>
    </row>
    <row r="96" customFormat="false" ht="15" hidden="false" customHeight="false" outlineLevel="0" collapsed="false">
      <c r="E96" s="117"/>
    </row>
    <row r="97" customFormat="false" ht="15" hidden="false" customHeight="false" outlineLevel="0" collapsed="false">
      <c r="E97" s="117"/>
    </row>
    <row r="98" customFormat="false" ht="15" hidden="false" customHeight="false" outlineLevel="0" collapsed="false">
      <c r="E98" s="117"/>
    </row>
    <row r="99" customFormat="false" ht="15" hidden="false" customHeight="false" outlineLevel="0" collapsed="false">
      <c r="E99" s="117"/>
    </row>
    <row r="100" customFormat="false" ht="15" hidden="false" customHeight="false" outlineLevel="0" collapsed="false">
      <c r="E100" s="117"/>
    </row>
    <row r="101" customFormat="false" ht="15" hidden="false" customHeight="false" outlineLevel="0" collapsed="false">
      <c r="E101" s="117"/>
    </row>
    <row r="102" customFormat="false" ht="15" hidden="false" customHeight="false" outlineLevel="0" collapsed="false">
      <c r="E102" s="117"/>
    </row>
    <row r="103" customFormat="false" ht="15" hidden="false" customHeight="false" outlineLevel="0" collapsed="false">
      <c r="E103" s="117"/>
    </row>
    <row r="104" customFormat="false" ht="15" hidden="false" customHeight="false" outlineLevel="0" collapsed="false">
      <c r="E104" s="117"/>
    </row>
    <row r="105" customFormat="false" ht="15" hidden="false" customHeight="false" outlineLevel="0" collapsed="false">
      <c r="E105" s="117"/>
    </row>
    <row r="106" customFormat="false" ht="15" hidden="false" customHeight="false" outlineLevel="0" collapsed="false">
      <c r="E106" s="117"/>
    </row>
    <row r="107" customFormat="false" ht="15" hidden="false" customHeight="false" outlineLevel="0" collapsed="false">
      <c r="E107" s="117"/>
    </row>
    <row r="108" customFormat="false" ht="15" hidden="false" customHeight="false" outlineLevel="0" collapsed="false">
      <c r="E108" s="117"/>
    </row>
    <row r="109" customFormat="false" ht="15" hidden="false" customHeight="false" outlineLevel="0" collapsed="false">
      <c r="E109" s="117"/>
    </row>
    <row r="110" customFormat="false" ht="15" hidden="false" customHeight="false" outlineLevel="0" collapsed="false">
      <c r="E110" s="117"/>
    </row>
    <row r="111" customFormat="false" ht="15" hidden="false" customHeight="false" outlineLevel="0" collapsed="false">
      <c r="E111" s="117"/>
    </row>
    <row r="112" customFormat="false" ht="15" hidden="false" customHeight="false" outlineLevel="0" collapsed="false">
      <c r="E112" s="117"/>
    </row>
    <row r="113" customFormat="false" ht="15" hidden="false" customHeight="false" outlineLevel="0" collapsed="false">
      <c r="E113" s="117"/>
    </row>
    <row r="114" customFormat="false" ht="15" hidden="false" customHeight="false" outlineLevel="0" collapsed="false">
      <c r="E114" s="117"/>
    </row>
    <row r="115" customFormat="false" ht="15" hidden="false" customHeight="false" outlineLevel="0" collapsed="false">
      <c r="E115" s="117"/>
    </row>
    <row r="116" customFormat="false" ht="15" hidden="false" customHeight="false" outlineLevel="0" collapsed="false">
      <c r="E116" s="117"/>
    </row>
    <row r="117" customFormat="false" ht="15" hidden="false" customHeight="false" outlineLevel="0" collapsed="false">
      <c r="E117" s="117"/>
    </row>
    <row r="118" customFormat="false" ht="15" hidden="false" customHeight="false" outlineLevel="0" collapsed="false">
      <c r="E118" s="117"/>
    </row>
    <row r="119" customFormat="false" ht="15" hidden="false" customHeight="false" outlineLevel="0" collapsed="false">
      <c r="E119" s="117"/>
    </row>
    <row r="120" customFormat="false" ht="15" hidden="false" customHeight="false" outlineLevel="0" collapsed="false">
      <c r="E120" s="117"/>
    </row>
    <row r="121" customFormat="false" ht="15" hidden="false" customHeight="false" outlineLevel="0" collapsed="false">
      <c r="E121" s="117"/>
    </row>
    <row r="122" customFormat="false" ht="15" hidden="false" customHeight="false" outlineLevel="0" collapsed="false">
      <c r="E122" s="117"/>
    </row>
    <row r="123" customFormat="false" ht="15" hidden="false" customHeight="false" outlineLevel="0" collapsed="false">
      <c r="E123" s="117"/>
    </row>
    <row r="124" customFormat="false" ht="15" hidden="false" customHeight="false" outlineLevel="0" collapsed="false">
      <c r="E124" s="117"/>
    </row>
    <row r="125" customFormat="false" ht="15" hidden="false" customHeight="false" outlineLevel="0" collapsed="false">
      <c r="E125" s="117"/>
    </row>
    <row r="126" customFormat="false" ht="15" hidden="false" customHeight="false" outlineLevel="0" collapsed="false">
      <c r="E126" s="117"/>
    </row>
    <row r="127" customFormat="false" ht="15" hidden="false" customHeight="false" outlineLevel="0" collapsed="false">
      <c r="E127" s="117"/>
    </row>
    <row r="128" customFormat="false" ht="15" hidden="false" customHeight="false" outlineLevel="0" collapsed="false">
      <c r="E128" s="117"/>
    </row>
    <row r="129" customFormat="false" ht="15" hidden="false" customHeight="false" outlineLevel="0" collapsed="false">
      <c r="E129" s="117"/>
    </row>
    <row r="130" customFormat="false" ht="15" hidden="false" customHeight="false" outlineLevel="0" collapsed="false">
      <c r="E130" s="117"/>
    </row>
    <row r="131" customFormat="false" ht="15" hidden="false" customHeight="false" outlineLevel="0" collapsed="false">
      <c r="E131" s="117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V142"/>
  <sheetViews>
    <sheetView showFormulas="false" showGridLines="true" showRowColHeaders="true" showZeros="true" rightToLeft="false" tabSelected="false" showOutlineSymbols="true" defaultGridColor="true" view="normal" topLeftCell="A22" colorId="64" zoomScale="60" zoomScaleNormal="60" zoomScalePageLayoutView="100" workbookViewId="0">
      <selection pane="topLeft" activeCell="N76" activeCellId="0" sqref="N76"/>
    </sheetView>
  </sheetViews>
  <sheetFormatPr defaultColWidth="8.8359375" defaultRowHeight="15" zeroHeight="false" outlineLevelRow="0" outlineLevelCol="0"/>
  <cols>
    <col collapsed="false" customWidth="true" hidden="false" outlineLevel="0" max="1" min="1" style="66" width="13.66"/>
    <col collapsed="false" customWidth="true" hidden="false" outlineLevel="0" max="2" min="2" style="67" width="10.33"/>
    <col collapsed="false" customWidth="true" hidden="false" outlineLevel="0" max="4" min="3" style="68" width="18.17"/>
    <col collapsed="false" customWidth="true" hidden="false" outlineLevel="0" max="6" min="5" style="68" width="14"/>
    <col collapsed="false" customWidth="true" hidden="false" outlineLevel="0" max="7" min="7" style="66" width="13.51"/>
    <col collapsed="false" customWidth="true" hidden="false" outlineLevel="0" max="8" min="8" style="69" width="13.83"/>
    <col collapsed="false" customWidth="true" hidden="false" outlineLevel="0" max="10" min="9" style="70" width="14.33"/>
    <col collapsed="false" customWidth="true" hidden="false" outlineLevel="0" max="11" min="11" style="71" width="11.51"/>
    <col collapsed="false" customWidth="true" hidden="false" outlineLevel="0" max="12" min="12" style="70" width="12.17"/>
    <col collapsed="false" customWidth="true" hidden="false" outlineLevel="0" max="13" min="13" style="70" width="12.51"/>
    <col collapsed="false" customWidth="true" hidden="false" outlineLevel="0" max="14" min="14" style="70" width="18.5"/>
    <col collapsed="false" customWidth="true" hidden="false" outlineLevel="0" max="15" min="15" style="70" width="13.51"/>
    <col collapsed="false" customWidth="true" hidden="false" outlineLevel="0" max="16" min="16" style="70" width="13.83"/>
    <col collapsed="false" customWidth="true" hidden="false" outlineLevel="0" max="17" min="17" style="70" width="12.66"/>
    <col collapsed="false" customWidth="true" hidden="false" outlineLevel="0" max="18" min="18" style="70" width="12.83"/>
    <col collapsed="false" customWidth="true" hidden="false" outlineLevel="0" max="19" min="19" style="70" width="12.17"/>
  </cols>
  <sheetData>
    <row r="1" customFormat="false" ht="48" hidden="false" customHeight="false" outlineLevel="0" collapsed="false">
      <c r="A1" s="41" t="s">
        <v>25</v>
      </c>
      <c r="B1" s="72" t="s">
        <v>26</v>
      </c>
      <c r="C1" s="73" t="s">
        <v>27</v>
      </c>
      <c r="D1" s="73" t="s">
        <v>28</v>
      </c>
      <c r="E1" s="73" t="s">
        <v>29</v>
      </c>
      <c r="F1" s="73" t="s">
        <v>29</v>
      </c>
      <c r="G1" s="73" t="s">
        <v>30</v>
      </c>
      <c r="H1" s="74" t="s">
        <v>31</v>
      </c>
      <c r="I1" s="75" t="s">
        <v>32</v>
      </c>
      <c r="J1" s="76" t="s">
        <v>3</v>
      </c>
      <c r="L1" s="77" t="s">
        <v>33</v>
      </c>
      <c r="M1" s="78" t="s">
        <v>34</v>
      </c>
      <c r="N1" s="79" t="s">
        <v>27</v>
      </c>
      <c r="O1" s="79" t="s">
        <v>28</v>
      </c>
      <c r="P1" s="79" t="s">
        <v>29</v>
      </c>
      <c r="Q1" s="79" t="s">
        <v>30</v>
      </c>
      <c r="R1" s="80" t="s">
        <v>31</v>
      </c>
      <c r="S1" s="79" t="s">
        <v>35</v>
      </c>
    </row>
    <row r="2" customFormat="false" ht="15" hidden="false" customHeight="false" outlineLevel="0" collapsed="false">
      <c r="A2" s="146" t="n">
        <v>45080</v>
      </c>
      <c r="B2" s="146" t="s">
        <v>36</v>
      </c>
      <c r="C2" s="82"/>
      <c r="D2" s="82"/>
      <c r="E2" s="82"/>
      <c r="F2" s="82"/>
      <c r="G2" s="83"/>
      <c r="H2" s="84"/>
      <c r="I2" s="85"/>
      <c r="J2" s="86" t="s">
        <v>18</v>
      </c>
      <c r="K2" s="87"/>
      <c r="L2" s="88"/>
      <c r="M2" s="146" t="s">
        <v>37</v>
      </c>
      <c r="N2" s="82"/>
      <c r="O2" s="82"/>
      <c r="P2" s="82"/>
      <c r="Q2" s="83"/>
      <c r="R2" s="84"/>
      <c r="S2" s="85"/>
    </row>
    <row r="3" customFormat="false" ht="15.75" hidden="false" customHeight="false" outlineLevel="0" collapsed="false">
      <c r="A3" s="89" t="n">
        <v>0.423611111111111</v>
      </c>
      <c r="B3" s="90" t="s">
        <v>54</v>
      </c>
      <c r="C3" s="97" t="n">
        <v>48284650</v>
      </c>
      <c r="D3" s="75" t="n">
        <v>48290680</v>
      </c>
      <c r="E3" s="91" t="n">
        <f aca="false">SUM(D3-C3)</f>
        <v>6030</v>
      </c>
      <c r="F3" s="92" t="n">
        <f aca="false">SUM(D3-C3)</f>
        <v>6030</v>
      </c>
      <c r="G3" s="41" t="n">
        <v>0.8365</v>
      </c>
      <c r="H3" s="93" t="n">
        <f aca="false">SUM(G3*F3)</f>
        <v>5044.095</v>
      </c>
      <c r="I3" s="29" t="s">
        <v>73</v>
      </c>
      <c r="J3" s="1" t="n">
        <v>6278</v>
      </c>
      <c r="K3" s="94"/>
      <c r="L3" s="95" t="n">
        <v>0.486111111111111</v>
      </c>
      <c r="M3" s="96" t="s">
        <v>54</v>
      </c>
      <c r="N3" s="97" t="n">
        <v>7620550</v>
      </c>
      <c r="O3" s="98" t="n">
        <v>7620750</v>
      </c>
      <c r="P3" s="99" t="n">
        <f aca="false">SUM(O3-N3)</f>
        <v>200</v>
      </c>
      <c r="Q3" s="105" t="n">
        <v>0.8365</v>
      </c>
      <c r="R3" s="101" t="n">
        <f aca="false">SUM(Q3*P3)</f>
        <v>167.3</v>
      </c>
      <c r="S3" s="102" t="s">
        <v>74</v>
      </c>
      <c r="V3" s="0" t="s">
        <v>41</v>
      </c>
    </row>
    <row r="4" customFormat="false" ht="15.75" hidden="false" customHeight="false" outlineLevel="0" collapsed="false">
      <c r="A4" s="89" t="n">
        <v>0.444444444444444</v>
      </c>
      <c r="B4" s="90" t="s">
        <v>48</v>
      </c>
      <c r="C4" s="97" t="n">
        <f aca="false">SUM(D3)</f>
        <v>48290680</v>
      </c>
      <c r="D4" s="75" t="n">
        <v>48297580</v>
      </c>
      <c r="E4" s="91" t="n">
        <f aca="false">SUM(D4-C4)</f>
        <v>6900</v>
      </c>
      <c r="F4" s="92" t="n">
        <f aca="false">SUM(D4-C4)</f>
        <v>6900</v>
      </c>
      <c r="G4" s="41" t="n">
        <v>0.8339</v>
      </c>
      <c r="H4" s="84" t="n">
        <f aca="false">SUM(G4*F4)</f>
        <v>5753.91</v>
      </c>
      <c r="I4" s="29" t="s">
        <v>75</v>
      </c>
      <c r="J4" s="1" t="n">
        <v>6280</v>
      </c>
      <c r="K4" s="94"/>
      <c r="L4" s="95" t="n">
        <v>0.822916666666667</v>
      </c>
      <c r="M4" s="104" t="s">
        <v>54</v>
      </c>
      <c r="N4" s="99" t="n">
        <f aca="false">SUM(O3)</f>
        <v>7620750</v>
      </c>
      <c r="O4" s="98" t="n">
        <v>7620770</v>
      </c>
      <c r="P4" s="99" t="n">
        <f aca="false">SUM(O4-N4)</f>
        <v>20</v>
      </c>
      <c r="Q4" s="105" t="n">
        <v>0.8365</v>
      </c>
      <c r="R4" s="101" t="n">
        <f aca="false">SUM(Q4*P4)</f>
        <v>16.73</v>
      </c>
      <c r="S4" s="102" t="s">
        <v>45</v>
      </c>
    </row>
    <row r="5" customFormat="false" ht="15.75" hidden="false" customHeight="false" outlineLevel="0" collapsed="false">
      <c r="A5" s="89" t="n">
        <v>0.454861111111111</v>
      </c>
      <c r="B5" s="90" t="s">
        <v>48</v>
      </c>
      <c r="C5" s="97" t="n">
        <f aca="false">SUM(D4)</f>
        <v>48297580</v>
      </c>
      <c r="D5" s="75" t="n">
        <v>48315830</v>
      </c>
      <c r="E5" s="91" t="n">
        <f aca="false">SUM(D5-C5)</f>
        <v>18250</v>
      </c>
      <c r="F5" s="103" t="n">
        <v>18241</v>
      </c>
      <c r="G5" s="41" t="n">
        <v>0.8339</v>
      </c>
      <c r="H5" s="84" t="n">
        <f aca="false">SUM(G5*F5)</f>
        <v>15211.1699</v>
      </c>
      <c r="I5" s="29" t="s">
        <v>76</v>
      </c>
      <c r="J5" s="29" t="n">
        <v>6282</v>
      </c>
      <c r="K5" s="94"/>
      <c r="L5" s="95" t="n">
        <v>0.840277777777778</v>
      </c>
      <c r="M5" s="104" t="s">
        <v>48</v>
      </c>
      <c r="N5" s="99" t="n">
        <f aca="false">SUM(O4)</f>
        <v>7620770</v>
      </c>
      <c r="O5" s="98" t="n">
        <v>7620790</v>
      </c>
      <c r="P5" s="99" t="n">
        <f aca="false">SUM(O5-N5)</f>
        <v>20</v>
      </c>
      <c r="Q5" s="41" t="n">
        <v>0.833</v>
      </c>
      <c r="R5" s="84" t="n">
        <f aca="false">SUM(Q5*P5)</f>
        <v>16.66</v>
      </c>
      <c r="S5" s="102" t="s">
        <v>47</v>
      </c>
    </row>
    <row r="6" customFormat="false" ht="15.75" hidden="false" customHeight="false" outlineLevel="0" collapsed="false">
      <c r="A6" s="89" t="n">
        <v>0.506944444444444</v>
      </c>
      <c r="B6" s="90" t="s">
        <v>44</v>
      </c>
      <c r="C6" s="97" t="n">
        <f aca="false">SUM(D5)</f>
        <v>48315830</v>
      </c>
      <c r="D6" s="75" t="n">
        <v>48334080</v>
      </c>
      <c r="E6" s="91" t="n">
        <f aca="false">SUM(D6-C6)</f>
        <v>18250</v>
      </c>
      <c r="F6" s="103" t="n">
        <v>18241</v>
      </c>
      <c r="G6" s="41" t="n">
        <v>0.839</v>
      </c>
      <c r="H6" s="125" t="n">
        <f aca="false">SUM(G6*F6)</f>
        <v>15304.199</v>
      </c>
      <c r="I6" s="29" t="s">
        <v>76</v>
      </c>
      <c r="J6" s="1" t="n">
        <v>6286</v>
      </c>
      <c r="K6" s="94"/>
      <c r="L6" s="95" t="n">
        <v>0.930555555555555</v>
      </c>
      <c r="M6" s="104" t="s">
        <v>38</v>
      </c>
      <c r="N6" s="99" t="n">
        <f aca="false">SUM(O5)</f>
        <v>7620790</v>
      </c>
      <c r="O6" s="98" t="n">
        <v>7620930</v>
      </c>
      <c r="P6" s="99" t="n">
        <f aca="false">SUM(O6-N6)</f>
        <v>140</v>
      </c>
      <c r="Q6" s="41" t="n">
        <v>0.834</v>
      </c>
      <c r="R6" s="144" t="n">
        <f aca="false">SUM(Q6*P6)</f>
        <v>116.76</v>
      </c>
      <c r="S6" s="102" t="s">
        <v>65</v>
      </c>
    </row>
    <row r="7" customFormat="false" ht="15.75" hidden="false" customHeight="false" outlineLevel="0" collapsed="false">
      <c r="A7" s="89" t="n">
        <v>0.559027777777778</v>
      </c>
      <c r="B7" s="90" t="s">
        <v>44</v>
      </c>
      <c r="C7" s="97" t="n">
        <f aca="false">SUM(D6)</f>
        <v>48334080</v>
      </c>
      <c r="D7" s="75" t="n">
        <v>48335610</v>
      </c>
      <c r="E7" s="91" t="n">
        <f aca="false">SUM(D7-C7)</f>
        <v>1530</v>
      </c>
      <c r="F7" s="92" t="n">
        <f aca="false">SUM(D7-C7)</f>
        <v>1530</v>
      </c>
      <c r="G7" s="41" t="n">
        <v>0.839</v>
      </c>
      <c r="H7" s="125" t="n">
        <f aca="false">SUM(G7*F7)</f>
        <v>1283.67</v>
      </c>
      <c r="I7" s="29" t="s">
        <v>75</v>
      </c>
      <c r="J7" s="1" t="n">
        <v>6288</v>
      </c>
      <c r="K7" s="94"/>
      <c r="L7" s="95" t="n">
        <v>0.965277777777778</v>
      </c>
      <c r="M7" s="104" t="s">
        <v>44</v>
      </c>
      <c r="N7" s="99" t="n">
        <f aca="false">SUM(O6)</f>
        <v>7620930</v>
      </c>
      <c r="O7" s="98" t="n">
        <v>7621050</v>
      </c>
      <c r="P7" s="99" t="n">
        <f aca="false">SUM(O7-N7)</f>
        <v>120</v>
      </c>
      <c r="Q7" s="41" t="n">
        <v>0.839</v>
      </c>
      <c r="R7" s="125" t="n">
        <f aca="false">SUM(Q7*P7)</f>
        <v>100.68</v>
      </c>
      <c r="S7" s="102" t="s">
        <v>43</v>
      </c>
    </row>
    <row r="8" customFormat="false" ht="15.75" hidden="false" customHeight="false" outlineLevel="0" collapsed="false">
      <c r="A8" s="89" t="n">
        <v>0.607638888888889</v>
      </c>
      <c r="B8" s="90" t="s">
        <v>44</v>
      </c>
      <c r="C8" s="97" t="n">
        <f aca="false">SUM(D7)</f>
        <v>48335610</v>
      </c>
      <c r="D8" s="75" t="n">
        <v>48353860</v>
      </c>
      <c r="E8" s="91" t="n">
        <f aca="false">SUM(D8-C8)</f>
        <v>18250</v>
      </c>
      <c r="F8" s="103" t="n">
        <v>18241</v>
      </c>
      <c r="G8" s="41" t="n">
        <v>0.839</v>
      </c>
      <c r="H8" s="125" t="n">
        <f aca="false">SUM(G8*F8)</f>
        <v>15304.199</v>
      </c>
      <c r="I8" s="29" t="s">
        <v>76</v>
      </c>
      <c r="J8" s="1" t="n">
        <v>6292</v>
      </c>
      <c r="K8" s="94"/>
      <c r="L8" s="95"/>
      <c r="M8" s="96"/>
      <c r="N8" s="99" t="n">
        <f aca="false">SUM(O7)</f>
        <v>7621050</v>
      </c>
      <c r="O8" s="98"/>
      <c r="P8" s="99" t="n">
        <f aca="false">SUM(O8-N8)</f>
        <v>-7621050</v>
      </c>
      <c r="Q8" s="100"/>
      <c r="R8" s="101" t="n">
        <f aca="false">SUM(Q8*P8)</f>
        <v>0</v>
      </c>
      <c r="S8" s="1"/>
    </row>
    <row r="9" customFormat="false" ht="15.75" hidden="false" customHeight="false" outlineLevel="0" collapsed="false">
      <c r="A9" s="89" t="n">
        <v>0.65625</v>
      </c>
      <c r="B9" s="90" t="s">
        <v>44</v>
      </c>
      <c r="C9" s="97" t="n">
        <f aca="false">SUM(D8)</f>
        <v>48353860</v>
      </c>
      <c r="D9" s="75" t="n">
        <v>48372100</v>
      </c>
      <c r="E9" s="91" t="n">
        <f aca="false">SUM(D9-C9)</f>
        <v>18240</v>
      </c>
      <c r="F9" s="103" t="n">
        <v>18241</v>
      </c>
      <c r="G9" s="41" t="n">
        <v>0.839</v>
      </c>
      <c r="H9" s="125" t="n">
        <f aca="false">SUM(G9*F9)</f>
        <v>15304.199</v>
      </c>
      <c r="I9" s="29" t="s">
        <v>76</v>
      </c>
      <c r="J9" s="29" t="n">
        <v>6293</v>
      </c>
      <c r="K9" s="94"/>
      <c r="L9" s="95"/>
      <c r="M9" s="96"/>
      <c r="N9" s="99" t="n">
        <f aca="false">SUM(O8)</f>
        <v>0</v>
      </c>
      <c r="O9" s="98"/>
      <c r="P9" s="99" t="n">
        <f aca="false">SUM(O9-N9)</f>
        <v>0</v>
      </c>
      <c r="Q9" s="100"/>
      <c r="R9" s="101" t="n">
        <f aca="false">SUM(Q9*P9)</f>
        <v>0</v>
      </c>
      <c r="S9" s="1"/>
    </row>
    <row r="10" customFormat="false" ht="15.75" hidden="false" customHeight="false" outlineLevel="0" collapsed="false">
      <c r="A10" s="89" t="n">
        <v>0.708333333333333</v>
      </c>
      <c r="B10" s="90" t="s">
        <v>48</v>
      </c>
      <c r="C10" s="97" t="n">
        <f aca="false">SUM(D9)</f>
        <v>48372100</v>
      </c>
      <c r="D10" s="75" t="n">
        <v>48390350</v>
      </c>
      <c r="E10" s="91" t="n">
        <f aca="false">SUM(D10-C10)</f>
        <v>18250</v>
      </c>
      <c r="F10" s="103" t="n">
        <v>18241</v>
      </c>
      <c r="G10" s="41" t="n">
        <v>0.833</v>
      </c>
      <c r="H10" s="84" t="n">
        <f aca="false">SUM(G10*F10)</f>
        <v>15194.753</v>
      </c>
      <c r="I10" s="29" t="s">
        <v>76</v>
      </c>
      <c r="J10" s="29" t="n">
        <v>6294</v>
      </c>
      <c r="K10" s="94"/>
      <c r="L10" s="95"/>
      <c r="M10" s="96"/>
      <c r="N10" s="99" t="n">
        <f aca="false">SUM(O9)</f>
        <v>0</v>
      </c>
      <c r="O10" s="98"/>
      <c r="P10" s="99" t="n">
        <f aca="false">SUM(O10-N10)</f>
        <v>0</v>
      </c>
      <c r="Q10" s="100"/>
      <c r="R10" s="101" t="n">
        <f aca="false">SUM(Q10*P10)</f>
        <v>0</v>
      </c>
      <c r="S10" s="102"/>
    </row>
    <row r="11" customFormat="false" ht="15.75" hidden="false" customHeight="false" outlineLevel="0" collapsed="false">
      <c r="A11" s="89" t="n">
        <v>0.784722222222222</v>
      </c>
      <c r="B11" s="90" t="s">
        <v>48</v>
      </c>
      <c r="C11" s="97" t="n">
        <f aca="false">SUM(D10)</f>
        <v>48390350</v>
      </c>
      <c r="D11" s="75" t="n">
        <v>48399520</v>
      </c>
      <c r="E11" s="91" t="n">
        <f aca="false">SUM(D11-C11)</f>
        <v>9170</v>
      </c>
      <c r="F11" s="103" t="n">
        <v>9161</v>
      </c>
      <c r="G11" s="41" t="n">
        <v>0.833</v>
      </c>
      <c r="H11" s="84" t="n">
        <f aca="false">SUM(G11*F11)</f>
        <v>7631.113</v>
      </c>
      <c r="I11" s="29" t="s">
        <v>76</v>
      </c>
      <c r="J11" s="1" t="n">
        <v>6296</v>
      </c>
      <c r="K11" s="94"/>
      <c r="L11" s="95"/>
      <c r="M11" s="96"/>
      <c r="N11" s="99" t="n">
        <f aca="false">SUM(O10)</f>
        <v>0</v>
      </c>
      <c r="O11" s="98"/>
      <c r="P11" s="99" t="n">
        <f aca="false">SUM(O11-N11)</f>
        <v>0</v>
      </c>
      <c r="Q11" s="100"/>
      <c r="R11" s="101" t="n">
        <f aca="false">SUM(Q11*P11)</f>
        <v>0</v>
      </c>
      <c r="S11" s="1"/>
    </row>
    <row r="12" customFormat="false" ht="15.75" hidden="false" customHeight="false" outlineLevel="0" collapsed="false">
      <c r="A12" s="89" t="n">
        <v>0.784722222222222</v>
      </c>
      <c r="B12" s="90" t="s">
        <v>38</v>
      </c>
      <c r="C12" s="97" t="n">
        <f aca="false">SUM(D11)</f>
        <v>48399520</v>
      </c>
      <c r="D12" s="75" t="n">
        <v>48408600</v>
      </c>
      <c r="E12" s="91" t="n">
        <f aca="false">SUM(D12-C12)</f>
        <v>9080</v>
      </c>
      <c r="F12" s="103" t="n">
        <v>9080</v>
      </c>
      <c r="G12" s="41" t="n">
        <v>0.834</v>
      </c>
      <c r="H12" s="144" t="n">
        <f aca="false">SUM(G12*F12)</f>
        <v>7572.72</v>
      </c>
      <c r="I12" s="29" t="s">
        <v>76</v>
      </c>
      <c r="J12" s="1" t="n">
        <v>6297</v>
      </c>
      <c r="K12" s="94"/>
      <c r="L12" s="95"/>
      <c r="M12" s="96"/>
      <c r="N12" s="99" t="n">
        <f aca="false">SUM(O11)</f>
        <v>0</v>
      </c>
      <c r="O12" s="98"/>
      <c r="P12" s="99" t="n">
        <f aca="false">SUM(O12-N12)</f>
        <v>0</v>
      </c>
      <c r="Q12" s="100"/>
      <c r="R12" s="101" t="n">
        <f aca="false">SUM(Q12*P12)</f>
        <v>0</v>
      </c>
      <c r="S12" s="1"/>
    </row>
    <row r="13" customFormat="false" ht="15.75" hidden="false" customHeight="false" outlineLevel="0" collapsed="false">
      <c r="A13" s="89" t="n">
        <v>0.888888888888889</v>
      </c>
      <c r="B13" s="90" t="s">
        <v>38</v>
      </c>
      <c r="C13" s="97" t="n">
        <f aca="false">SUM(D12)</f>
        <v>48408600</v>
      </c>
      <c r="D13" s="75" t="n">
        <v>48425630</v>
      </c>
      <c r="E13" s="91" t="n">
        <f aca="false">SUM(D13-C13)</f>
        <v>17030</v>
      </c>
      <c r="F13" s="128" t="n">
        <v>17019</v>
      </c>
      <c r="G13" s="41" t="n">
        <v>0.834</v>
      </c>
      <c r="H13" s="144" t="n">
        <f aca="false">SUM(G13*F13)</f>
        <v>14193.846</v>
      </c>
      <c r="I13" s="29" t="s">
        <v>77</v>
      </c>
      <c r="J13" s="1" t="n">
        <v>6301</v>
      </c>
      <c r="K13" s="94"/>
      <c r="L13" s="95"/>
      <c r="M13" s="96"/>
      <c r="N13" s="99" t="n">
        <f aca="false">SUM(O12)</f>
        <v>0</v>
      </c>
      <c r="O13" s="98"/>
      <c r="P13" s="99" t="n">
        <f aca="false">SUM(O13-N13)</f>
        <v>0</v>
      </c>
      <c r="Q13" s="100"/>
      <c r="R13" s="101" t="n">
        <f aca="false">SUM(Q13*P13)</f>
        <v>0</v>
      </c>
      <c r="S13" s="1"/>
    </row>
    <row r="14" customFormat="false" ht="15.75" hidden="false" customHeight="false" outlineLevel="0" collapsed="false">
      <c r="A14" s="89" t="n">
        <v>0.899305555555555</v>
      </c>
      <c r="B14" s="90" t="s">
        <v>38</v>
      </c>
      <c r="C14" s="97" t="n">
        <f aca="false">SUM(D13)</f>
        <v>48425630</v>
      </c>
      <c r="D14" s="75" t="n">
        <v>48432930</v>
      </c>
      <c r="E14" s="91" t="n">
        <f aca="false">SUM(D14-C14)</f>
        <v>7300</v>
      </c>
      <c r="F14" s="92" t="n">
        <f aca="false">SUM(D14-C14)</f>
        <v>7300</v>
      </c>
      <c r="G14" s="41" t="n">
        <v>0.834</v>
      </c>
      <c r="H14" s="144" t="n">
        <f aca="false">SUM(G14*F14)</f>
        <v>6088.2</v>
      </c>
      <c r="I14" s="29" t="s">
        <v>75</v>
      </c>
      <c r="J14" s="1" t="n">
        <v>6302</v>
      </c>
      <c r="K14" s="94"/>
      <c r="L14" s="95"/>
      <c r="M14" s="96"/>
      <c r="N14" s="99" t="n">
        <f aca="false">SUM(O13)</f>
        <v>0</v>
      </c>
      <c r="O14" s="98"/>
      <c r="P14" s="99" t="n">
        <f aca="false">SUM(O14-N14)</f>
        <v>0</v>
      </c>
      <c r="Q14" s="100"/>
      <c r="R14" s="101" t="n">
        <f aca="false">SUM(Q14*P14)</f>
        <v>0</v>
      </c>
      <c r="S14" s="1"/>
    </row>
    <row r="15" customFormat="false" ht="15.75" hidden="false" customHeight="false" outlineLevel="0" collapsed="false">
      <c r="A15" s="89" t="n">
        <v>0.944444444444444</v>
      </c>
      <c r="B15" s="90" t="s">
        <v>48</v>
      </c>
      <c r="C15" s="97" t="n">
        <f aca="false">SUM(D14)</f>
        <v>48432930</v>
      </c>
      <c r="D15" s="75" t="n">
        <v>48451180</v>
      </c>
      <c r="E15" s="91" t="n">
        <f aca="false">SUM(D15-C15)</f>
        <v>18250</v>
      </c>
      <c r="F15" s="103" t="n">
        <v>18241</v>
      </c>
      <c r="G15" s="41" t="n">
        <v>0.8315</v>
      </c>
      <c r="H15" s="84" t="n">
        <f aca="false">SUM(G15*F15)</f>
        <v>15167.3915</v>
      </c>
      <c r="I15" s="29" t="s">
        <v>76</v>
      </c>
      <c r="J15" s="1" t="n">
        <v>6305</v>
      </c>
      <c r="K15" s="94"/>
      <c r="L15" s="95"/>
      <c r="M15" s="96"/>
      <c r="N15" s="99" t="n">
        <f aca="false">SUM(O14)</f>
        <v>0</v>
      </c>
      <c r="O15" s="98"/>
      <c r="P15" s="99" t="n">
        <f aca="false">SUM(O15-N15)</f>
        <v>0</v>
      </c>
      <c r="Q15" s="100"/>
      <c r="R15" s="101" t="n">
        <f aca="false">SUM(Q15*P15)</f>
        <v>0</v>
      </c>
      <c r="S15" s="1"/>
    </row>
    <row r="16" customFormat="false" ht="15.75" hidden="false" customHeight="false" outlineLevel="0" collapsed="false">
      <c r="A16" s="89" t="n">
        <v>0.993055555555555</v>
      </c>
      <c r="B16" s="90" t="s">
        <v>48</v>
      </c>
      <c r="C16" s="97" t="n">
        <f aca="false">SUM(D15)</f>
        <v>48451180</v>
      </c>
      <c r="D16" s="75" t="n">
        <v>48469420</v>
      </c>
      <c r="E16" s="91" t="n">
        <f aca="false">SUM(D16-C16)</f>
        <v>18240</v>
      </c>
      <c r="F16" s="103" t="n">
        <v>18241</v>
      </c>
      <c r="G16" s="41" t="n">
        <v>0.8315</v>
      </c>
      <c r="H16" s="84" t="n">
        <f aca="false">SUM(G16*F16)</f>
        <v>15167.3915</v>
      </c>
      <c r="I16" s="29" t="s">
        <v>76</v>
      </c>
      <c r="J16" s="1" t="n">
        <v>6308</v>
      </c>
      <c r="K16" s="94"/>
      <c r="L16" s="95"/>
      <c r="M16" s="104"/>
      <c r="N16" s="99" t="n">
        <f aca="false">SUM(O15)</f>
        <v>0</v>
      </c>
      <c r="O16" s="98"/>
      <c r="P16" s="99" t="n">
        <f aca="false">SUM(O16-N16)</f>
        <v>0</v>
      </c>
      <c r="Q16" s="41"/>
      <c r="R16" s="101" t="n">
        <f aca="false">SUM(Q16*P16)</f>
        <v>0</v>
      </c>
      <c r="S16" s="102"/>
    </row>
    <row r="17" customFormat="false" ht="15.75" hidden="false" customHeight="false" outlineLevel="0" collapsed="false">
      <c r="A17" s="89" t="n">
        <v>0.180555555555556</v>
      </c>
      <c r="B17" s="90" t="s">
        <v>38</v>
      </c>
      <c r="C17" s="97" t="n">
        <f aca="false">SUM(D16)</f>
        <v>48469420</v>
      </c>
      <c r="D17" s="75" t="n">
        <v>48487670</v>
      </c>
      <c r="E17" s="91" t="n">
        <f aca="false">SUM(D17-C17)</f>
        <v>18250</v>
      </c>
      <c r="F17" s="103" t="n">
        <v>18241</v>
      </c>
      <c r="G17" s="41" t="n">
        <v>0.8334</v>
      </c>
      <c r="H17" s="144" t="n">
        <f aca="false">SUM(G17*F17)</f>
        <v>15202.0494</v>
      </c>
      <c r="I17" s="29" t="s">
        <v>76</v>
      </c>
      <c r="J17" s="1" t="n">
        <v>6311</v>
      </c>
      <c r="K17" s="94"/>
      <c r="L17" s="88"/>
      <c r="M17" s="146" t="s">
        <v>49</v>
      </c>
      <c r="N17" s="82"/>
      <c r="O17" s="82"/>
      <c r="P17" s="82"/>
      <c r="Q17" s="83"/>
      <c r="R17" s="84"/>
      <c r="S17" s="85"/>
    </row>
    <row r="18" customFormat="false" ht="15.75" hidden="false" customHeight="false" outlineLevel="0" collapsed="false">
      <c r="A18" s="89" t="n">
        <v>0.194444444444444</v>
      </c>
      <c r="B18" s="90" t="s">
        <v>38</v>
      </c>
      <c r="C18" s="97" t="n">
        <f aca="false">SUM(D17)</f>
        <v>48487670</v>
      </c>
      <c r="D18" s="75" t="n">
        <v>48504690</v>
      </c>
      <c r="E18" s="91" t="n">
        <f aca="false">SUM(D18-C18)</f>
        <v>17020</v>
      </c>
      <c r="F18" s="128" t="n">
        <v>17019</v>
      </c>
      <c r="G18" s="41" t="n">
        <v>0.8334</v>
      </c>
      <c r="H18" s="144" t="n">
        <f aca="false">SUM(G18*F18)</f>
        <v>14183.6346</v>
      </c>
      <c r="I18" s="29" t="s">
        <v>77</v>
      </c>
      <c r="J18" s="29" t="n">
        <v>6312</v>
      </c>
      <c r="K18" s="94"/>
      <c r="L18" s="95" t="n">
        <v>0.506944444444444</v>
      </c>
      <c r="M18" s="104" t="s">
        <v>72</v>
      </c>
      <c r="N18" s="129" t="n">
        <v>4026970</v>
      </c>
      <c r="O18" s="98" t="n">
        <v>4027020</v>
      </c>
      <c r="P18" s="108" t="n">
        <f aca="false">SUM(O18-N18)</f>
        <v>50</v>
      </c>
      <c r="Q18" s="41" t="n">
        <v>0.8281</v>
      </c>
      <c r="R18" s="144" t="n">
        <f aca="false">SUM(Q18*P18)</f>
        <v>41.405</v>
      </c>
      <c r="S18" s="102" t="s">
        <v>78</v>
      </c>
      <c r="T18" s="0" t="s">
        <v>41</v>
      </c>
    </row>
    <row r="19" customFormat="false" ht="15.75" hidden="false" customHeight="false" outlineLevel="0" collapsed="false">
      <c r="A19" s="89" t="n">
        <v>0.225694444444444</v>
      </c>
      <c r="B19" s="90" t="s">
        <v>46</v>
      </c>
      <c r="C19" s="97" t="n">
        <f aca="false">SUM(D18)</f>
        <v>48504690</v>
      </c>
      <c r="D19" s="75" t="n">
        <v>48522950</v>
      </c>
      <c r="E19" s="91" t="n">
        <f aca="false">SUM(D19-C19)</f>
        <v>18260</v>
      </c>
      <c r="F19" s="103" t="n">
        <v>18241</v>
      </c>
      <c r="G19" s="41" t="n">
        <v>0.835</v>
      </c>
      <c r="H19" s="127" t="n">
        <f aca="false">SUM(G19*F19)</f>
        <v>15231.235</v>
      </c>
      <c r="I19" s="29" t="s">
        <v>76</v>
      </c>
      <c r="J19" s="29" t="n">
        <v>6313</v>
      </c>
      <c r="K19" s="94"/>
      <c r="L19" s="95"/>
      <c r="M19" s="104"/>
      <c r="N19" s="97" t="n">
        <f aca="false">SUM(O18)</f>
        <v>4027020</v>
      </c>
      <c r="O19" s="98"/>
      <c r="P19" s="108" t="n">
        <f aca="false">SUM(O19-N19)</f>
        <v>-4027020</v>
      </c>
      <c r="Q19" s="41"/>
      <c r="R19" s="93" t="n">
        <f aca="false">SUM(Q19*P19)</f>
        <v>0</v>
      </c>
      <c r="S19" s="102"/>
    </row>
    <row r="20" customFormat="false" ht="15.75" hidden="false" customHeight="false" outlineLevel="0" collapsed="false">
      <c r="A20" s="89" t="n">
        <v>0.28125</v>
      </c>
      <c r="B20" s="90" t="s">
        <v>46</v>
      </c>
      <c r="C20" s="97" t="n">
        <f aca="false">SUM(D19)</f>
        <v>48522950</v>
      </c>
      <c r="D20" s="75" t="n">
        <v>48541190</v>
      </c>
      <c r="E20" s="91" t="n">
        <f aca="false">SUM(D20-C20)</f>
        <v>18240</v>
      </c>
      <c r="F20" s="103" t="n">
        <v>18241</v>
      </c>
      <c r="G20" s="41" t="n">
        <v>0.835</v>
      </c>
      <c r="H20" s="127" t="n">
        <f aca="false">SUM(G20*F20)</f>
        <v>15231.235</v>
      </c>
      <c r="I20" s="29" t="s">
        <v>76</v>
      </c>
      <c r="J20" s="1" t="n">
        <v>6315</v>
      </c>
      <c r="K20" s="94"/>
      <c r="L20" s="95"/>
      <c r="M20" s="104"/>
      <c r="N20" s="97" t="n">
        <f aca="false">SUM(O19)</f>
        <v>0</v>
      </c>
      <c r="O20" s="98"/>
      <c r="P20" s="108" t="n">
        <f aca="false">SUM(O20-N20)</f>
        <v>0</v>
      </c>
      <c r="Q20" s="41"/>
      <c r="R20" s="93" t="n">
        <f aca="false">SUM(Q20*P20)</f>
        <v>0</v>
      </c>
      <c r="S20" s="102"/>
    </row>
    <row r="21" customFormat="false" ht="15.75" hidden="false" customHeight="false" outlineLevel="0" collapsed="false">
      <c r="A21" s="89" t="n">
        <v>0.295138888888889</v>
      </c>
      <c r="B21" s="90" t="s">
        <v>46</v>
      </c>
      <c r="C21" s="97" t="n">
        <f aca="false">SUM(D20)</f>
        <v>48541190</v>
      </c>
      <c r="D21" s="75" t="n">
        <v>48558210</v>
      </c>
      <c r="E21" s="91" t="n">
        <f aca="false">SUM(D21-C21)</f>
        <v>17020</v>
      </c>
      <c r="F21" s="128" t="n">
        <v>17019</v>
      </c>
      <c r="G21" s="41" t="n">
        <v>0.835</v>
      </c>
      <c r="H21" s="127" t="n">
        <f aca="false">SUM(G21*F21)</f>
        <v>14210.865</v>
      </c>
      <c r="I21" s="29" t="s">
        <v>77</v>
      </c>
      <c r="J21" s="1" t="n">
        <v>6316</v>
      </c>
      <c r="K21" s="94"/>
      <c r="L21" s="95"/>
      <c r="M21" s="104"/>
      <c r="N21" s="97" t="n">
        <f aca="false">SUM(O20)</f>
        <v>0</v>
      </c>
      <c r="O21" s="98"/>
      <c r="P21" s="108" t="n">
        <f aca="false">SUM(O21-N21)</f>
        <v>0</v>
      </c>
      <c r="Q21" s="41"/>
      <c r="R21" s="93" t="n">
        <f aca="false">SUM(Q21*P21)</f>
        <v>0</v>
      </c>
      <c r="S21" s="102"/>
    </row>
    <row r="22" customFormat="false" ht="15" hidden="false" customHeight="false" outlineLevel="0" collapsed="false">
      <c r="A22" s="89"/>
      <c r="B22" s="90"/>
      <c r="C22" s="97" t="n">
        <v>0</v>
      </c>
      <c r="D22" s="75"/>
      <c r="E22" s="91" t="n">
        <f aca="false">SUM(D22-C22)</f>
        <v>0</v>
      </c>
      <c r="F22" s="92" t="n">
        <f aca="false">SUM(D22-C22)</f>
        <v>0</v>
      </c>
      <c r="G22" s="41"/>
      <c r="H22" s="93" t="n">
        <f aca="false">SUM(G22*F22)</f>
        <v>0</v>
      </c>
      <c r="I22" s="1"/>
      <c r="J22" s="29"/>
      <c r="K22" s="94"/>
      <c r="L22" s="95"/>
      <c r="M22" s="104"/>
      <c r="N22" s="97" t="n">
        <f aca="false">SUM(O21)</f>
        <v>0</v>
      </c>
      <c r="O22" s="98"/>
      <c r="P22" s="108" t="n">
        <f aca="false">SUM(O22-N22)</f>
        <v>0</v>
      </c>
      <c r="Q22" s="41"/>
      <c r="R22" s="93" t="n">
        <f aca="false">SUM(Q22*P22)</f>
        <v>0</v>
      </c>
      <c r="S22" s="102"/>
    </row>
    <row r="23" customFormat="false" ht="15" hidden="true" customHeight="false" outlineLevel="0" collapsed="false">
      <c r="A23" s="89"/>
      <c r="B23" s="90"/>
      <c r="C23" s="97" t="n">
        <f aca="false">SUM(D22)</f>
        <v>0</v>
      </c>
      <c r="D23" s="75"/>
      <c r="E23" s="91" t="n">
        <f aca="false">SUM(D23-C23)</f>
        <v>0</v>
      </c>
      <c r="F23" s="92" t="n">
        <f aca="false">SUM(D23-C23)</f>
        <v>0</v>
      </c>
      <c r="G23" s="41"/>
      <c r="H23" s="93" t="n">
        <f aca="false">SUM(G23*F23)</f>
        <v>0</v>
      </c>
      <c r="I23" s="1"/>
      <c r="J23" s="29"/>
      <c r="K23" s="94"/>
      <c r="L23" s="95"/>
      <c r="M23" s="104"/>
      <c r="N23" s="97" t="n">
        <f aca="false">SUM(O22)</f>
        <v>0</v>
      </c>
      <c r="O23" s="98"/>
      <c r="P23" s="108" t="n">
        <f aca="false">SUM(O23-N23)</f>
        <v>0</v>
      </c>
      <c r="Q23" s="41"/>
      <c r="R23" s="93" t="n">
        <f aca="false">SUM(Q23*P23)</f>
        <v>0</v>
      </c>
      <c r="S23" s="102"/>
    </row>
    <row r="24" customFormat="false" ht="15" hidden="true" customHeight="false" outlineLevel="0" collapsed="false">
      <c r="A24" s="89"/>
      <c r="B24" s="90"/>
      <c r="C24" s="97" t="n">
        <f aca="false">SUM(D23)</f>
        <v>0</v>
      </c>
      <c r="D24" s="75"/>
      <c r="E24" s="91" t="n">
        <f aca="false">SUM(D24-C24)</f>
        <v>0</v>
      </c>
      <c r="F24" s="92" t="n">
        <f aca="false">SUM(D24-C24)</f>
        <v>0</v>
      </c>
      <c r="G24" s="41"/>
      <c r="H24" s="93" t="n">
        <f aca="false">SUM(G24*F24)</f>
        <v>0</v>
      </c>
      <c r="I24" s="1"/>
      <c r="J24" s="29"/>
      <c r="K24" s="94"/>
      <c r="L24" s="95"/>
      <c r="M24" s="104"/>
      <c r="N24" s="97" t="n">
        <f aca="false">SUM(O23)</f>
        <v>0</v>
      </c>
      <c r="O24" s="98"/>
      <c r="P24" s="108" t="n">
        <f aca="false">SUM(O24-N24)</f>
        <v>0</v>
      </c>
      <c r="Q24" s="41"/>
      <c r="R24" s="93" t="n">
        <f aca="false">SUM(Q24*P24)</f>
        <v>0</v>
      </c>
      <c r="S24" s="102"/>
    </row>
    <row r="25" customFormat="false" ht="15" hidden="true" customHeight="false" outlineLevel="0" collapsed="false">
      <c r="A25" s="89"/>
      <c r="B25" s="90"/>
      <c r="C25" s="97" t="n">
        <f aca="false">SUM(D24)</f>
        <v>0</v>
      </c>
      <c r="D25" s="75"/>
      <c r="E25" s="91" t="n">
        <f aca="false">SUM(D25-C25)</f>
        <v>0</v>
      </c>
      <c r="F25" s="108" t="n">
        <f aca="false">SUM(D25-C25)</f>
        <v>0</v>
      </c>
      <c r="G25" s="41"/>
      <c r="H25" s="93" t="n">
        <f aca="false">SUM(G25*F25)</f>
        <v>0</v>
      </c>
      <c r="I25" s="1"/>
      <c r="J25" s="29"/>
      <c r="K25" s="94"/>
      <c r="L25" s="95"/>
      <c r="M25" s="96"/>
      <c r="N25" s="97" t="n">
        <f aca="false">SUM(O24)</f>
        <v>0</v>
      </c>
      <c r="O25" s="98"/>
      <c r="P25" s="108" t="n">
        <f aca="false">SUM(O25-N25)</f>
        <v>0</v>
      </c>
      <c r="Q25" s="100"/>
      <c r="R25" s="93" t="n">
        <f aca="false">SUM(Q25*P25)</f>
        <v>0</v>
      </c>
      <c r="S25" s="1"/>
    </row>
    <row r="26" customFormat="false" ht="15" hidden="true" customHeight="false" outlineLevel="0" collapsed="false">
      <c r="A26" s="89"/>
      <c r="B26" s="90"/>
      <c r="C26" s="97" t="n">
        <f aca="false">SUM(D25)</f>
        <v>0</v>
      </c>
      <c r="D26" s="75"/>
      <c r="E26" s="91" t="n">
        <f aca="false">SUM(D26-C26)</f>
        <v>0</v>
      </c>
      <c r="F26" s="108" t="n">
        <f aca="false">SUM(D26-C26)</f>
        <v>0</v>
      </c>
      <c r="G26" s="41"/>
      <c r="H26" s="93" t="n">
        <f aca="false">SUM(G26*F26)</f>
        <v>0</v>
      </c>
      <c r="I26" s="1"/>
      <c r="J26" s="29"/>
      <c r="K26" s="94"/>
      <c r="L26" s="95"/>
      <c r="M26" s="96"/>
      <c r="N26" s="97" t="n">
        <f aca="false">SUM(O25)</f>
        <v>0</v>
      </c>
      <c r="O26" s="98"/>
      <c r="P26" s="108" t="n">
        <f aca="false">SUM(O26-N26)</f>
        <v>0</v>
      </c>
      <c r="Q26" s="100"/>
      <c r="R26" s="93" t="n">
        <f aca="false">SUM(Q26*P26)</f>
        <v>0</v>
      </c>
      <c r="S26" s="102"/>
    </row>
    <row r="27" customFormat="false" ht="15" hidden="true" customHeight="false" outlineLevel="0" collapsed="false">
      <c r="A27" s="89"/>
      <c r="B27" s="90"/>
      <c r="C27" s="97" t="n">
        <f aca="false">SUM(D26)</f>
        <v>0</v>
      </c>
      <c r="D27" s="75"/>
      <c r="E27" s="91" t="n">
        <f aca="false">SUM(D27-C27)</f>
        <v>0</v>
      </c>
      <c r="F27" s="108" t="n">
        <f aca="false">SUM(D27-C27)</f>
        <v>0</v>
      </c>
      <c r="G27" s="41"/>
      <c r="H27" s="93" t="n">
        <f aca="false">SUM(G27*F27)</f>
        <v>0</v>
      </c>
      <c r="I27" s="1"/>
      <c r="J27" s="29"/>
      <c r="K27" s="94"/>
      <c r="L27" s="95"/>
      <c r="M27" s="96"/>
      <c r="N27" s="97" t="n">
        <f aca="false">SUM(O26)</f>
        <v>0</v>
      </c>
      <c r="O27" s="98"/>
      <c r="P27" s="108" t="n">
        <f aca="false">SUM(O27-N27)</f>
        <v>0</v>
      </c>
      <c r="Q27" s="100"/>
      <c r="R27" s="93" t="n">
        <f aca="false">SUM(Q27*P27)</f>
        <v>0</v>
      </c>
      <c r="S27" s="1"/>
    </row>
    <row r="28" customFormat="false" ht="15" hidden="true" customHeight="false" outlineLevel="0" collapsed="false">
      <c r="A28" s="89"/>
      <c r="B28" s="90"/>
      <c r="C28" s="97" t="n">
        <f aca="false">SUM(D27)</f>
        <v>0</v>
      </c>
      <c r="D28" s="75"/>
      <c r="E28" s="91" t="n">
        <f aca="false">SUM(D28-C28)</f>
        <v>0</v>
      </c>
      <c r="F28" s="108" t="n">
        <f aca="false">SUM(D28-C28)</f>
        <v>0</v>
      </c>
      <c r="G28" s="41"/>
      <c r="H28" s="93" t="n">
        <f aca="false">SUM(G28*F28)</f>
        <v>0</v>
      </c>
      <c r="I28" s="1"/>
      <c r="J28" s="29"/>
      <c r="K28" s="94"/>
      <c r="L28" s="95"/>
      <c r="M28" s="96"/>
      <c r="N28" s="97" t="n">
        <f aca="false">SUM(O27)</f>
        <v>0</v>
      </c>
      <c r="O28" s="98"/>
      <c r="P28" s="108" t="n">
        <f aca="false">SUM(O28-N28)</f>
        <v>0</v>
      </c>
      <c r="Q28" s="100"/>
      <c r="R28" s="93" t="n">
        <f aca="false">SUM(Q28*P28)</f>
        <v>0</v>
      </c>
      <c r="S28" s="1"/>
    </row>
    <row r="29" customFormat="false" ht="15" hidden="true" customHeight="false" outlineLevel="0" collapsed="false">
      <c r="A29" s="89"/>
      <c r="B29" s="90"/>
      <c r="C29" s="97" t="n">
        <f aca="false">SUM(D28)</f>
        <v>0</v>
      </c>
      <c r="D29" s="75"/>
      <c r="E29" s="91" t="n">
        <f aca="false">SUM(D29-C29)</f>
        <v>0</v>
      </c>
      <c r="F29" s="108" t="n">
        <f aca="false">SUM(D29-C29)</f>
        <v>0</v>
      </c>
      <c r="G29" s="41"/>
      <c r="H29" s="93" t="n">
        <f aca="false">SUM(G29*F29)</f>
        <v>0</v>
      </c>
      <c r="I29" s="1"/>
      <c r="J29" s="29"/>
      <c r="K29" s="94"/>
      <c r="L29" s="95"/>
      <c r="M29" s="96"/>
      <c r="N29" s="97" t="n">
        <f aca="false">SUM(O28)</f>
        <v>0</v>
      </c>
      <c r="O29" s="98"/>
      <c r="P29" s="108" t="n">
        <f aca="false">SUM(O29-N29)</f>
        <v>0</v>
      </c>
      <c r="Q29" s="100"/>
      <c r="R29" s="93" t="n">
        <f aca="false">SUM(Q29*P29)</f>
        <v>0</v>
      </c>
      <c r="S29" s="1"/>
    </row>
    <row r="30" customFormat="false" ht="15" hidden="true" customHeight="false" outlineLevel="0" collapsed="false">
      <c r="A30" s="89"/>
      <c r="B30" s="90"/>
      <c r="C30" s="97" t="n">
        <f aca="false">SUM(D29)</f>
        <v>0</v>
      </c>
      <c r="D30" s="75"/>
      <c r="E30" s="91" t="n">
        <f aca="false">SUM(D30-C30)</f>
        <v>0</v>
      </c>
      <c r="F30" s="108" t="n">
        <f aca="false">SUM(D30-C30)</f>
        <v>0</v>
      </c>
      <c r="G30" s="41"/>
      <c r="H30" s="93" t="n">
        <f aca="false">SUM(G30*F30)</f>
        <v>0</v>
      </c>
      <c r="I30" s="1"/>
      <c r="J30" s="29"/>
      <c r="K30" s="110"/>
      <c r="L30" s="95"/>
      <c r="M30" s="96"/>
      <c r="N30" s="97" t="n">
        <f aca="false">SUM(O29)</f>
        <v>0</v>
      </c>
      <c r="O30" s="98"/>
      <c r="P30" s="108" t="n">
        <f aca="false">SUM(O30-N30)</f>
        <v>0</v>
      </c>
      <c r="Q30" s="100"/>
      <c r="R30" s="93" t="n">
        <f aca="false">SUM(Q30*P30)</f>
        <v>0</v>
      </c>
      <c r="S30" s="1"/>
    </row>
    <row r="31" customFormat="false" ht="15" hidden="true" customHeight="false" outlineLevel="0" collapsed="false">
      <c r="A31" s="89"/>
      <c r="B31" s="90"/>
      <c r="C31" s="97" t="n">
        <f aca="false">SUM(D30)</f>
        <v>0</v>
      </c>
      <c r="D31" s="75"/>
      <c r="E31" s="91" t="n">
        <f aca="false">SUM(D31-C31)</f>
        <v>0</v>
      </c>
      <c r="F31" s="108" t="n">
        <f aca="false">SUM(D31-C31)</f>
        <v>0</v>
      </c>
      <c r="G31" s="41"/>
      <c r="H31" s="93" t="n">
        <f aca="false">SUM(G31*F31)</f>
        <v>0</v>
      </c>
      <c r="I31" s="1"/>
      <c r="J31" s="29"/>
      <c r="K31" s="94"/>
      <c r="L31" s="95"/>
      <c r="M31" s="96"/>
      <c r="N31" s="97" t="n">
        <f aca="false">SUM(O30)</f>
        <v>0</v>
      </c>
      <c r="O31" s="98"/>
      <c r="P31" s="108" t="n">
        <f aca="false">SUM(O31-N31)</f>
        <v>0</v>
      </c>
      <c r="Q31" s="100"/>
      <c r="R31" s="93" t="n">
        <f aca="false">SUM(Q31*P31)</f>
        <v>0</v>
      </c>
      <c r="S31" s="1"/>
    </row>
    <row r="32" customFormat="false" ht="15" hidden="true" customHeight="false" outlineLevel="0" collapsed="false">
      <c r="A32" s="89"/>
      <c r="B32" s="90"/>
      <c r="C32" s="97" t="n">
        <f aca="false">SUM(D31)</f>
        <v>0</v>
      </c>
      <c r="D32" s="75"/>
      <c r="E32" s="91" t="n">
        <f aca="false">SUM(D32-C32)</f>
        <v>0</v>
      </c>
      <c r="F32" s="108" t="n">
        <f aca="false">SUM(D32-C32)</f>
        <v>0</v>
      </c>
      <c r="G32" s="41"/>
      <c r="H32" s="93" t="n">
        <f aca="false">SUM(G32*F32)</f>
        <v>0</v>
      </c>
      <c r="I32" s="1"/>
      <c r="J32" s="29"/>
      <c r="K32" s="94"/>
      <c r="L32" s="112"/>
      <c r="M32" s="113"/>
      <c r="N32" s="113"/>
      <c r="O32" s="114"/>
      <c r="P32" s="115"/>
      <c r="Q32" s="116"/>
      <c r="R32" s="62"/>
      <c r="S32" s="62"/>
    </row>
    <row r="33" customFormat="false" ht="15" hidden="true" customHeight="false" outlineLevel="0" collapsed="false">
      <c r="A33" s="89"/>
      <c r="B33" s="90"/>
      <c r="C33" s="97" t="n">
        <f aca="false">SUM(D32)</f>
        <v>0</v>
      </c>
      <c r="D33" s="75"/>
      <c r="E33" s="91" t="n">
        <f aca="false">SUM(D33-C33)</f>
        <v>0</v>
      </c>
      <c r="F33" s="108" t="n">
        <f aca="false">SUM(D33-C33)</f>
        <v>0</v>
      </c>
      <c r="G33" s="41"/>
      <c r="H33" s="93" t="n">
        <f aca="false">SUM(G33*F33)</f>
        <v>0</v>
      </c>
      <c r="I33" s="1"/>
      <c r="J33" s="29"/>
      <c r="K33" s="94"/>
      <c r="L33" s="117"/>
      <c r="M33" s="117"/>
      <c r="N33" s="117"/>
      <c r="O33" s="117"/>
      <c r="P33" s="117"/>
      <c r="Q33" s="117"/>
      <c r="R33" s="117"/>
      <c r="S33" s="117"/>
    </row>
    <row r="34" customFormat="false" ht="15" hidden="true" customHeight="false" outlineLevel="0" collapsed="false">
      <c r="A34" s="89"/>
      <c r="B34" s="90"/>
      <c r="C34" s="97" t="n">
        <f aca="false">SUM(D33)</f>
        <v>0</v>
      </c>
      <c r="D34" s="75"/>
      <c r="E34" s="91" t="n">
        <f aca="false">SUM(D34-C34)</f>
        <v>0</v>
      </c>
      <c r="F34" s="108" t="n">
        <f aca="false">SUM(D34-C34)</f>
        <v>0</v>
      </c>
      <c r="G34" s="41"/>
      <c r="H34" s="93" t="n">
        <f aca="false">SUM(G34*F34)</f>
        <v>0</v>
      </c>
      <c r="I34" s="1"/>
      <c r="J34" s="29"/>
      <c r="K34" s="94"/>
      <c r="L34" s="117"/>
      <c r="M34" s="117"/>
      <c r="N34" s="117"/>
      <c r="O34" s="117"/>
      <c r="P34" s="117"/>
      <c r="Q34" s="117"/>
      <c r="R34" s="117"/>
      <c r="S34" s="117"/>
    </row>
    <row r="35" customFormat="false" ht="15" hidden="true" customHeight="false" outlineLevel="0" collapsed="false">
      <c r="A35" s="89"/>
      <c r="B35" s="90"/>
      <c r="C35" s="97" t="n">
        <f aca="false">SUM(D34)</f>
        <v>0</v>
      </c>
      <c r="D35" s="75"/>
      <c r="E35" s="91" t="n">
        <f aca="false">SUM(D35-C35)</f>
        <v>0</v>
      </c>
      <c r="F35" s="108" t="n">
        <f aca="false">SUM(D35-C35)</f>
        <v>0</v>
      </c>
      <c r="G35" s="41"/>
      <c r="H35" s="93" t="n">
        <f aca="false">SUM(G35*F35)</f>
        <v>0</v>
      </c>
      <c r="I35" s="1"/>
      <c r="J35" s="29"/>
      <c r="K35" s="94"/>
      <c r="L35" s="117"/>
      <c r="M35" s="117"/>
      <c r="N35" s="117"/>
      <c r="O35" s="117"/>
      <c r="P35" s="117"/>
      <c r="Q35" s="117"/>
      <c r="R35" s="117"/>
      <c r="S35" s="117"/>
    </row>
    <row r="36" customFormat="false" ht="15" hidden="true" customHeight="false" outlineLevel="0" collapsed="false">
      <c r="A36" s="89"/>
      <c r="B36" s="90"/>
      <c r="C36" s="97" t="n">
        <f aca="false">SUM(D35)</f>
        <v>0</v>
      </c>
      <c r="D36" s="75"/>
      <c r="E36" s="91" t="n">
        <f aca="false">SUM(D36-C36)</f>
        <v>0</v>
      </c>
      <c r="F36" s="108" t="n">
        <f aca="false">SUM(D36-C36)</f>
        <v>0</v>
      </c>
      <c r="G36" s="41"/>
      <c r="H36" s="93" t="n">
        <f aca="false">SUM(G36*F36)</f>
        <v>0</v>
      </c>
      <c r="I36" s="1"/>
      <c r="J36" s="29"/>
      <c r="K36" s="94"/>
      <c r="L36" s="117"/>
      <c r="M36" s="117"/>
      <c r="N36" s="117"/>
      <c r="O36" s="117"/>
      <c r="P36" s="117"/>
      <c r="Q36" s="117"/>
      <c r="R36" s="117"/>
      <c r="S36" s="117"/>
    </row>
    <row r="37" customFormat="false" ht="15" hidden="true" customHeight="false" outlineLevel="0" collapsed="false">
      <c r="A37" s="89"/>
      <c r="B37" s="90"/>
      <c r="C37" s="97" t="n">
        <f aca="false">SUM(D36)</f>
        <v>0</v>
      </c>
      <c r="D37" s="75"/>
      <c r="E37" s="91" t="n">
        <f aca="false">SUM(D37-C37)</f>
        <v>0</v>
      </c>
      <c r="F37" s="130" t="n">
        <f aca="false">SUM(D37-C37)</f>
        <v>0</v>
      </c>
      <c r="G37" s="41"/>
      <c r="H37" s="131" t="n">
        <f aca="false">SUM(G37*F37)</f>
        <v>0</v>
      </c>
      <c r="I37" s="1"/>
      <c r="J37" s="1"/>
      <c r="K37" s="94"/>
      <c r="L37" s="117"/>
      <c r="M37" s="117"/>
      <c r="N37" s="117"/>
      <c r="O37" s="117"/>
      <c r="P37" s="117"/>
      <c r="Q37" s="117"/>
      <c r="R37" s="117"/>
      <c r="S37" s="117"/>
    </row>
    <row r="38" customFormat="false" ht="15" hidden="false" customHeight="false" outlineLevel="0" collapsed="false">
      <c r="A38" s="89"/>
      <c r="B38" s="90"/>
      <c r="C38" s="97"/>
      <c r="D38" s="75"/>
      <c r="E38" s="109"/>
      <c r="F38" s="132" t="n">
        <f aca="false">SUM(F3:F37)</f>
        <v>273468</v>
      </c>
      <c r="G38" s="133"/>
      <c r="H38" s="134" t="n">
        <f aca="false">SUM(H3:H37)</f>
        <v>228279.8759</v>
      </c>
      <c r="I38" s="135"/>
      <c r="J38" s="1"/>
      <c r="L38" s="117"/>
      <c r="M38" s="117"/>
      <c r="N38" s="117"/>
      <c r="O38" s="117"/>
      <c r="P38" s="117"/>
      <c r="Q38" s="117"/>
      <c r="R38" s="117"/>
      <c r="S38" s="117"/>
    </row>
    <row r="39" customFormat="false" ht="15" hidden="false" customHeight="false" outlineLevel="0" collapsed="false">
      <c r="A39" s="88"/>
      <c r="B39" s="146" t="s">
        <v>49</v>
      </c>
      <c r="C39" s="82"/>
      <c r="D39" s="82"/>
      <c r="E39" s="82"/>
      <c r="F39" s="136"/>
      <c r="G39" s="83"/>
      <c r="H39" s="137"/>
      <c r="I39" s="85"/>
      <c r="J39" s="86" t="s">
        <v>79</v>
      </c>
      <c r="L39" s="117"/>
      <c r="M39" s="117"/>
      <c r="N39" s="117"/>
      <c r="O39" s="117"/>
      <c r="P39" s="117"/>
      <c r="Q39" s="117"/>
      <c r="R39" s="117"/>
      <c r="S39" s="117"/>
    </row>
    <row r="40" customFormat="false" ht="15.75" hidden="false" customHeight="false" outlineLevel="0" collapsed="false">
      <c r="A40" s="89" t="n">
        <v>0.409722222222222</v>
      </c>
      <c r="B40" s="90" t="s">
        <v>61</v>
      </c>
      <c r="C40" s="97" t="n">
        <v>3950490</v>
      </c>
      <c r="D40" s="107" t="n">
        <v>3960040</v>
      </c>
      <c r="E40" s="91" t="n">
        <f aca="false">SUM(D40-C40)</f>
        <v>9550</v>
      </c>
      <c r="F40" s="147" t="n">
        <v>9540</v>
      </c>
      <c r="G40" s="41" t="n">
        <v>0.8302</v>
      </c>
      <c r="H40" s="93" t="n">
        <f aca="false">SUM(G40*F40)</f>
        <v>7920.108</v>
      </c>
      <c r="I40" s="29" t="s">
        <v>80</v>
      </c>
      <c r="J40" s="1" t="n">
        <v>6276</v>
      </c>
      <c r="K40" s="118" t="s">
        <v>81</v>
      </c>
      <c r="L40" s="117"/>
      <c r="M40" s="117"/>
      <c r="N40" s="117"/>
      <c r="O40" s="117"/>
      <c r="P40" s="117"/>
      <c r="Q40" s="117"/>
      <c r="R40" s="117"/>
      <c r="S40" s="117"/>
    </row>
    <row r="41" customFormat="false" ht="14.25" hidden="false" customHeight="true" outlineLevel="0" collapsed="false">
      <c r="A41" s="89" t="n">
        <v>0.409722222222222</v>
      </c>
      <c r="B41" s="90" t="s">
        <v>52</v>
      </c>
      <c r="C41" s="97" t="n">
        <f aca="false">SUM(D40)</f>
        <v>3960040</v>
      </c>
      <c r="D41" s="107" t="n">
        <v>3965550</v>
      </c>
      <c r="E41" s="91" t="n">
        <f aca="false">SUM(D41-C41)</f>
        <v>5510</v>
      </c>
      <c r="F41" s="147" t="n">
        <v>5500</v>
      </c>
      <c r="G41" s="41" t="n">
        <v>0.8412</v>
      </c>
      <c r="H41" s="84" t="n">
        <f aca="false">SUM(G41*F41)</f>
        <v>4626.6</v>
      </c>
      <c r="I41" s="29" t="s">
        <v>80</v>
      </c>
      <c r="J41" s="1" t="n">
        <v>6276</v>
      </c>
      <c r="K41" s="119" t="s">
        <v>82</v>
      </c>
      <c r="L41" s="117"/>
      <c r="M41" s="117"/>
      <c r="N41" s="117"/>
      <c r="O41" s="117"/>
      <c r="P41" s="117"/>
      <c r="Q41" s="117"/>
      <c r="R41" s="117"/>
      <c r="S41" s="117"/>
    </row>
    <row r="42" customFormat="false" ht="15" hidden="false" customHeight="true" outlineLevel="0" collapsed="false">
      <c r="A42" s="89" t="n">
        <v>0.423611111111111</v>
      </c>
      <c r="B42" s="90" t="s">
        <v>52</v>
      </c>
      <c r="C42" s="97" t="n">
        <f aca="false">SUM(D41)</f>
        <v>3965550</v>
      </c>
      <c r="D42" s="107" t="n">
        <v>3972580</v>
      </c>
      <c r="E42" s="91" t="n">
        <f aca="false">SUM(D42-C42)</f>
        <v>7030</v>
      </c>
      <c r="F42" s="128" t="n">
        <v>7033</v>
      </c>
      <c r="G42" s="41" t="n">
        <v>0.8412</v>
      </c>
      <c r="H42" s="84" t="n">
        <f aca="false">SUM(G42*F42)</f>
        <v>5916.1596</v>
      </c>
      <c r="I42" s="29" t="s">
        <v>77</v>
      </c>
      <c r="J42" s="1" t="n">
        <v>6277</v>
      </c>
      <c r="K42" s="119" t="s">
        <v>83</v>
      </c>
      <c r="L42" s="117"/>
      <c r="M42" s="117"/>
      <c r="N42" s="117"/>
      <c r="O42" s="117"/>
      <c r="P42" s="117"/>
      <c r="Q42" s="117"/>
      <c r="R42" s="117"/>
      <c r="S42" s="117"/>
    </row>
    <row r="43" customFormat="false" ht="15.75" hidden="false" customHeight="false" outlineLevel="0" collapsed="false">
      <c r="A43" s="89" t="n">
        <v>0.423611111111111</v>
      </c>
      <c r="B43" s="90" t="s">
        <v>62</v>
      </c>
      <c r="C43" s="97" t="n">
        <f aca="false">SUM(D42)</f>
        <v>3972580</v>
      </c>
      <c r="D43" s="107" t="n">
        <v>3982530</v>
      </c>
      <c r="E43" s="91" t="n">
        <f aca="false">SUM(D43-C43)</f>
        <v>9950</v>
      </c>
      <c r="F43" s="128" t="n">
        <v>9986</v>
      </c>
      <c r="G43" s="41" t="n">
        <v>0.826</v>
      </c>
      <c r="H43" s="125" t="n">
        <f aca="false">SUM(G43*F43)</f>
        <v>8248.436</v>
      </c>
      <c r="I43" s="29" t="s">
        <v>77</v>
      </c>
      <c r="J43" s="1" t="n">
        <v>6277</v>
      </c>
      <c r="K43" s="119" t="s">
        <v>84</v>
      </c>
      <c r="L43" s="117"/>
      <c r="M43" s="117"/>
      <c r="N43" s="117"/>
      <c r="O43" s="117"/>
      <c r="P43" s="117"/>
      <c r="Q43" s="117"/>
      <c r="R43" s="117"/>
      <c r="S43" s="117"/>
    </row>
    <row r="44" customFormat="false" ht="15.75" hidden="false" customHeight="false" outlineLevel="0" collapsed="false">
      <c r="A44" s="89" t="n">
        <v>0.440972222222222</v>
      </c>
      <c r="B44" s="90" t="s">
        <v>62</v>
      </c>
      <c r="C44" s="97" t="n">
        <f aca="false">SUM(D43)</f>
        <v>3982530</v>
      </c>
      <c r="D44" s="107" t="n">
        <v>3988620</v>
      </c>
      <c r="E44" s="91" t="n">
        <f aca="false">SUM(D44-C44)</f>
        <v>6090</v>
      </c>
      <c r="F44" s="108" t="n">
        <f aca="false">SUM(D44-C44)</f>
        <v>6090</v>
      </c>
      <c r="G44" s="41" t="n">
        <v>0.826</v>
      </c>
      <c r="H44" s="125" t="n">
        <f aca="false">SUM(G44*F44)</f>
        <v>5030.34</v>
      </c>
      <c r="I44" s="29" t="s">
        <v>85</v>
      </c>
      <c r="J44" s="1" t="n">
        <v>6279</v>
      </c>
      <c r="K44" s="119" t="s">
        <v>84</v>
      </c>
      <c r="L44" s="117"/>
      <c r="M44" s="117"/>
      <c r="N44" s="117"/>
      <c r="O44" s="117"/>
      <c r="P44" s="117"/>
      <c r="Q44" s="117"/>
      <c r="R44" s="117"/>
      <c r="S44" s="117"/>
    </row>
    <row r="45" customFormat="false" ht="15.75" hidden="false" customHeight="false" outlineLevel="0" collapsed="false">
      <c r="A45" s="89" t="n">
        <v>0.447916666666667</v>
      </c>
      <c r="B45" s="90" t="s">
        <v>72</v>
      </c>
      <c r="C45" s="97" t="n">
        <f aca="false">SUM(D44)</f>
        <v>3988620</v>
      </c>
      <c r="D45" s="107" t="n">
        <v>3997530</v>
      </c>
      <c r="E45" s="91" t="n">
        <f aca="false">SUM(D45-C45)</f>
        <v>8910</v>
      </c>
      <c r="F45" s="108" t="n">
        <f aca="false">SUM(D45-C45)</f>
        <v>8910</v>
      </c>
      <c r="G45" s="41" t="n">
        <v>0.8281</v>
      </c>
      <c r="H45" s="144" t="n">
        <f aca="false">SUM(G45*F45)</f>
        <v>7378.371</v>
      </c>
      <c r="I45" s="29" t="s">
        <v>86</v>
      </c>
      <c r="J45" s="1" t="n">
        <v>6281</v>
      </c>
      <c r="K45" s="119"/>
      <c r="L45" s="117"/>
      <c r="M45" s="117"/>
      <c r="N45" s="117"/>
      <c r="O45" s="117"/>
      <c r="P45" s="117"/>
      <c r="Q45" s="117"/>
      <c r="R45" s="117"/>
      <c r="S45" s="117"/>
    </row>
    <row r="46" customFormat="false" ht="15.75" hidden="false" customHeight="false" outlineLevel="0" collapsed="false">
      <c r="A46" s="89" t="n">
        <v>0.458333333333333</v>
      </c>
      <c r="B46" s="90" t="s">
        <v>72</v>
      </c>
      <c r="C46" s="97" t="n">
        <f aca="false">SUM(D45)</f>
        <v>3997530</v>
      </c>
      <c r="D46" s="107" t="n">
        <v>4003760</v>
      </c>
      <c r="E46" s="91" t="n">
        <f aca="false">SUM(D46-C46)</f>
        <v>6230</v>
      </c>
      <c r="F46" s="108" t="n">
        <f aca="false">SUM(D46-C46)</f>
        <v>6230</v>
      </c>
      <c r="G46" s="41" t="n">
        <v>0.8281</v>
      </c>
      <c r="H46" s="144" t="n">
        <f aca="false">SUM(G46*F46)</f>
        <v>5159.063</v>
      </c>
      <c r="I46" s="29" t="s">
        <v>87</v>
      </c>
      <c r="J46" s="1" t="n">
        <v>6283</v>
      </c>
      <c r="K46" s="118"/>
      <c r="L46" s="117"/>
      <c r="M46" s="117"/>
      <c r="N46" s="94"/>
      <c r="O46" s="117"/>
      <c r="P46" s="117"/>
      <c r="Q46" s="117"/>
      <c r="R46" s="117"/>
      <c r="S46" s="117"/>
    </row>
    <row r="47" customFormat="false" ht="15.75" hidden="false" customHeight="false" outlineLevel="0" collapsed="false">
      <c r="A47" s="89" t="n">
        <v>0.465277777777778</v>
      </c>
      <c r="B47" s="90" t="s">
        <v>72</v>
      </c>
      <c r="C47" s="97" t="n">
        <f aca="false">SUM(D46)</f>
        <v>4003760</v>
      </c>
      <c r="D47" s="107" t="n">
        <v>4009920</v>
      </c>
      <c r="E47" s="91" t="n">
        <f aca="false">SUM(D47-C47)</f>
        <v>6160</v>
      </c>
      <c r="F47" s="108" t="n">
        <f aca="false">SUM(D47-C47)</f>
        <v>6160</v>
      </c>
      <c r="G47" s="41" t="n">
        <v>0.8281</v>
      </c>
      <c r="H47" s="144" t="n">
        <f aca="false">SUM(G47*F47)</f>
        <v>5101.096</v>
      </c>
      <c r="I47" s="29" t="s">
        <v>88</v>
      </c>
      <c r="J47" s="1" t="n">
        <v>6284</v>
      </c>
      <c r="K47" s="119"/>
      <c r="L47" s="117"/>
      <c r="M47" s="117"/>
      <c r="N47" s="94"/>
      <c r="O47" s="117"/>
      <c r="P47" s="117"/>
      <c r="Q47" s="117"/>
      <c r="R47" s="117"/>
      <c r="S47" s="117"/>
    </row>
    <row r="48" customFormat="false" ht="15.75" hidden="false" customHeight="false" outlineLevel="0" collapsed="false">
      <c r="A48" s="89" t="n">
        <v>0.475694444444444</v>
      </c>
      <c r="B48" s="90" t="s">
        <v>72</v>
      </c>
      <c r="C48" s="97" t="n">
        <f aca="false">SUM(D47)</f>
        <v>4009920</v>
      </c>
      <c r="D48" s="107" t="n">
        <v>4026970</v>
      </c>
      <c r="E48" s="91" t="n">
        <f aca="false">SUM(D48-C48)</f>
        <v>17050</v>
      </c>
      <c r="F48" s="128" t="n">
        <v>17019</v>
      </c>
      <c r="G48" s="41" t="n">
        <v>0.8281</v>
      </c>
      <c r="H48" s="144" t="n">
        <f aca="false">SUM(G48*F48)</f>
        <v>14093.4339</v>
      </c>
      <c r="I48" s="29" t="s">
        <v>77</v>
      </c>
      <c r="J48" s="1" t="n">
        <v>6285</v>
      </c>
      <c r="K48" s="118"/>
      <c r="L48" s="117"/>
      <c r="M48" s="117"/>
      <c r="N48" s="94"/>
      <c r="O48" s="117"/>
      <c r="P48" s="117"/>
      <c r="Q48" s="117"/>
      <c r="R48" s="117"/>
      <c r="S48" s="117"/>
    </row>
    <row r="49" customFormat="false" ht="15" hidden="false" customHeight="true" outlineLevel="0" collapsed="false">
      <c r="A49" s="89" t="n">
        <v>0.517361111111111</v>
      </c>
      <c r="B49" s="90" t="s">
        <v>62</v>
      </c>
      <c r="C49" s="97" t="n">
        <v>4027020</v>
      </c>
      <c r="D49" s="107" t="n">
        <v>4044040</v>
      </c>
      <c r="E49" s="91" t="n">
        <f aca="false">SUM(D49-C49)</f>
        <v>17020</v>
      </c>
      <c r="F49" s="128" t="n">
        <v>17019</v>
      </c>
      <c r="G49" s="41" t="n">
        <v>0.826</v>
      </c>
      <c r="H49" s="125" t="n">
        <f aca="false">SUM(G49*F49)</f>
        <v>14057.694</v>
      </c>
      <c r="I49" s="29" t="s">
        <v>77</v>
      </c>
      <c r="J49" s="1" t="n">
        <v>6287</v>
      </c>
      <c r="K49" s="119" t="s">
        <v>84</v>
      </c>
      <c r="L49" s="117"/>
      <c r="M49" s="117"/>
      <c r="N49" s="94"/>
      <c r="O49" s="117"/>
      <c r="P49" s="117"/>
      <c r="Q49" s="117"/>
      <c r="R49" s="117"/>
      <c r="S49" s="117"/>
    </row>
    <row r="50" customFormat="false" ht="15.75" hidden="false" customHeight="false" outlineLevel="0" collapsed="false">
      <c r="A50" s="89" t="n">
        <v>0.579861111111111</v>
      </c>
      <c r="B50" s="90" t="s">
        <v>72</v>
      </c>
      <c r="C50" s="97" t="n">
        <f aca="false">SUM(D49)</f>
        <v>4044040</v>
      </c>
      <c r="D50" s="107" t="n">
        <v>4053210</v>
      </c>
      <c r="E50" s="91" t="n">
        <f aca="false">SUM(D50-C50)</f>
        <v>9170</v>
      </c>
      <c r="F50" s="108" t="n">
        <f aca="false">SUM(D50-C50)</f>
        <v>9170</v>
      </c>
      <c r="G50" s="41" t="n">
        <v>0.8261</v>
      </c>
      <c r="H50" s="144" t="n">
        <f aca="false">SUM(G50*F50)</f>
        <v>7575.337</v>
      </c>
      <c r="I50" s="29" t="s">
        <v>87</v>
      </c>
      <c r="J50" s="1" t="n">
        <v>6289</v>
      </c>
      <c r="K50" s="119"/>
      <c r="L50" s="117"/>
      <c r="M50" s="117"/>
      <c r="N50" s="117"/>
      <c r="O50" s="117"/>
      <c r="P50" s="117"/>
      <c r="Q50" s="117"/>
      <c r="R50" s="117"/>
      <c r="S50" s="117"/>
    </row>
    <row r="51" customFormat="false" ht="15.75" hidden="false" customHeight="false" outlineLevel="0" collapsed="false">
      <c r="A51" s="89" t="n">
        <v>0.590277777777778</v>
      </c>
      <c r="B51" s="90" t="s">
        <v>72</v>
      </c>
      <c r="C51" s="97" t="n">
        <f aca="false">SUM(D50)</f>
        <v>4053210</v>
      </c>
      <c r="D51" s="107" t="n">
        <v>4058650</v>
      </c>
      <c r="E51" s="91" t="n">
        <f aca="false">SUM(D51-C51)</f>
        <v>5440</v>
      </c>
      <c r="F51" s="108" t="n">
        <f aca="false">SUM(D51-C51)</f>
        <v>5440</v>
      </c>
      <c r="G51" s="41" t="n">
        <v>0.8261</v>
      </c>
      <c r="H51" s="144" t="n">
        <f aca="false">SUM(G51*F51)</f>
        <v>4493.984</v>
      </c>
      <c r="I51" s="29" t="s">
        <v>88</v>
      </c>
      <c r="J51" s="1" t="n">
        <v>6290</v>
      </c>
      <c r="K51" s="119"/>
      <c r="L51" s="117"/>
      <c r="M51" s="117"/>
      <c r="N51" s="117"/>
      <c r="O51" s="117"/>
      <c r="P51" s="117"/>
      <c r="Q51" s="117"/>
      <c r="R51" s="117"/>
      <c r="S51" s="117"/>
    </row>
    <row r="52" customFormat="false" ht="15.75" hidden="false" customHeight="false" outlineLevel="0" collapsed="false">
      <c r="A52" s="89" t="n">
        <v>0.604166666666667</v>
      </c>
      <c r="B52" s="90" t="s">
        <v>57</v>
      </c>
      <c r="C52" s="97" t="n">
        <f aca="false">SUM(D51)</f>
        <v>4058650</v>
      </c>
      <c r="D52" s="107" t="n">
        <v>4066210</v>
      </c>
      <c r="E52" s="91" t="n">
        <f aca="false">SUM(D52-C52)</f>
        <v>7560</v>
      </c>
      <c r="F52" s="108" t="n">
        <f aca="false">SUM(D52-C52)</f>
        <v>7560</v>
      </c>
      <c r="G52" s="41" t="n">
        <v>0.8264</v>
      </c>
      <c r="H52" s="127" t="n">
        <f aca="false">SUM(G52*F52)</f>
        <v>6247.584</v>
      </c>
      <c r="I52" s="29" t="s">
        <v>85</v>
      </c>
      <c r="J52" s="1" t="n">
        <v>6291</v>
      </c>
      <c r="K52" s="119" t="s">
        <v>84</v>
      </c>
      <c r="L52" s="117"/>
      <c r="M52" s="117"/>
      <c r="N52" s="117"/>
      <c r="O52" s="117"/>
      <c r="P52" s="117"/>
      <c r="Q52" s="117"/>
      <c r="R52" s="117"/>
      <c r="S52" s="117"/>
    </row>
    <row r="53" customFormat="false" ht="15.75" hidden="false" customHeight="false" outlineLevel="0" collapsed="false">
      <c r="A53" s="89" t="n">
        <v>0.75</v>
      </c>
      <c r="B53" s="90" t="s">
        <v>61</v>
      </c>
      <c r="C53" s="97" t="n">
        <f aca="false">SUM(D52)</f>
        <v>4066210</v>
      </c>
      <c r="D53" s="107" t="n">
        <v>4083250</v>
      </c>
      <c r="E53" s="91" t="n">
        <f aca="false">SUM(D53-C53)</f>
        <v>17040</v>
      </c>
      <c r="F53" s="128" t="n">
        <v>17019</v>
      </c>
      <c r="G53" s="41" t="n">
        <v>0.8259</v>
      </c>
      <c r="H53" s="93" t="n">
        <f aca="false">SUM(G53*F53)</f>
        <v>14055.9921</v>
      </c>
      <c r="I53" s="29" t="s">
        <v>77</v>
      </c>
      <c r="J53" s="1" t="n">
        <v>6295</v>
      </c>
      <c r="K53" s="118" t="s">
        <v>70</v>
      </c>
      <c r="L53" s="117"/>
      <c r="M53" s="117"/>
      <c r="N53" s="117"/>
      <c r="O53" s="117"/>
      <c r="P53" s="117"/>
      <c r="Q53" s="117"/>
      <c r="R53" s="117"/>
      <c r="S53" s="117"/>
    </row>
    <row r="54" customFormat="false" ht="15.75" hidden="false" customHeight="false" outlineLevel="0" collapsed="false">
      <c r="A54" s="89" t="n">
        <v>0.791666666666667</v>
      </c>
      <c r="B54" s="90" t="s">
        <v>72</v>
      </c>
      <c r="C54" s="97" t="n">
        <f aca="false">SUM(D53)</f>
        <v>4083250</v>
      </c>
      <c r="D54" s="107" t="n">
        <v>4090750</v>
      </c>
      <c r="E54" s="91" t="n">
        <f aca="false">SUM(D54-C54)</f>
        <v>7500</v>
      </c>
      <c r="F54" s="108" t="n">
        <f aca="false">SUM(D54-C54)</f>
        <v>7500</v>
      </c>
      <c r="G54" s="41" t="n">
        <v>0.8261</v>
      </c>
      <c r="H54" s="144" t="n">
        <f aca="false">SUM(G54*F54)</f>
        <v>6195.75</v>
      </c>
      <c r="I54" s="29" t="s">
        <v>86</v>
      </c>
      <c r="J54" s="1" t="n">
        <v>6298</v>
      </c>
      <c r="K54" s="110"/>
      <c r="L54" s="117"/>
      <c r="M54" s="117"/>
      <c r="N54" s="117"/>
      <c r="O54" s="117"/>
      <c r="P54" s="117"/>
      <c r="Q54" s="117"/>
      <c r="R54" s="117"/>
      <c r="S54" s="117"/>
    </row>
    <row r="55" customFormat="false" ht="15.75" hidden="false" customHeight="false" outlineLevel="0" collapsed="false">
      <c r="A55" s="89" t="n">
        <v>0.805555555555555</v>
      </c>
      <c r="B55" s="90" t="s">
        <v>57</v>
      </c>
      <c r="C55" s="97" t="n">
        <f aca="false">SUM(D54)</f>
        <v>4090750</v>
      </c>
      <c r="D55" s="107" t="n">
        <v>4107730</v>
      </c>
      <c r="E55" s="91" t="n">
        <f aca="false">SUM(D55-C55)</f>
        <v>16980</v>
      </c>
      <c r="F55" s="128" t="n">
        <v>17019</v>
      </c>
      <c r="G55" s="41" t="n">
        <v>0.8264</v>
      </c>
      <c r="H55" s="127" t="n">
        <f aca="false">SUM(G55*F55)</f>
        <v>14064.5016</v>
      </c>
      <c r="I55" s="29" t="s">
        <v>77</v>
      </c>
      <c r="J55" s="1" t="n">
        <v>6299</v>
      </c>
      <c r="K55" s="119" t="s">
        <v>84</v>
      </c>
      <c r="L55" s="117"/>
      <c r="M55" s="117"/>
      <c r="N55" s="117"/>
      <c r="O55" s="117"/>
      <c r="P55" s="117"/>
      <c r="Q55" s="117"/>
      <c r="R55" s="117"/>
      <c r="S55" s="117"/>
    </row>
    <row r="56" customFormat="false" ht="15.75" hidden="false" customHeight="false" outlineLevel="0" collapsed="false">
      <c r="A56" s="89" t="n">
        <v>0.885416666666667</v>
      </c>
      <c r="B56" s="90" t="s">
        <v>61</v>
      </c>
      <c r="C56" s="97" t="n">
        <f aca="false">SUM(D55)</f>
        <v>4107730</v>
      </c>
      <c r="D56" s="107" t="n">
        <v>4114550</v>
      </c>
      <c r="E56" s="91" t="n">
        <f aca="false">SUM(D56-C56)</f>
        <v>6820</v>
      </c>
      <c r="F56" s="108" t="n">
        <f aca="false">SUM(D56-C56)</f>
        <v>6820</v>
      </c>
      <c r="G56" s="41" t="n">
        <v>0.8259</v>
      </c>
      <c r="H56" s="93" t="n">
        <f aca="false">SUM(G56*F56)</f>
        <v>5632.638</v>
      </c>
      <c r="I56" s="29" t="s">
        <v>87</v>
      </c>
      <c r="J56" s="1" t="n">
        <v>6300</v>
      </c>
      <c r="K56" s="118" t="s">
        <v>70</v>
      </c>
      <c r="L56" s="117"/>
      <c r="M56" s="117"/>
      <c r="N56" s="94"/>
      <c r="O56" s="117"/>
      <c r="P56" s="117"/>
      <c r="Q56" s="117"/>
      <c r="R56" s="117"/>
      <c r="S56" s="117"/>
    </row>
    <row r="57" customFormat="false" ht="15.75" hidden="false" customHeight="false" outlineLevel="0" collapsed="false">
      <c r="A57" s="89" t="n">
        <v>0.913194444444444</v>
      </c>
      <c r="B57" s="90" t="s">
        <v>72</v>
      </c>
      <c r="C57" s="97" t="n">
        <f aca="false">SUM(D56)</f>
        <v>4114550</v>
      </c>
      <c r="D57" s="107" t="n">
        <v>4120210</v>
      </c>
      <c r="E57" s="91" t="n">
        <f aca="false">SUM(D57-C57)</f>
        <v>5660</v>
      </c>
      <c r="F57" s="108" t="n">
        <f aca="false">SUM(D57-C57)</f>
        <v>5660</v>
      </c>
      <c r="G57" s="41" t="n">
        <v>0.8261</v>
      </c>
      <c r="H57" s="144" t="n">
        <f aca="false">SUM(G57*F57)</f>
        <v>4675.726</v>
      </c>
      <c r="I57" s="29" t="s">
        <v>88</v>
      </c>
      <c r="J57" s="1" t="n">
        <v>6303</v>
      </c>
      <c r="K57" s="119"/>
      <c r="L57" s="117"/>
      <c r="M57" s="117"/>
      <c r="N57" s="94"/>
      <c r="O57" s="117"/>
      <c r="P57" s="117"/>
      <c r="Q57" s="117"/>
      <c r="R57" s="117"/>
      <c r="S57" s="117"/>
    </row>
    <row r="58" customFormat="false" ht="15.75" hidden="false" customHeight="false" outlineLevel="0" collapsed="false">
      <c r="A58" s="89" t="n">
        <v>0.9375</v>
      </c>
      <c r="B58" s="90" t="s">
        <v>72</v>
      </c>
      <c r="C58" s="97" t="n">
        <f aca="false">SUM(D57)</f>
        <v>4120210</v>
      </c>
      <c r="D58" s="107" t="n">
        <v>4137190</v>
      </c>
      <c r="E58" s="91" t="n">
        <f aca="false">SUM(D58-C58)</f>
        <v>16980</v>
      </c>
      <c r="F58" s="128" t="n">
        <v>17019</v>
      </c>
      <c r="G58" s="41" t="n">
        <v>0.8261</v>
      </c>
      <c r="H58" s="144" t="n">
        <f aca="false">SUM(G58*F58)</f>
        <v>14059.3959</v>
      </c>
      <c r="I58" s="29" t="s">
        <v>77</v>
      </c>
      <c r="J58" s="1" t="n">
        <v>6304</v>
      </c>
      <c r="K58" s="118"/>
      <c r="L58" s="117"/>
      <c r="M58" s="117"/>
      <c r="N58" s="94"/>
      <c r="O58" s="117"/>
      <c r="P58" s="117"/>
      <c r="Q58" s="117"/>
      <c r="R58" s="117"/>
      <c r="S58" s="117"/>
    </row>
    <row r="59" customFormat="false" ht="15" hidden="false" customHeight="true" outlineLevel="0" collapsed="false">
      <c r="A59" s="89" t="n">
        <v>0.954861111111111</v>
      </c>
      <c r="B59" s="90" t="s">
        <v>57</v>
      </c>
      <c r="C59" s="97" t="n">
        <f aca="false">SUM(D58)</f>
        <v>4137190</v>
      </c>
      <c r="D59" s="107" t="n">
        <v>4142130</v>
      </c>
      <c r="E59" s="91" t="n">
        <f aca="false">SUM(D59-C59)</f>
        <v>4940</v>
      </c>
      <c r="F59" s="108" t="n">
        <f aca="false">SUM(D59-C59)</f>
        <v>4940</v>
      </c>
      <c r="G59" s="41" t="n">
        <v>0.8264</v>
      </c>
      <c r="H59" s="127" t="n">
        <f aca="false">SUM(G59*F59)</f>
        <v>4082.416</v>
      </c>
      <c r="I59" s="29" t="s">
        <v>85</v>
      </c>
      <c r="J59" s="1" t="n">
        <v>6306</v>
      </c>
      <c r="K59" s="119" t="s">
        <v>84</v>
      </c>
      <c r="L59" s="117"/>
      <c r="M59" s="117"/>
      <c r="N59" s="94"/>
      <c r="O59" s="117"/>
      <c r="P59" s="117"/>
      <c r="Q59" s="117"/>
      <c r="R59" s="117"/>
      <c r="S59" s="117"/>
    </row>
    <row r="60" customFormat="false" ht="15.75" hidden="false" customHeight="false" outlineLevel="0" collapsed="false">
      <c r="A60" s="89" t="n">
        <v>0.982638888888889</v>
      </c>
      <c r="B60" s="90" t="s">
        <v>89</v>
      </c>
      <c r="C60" s="97" t="n">
        <f aca="false">SUM(D59)</f>
        <v>4142130</v>
      </c>
      <c r="D60" s="107" t="n">
        <v>4159040</v>
      </c>
      <c r="E60" s="91" t="n">
        <f aca="false">SUM(D60-C60)</f>
        <v>16910</v>
      </c>
      <c r="F60" s="128" t="n">
        <v>17019</v>
      </c>
      <c r="G60" s="41" t="n">
        <v>0.8234</v>
      </c>
      <c r="H60" s="139" t="n">
        <f aca="false">SUM(G60*F60)</f>
        <v>14013.4446</v>
      </c>
      <c r="I60" s="29" t="s">
        <v>77</v>
      </c>
      <c r="J60" s="1" t="n">
        <v>6307</v>
      </c>
      <c r="K60" s="119" t="s">
        <v>84</v>
      </c>
      <c r="L60" s="117"/>
      <c r="M60" s="117"/>
      <c r="N60" s="117"/>
      <c r="O60" s="117"/>
      <c r="P60" s="117"/>
      <c r="Q60" s="117"/>
      <c r="R60" s="117"/>
      <c r="S60" s="117"/>
    </row>
    <row r="61" customFormat="false" ht="15.75" hidden="false" customHeight="false" outlineLevel="0" collapsed="false">
      <c r="A61" s="89" t="n">
        <v>0.0972222222222222</v>
      </c>
      <c r="B61" s="90" t="s">
        <v>72</v>
      </c>
      <c r="C61" s="97" t="n">
        <f aca="false">SUM(D60)</f>
        <v>4159040</v>
      </c>
      <c r="D61" s="107" t="n">
        <v>4165820</v>
      </c>
      <c r="E61" s="91" t="n">
        <f aca="false">SUM(D61-C61)</f>
        <v>6780</v>
      </c>
      <c r="F61" s="108" t="n">
        <f aca="false">SUM(D61-C61)</f>
        <v>6780</v>
      </c>
      <c r="G61" s="41" t="n">
        <v>0.8261</v>
      </c>
      <c r="H61" s="144" t="n">
        <f aca="false">SUM(G61*F61)</f>
        <v>5600.958</v>
      </c>
      <c r="I61" s="29" t="s">
        <v>88</v>
      </c>
      <c r="J61" s="1" t="n">
        <v>6309</v>
      </c>
      <c r="K61" s="119"/>
      <c r="L61" s="117"/>
      <c r="M61" s="117"/>
      <c r="N61" s="117"/>
      <c r="O61" s="117"/>
      <c r="P61" s="117"/>
      <c r="Q61" s="117"/>
      <c r="R61" s="117"/>
      <c r="S61" s="117"/>
    </row>
    <row r="62" customFormat="false" ht="15.75" hidden="false" customHeight="false" outlineLevel="0" collapsed="false">
      <c r="A62" s="89" t="n">
        <v>0.104166666666667</v>
      </c>
      <c r="B62" s="90" t="s">
        <v>72</v>
      </c>
      <c r="C62" s="97" t="n">
        <f aca="false">SUM(D61)</f>
        <v>4165820</v>
      </c>
      <c r="D62" s="107" t="n">
        <v>4175400</v>
      </c>
      <c r="E62" s="91" t="n">
        <f aca="false">SUM(D62-C62)</f>
        <v>9580</v>
      </c>
      <c r="F62" s="147" t="n">
        <v>9540</v>
      </c>
      <c r="G62" s="41" t="n">
        <v>0.8261</v>
      </c>
      <c r="H62" s="144" t="n">
        <f aca="false">SUM(G62*F62)</f>
        <v>7880.994</v>
      </c>
      <c r="I62" s="29" t="s">
        <v>80</v>
      </c>
      <c r="J62" s="1" t="n">
        <v>6310</v>
      </c>
      <c r="K62" s="118" t="s">
        <v>81</v>
      </c>
      <c r="L62" s="117"/>
      <c r="M62" s="117"/>
      <c r="N62" s="117"/>
      <c r="O62" s="117"/>
      <c r="P62" s="117"/>
      <c r="Q62" s="117"/>
      <c r="R62" s="117"/>
      <c r="S62" s="117"/>
    </row>
    <row r="63" customFormat="false" ht="15.75" hidden="false" customHeight="false" outlineLevel="0" collapsed="false">
      <c r="A63" s="89" t="n">
        <v>0.104166666666667</v>
      </c>
      <c r="B63" s="90" t="s">
        <v>52</v>
      </c>
      <c r="C63" s="97" t="n">
        <f aca="false">SUM(D62)</f>
        <v>4175400</v>
      </c>
      <c r="D63" s="107" t="n">
        <v>4180910</v>
      </c>
      <c r="E63" s="91" t="n">
        <f aca="false">SUM(D63-C63)</f>
        <v>5510</v>
      </c>
      <c r="F63" s="147" t="n">
        <v>5500</v>
      </c>
      <c r="G63" s="41" t="n">
        <v>0.8366</v>
      </c>
      <c r="H63" s="84" t="n">
        <f aca="false">SUM(G63*F63)</f>
        <v>4601.3</v>
      </c>
      <c r="I63" s="29" t="s">
        <v>80</v>
      </c>
      <c r="J63" s="1" t="n">
        <v>6310</v>
      </c>
      <c r="K63" s="119" t="s">
        <v>82</v>
      </c>
      <c r="L63" s="117"/>
      <c r="M63" s="117"/>
      <c r="N63" s="117"/>
      <c r="O63" s="117"/>
      <c r="P63" s="117"/>
      <c r="Q63" s="117"/>
      <c r="R63" s="117"/>
      <c r="S63" s="117"/>
    </row>
    <row r="64" customFormat="false" ht="15.75" hidden="false" customHeight="false" outlineLevel="0" collapsed="false">
      <c r="A64" s="89" t="n">
        <v>0.243055555555556</v>
      </c>
      <c r="B64" s="90" t="s">
        <v>89</v>
      </c>
      <c r="C64" s="97" t="n">
        <f aca="false">SUM(D63)</f>
        <v>4180910</v>
      </c>
      <c r="D64" s="107" t="n">
        <v>4197840</v>
      </c>
      <c r="E64" s="91" t="n">
        <f aca="false">SUM(D64-C64)</f>
        <v>16930</v>
      </c>
      <c r="F64" s="128" t="n">
        <v>17019</v>
      </c>
      <c r="G64" s="41" t="n">
        <v>0.8234</v>
      </c>
      <c r="H64" s="139" t="n">
        <f aca="false">SUM(G64*F64)</f>
        <v>14013.4446</v>
      </c>
      <c r="I64" s="29" t="s">
        <v>77</v>
      </c>
      <c r="J64" s="1" t="n">
        <v>6314</v>
      </c>
      <c r="K64" s="119" t="s">
        <v>84</v>
      </c>
      <c r="L64" s="117"/>
      <c r="M64" s="117"/>
      <c r="N64" s="117"/>
      <c r="O64" s="117"/>
      <c r="P64" s="117"/>
      <c r="Q64" s="117"/>
      <c r="R64" s="117"/>
      <c r="S64" s="117"/>
    </row>
    <row r="65" customFormat="false" ht="15.75" hidden="false" customHeight="false" outlineLevel="0" collapsed="false">
      <c r="A65" s="89" t="n">
        <v>0.34375</v>
      </c>
      <c r="B65" s="90" t="s">
        <v>89</v>
      </c>
      <c r="C65" s="97" t="n">
        <f aca="false">SUM(D64)</f>
        <v>4197840</v>
      </c>
      <c r="D65" s="107" t="n">
        <v>4214840</v>
      </c>
      <c r="E65" s="91" t="n">
        <f aca="false">SUM(D65-C65)</f>
        <v>17000</v>
      </c>
      <c r="F65" s="128" t="n">
        <v>17019</v>
      </c>
      <c r="G65" s="41" t="n">
        <v>0.8234</v>
      </c>
      <c r="H65" s="139" t="n">
        <f aca="false">SUM(G65*F65)</f>
        <v>14013.4446</v>
      </c>
      <c r="I65" s="29" t="s">
        <v>77</v>
      </c>
      <c r="J65" s="1" t="n">
        <v>6317</v>
      </c>
      <c r="K65" s="119" t="s">
        <v>84</v>
      </c>
      <c r="L65" s="117"/>
      <c r="M65" s="117"/>
      <c r="N65" s="117"/>
      <c r="O65" s="117"/>
      <c r="P65" s="117"/>
      <c r="Q65" s="117"/>
      <c r="R65" s="117"/>
      <c r="S65" s="117"/>
    </row>
    <row r="66" customFormat="false" ht="15" hidden="false" customHeight="false" outlineLevel="0" collapsed="false">
      <c r="A66" s="89"/>
      <c r="B66" s="90"/>
      <c r="C66" s="97" t="n">
        <v>0</v>
      </c>
      <c r="D66" s="107"/>
      <c r="E66" s="91" t="n">
        <f aca="false">SUM(D66-C66)</f>
        <v>0</v>
      </c>
      <c r="F66" s="108" t="n">
        <f aca="false">SUM(D66-C66)</f>
        <v>0</v>
      </c>
      <c r="G66" s="41"/>
      <c r="H66" s="93" t="n">
        <f aca="false">SUM(G66*F66)</f>
        <v>0</v>
      </c>
      <c r="I66" s="1"/>
      <c r="J66" s="29"/>
      <c r="K66" s="110"/>
      <c r="L66" s="117"/>
      <c r="M66" s="117"/>
      <c r="N66" s="117"/>
      <c r="O66" s="117"/>
      <c r="P66" s="117"/>
      <c r="Q66" s="117"/>
      <c r="R66" s="117"/>
      <c r="S66" s="117"/>
    </row>
    <row r="67" customFormat="false" ht="15" hidden="true" customHeight="false" outlineLevel="0" collapsed="false">
      <c r="A67" s="89"/>
      <c r="B67" s="90"/>
      <c r="C67" s="97" t="n">
        <f aca="false">SUM(D66)</f>
        <v>0</v>
      </c>
      <c r="D67" s="107"/>
      <c r="E67" s="91" t="n">
        <f aca="false">SUM(D67-C67)</f>
        <v>0</v>
      </c>
      <c r="F67" s="108" t="n">
        <f aca="false">SUM(D67-C67)</f>
        <v>0</v>
      </c>
      <c r="G67" s="41"/>
      <c r="H67" s="93" t="n">
        <f aca="false">SUM(G67*F67)</f>
        <v>0</v>
      </c>
      <c r="I67" s="1"/>
      <c r="J67" s="29"/>
      <c r="K67" s="110"/>
      <c r="L67" s="117"/>
      <c r="M67" s="117"/>
      <c r="N67" s="117"/>
      <c r="O67" s="117"/>
      <c r="P67" s="117"/>
      <c r="Q67" s="117"/>
      <c r="R67" s="117"/>
      <c r="S67" s="117"/>
    </row>
    <row r="68" customFormat="false" ht="15" hidden="true" customHeight="false" outlineLevel="0" collapsed="false">
      <c r="A68" s="89"/>
      <c r="B68" s="90"/>
      <c r="C68" s="97" t="n">
        <f aca="false">SUM(D67)</f>
        <v>0</v>
      </c>
      <c r="D68" s="107"/>
      <c r="E68" s="91" t="n">
        <f aca="false">SUM(D68-C68)</f>
        <v>0</v>
      </c>
      <c r="F68" s="108" t="n">
        <f aca="false">SUM(D68-C68)</f>
        <v>0</v>
      </c>
      <c r="G68" s="41"/>
      <c r="H68" s="93" t="n">
        <f aca="false">SUM(G68*F68)</f>
        <v>0</v>
      </c>
      <c r="I68" s="1"/>
      <c r="J68" s="29"/>
      <c r="K68" s="110"/>
      <c r="L68" s="117"/>
      <c r="M68" s="117"/>
      <c r="N68" s="117"/>
      <c r="O68" s="117"/>
      <c r="P68" s="117"/>
      <c r="Q68" s="117"/>
      <c r="R68" s="117"/>
      <c r="S68" s="117"/>
    </row>
    <row r="69" customFormat="false" ht="15" hidden="true" customHeight="false" outlineLevel="0" collapsed="false">
      <c r="A69" s="89"/>
      <c r="B69" s="90"/>
      <c r="C69" s="97" t="n">
        <f aca="false">SUM(D68)</f>
        <v>0</v>
      </c>
      <c r="D69" s="107"/>
      <c r="E69" s="91" t="n">
        <f aca="false">SUM(D69-C69)</f>
        <v>0</v>
      </c>
      <c r="F69" s="108" t="n">
        <f aca="false">SUM(D69-C69)</f>
        <v>0</v>
      </c>
      <c r="G69" s="41"/>
      <c r="H69" s="93" t="n">
        <f aca="false">SUM(G69*F69)</f>
        <v>0</v>
      </c>
      <c r="I69" s="1"/>
      <c r="J69" s="29"/>
      <c r="K69" s="110"/>
      <c r="L69" s="117"/>
      <c r="M69" s="117"/>
      <c r="N69" s="117"/>
      <c r="O69" s="117"/>
      <c r="P69" s="117"/>
      <c r="Q69" s="117"/>
      <c r="R69" s="117"/>
      <c r="S69" s="117"/>
    </row>
    <row r="70" customFormat="false" ht="15" hidden="true" customHeight="false" outlineLevel="0" collapsed="false">
      <c r="A70" s="89"/>
      <c r="B70" s="90"/>
      <c r="C70" s="97" t="n">
        <f aca="false">SUM(D69)</f>
        <v>0</v>
      </c>
      <c r="D70" s="107"/>
      <c r="E70" s="91" t="n">
        <f aca="false">SUM(D70-C70)</f>
        <v>0</v>
      </c>
      <c r="F70" s="108" t="n">
        <f aca="false">SUM(D70-C70)</f>
        <v>0</v>
      </c>
      <c r="G70" s="41"/>
      <c r="H70" s="93" t="n">
        <f aca="false">SUM(G70*F70)</f>
        <v>0</v>
      </c>
      <c r="I70" s="1"/>
      <c r="J70" s="29"/>
      <c r="K70" s="110"/>
      <c r="L70" s="117"/>
      <c r="M70" s="117"/>
      <c r="N70" s="117"/>
      <c r="O70" s="117"/>
      <c r="P70" s="117"/>
      <c r="Q70" s="117"/>
      <c r="R70" s="117"/>
      <c r="S70" s="117"/>
    </row>
    <row r="71" customFormat="false" ht="15" hidden="true" customHeight="false" outlineLevel="0" collapsed="false">
      <c r="A71" s="89"/>
      <c r="B71" s="90"/>
      <c r="C71" s="97" t="n">
        <f aca="false">SUM(D70)</f>
        <v>0</v>
      </c>
      <c r="D71" s="107"/>
      <c r="E71" s="91" t="n">
        <f aca="false">SUM(D71-C71)</f>
        <v>0</v>
      </c>
      <c r="F71" s="108" t="n">
        <f aca="false">SUM(D71-C71)</f>
        <v>0</v>
      </c>
      <c r="G71" s="41"/>
      <c r="H71" s="93" t="n">
        <f aca="false">SUM(G71*F71)</f>
        <v>0</v>
      </c>
      <c r="I71" s="1"/>
      <c r="J71" s="29"/>
      <c r="K71" s="110"/>
      <c r="L71" s="117"/>
      <c r="M71" s="117"/>
      <c r="N71" s="117"/>
      <c r="O71" s="117"/>
      <c r="P71" s="117"/>
      <c r="Q71" s="117"/>
      <c r="R71" s="117"/>
      <c r="S71" s="117"/>
    </row>
    <row r="72" customFormat="false" ht="15" hidden="true" customHeight="false" outlineLevel="0" collapsed="false">
      <c r="A72" s="89"/>
      <c r="B72" s="90"/>
      <c r="C72" s="97" t="n">
        <f aca="false">SUM(D71)</f>
        <v>0</v>
      </c>
      <c r="D72" s="107"/>
      <c r="E72" s="91" t="n">
        <f aca="false">SUM(D72-C72)</f>
        <v>0</v>
      </c>
      <c r="F72" s="108" t="n">
        <f aca="false">SUM(D72-C72)</f>
        <v>0</v>
      </c>
      <c r="G72" s="41"/>
      <c r="H72" s="93" t="n">
        <f aca="false">SUM(G72*F72)</f>
        <v>0</v>
      </c>
      <c r="I72" s="1"/>
      <c r="J72" s="29"/>
      <c r="K72" s="110"/>
      <c r="L72" s="117"/>
      <c r="M72" s="117"/>
      <c r="N72" s="117"/>
      <c r="O72" s="117"/>
      <c r="P72" s="117"/>
      <c r="Q72" s="117"/>
      <c r="R72" s="117"/>
      <c r="S72" s="117"/>
    </row>
    <row r="73" customFormat="false" ht="15" hidden="true" customHeight="false" outlineLevel="0" collapsed="false">
      <c r="A73" s="89"/>
      <c r="B73" s="90"/>
      <c r="C73" s="97" t="n">
        <f aca="false">SUM(D72)</f>
        <v>0</v>
      </c>
      <c r="D73" s="107"/>
      <c r="E73" s="91" t="n">
        <f aca="false">SUM(D73-C73)</f>
        <v>0</v>
      </c>
      <c r="F73" s="108" t="n">
        <f aca="false">SUM(D73-C73)</f>
        <v>0</v>
      </c>
      <c r="G73" s="41"/>
      <c r="H73" s="93" t="n">
        <f aca="false">SUM(G73*F73)</f>
        <v>0</v>
      </c>
      <c r="I73" s="1"/>
      <c r="J73" s="29"/>
      <c r="K73" s="110"/>
      <c r="L73" s="117"/>
      <c r="M73" s="117"/>
      <c r="N73" s="117"/>
      <c r="O73" s="117"/>
      <c r="P73" s="117"/>
      <c r="Q73" s="117"/>
      <c r="R73" s="117"/>
      <c r="S73" s="117"/>
    </row>
    <row r="74" customFormat="false" ht="15" hidden="true" customHeight="false" outlineLevel="0" collapsed="false">
      <c r="A74" s="89"/>
      <c r="B74" s="90"/>
      <c r="C74" s="97" t="n">
        <f aca="false">SUM(D73)</f>
        <v>0</v>
      </c>
      <c r="D74" s="75"/>
      <c r="E74" s="91" t="n">
        <f aca="false">SUM(D74-C74)</f>
        <v>0</v>
      </c>
      <c r="F74" s="108" t="n">
        <f aca="false">SUM(D74-C74)</f>
        <v>0</v>
      </c>
      <c r="G74" s="41"/>
      <c r="H74" s="93" t="n">
        <f aca="false">SUM(G74*F74)</f>
        <v>0</v>
      </c>
      <c r="I74" s="1"/>
      <c r="J74" s="29"/>
      <c r="K74" s="117"/>
      <c r="L74" s="117"/>
      <c r="M74" s="117"/>
      <c r="N74" s="117"/>
      <c r="O74" s="117"/>
      <c r="P74" s="117"/>
      <c r="Q74" s="117"/>
      <c r="R74" s="117"/>
      <c r="S74" s="117"/>
    </row>
    <row r="75" customFormat="false" ht="15" hidden="true" customHeight="false" outlineLevel="0" collapsed="false">
      <c r="A75" s="89"/>
      <c r="B75" s="90"/>
      <c r="C75" s="97" t="n">
        <f aca="false">SUM(D74)</f>
        <v>0</v>
      </c>
      <c r="D75" s="75"/>
      <c r="E75" s="91" t="n">
        <f aca="false">SUM(D75-C75)</f>
        <v>0</v>
      </c>
      <c r="F75" s="130" t="n">
        <f aca="false">SUM(D75-C75)</f>
        <v>0</v>
      </c>
      <c r="G75" s="41"/>
      <c r="H75" s="131" t="n">
        <f aca="false">SUM(G75*F75)</f>
        <v>0</v>
      </c>
      <c r="I75" s="1"/>
      <c r="J75" s="29"/>
      <c r="K75" s="117"/>
      <c r="L75" s="117"/>
      <c r="M75" s="117"/>
      <c r="N75" s="117"/>
      <c r="O75" s="117"/>
      <c r="P75" s="117"/>
      <c r="Q75" s="117"/>
      <c r="R75" s="117"/>
      <c r="S75" s="117"/>
    </row>
    <row r="76" customFormat="false" ht="15" hidden="false" customHeight="false" outlineLevel="0" collapsed="false">
      <c r="A76" s="89"/>
      <c r="B76" s="90"/>
      <c r="C76" s="97"/>
      <c r="D76" s="75"/>
      <c r="E76" s="109"/>
      <c r="F76" s="132" t="n">
        <f aca="false">SUM(F40:F75)</f>
        <v>264511</v>
      </c>
      <c r="G76" s="133"/>
      <c r="H76" s="134" t="n">
        <f aca="false">SUM(H40:H75)</f>
        <v>218738.2119</v>
      </c>
      <c r="I76" s="135"/>
      <c r="J76" s="29"/>
      <c r="K76" s="120"/>
      <c r="L76" s="117"/>
      <c r="M76" s="117"/>
      <c r="N76" s="117"/>
      <c r="O76" s="117"/>
      <c r="P76" s="117"/>
      <c r="Q76" s="117"/>
      <c r="R76" s="117"/>
      <c r="S76" s="117"/>
    </row>
    <row r="77" customFormat="false" ht="15" hidden="false" customHeight="false" outlineLevel="0" collapsed="false">
      <c r="L77" s="117"/>
      <c r="M77" s="117"/>
      <c r="N77" s="117"/>
      <c r="O77" s="117"/>
      <c r="P77" s="117"/>
      <c r="Q77" s="117"/>
      <c r="R77" s="117"/>
      <c r="S77" s="117"/>
    </row>
    <row r="78" customFormat="false" ht="15" hidden="false" customHeight="false" outlineLevel="0" collapsed="false">
      <c r="F78" s="145" t="n">
        <f aca="false">F76+F38</f>
        <v>537979</v>
      </c>
      <c r="H78" s="134" t="n">
        <f aca="false">H76+H38</f>
        <v>447018.0878</v>
      </c>
      <c r="L78" s="117"/>
      <c r="M78" s="117"/>
      <c r="N78" s="117"/>
      <c r="O78" s="117"/>
      <c r="P78" s="117"/>
      <c r="Q78" s="117"/>
      <c r="R78" s="117"/>
      <c r="S78" s="117"/>
    </row>
    <row r="79" customFormat="false" ht="15" hidden="false" customHeight="false" outlineLevel="0" collapsed="false">
      <c r="E79" s="117"/>
      <c r="L79" s="117"/>
      <c r="M79" s="117"/>
      <c r="N79" s="117"/>
      <c r="O79" s="117"/>
      <c r="P79" s="117"/>
      <c r="Q79" s="117"/>
      <c r="R79" s="117"/>
      <c r="S79" s="117"/>
    </row>
    <row r="80" customFormat="false" ht="15" hidden="false" customHeight="false" outlineLevel="0" collapsed="false">
      <c r="E80" s="117"/>
      <c r="L80" s="117"/>
      <c r="M80" s="117"/>
      <c r="N80" s="117"/>
      <c r="O80" s="117"/>
      <c r="P80" s="117"/>
      <c r="Q80" s="117"/>
      <c r="R80" s="117"/>
      <c r="S80" s="117"/>
    </row>
    <row r="81" customFormat="false" ht="15" hidden="false" customHeight="false" outlineLevel="0" collapsed="false">
      <c r="E81" s="117"/>
      <c r="L81" s="117"/>
      <c r="M81" s="117"/>
      <c r="N81" s="117"/>
      <c r="O81" s="117"/>
      <c r="P81" s="117"/>
      <c r="Q81" s="117"/>
      <c r="R81" s="117"/>
      <c r="S81" s="117"/>
    </row>
    <row r="82" customFormat="false" ht="15" hidden="false" customHeight="false" outlineLevel="0" collapsed="false">
      <c r="E82" s="117"/>
      <c r="L82" s="117"/>
      <c r="M82" s="117"/>
      <c r="N82" s="117"/>
      <c r="O82" s="117"/>
      <c r="P82" s="117"/>
      <c r="Q82" s="117"/>
      <c r="R82" s="117"/>
      <c r="S82" s="117"/>
    </row>
    <row r="83" customFormat="false" ht="15" hidden="false" customHeight="false" outlineLevel="0" collapsed="false">
      <c r="E83" s="117"/>
      <c r="L83" s="117"/>
      <c r="M83" s="117"/>
      <c r="N83" s="117"/>
      <c r="O83" s="117"/>
      <c r="P83" s="117"/>
      <c r="Q83" s="117"/>
      <c r="R83" s="117"/>
      <c r="S83" s="117"/>
    </row>
    <row r="84" customFormat="false" ht="15" hidden="false" customHeight="false" outlineLevel="0" collapsed="false">
      <c r="E84" s="117"/>
      <c r="L84" s="117"/>
      <c r="M84" s="117"/>
      <c r="N84" s="117"/>
      <c r="O84" s="117"/>
      <c r="P84" s="117"/>
      <c r="Q84" s="117"/>
      <c r="R84" s="117"/>
      <c r="S84" s="117"/>
    </row>
    <row r="85" customFormat="false" ht="15" hidden="false" customHeight="false" outlineLevel="0" collapsed="false">
      <c r="E85" s="117"/>
      <c r="L85" s="117"/>
      <c r="M85" s="117"/>
      <c r="N85" s="117"/>
      <c r="O85" s="117"/>
      <c r="P85" s="117"/>
      <c r="Q85" s="117"/>
      <c r="R85" s="117"/>
      <c r="S85" s="117"/>
    </row>
    <row r="86" customFormat="false" ht="15" hidden="false" customHeight="false" outlineLevel="0" collapsed="false">
      <c r="E86" s="117"/>
      <c r="L86" s="117"/>
      <c r="M86" s="117"/>
      <c r="N86" s="117"/>
      <c r="O86" s="117"/>
      <c r="P86" s="117"/>
      <c r="Q86" s="117"/>
      <c r="R86" s="117"/>
      <c r="S86" s="117"/>
    </row>
    <row r="87" customFormat="false" ht="15" hidden="false" customHeight="false" outlineLevel="0" collapsed="false">
      <c r="E87" s="117"/>
      <c r="L87" s="117"/>
      <c r="M87" s="117"/>
      <c r="N87" s="117"/>
      <c r="O87" s="117"/>
      <c r="P87" s="117"/>
      <c r="Q87" s="117"/>
      <c r="R87" s="117"/>
      <c r="S87" s="117"/>
    </row>
    <row r="88" customFormat="false" ht="15" hidden="false" customHeight="false" outlineLevel="0" collapsed="false">
      <c r="E88" s="117"/>
      <c r="L88" s="117"/>
      <c r="M88" s="117"/>
      <c r="N88" s="117"/>
      <c r="O88" s="117"/>
      <c r="P88" s="117"/>
      <c r="Q88" s="117"/>
      <c r="R88" s="117"/>
      <c r="S88" s="117"/>
    </row>
    <row r="89" customFormat="false" ht="15" hidden="false" customHeight="false" outlineLevel="0" collapsed="false">
      <c r="E89" s="117"/>
      <c r="L89" s="117"/>
      <c r="M89" s="117"/>
      <c r="N89" s="117"/>
      <c r="O89" s="117"/>
      <c r="P89" s="117"/>
      <c r="Q89" s="117"/>
      <c r="R89" s="117"/>
      <c r="S89" s="117"/>
    </row>
    <row r="90" customFormat="false" ht="15" hidden="false" customHeight="false" outlineLevel="0" collapsed="false">
      <c r="E90" s="117"/>
      <c r="L90" s="117"/>
      <c r="M90" s="117"/>
      <c r="N90" s="117"/>
      <c r="O90" s="117"/>
      <c r="P90" s="117"/>
      <c r="Q90" s="117"/>
      <c r="R90" s="117"/>
      <c r="S90" s="117"/>
    </row>
    <row r="91" customFormat="false" ht="15" hidden="false" customHeight="false" outlineLevel="0" collapsed="false">
      <c r="E91" s="117"/>
      <c r="L91" s="117"/>
      <c r="M91" s="117"/>
      <c r="N91" s="117"/>
      <c r="O91" s="117"/>
      <c r="P91" s="117"/>
      <c r="Q91" s="117"/>
      <c r="R91" s="117"/>
      <c r="S91" s="117"/>
    </row>
    <row r="92" customFormat="false" ht="15" hidden="false" customHeight="false" outlineLevel="0" collapsed="false">
      <c r="E92" s="117"/>
      <c r="L92" s="117"/>
      <c r="M92" s="117"/>
      <c r="N92" s="117"/>
      <c r="O92" s="117"/>
      <c r="P92" s="117"/>
      <c r="Q92" s="117"/>
      <c r="R92" s="117"/>
      <c r="S92" s="117"/>
    </row>
    <row r="93" customFormat="false" ht="15" hidden="false" customHeight="false" outlineLevel="0" collapsed="false">
      <c r="E93" s="117"/>
      <c r="L93" s="117"/>
      <c r="M93" s="117"/>
      <c r="N93" s="117"/>
      <c r="O93" s="117"/>
      <c r="P93" s="117"/>
      <c r="Q93" s="117"/>
      <c r="R93" s="117"/>
      <c r="S93" s="117"/>
    </row>
    <row r="94" customFormat="false" ht="15" hidden="false" customHeight="false" outlineLevel="0" collapsed="false">
      <c r="E94" s="117"/>
      <c r="L94" s="117"/>
      <c r="M94" s="117"/>
      <c r="N94" s="117"/>
      <c r="O94" s="117"/>
      <c r="P94" s="117"/>
      <c r="Q94" s="117"/>
      <c r="R94" s="117"/>
      <c r="S94" s="117"/>
    </row>
    <row r="95" customFormat="false" ht="15" hidden="false" customHeight="false" outlineLevel="0" collapsed="false">
      <c r="E95" s="117"/>
      <c r="L95" s="117"/>
      <c r="M95" s="117"/>
      <c r="N95" s="117"/>
      <c r="O95" s="117"/>
      <c r="P95" s="117"/>
      <c r="Q95" s="117"/>
      <c r="R95" s="117"/>
      <c r="S95" s="117"/>
    </row>
    <row r="96" customFormat="false" ht="15" hidden="true" customHeight="false" outlineLevel="0" collapsed="false">
      <c r="E96" s="117"/>
      <c r="L96" s="117"/>
      <c r="M96" s="117"/>
      <c r="N96" s="117"/>
      <c r="O96" s="117"/>
      <c r="P96" s="117"/>
      <c r="Q96" s="117"/>
      <c r="R96" s="117"/>
      <c r="S96" s="117"/>
    </row>
    <row r="97" customFormat="false" ht="15" hidden="true" customHeight="false" outlineLevel="0" collapsed="false">
      <c r="E97" s="117"/>
      <c r="L97" s="117"/>
      <c r="M97" s="117"/>
      <c r="N97" s="117"/>
      <c r="O97" s="117"/>
      <c r="P97" s="117"/>
      <c r="Q97" s="117"/>
      <c r="R97" s="117"/>
      <c r="S97" s="117"/>
    </row>
    <row r="98" customFormat="false" ht="15" hidden="true" customHeight="false" outlineLevel="0" collapsed="false">
      <c r="E98" s="117"/>
      <c r="L98" s="117"/>
      <c r="M98" s="117"/>
      <c r="N98" s="117"/>
      <c r="O98" s="117"/>
      <c r="P98" s="117"/>
      <c r="Q98" s="117"/>
      <c r="R98" s="117"/>
      <c r="S98" s="117"/>
    </row>
    <row r="99" customFormat="false" ht="15" hidden="true" customHeight="false" outlineLevel="0" collapsed="false">
      <c r="E99" s="117"/>
      <c r="L99" s="117"/>
      <c r="M99" s="117"/>
      <c r="N99" s="117"/>
      <c r="O99" s="117"/>
      <c r="P99" s="117"/>
      <c r="Q99" s="117"/>
      <c r="R99" s="117"/>
      <c r="S99" s="117"/>
    </row>
    <row r="100" customFormat="false" ht="15" hidden="true" customHeight="false" outlineLevel="0" collapsed="false">
      <c r="E100" s="117"/>
      <c r="L100" s="117"/>
      <c r="M100" s="117"/>
      <c r="N100" s="117"/>
      <c r="O100" s="117"/>
      <c r="P100" s="117"/>
      <c r="Q100" s="117"/>
      <c r="R100" s="117"/>
      <c r="S100" s="117"/>
    </row>
    <row r="101" customFormat="false" ht="15" hidden="false" customHeight="false" outlineLevel="0" collapsed="false">
      <c r="E101" s="117"/>
      <c r="L101" s="117"/>
      <c r="M101" s="117"/>
      <c r="N101" s="117"/>
      <c r="O101" s="117"/>
      <c r="P101" s="117"/>
      <c r="Q101" s="117"/>
      <c r="R101" s="117"/>
      <c r="S101" s="117"/>
    </row>
    <row r="102" customFormat="false" ht="15" hidden="false" customHeight="false" outlineLevel="0" collapsed="false">
      <c r="E102" s="117"/>
      <c r="L102" s="117"/>
      <c r="M102" s="117"/>
      <c r="N102" s="117"/>
      <c r="O102" s="117"/>
      <c r="P102" s="117"/>
      <c r="Q102" s="117"/>
      <c r="R102" s="117"/>
      <c r="S102" s="117"/>
    </row>
    <row r="103" customFormat="false" ht="15" hidden="false" customHeight="false" outlineLevel="0" collapsed="false">
      <c r="E103" s="117"/>
      <c r="L103" s="117"/>
      <c r="M103" s="117"/>
      <c r="N103" s="117"/>
      <c r="O103" s="117"/>
      <c r="P103" s="117"/>
      <c r="Q103" s="117"/>
      <c r="R103" s="117"/>
      <c r="S103" s="117"/>
    </row>
    <row r="104" customFormat="false" ht="15" hidden="false" customHeight="false" outlineLevel="0" collapsed="false">
      <c r="E104" s="117"/>
    </row>
    <row r="105" customFormat="false" ht="15" hidden="false" customHeight="false" outlineLevel="0" collapsed="false">
      <c r="E105" s="117"/>
    </row>
    <row r="106" customFormat="false" ht="15" hidden="false" customHeight="false" outlineLevel="0" collapsed="false">
      <c r="E106" s="117"/>
    </row>
    <row r="107" customFormat="false" ht="15" hidden="false" customHeight="false" outlineLevel="0" collapsed="false">
      <c r="E107" s="117"/>
    </row>
    <row r="108" customFormat="false" ht="15" hidden="false" customHeight="false" outlineLevel="0" collapsed="false">
      <c r="E108" s="117"/>
    </row>
    <row r="109" customFormat="false" ht="15" hidden="false" customHeight="false" outlineLevel="0" collapsed="false">
      <c r="E109" s="117"/>
    </row>
    <row r="110" customFormat="false" ht="15" hidden="false" customHeight="false" outlineLevel="0" collapsed="false">
      <c r="E110" s="117"/>
    </row>
    <row r="111" customFormat="false" ht="15" hidden="false" customHeight="false" outlineLevel="0" collapsed="false">
      <c r="E111" s="117"/>
    </row>
    <row r="112" customFormat="false" ht="15" hidden="false" customHeight="false" outlineLevel="0" collapsed="false">
      <c r="E112" s="117"/>
    </row>
    <row r="113" customFormat="false" ht="15" hidden="false" customHeight="false" outlineLevel="0" collapsed="false">
      <c r="E113" s="117"/>
    </row>
    <row r="114" customFormat="false" ht="15" hidden="false" customHeight="false" outlineLevel="0" collapsed="false">
      <c r="E114" s="117"/>
    </row>
    <row r="115" customFormat="false" ht="15" hidden="false" customHeight="false" outlineLevel="0" collapsed="false">
      <c r="E115" s="117"/>
    </row>
    <row r="116" customFormat="false" ht="15" hidden="false" customHeight="false" outlineLevel="0" collapsed="false">
      <c r="E116" s="117"/>
    </row>
    <row r="117" customFormat="false" ht="15" hidden="false" customHeight="false" outlineLevel="0" collapsed="false">
      <c r="E117" s="117"/>
    </row>
    <row r="118" customFormat="false" ht="15" hidden="false" customHeight="false" outlineLevel="0" collapsed="false">
      <c r="E118" s="117"/>
    </row>
    <row r="119" customFormat="false" ht="15" hidden="false" customHeight="false" outlineLevel="0" collapsed="false">
      <c r="E119" s="117"/>
    </row>
    <row r="120" customFormat="false" ht="15" hidden="false" customHeight="false" outlineLevel="0" collapsed="false">
      <c r="E120" s="117"/>
    </row>
    <row r="121" customFormat="false" ht="15" hidden="false" customHeight="false" outlineLevel="0" collapsed="false">
      <c r="E121" s="117"/>
    </row>
    <row r="122" customFormat="false" ht="15" hidden="false" customHeight="false" outlineLevel="0" collapsed="false">
      <c r="E122" s="117"/>
    </row>
    <row r="123" customFormat="false" ht="15" hidden="false" customHeight="false" outlineLevel="0" collapsed="false">
      <c r="E123" s="117"/>
    </row>
    <row r="124" customFormat="false" ht="15" hidden="false" customHeight="false" outlineLevel="0" collapsed="false">
      <c r="E124" s="117"/>
    </row>
    <row r="125" customFormat="false" ht="15" hidden="false" customHeight="false" outlineLevel="0" collapsed="false">
      <c r="E125" s="117"/>
    </row>
    <row r="126" customFormat="false" ht="15" hidden="false" customHeight="false" outlineLevel="0" collapsed="false">
      <c r="E126" s="117"/>
    </row>
    <row r="127" customFormat="false" ht="15" hidden="false" customHeight="false" outlineLevel="0" collapsed="false">
      <c r="E127" s="117"/>
    </row>
    <row r="128" customFormat="false" ht="15" hidden="false" customHeight="false" outlineLevel="0" collapsed="false">
      <c r="E128" s="117"/>
    </row>
    <row r="129" customFormat="false" ht="15" hidden="false" customHeight="false" outlineLevel="0" collapsed="false">
      <c r="E129" s="117"/>
    </row>
    <row r="130" customFormat="false" ht="15" hidden="false" customHeight="false" outlineLevel="0" collapsed="false">
      <c r="E130" s="117"/>
    </row>
    <row r="131" customFormat="false" ht="15" hidden="false" customHeight="false" outlineLevel="0" collapsed="false">
      <c r="E131" s="117"/>
    </row>
    <row r="132" customFormat="false" ht="15" hidden="false" customHeight="false" outlineLevel="0" collapsed="false">
      <c r="E132" s="117"/>
    </row>
    <row r="133" customFormat="false" ht="15" hidden="false" customHeight="false" outlineLevel="0" collapsed="false">
      <c r="E133" s="117"/>
    </row>
    <row r="134" customFormat="false" ht="15" hidden="false" customHeight="false" outlineLevel="0" collapsed="false">
      <c r="E134" s="117"/>
    </row>
    <row r="135" customFormat="false" ht="15" hidden="false" customHeight="false" outlineLevel="0" collapsed="false">
      <c r="E135" s="117"/>
    </row>
    <row r="136" customFormat="false" ht="15" hidden="false" customHeight="false" outlineLevel="0" collapsed="false">
      <c r="E136" s="117"/>
    </row>
    <row r="137" customFormat="false" ht="15" hidden="false" customHeight="false" outlineLevel="0" collapsed="false">
      <c r="E137" s="117"/>
    </row>
    <row r="138" customFormat="false" ht="15" hidden="false" customHeight="false" outlineLevel="0" collapsed="false">
      <c r="E138" s="117"/>
    </row>
    <row r="139" customFormat="false" ht="15" hidden="false" customHeight="false" outlineLevel="0" collapsed="false">
      <c r="E139" s="117"/>
    </row>
    <row r="140" customFormat="false" ht="15" hidden="false" customHeight="false" outlineLevel="0" collapsed="false">
      <c r="E140" s="117"/>
    </row>
    <row r="141" customFormat="false" ht="15" hidden="false" customHeight="false" outlineLevel="0" collapsed="false">
      <c r="E141" s="117"/>
    </row>
    <row r="142" customFormat="false" ht="15" hidden="false" customHeight="false" outlineLevel="0" collapsed="false">
      <c r="E142" s="117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V119"/>
  <sheetViews>
    <sheetView showFormulas="false" showGridLines="true" showRowColHeaders="true" showZeros="true" rightToLeft="false" tabSelected="false" showOutlineSymbols="true" defaultGridColor="true" view="normal" topLeftCell="A16" colorId="64" zoomScale="60" zoomScaleNormal="60" zoomScalePageLayoutView="100" workbookViewId="0">
      <selection pane="topLeft" activeCell="K50" activeCellId="0" sqref="K50"/>
    </sheetView>
  </sheetViews>
  <sheetFormatPr defaultColWidth="8.8359375" defaultRowHeight="15" zeroHeight="false" outlineLevelRow="0" outlineLevelCol="0"/>
  <cols>
    <col collapsed="false" customWidth="true" hidden="false" outlineLevel="0" max="1" min="1" style="66" width="13.66"/>
    <col collapsed="false" customWidth="true" hidden="false" outlineLevel="0" max="2" min="2" style="67" width="10.33"/>
    <col collapsed="false" customWidth="true" hidden="false" outlineLevel="0" max="4" min="3" style="68" width="18.17"/>
    <col collapsed="false" customWidth="true" hidden="false" outlineLevel="0" max="6" min="5" style="68" width="14"/>
    <col collapsed="false" customWidth="true" hidden="false" outlineLevel="0" max="7" min="7" style="66" width="13.51"/>
    <col collapsed="false" customWidth="true" hidden="false" outlineLevel="0" max="8" min="8" style="69" width="13.83"/>
    <col collapsed="false" customWidth="true" hidden="false" outlineLevel="0" max="10" min="9" style="70" width="14.33"/>
    <col collapsed="false" customWidth="true" hidden="false" outlineLevel="0" max="11" min="11" style="71" width="16.5"/>
    <col collapsed="false" customWidth="true" hidden="false" outlineLevel="0" max="13" min="12" style="70" width="9"/>
    <col collapsed="false" customWidth="true" hidden="false" outlineLevel="0" max="14" min="14" style="70" width="15.17"/>
    <col collapsed="false" customWidth="true" hidden="false" outlineLevel="0" max="15" min="15" style="70" width="14.5"/>
    <col collapsed="false" customWidth="true" hidden="false" outlineLevel="0" max="16" min="16" style="70" width="13.83"/>
    <col collapsed="false" customWidth="true" hidden="false" outlineLevel="0" max="17" min="17" style="70" width="12.66"/>
    <col collapsed="false" customWidth="true" hidden="false" outlineLevel="0" max="18" min="18" style="70" width="12.83"/>
    <col collapsed="false" customWidth="true" hidden="false" outlineLevel="0" max="19" min="19" style="70" width="12.17"/>
  </cols>
  <sheetData>
    <row r="1" customFormat="false" ht="48" hidden="false" customHeight="false" outlineLevel="0" collapsed="false">
      <c r="A1" s="41" t="s">
        <v>25</v>
      </c>
      <c r="B1" s="72" t="s">
        <v>26</v>
      </c>
      <c r="C1" s="73" t="s">
        <v>27</v>
      </c>
      <c r="D1" s="73" t="s">
        <v>28</v>
      </c>
      <c r="E1" s="73" t="s">
        <v>29</v>
      </c>
      <c r="F1" s="73" t="s">
        <v>29</v>
      </c>
      <c r="G1" s="73" t="s">
        <v>30</v>
      </c>
      <c r="H1" s="74" t="s">
        <v>31</v>
      </c>
      <c r="I1" s="75" t="s">
        <v>32</v>
      </c>
      <c r="J1" s="76" t="s">
        <v>3</v>
      </c>
      <c r="L1" s="77" t="s">
        <v>33</v>
      </c>
      <c r="M1" s="78" t="s">
        <v>34</v>
      </c>
      <c r="N1" s="79" t="s">
        <v>27</v>
      </c>
      <c r="O1" s="79" t="s">
        <v>28</v>
      </c>
      <c r="P1" s="79" t="s">
        <v>29</v>
      </c>
      <c r="Q1" s="79" t="s">
        <v>30</v>
      </c>
      <c r="R1" s="80" t="s">
        <v>31</v>
      </c>
      <c r="S1" s="79" t="s">
        <v>35</v>
      </c>
    </row>
    <row r="2" customFormat="false" ht="15" hidden="false" customHeight="false" outlineLevel="0" collapsed="false">
      <c r="A2" s="81"/>
      <c r="B2" s="81" t="s">
        <v>36</v>
      </c>
      <c r="C2" s="82"/>
      <c r="D2" s="82"/>
      <c r="E2" s="82"/>
      <c r="F2" s="82"/>
      <c r="G2" s="83"/>
      <c r="H2" s="84"/>
      <c r="I2" s="85"/>
      <c r="J2" s="86" t="s">
        <v>18</v>
      </c>
      <c r="K2" s="87"/>
      <c r="L2" s="148"/>
      <c r="M2" s="149" t="s">
        <v>37</v>
      </c>
      <c r="N2" s="150"/>
      <c r="O2" s="150"/>
      <c r="P2" s="150"/>
      <c r="Q2" s="151"/>
      <c r="R2" s="152"/>
      <c r="S2" s="153"/>
    </row>
    <row r="3" customFormat="false" ht="15.75" hidden="false" customHeight="false" outlineLevel="0" collapsed="false">
      <c r="A3" s="89" t="n">
        <v>0.402777777777778</v>
      </c>
      <c r="B3" s="154" t="s">
        <v>46</v>
      </c>
      <c r="C3" s="97" t="n">
        <v>48558210</v>
      </c>
      <c r="D3" s="75" t="n">
        <v>48565310</v>
      </c>
      <c r="E3" s="91" t="n">
        <f aca="false">SUM(D3-C3)</f>
        <v>7100</v>
      </c>
      <c r="F3" s="92" t="n">
        <f aca="false">SUM(D3-C3)</f>
        <v>7100</v>
      </c>
      <c r="G3" s="41" t="n">
        <v>0.835</v>
      </c>
      <c r="H3" s="93" t="n">
        <f aca="false">SUM(G3*F3)</f>
        <v>5928.5</v>
      </c>
      <c r="I3" s="155" t="n">
        <v>237</v>
      </c>
      <c r="J3" s="29" t="n">
        <v>6318</v>
      </c>
      <c r="K3" s="94"/>
      <c r="L3" s="156" t="n">
        <v>0.503472222222222</v>
      </c>
      <c r="M3" s="157" t="s">
        <v>46</v>
      </c>
      <c r="N3" s="158" t="n">
        <v>7621050</v>
      </c>
      <c r="O3" s="159" t="n">
        <v>7621290</v>
      </c>
      <c r="P3" s="158" t="n">
        <f aca="false">SUM(O3-N3)</f>
        <v>240</v>
      </c>
      <c r="Q3" s="160" t="n">
        <v>0.835</v>
      </c>
      <c r="R3" s="161" t="n">
        <f aca="false">SUM(Q3*P3)</f>
        <v>200.4</v>
      </c>
      <c r="S3" s="162" t="s">
        <v>53</v>
      </c>
      <c r="V3" s="0" t="s">
        <v>41</v>
      </c>
    </row>
    <row r="4" customFormat="false" ht="15.75" hidden="false" customHeight="false" outlineLevel="0" collapsed="false">
      <c r="A4" s="89" t="n">
        <v>0.427083333333333</v>
      </c>
      <c r="B4" s="138" t="s">
        <v>48</v>
      </c>
      <c r="C4" s="97" t="n">
        <f aca="false">SUM(D3)</f>
        <v>48565310</v>
      </c>
      <c r="D4" s="75" t="n">
        <v>48587730</v>
      </c>
      <c r="E4" s="91" t="n">
        <f aca="false">SUM(D4-C4)</f>
        <v>22420</v>
      </c>
      <c r="F4" s="163" t="n">
        <v>22430</v>
      </c>
      <c r="G4" s="41" t="n">
        <v>0.8319</v>
      </c>
      <c r="H4" s="93" t="n">
        <f aca="false">SUM(G4*F4)</f>
        <v>18659.517</v>
      </c>
      <c r="I4" s="164" t="n">
        <v>388</v>
      </c>
      <c r="J4" s="29" t="n">
        <v>6321</v>
      </c>
      <c r="K4" s="94"/>
      <c r="L4" s="156" t="n">
        <v>0.524305555555556</v>
      </c>
      <c r="M4" s="157" t="s">
        <v>46</v>
      </c>
      <c r="N4" s="158" t="n">
        <f aca="false">SUM(O3)</f>
        <v>7621290</v>
      </c>
      <c r="O4" s="159" t="n">
        <v>7621380</v>
      </c>
      <c r="P4" s="158" t="n">
        <f aca="false">SUM(O4-N4)</f>
        <v>90</v>
      </c>
      <c r="Q4" s="160" t="n">
        <v>0.835</v>
      </c>
      <c r="R4" s="161" t="n">
        <f aca="false">SUM(Q4*P4)</f>
        <v>75.15</v>
      </c>
      <c r="S4" s="162" t="s">
        <v>64</v>
      </c>
    </row>
    <row r="5" customFormat="false" ht="15.75" hidden="false" customHeight="false" outlineLevel="0" collapsed="false">
      <c r="A5" s="89" t="n">
        <v>0.440972222222222</v>
      </c>
      <c r="B5" s="90" t="s">
        <v>48</v>
      </c>
      <c r="C5" s="97" t="n">
        <f aca="false">SUM(D4)</f>
        <v>48587730</v>
      </c>
      <c r="D5" s="75" t="n">
        <v>48595010</v>
      </c>
      <c r="E5" s="91" t="n">
        <f aca="false">SUM(D5-C5)</f>
        <v>7280</v>
      </c>
      <c r="F5" s="92" t="n">
        <f aca="false">SUM(D5-C5)</f>
        <v>7280</v>
      </c>
      <c r="G5" s="41" t="n">
        <v>0.8319</v>
      </c>
      <c r="H5" s="93" t="n">
        <f aca="false">SUM(G5*F5)</f>
        <v>6056.232</v>
      </c>
      <c r="I5" s="164" t="n">
        <v>248</v>
      </c>
      <c r="J5" s="29" t="n">
        <v>6322</v>
      </c>
      <c r="K5" s="94"/>
      <c r="L5" s="156" t="n">
        <v>0.638888888888889</v>
      </c>
      <c r="M5" s="157" t="s">
        <v>38</v>
      </c>
      <c r="N5" s="158" t="n">
        <f aca="false">SUM(O4)</f>
        <v>7621380</v>
      </c>
      <c r="O5" s="159" t="n">
        <v>7621400</v>
      </c>
      <c r="P5" s="158" t="n">
        <f aca="false">SUM(O5-N5)</f>
        <v>20</v>
      </c>
      <c r="Q5" s="160" t="n">
        <v>0.8309</v>
      </c>
      <c r="R5" s="161" t="n">
        <f aca="false">SUM(Q5*P5)</f>
        <v>16.618</v>
      </c>
      <c r="S5" s="162" t="s">
        <v>67</v>
      </c>
    </row>
    <row r="6" customFormat="false" ht="15.75" hidden="false" customHeight="false" outlineLevel="0" collapsed="false">
      <c r="A6" s="89" t="n">
        <v>0.534722222222222</v>
      </c>
      <c r="B6" s="124" t="s">
        <v>38</v>
      </c>
      <c r="C6" s="97" t="n">
        <f aca="false">SUM(D5)</f>
        <v>48595010</v>
      </c>
      <c r="D6" s="75" t="n">
        <v>48612040</v>
      </c>
      <c r="E6" s="91" t="n">
        <f aca="false">SUM(D6-C6)</f>
        <v>17030</v>
      </c>
      <c r="F6" s="165" t="n">
        <v>17019</v>
      </c>
      <c r="G6" s="41" t="n">
        <v>0.8309</v>
      </c>
      <c r="H6" s="93" t="n">
        <f aca="false">SUM(G6*F6)</f>
        <v>14141.0871</v>
      </c>
      <c r="I6" s="166" t="n">
        <v>251</v>
      </c>
      <c r="J6" s="29" t="n">
        <v>6328</v>
      </c>
      <c r="K6" s="94"/>
      <c r="L6" s="156" t="n">
        <v>0.788194444444444</v>
      </c>
      <c r="M6" s="157" t="s">
        <v>38</v>
      </c>
      <c r="N6" s="158" t="n">
        <f aca="false">SUM(O5)</f>
        <v>7621400</v>
      </c>
      <c r="O6" s="159" t="n">
        <v>7621500</v>
      </c>
      <c r="P6" s="158" t="n">
        <f aca="false">SUM(O6-N6)</f>
        <v>100</v>
      </c>
      <c r="Q6" s="167" t="n">
        <v>0.8317</v>
      </c>
      <c r="R6" s="161" t="n">
        <f aca="false">SUM(Q6*P6)</f>
        <v>83.17</v>
      </c>
      <c r="S6" s="162" t="s">
        <v>47</v>
      </c>
    </row>
    <row r="7" customFormat="false" ht="15.75" hidden="false" customHeight="false" outlineLevel="0" collapsed="false">
      <c r="A7" s="89" t="n">
        <v>0.611111111111111</v>
      </c>
      <c r="B7" s="90" t="s">
        <v>38</v>
      </c>
      <c r="C7" s="97" t="n">
        <f aca="false">SUM(D6)</f>
        <v>48612040</v>
      </c>
      <c r="D7" s="75" t="n">
        <v>48634440</v>
      </c>
      <c r="E7" s="109" t="n">
        <f aca="false">SUM(D7-C7)</f>
        <v>22400</v>
      </c>
      <c r="F7" s="163" t="n">
        <v>22430</v>
      </c>
      <c r="G7" s="168" t="n">
        <v>0.8309</v>
      </c>
      <c r="H7" s="93" t="n">
        <f aca="false">SUM(G7*F7)</f>
        <v>18637.087</v>
      </c>
      <c r="I7" s="166" t="n">
        <v>388</v>
      </c>
      <c r="J7" s="29" t="n">
        <v>6331</v>
      </c>
      <c r="K7" s="94"/>
      <c r="L7" s="156" t="n">
        <v>0.0347222222222222</v>
      </c>
      <c r="M7" s="157" t="s">
        <v>38</v>
      </c>
      <c r="N7" s="158" t="n">
        <f aca="false">SUM(O6)</f>
        <v>7621500</v>
      </c>
      <c r="O7" s="159" t="n">
        <v>7621720</v>
      </c>
      <c r="P7" s="158" t="n">
        <f aca="false">SUM(O7-N7)</f>
        <v>220</v>
      </c>
      <c r="Q7" s="167" t="n">
        <v>0.8307</v>
      </c>
      <c r="R7" s="161" t="n">
        <f aca="false">SUM(Q7*P7)</f>
        <v>182.754</v>
      </c>
      <c r="S7" s="162" t="s">
        <v>43</v>
      </c>
    </row>
    <row r="8" customFormat="false" ht="15.75" hidden="false" customHeight="false" outlineLevel="0" collapsed="false">
      <c r="A8" s="89" t="n">
        <v>0.6875</v>
      </c>
      <c r="B8" s="90" t="s">
        <v>38</v>
      </c>
      <c r="C8" s="97" t="n">
        <f aca="false">SUM(D7)</f>
        <v>48634440</v>
      </c>
      <c r="D8" s="75" t="n">
        <v>48656870</v>
      </c>
      <c r="E8" s="91" t="n">
        <f aca="false">SUM(D8-C8)</f>
        <v>22430</v>
      </c>
      <c r="F8" s="169" t="n">
        <v>22430</v>
      </c>
      <c r="G8" s="41" t="n">
        <v>0.8317</v>
      </c>
      <c r="H8" s="93" t="n">
        <f aca="false">SUM(G8*F8)</f>
        <v>18655.031</v>
      </c>
      <c r="I8" s="166" t="n">
        <v>388</v>
      </c>
      <c r="J8" s="29" t="n">
        <v>6333</v>
      </c>
      <c r="K8" s="94"/>
      <c r="L8" s="170"/>
      <c r="M8" s="104"/>
      <c r="N8" s="99" t="n">
        <f aca="false">SUM(O7)</f>
        <v>7621720</v>
      </c>
      <c r="O8" s="171"/>
      <c r="P8" s="99" t="n">
        <f aca="false">SUM(O8-N8)</f>
        <v>-7621720</v>
      </c>
      <c r="Q8" s="105"/>
      <c r="R8" s="101" t="n">
        <f aca="false">SUM(Q8*P8)</f>
        <v>0</v>
      </c>
      <c r="S8" s="102"/>
    </row>
    <row r="9" customFormat="false" ht="15.75" hidden="false" customHeight="false" outlineLevel="0" collapsed="false">
      <c r="A9" s="89" t="n">
        <v>0.75</v>
      </c>
      <c r="B9" s="90" t="s">
        <v>38</v>
      </c>
      <c r="C9" s="97" t="n">
        <f aca="false">SUM(D8)</f>
        <v>48656870</v>
      </c>
      <c r="D9" s="75" t="n">
        <v>48679290</v>
      </c>
      <c r="E9" s="91" t="n">
        <f aca="false">SUM(D9-C9)</f>
        <v>22420</v>
      </c>
      <c r="F9" s="163" t="n">
        <v>22430</v>
      </c>
      <c r="G9" s="41" t="n">
        <v>0.8317</v>
      </c>
      <c r="H9" s="93" t="n">
        <f aca="false">SUM(G9*F9)</f>
        <v>18655.031</v>
      </c>
      <c r="I9" s="166" t="n">
        <v>388</v>
      </c>
      <c r="J9" s="29" t="n">
        <v>6334</v>
      </c>
      <c r="K9" s="94"/>
      <c r="L9" s="95"/>
      <c r="M9" s="96"/>
      <c r="N9" s="99" t="n">
        <f aca="false">SUM(O8)</f>
        <v>0</v>
      </c>
      <c r="O9" s="98"/>
      <c r="P9" s="99" t="n">
        <f aca="false">SUM(O9-N9)</f>
        <v>0</v>
      </c>
      <c r="Q9" s="100"/>
      <c r="R9" s="101" t="n">
        <f aca="false">SUM(Q9*P9)</f>
        <v>0</v>
      </c>
      <c r="S9" s="1"/>
    </row>
    <row r="10" customFormat="false" ht="15.75" hidden="false" customHeight="false" outlineLevel="0" collapsed="false">
      <c r="A10" s="89" t="n">
        <v>0.815972222222222</v>
      </c>
      <c r="B10" s="90" t="s">
        <v>48</v>
      </c>
      <c r="C10" s="97" t="n">
        <f aca="false">SUM(D9)</f>
        <v>48679290</v>
      </c>
      <c r="D10" s="75" t="n">
        <v>48701710</v>
      </c>
      <c r="E10" s="91" t="n">
        <f aca="false">SUM(D10-C10)</f>
        <v>22420</v>
      </c>
      <c r="F10" s="163" t="n">
        <v>22430</v>
      </c>
      <c r="G10" s="172" t="n">
        <v>0.8302</v>
      </c>
      <c r="H10" s="93" t="n">
        <f aca="false">SUM(G10*F10)</f>
        <v>18621.386</v>
      </c>
      <c r="I10" s="164" t="n">
        <v>388</v>
      </c>
      <c r="J10" s="29" t="n">
        <v>6337</v>
      </c>
      <c r="K10" s="94"/>
      <c r="L10" s="95"/>
      <c r="M10" s="96"/>
      <c r="N10" s="99" t="n">
        <f aca="false">SUM(O9)</f>
        <v>0</v>
      </c>
      <c r="O10" s="98"/>
      <c r="P10" s="99" t="n">
        <f aca="false">SUM(O10-N10)</f>
        <v>0</v>
      </c>
      <c r="Q10" s="100"/>
      <c r="R10" s="101" t="n">
        <f aca="false">SUM(Q10*P10)</f>
        <v>0</v>
      </c>
      <c r="S10" s="102"/>
    </row>
    <row r="11" customFormat="false" ht="15.75" hidden="false" customHeight="false" outlineLevel="0" collapsed="false">
      <c r="A11" s="89" t="n">
        <v>0.885416666666667</v>
      </c>
      <c r="B11" s="90" t="s">
        <v>48</v>
      </c>
      <c r="C11" s="97" t="n">
        <f aca="false">SUM(D10)</f>
        <v>48701710</v>
      </c>
      <c r="D11" s="75" t="n">
        <v>48712420</v>
      </c>
      <c r="E11" s="91" t="n">
        <f aca="false">SUM(D11-C11)</f>
        <v>10710</v>
      </c>
      <c r="F11" s="92" t="n">
        <f aca="false">SUM(D11-C11)</f>
        <v>10710</v>
      </c>
      <c r="G11" s="41" t="n">
        <v>0.8302</v>
      </c>
      <c r="H11" s="93" t="n">
        <f aca="false">SUM(G11*F11)</f>
        <v>8891.442</v>
      </c>
      <c r="I11" s="164" t="n">
        <v>237</v>
      </c>
      <c r="J11" s="29" t="n">
        <v>6339</v>
      </c>
      <c r="K11" s="94"/>
      <c r="L11" s="95"/>
      <c r="M11" s="96"/>
      <c r="N11" s="99" t="n">
        <f aca="false">SUM(O10)</f>
        <v>0</v>
      </c>
      <c r="O11" s="98"/>
      <c r="P11" s="99" t="n">
        <f aca="false">SUM(O11-N11)</f>
        <v>0</v>
      </c>
      <c r="Q11" s="100"/>
      <c r="R11" s="101" t="n">
        <f aca="false">SUM(Q11*P11)</f>
        <v>0</v>
      </c>
      <c r="S11" s="1"/>
    </row>
    <row r="12" customFormat="false" ht="15.75" hidden="false" customHeight="false" outlineLevel="0" collapsed="false">
      <c r="A12" s="89" t="n">
        <v>0.944444444444444</v>
      </c>
      <c r="B12" s="90" t="s">
        <v>38</v>
      </c>
      <c r="C12" s="97" t="n">
        <f aca="false">SUM(D11)</f>
        <v>48712420</v>
      </c>
      <c r="D12" s="75" t="n">
        <v>48722410</v>
      </c>
      <c r="E12" s="91" t="n">
        <f aca="false">SUM(D12-C12)</f>
        <v>9990</v>
      </c>
      <c r="F12" s="128" t="n">
        <v>9986</v>
      </c>
      <c r="G12" s="41" t="n">
        <v>0.8307</v>
      </c>
      <c r="H12" s="93" t="n">
        <f aca="false">SUM(G12*F12)</f>
        <v>8295.3702</v>
      </c>
      <c r="I12" s="166" t="n">
        <v>251</v>
      </c>
      <c r="J12" s="29" t="n">
        <v>6342</v>
      </c>
      <c r="K12" s="94"/>
      <c r="L12" s="95"/>
      <c r="M12" s="96"/>
      <c r="N12" s="99" t="n">
        <f aca="false">SUM(O11)</f>
        <v>0</v>
      </c>
      <c r="O12" s="98"/>
      <c r="P12" s="99" t="n">
        <f aca="false">SUM(O12-N12)</f>
        <v>0</v>
      </c>
      <c r="Q12" s="100"/>
      <c r="R12" s="101" t="n">
        <f aca="false">SUM(Q12*P12)</f>
        <v>0</v>
      </c>
      <c r="S12" s="1"/>
    </row>
    <row r="13" customFormat="false" ht="15.75" hidden="false" customHeight="false" outlineLevel="0" collapsed="false">
      <c r="A13" s="89" t="n">
        <v>0.954861111111111</v>
      </c>
      <c r="B13" s="90" t="s">
        <v>48</v>
      </c>
      <c r="C13" s="97" t="n">
        <f aca="false">SUM(D12)</f>
        <v>48722410</v>
      </c>
      <c r="D13" s="75" t="n">
        <v>48744840</v>
      </c>
      <c r="E13" s="91" t="n">
        <f aca="false">SUM(D13-C13)</f>
        <v>22430</v>
      </c>
      <c r="F13" s="163" t="n">
        <v>22430</v>
      </c>
      <c r="G13" s="41" t="n">
        <v>0.8302</v>
      </c>
      <c r="H13" s="93" t="n">
        <f aca="false">SUM(G13*F13)</f>
        <v>18621.386</v>
      </c>
      <c r="I13" s="164" t="n">
        <v>388</v>
      </c>
      <c r="J13" s="29" t="n">
        <v>6344</v>
      </c>
      <c r="K13" s="94"/>
      <c r="L13" s="95"/>
      <c r="M13" s="96"/>
      <c r="N13" s="99" t="n">
        <f aca="false">SUM(O12)</f>
        <v>0</v>
      </c>
      <c r="O13" s="98"/>
      <c r="P13" s="99" t="n">
        <f aca="false">SUM(O13-N13)</f>
        <v>0</v>
      </c>
      <c r="Q13" s="100"/>
      <c r="R13" s="101" t="n">
        <f aca="false">SUM(Q13*P13)</f>
        <v>0</v>
      </c>
      <c r="S13" s="1"/>
    </row>
    <row r="14" customFormat="false" ht="15.75" hidden="false" customHeight="false" outlineLevel="0" collapsed="false">
      <c r="A14" s="89" t="n">
        <v>0.00694444444444444</v>
      </c>
      <c r="B14" s="90" t="s">
        <v>38</v>
      </c>
      <c r="C14" s="97" t="n">
        <f aca="false">SUM(D13)</f>
        <v>48744840</v>
      </c>
      <c r="D14" s="75" t="n">
        <v>48767260</v>
      </c>
      <c r="E14" s="91" t="n">
        <f aca="false">SUM(D14-C14)</f>
        <v>22420</v>
      </c>
      <c r="F14" s="163" t="n">
        <v>22430</v>
      </c>
      <c r="G14" s="41" t="n">
        <v>0.8307</v>
      </c>
      <c r="H14" s="93" t="n">
        <f aca="false">SUM(G14*F14)</f>
        <v>18632.601</v>
      </c>
      <c r="I14" s="166" t="n">
        <v>388</v>
      </c>
      <c r="J14" s="29" t="n">
        <v>6346</v>
      </c>
      <c r="K14" s="94"/>
      <c r="L14" s="95"/>
      <c r="M14" s="96"/>
      <c r="N14" s="99" t="n">
        <f aca="false">SUM(O13)</f>
        <v>0</v>
      </c>
      <c r="O14" s="98"/>
      <c r="P14" s="99" t="n">
        <f aca="false">SUM(O14-N14)</f>
        <v>0</v>
      </c>
      <c r="Q14" s="100"/>
      <c r="R14" s="101" t="n">
        <f aca="false">SUM(Q14*P14)</f>
        <v>0</v>
      </c>
      <c r="S14" s="1"/>
    </row>
    <row r="15" customFormat="false" ht="15.75" hidden="false" customHeight="false" outlineLevel="0" collapsed="false">
      <c r="A15" s="89" t="n">
        <v>0.125</v>
      </c>
      <c r="B15" s="121" t="s">
        <v>39</v>
      </c>
      <c r="C15" s="97" t="n">
        <f aca="false">SUM(D14)</f>
        <v>48767260</v>
      </c>
      <c r="D15" s="75" t="n">
        <v>48784290</v>
      </c>
      <c r="E15" s="91" t="n">
        <f aca="false">SUM(D15-C15)</f>
        <v>17030</v>
      </c>
      <c r="F15" s="128" t="n">
        <v>17019</v>
      </c>
      <c r="G15" s="41" t="n">
        <v>0.8348</v>
      </c>
      <c r="H15" s="93" t="n">
        <f aca="false">SUM(G15*F15)</f>
        <v>14207.4612</v>
      </c>
      <c r="I15" s="173" t="n">
        <v>251</v>
      </c>
      <c r="J15" s="29" t="n">
        <v>6350</v>
      </c>
      <c r="K15" s="94"/>
      <c r="L15" s="95"/>
      <c r="M15" s="96"/>
      <c r="N15" s="99" t="n">
        <f aca="false">SUM(O14)</f>
        <v>0</v>
      </c>
      <c r="O15" s="98"/>
      <c r="P15" s="99" t="n">
        <f aca="false">SUM(O15-N15)</f>
        <v>0</v>
      </c>
      <c r="Q15" s="100"/>
      <c r="R15" s="101" t="n">
        <f aca="false">SUM(Q15*P15)</f>
        <v>0</v>
      </c>
      <c r="S15" s="1"/>
    </row>
    <row r="16" customFormat="false" ht="15.75" hidden="false" customHeight="false" outlineLevel="0" collapsed="false">
      <c r="A16" s="89" t="n">
        <v>0.142361111111111</v>
      </c>
      <c r="B16" s="90" t="s">
        <v>39</v>
      </c>
      <c r="C16" s="97" t="n">
        <f aca="false">SUM(D15)</f>
        <v>48784290</v>
      </c>
      <c r="D16" s="75" t="n">
        <v>48806720</v>
      </c>
      <c r="E16" s="91" t="n">
        <f aca="false">SUM(D16-C16)</f>
        <v>22430</v>
      </c>
      <c r="F16" s="163" t="n">
        <v>22430</v>
      </c>
      <c r="G16" s="41" t="n">
        <v>0.8348</v>
      </c>
      <c r="H16" s="93" t="n">
        <f aca="false">SUM(G16*F16)</f>
        <v>18724.564</v>
      </c>
      <c r="I16" s="173" t="n">
        <v>388</v>
      </c>
      <c r="J16" s="29" t="n">
        <v>6351</v>
      </c>
      <c r="K16" s="94"/>
      <c r="L16" s="95"/>
      <c r="M16" s="104"/>
      <c r="N16" s="99" t="n">
        <f aca="false">SUM(O15)</f>
        <v>0</v>
      </c>
      <c r="O16" s="98"/>
      <c r="P16" s="99" t="n">
        <f aca="false">SUM(O16-N16)</f>
        <v>0</v>
      </c>
      <c r="Q16" s="41"/>
      <c r="R16" s="101" t="n">
        <f aca="false">SUM(Q16*P16)</f>
        <v>0</v>
      </c>
      <c r="S16" s="102"/>
    </row>
    <row r="17" customFormat="false" ht="15.75" hidden="false" customHeight="false" outlineLevel="0" collapsed="false">
      <c r="A17" s="89" t="n">
        <v>0.197916666666667</v>
      </c>
      <c r="B17" s="90" t="s">
        <v>39</v>
      </c>
      <c r="C17" s="97" t="n">
        <f aca="false">SUM(D16)</f>
        <v>48806720</v>
      </c>
      <c r="D17" s="75" t="n">
        <v>48829130</v>
      </c>
      <c r="E17" s="91" t="n">
        <f aca="false">SUM(D17-C17)</f>
        <v>22410</v>
      </c>
      <c r="F17" s="163" t="n">
        <v>22430</v>
      </c>
      <c r="G17" s="41" t="n">
        <v>0.8348</v>
      </c>
      <c r="H17" s="93" t="n">
        <f aca="false">SUM(G17*F17)</f>
        <v>18724.564</v>
      </c>
      <c r="I17" s="173" t="n">
        <v>388</v>
      </c>
      <c r="J17" s="29" t="n">
        <v>6353</v>
      </c>
      <c r="K17" s="94"/>
      <c r="L17" s="88"/>
      <c r="M17" s="88" t="s">
        <v>49</v>
      </c>
      <c r="N17" s="82"/>
      <c r="O17" s="82"/>
      <c r="P17" s="82"/>
      <c r="Q17" s="83"/>
      <c r="R17" s="84"/>
      <c r="S17" s="85"/>
    </row>
    <row r="18" customFormat="false" ht="15.75" hidden="false" customHeight="false" outlineLevel="0" collapsed="false">
      <c r="A18" s="89" t="n">
        <v>0.225694444444444</v>
      </c>
      <c r="B18" s="90" t="s">
        <v>46</v>
      </c>
      <c r="C18" s="97" t="n">
        <f aca="false">SUM(D17)</f>
        <v>48829130</v>
      </c>
      <c r="D18" s="75" t="n">
        <v>48846170</v>
      </c>
      <c r="E18" s="91" t="n">
        <f aca="false">SUM(D18-C18)</f>
        <v>17040</v>
      </c>
      <c r="F18" s="128" t="n">
        <v>17019</v>
      </c>
      <c r="G18" s="41" t="n">
        <v>0.8335</v>
      </c>
      <c r="H18" s="93" t="n">
        <f aca="false">SUM(G18*F18)</f>
        <v>14185.3365</v>
      </c>
      <c r="I18" s="155" t="n">
        <v>251</v>
      </c>
      <c r="J18" s="29" t="n">
        <v>6354</v>
      </c>
      <c r="K18" s="94"/>
      <c r="L18" s="95"/>
      <c r="M18" s="104"/>
      <c r="N18" s="129"/>
      <c r="O18" s="98"/>
      <c r="P18" s="108" t="n">
        <f aca="false">SUM(O18-N18)</f>
        <v>0</v>
      </c>
      <c r="Q18" s="41"/>
      <c r="R18" s="93" t="n">
        <f aca="false">SUM(Q18*P18)</f>
        <v>0</v>
      </c>
      <c r="S18" s="102"/>
      <c r="T18" s="0" t="s">
        <v>41</v>
      </c>
    </row>
    <row r="19" customFormat="false" ht="15.75" hidden="false" customHeight="false" outlineLevel="0" collapsed="false">
      <c r="A19" s="89" t="n">
        <v>0.284722222222222</v>
      </c>
      <c r="B19" s="90" t="s">
        <v>46</v>
      </c>
      <c r="C19" s="97" t="n">
        <f aca="false">SUM(D18)</f>
        <v>48846170</v>
      </c>
      <c r="D19" s="75" t="n">
        <v>48868590</v>
      </c>
      <c r="E19" s="91" t="n">
        <f aca="false">SUM(D19-C19)</f>
        <v>22420</v>
      </c>
      <c r="F19" s="163" t="n">
        <v>22430</v>
      </c>
      <c r="G19" s="41" t="n">
        <v>0.8335</v>
      </c>
      <c r="H19" s="93" t="n">
        <f aca="false">SUM(G19*F19)</f>
        <v>18695.405</v>
      </c>
      <c r="I19" s="155" t="n">
        <v>388</v>
      </c>
      <c r="J19" s="29" t="n">
        <v>6356</v>
      </c>
      <c r="K19" s="94"/>
      <c r="L19" s="95"/>
      <c r="M19" s="104"/>
      <c r="N19" s="97" t="n">
        <f aca="false">SUM(O18)</f>
        <v>0</v>
      </c>
      <c r="O19" s="98"/>
      <c r="P19" s="108" t="n">
        <f aca="false">SUM(O19-N19)</f>
        <v>0</v>
      </c>
      <c r="Q19" s="41"/>
      <c r="R19" s="93" t="n">
        <f aca="false">SUM(Q19*P19)</f>
        <v>0</v>
      </c>
      <c r="S19" s="102"/>
    </row>
    <row r="20" customFormat="false" ht="15" hidden="false" customHeight="false" outlineLevel="0" collapsed="false">
      <c r="A20" s="89"/>
      <c r="B20" s="90"/>
      <c r="C20" s="97" t="n">
        <v>0</v>
      </c>
      <c r="D20" s="75"/>
      <c r="E20" s="91" t="n">
        <f aca="false">SUM(D20-C20)</f>
        <v>0</v>
      </c>
      <c r="F20" s="92" t="n">
        <f aca="false">SUM(D20-C20)</f>
        <v>0</v>
      </c>
      <c r="G20" s="41"/>
      <c r="H20" s="93" t="n">
        <f aca="false">SUM(G20*F20)</f>
        <v>0</v>
      </c>
      <c r="I20" s="1"/>
      <c r="J20" s="29"/>
      <c r="K20" s="94"/>
      <c r="L20" s="95"/>
      <c r="M20" s="104"/>
      <c r="N20" s="97" t="n">
        <f aca="false">SUM(O19)</f>
        <v>0</v>
      </c>
      <c r="O20" s="98"/>
      <c r="P20" s="108" t="n">
        <f aca="false">SUM(O20-N20)</f>
        <v>0</v>
      </c>
      <c r="Q20" s="41"/>
      <c r="R20" s="93" t="n">
        <f aca="false">SUM(Q20*P20)</f>
        <v>0</v>
      </c>
      <c r="S20" s="102"/>
    </row>
    <row r="21" customFormat="false" ht="15" hidden="false" customHeight="false" outlineLevel="0" collapsed="false">
      <c r="A21" s="89"/>
      <c r="B21" s="90"/>
      <c r="C21" s="97" t="n">
        <f aca="false">SUM(D20)</f>
        <v>0</v>
      </c>
      <c r="D21" s="75"/>
      <c r="E21" s="91" t="n">
        <f aca="false">SUM(D21-C21)</f>
        <v>0</v>
      </c>
      <c r="F21" s="92" t="n">
        <f aca="false">SUM(D21-C21)</f>
        <v>0</v>
      </c>
      <c r="G21" s="41"/>
      <c r="H21" s="93" t="n">
        <f aca="false">SUM(G21*F21)</f>
        <v>0</v>
      </c>
      <c r="I21" s="1"/>
      <c r="J21" s="29"/>
      <c r="K21" s="94"/>
      <c r="L21" s="95"/>
      <c r="M21" s="104"/>
      <c r="N21" s="97" t="n">
        <f aca="false">SUM(O20)</f>
        <v>0</v>
      </c>
      <c r="O21" s="98"/>
      <c r="P21" s="108" t="n">
        <f aca="false">SUM(O21-N21)</f>
        <v>0</v>
      </c>
      <c r="Q21" s="41"/>
      <c r="R21" s="93" t="n">
        <f aca="false">SUM(Q21*P21)</f>
        <v>0</v>
      </c>
      <c r="S21" s="102"/>
    </row>
    <row r="22" customFormat="false" ht="15" hidden="false" customHeight="false" outlineLevel="0" collapsed="false">
      <c r="A22" s="89"/>
      <c r="B22" s="90"/>
      <c r="C22" s="97" t="n">
        <f aca="false">SUM(D21)</f>
        <v>0</v>
      </c>
      <c r="D22" s="75"/>
      <c r="E22" s="91" t="n">
        <f aca="false">SUM(D22-C22)</f>
        <v>0</v>
      </c>
      <c r="F22" s="108" t="n">
        <f aca="false">SUM(D22-C22)</f>
        <v>0</v>
      </c>
      <c r="G22" s="41"/>
      <c r="H22" s="93" t="n">
        <f aca="false">SUM(G22*F22)</f>
        <v>0</v>
      </c>
      <c r="I22" s="1"/>
      <c r="J22" s="29"/>
      <c r="K22" s="94"/>
      <c r="L22" s="95"/>
      <c r="M22" s="104"/>
      <c r="N22" s="97" t="n">
        <f aca="false">SUM(O21)</f>
        <v>0</v>
      </c>
      <c r="O22" s="98"/>
      <c r="P22" s="108" t="n">
        <f aca="false">SUM(O22-N22)</f>
        <v>0</v>
      </c>
      <c r="Q22" s="41"/>
      <c r="R22" s="93" t="n">
        <f aca="false">SUM(Q22*P22)</f>
        <v>0</v>
      </c>
      <c r="S22" s="102"/>
    </row>
    <row r="23" customFormat="false" ht="15" hidden="false" customHeight="false" outlineLevel="0" collapsed="false">
      <c r="A23" s="89"/>
      <c r="B23" s="90"/>
      <c r="C23" s="97" t="n">
        <f aca="false">SUM(D22)</f>
        <v>0</v>
      </c>
      <c r="D23" s="75"/>
      <c r="E23" s="91" t="n">
        <f aca="false">SUM(D23-C23)</f>
        <v>0</v>
      </c>
      <c r="F23" s="130" t="n">
        <f aca="false">SUM(D23-C23)</f>
        <v>0</v>
      </c>
      <c r="G23" s="41"/>
      <c r="H23" s="131" t="n">
        <f aca="false">SUM(G23*F23)</f>
        <v>0</v>
      </c>
      <c r="I23" s="1"/>
      <c r="J23" s="29"/>
      <c r="K23" s="94"/>
      <c r="L23" s="95"/>
      <c r="M23" s="104"/>
      <c r="N23" s="97" t="n">
        <f aca="false">SUM(O22)</f>
        <v>0</v>
      </c>
      <c r="O23" s="98"/>
      <c r="P23" s="108" t="n">
        <f aca="false">SUM(O23-N23)</f>
        <v>0</v>
      </c>
      <c r="Q23" s="41"/>
      <c r="R23" s="93" t="n">
        <f aca="false">SUM(Q23*P23)</f>
        <v>0</v>
      </c>
      <c r="S23" s="102"/>
    </row>
    <row r="24" customFormat="false" ht="15" hidden="false" customHeight="false" outlineLevel="0" collapsed="false">
      <c r="A24" s="89"/>
      <c r="B24" s="90"/>
      <c r="C24" s="97" t="n">
        <f aca="false">SUM(D23)</f>
        <v>0</v>
      </c>
      <c r="D24" s="75"/>
      <c r="E24" s="109" t="n">
        <f aca="false">SUM(D24-C24)</f>
        <v>0</v>
      </c>
      <c r="F24" s="174" t="n">
        <v>310433</v>
      </c>
      <c r="G24" s="133"/>
      <c r="H24" s="175" t="n">
        <v>258332</v>
      </c>
      <c r="I24" s="135"/>
      <c r="J24" s="29"/>
      <c r="K24" s="94"/>
      <c r="L24" s="95"/>
      <c r="M24" s="104"/>
      <c r="N24" s="97" t="n">
        <f aca="false">SUM(O23)</f>
        <v>0</v>
      </c>
      <c r="O24" s="98"/>
      <c r="P24" s="108" t="n">
        <f aca="false">SUM(O24-N24)</f>
        <v>0</v>
      </c>
      <c r="Q24" s="41"/>
      <c r="R24" s="93" t="n">
        <f aca="false">SUM(Q24*P24)</f>
        <v>0</v>
      </c>
      <c r="S24" s="102"/>
    </row>
    <row r="25" customFormat="false" ht="15" hidden="false" customHeight="false" outlineLevel="0" collapsed="false">
      <c r="A25" s="88"/>
      <c r="B25" s="81" t="s">
        <v>49</v>
      </c>
      <c r="C25" s="82"/>
      <c r="D25" s="82"/>
      <c r="E25" s="82"/>
      <c r="F25" s="136"/>
      <c r="G25" s="83"/>
      <c r="H25" s="137"/>
      <c r="I25" s="85"/>
      <c r="J25" s="85"/>
      <c r="L25" s="117"/>
      <c r="M25" s="117"/>
      <c r="N25" s="117"/>
      <c r="O25" s="117"/>
      <c r="P25" s="117"/>
      <c r="Q25" s="117"/>
      <c r="R25" s="117"/>
      <c r="S25" s="117"/>
    </row>
    <row r="26" customFormat="false" ht="15.75" hidden="false" customHeight="false" outlineLevel="0" collapsed="false">
      <c r="A26" s="89" t="n">
        <v>0.40625</v>
      </c>
      <c r="B26" s="143" t="s">
        <v>72</v>
      </c>
      <c r="C26" s="97" t="n">
        <v>4214840</v>
      </c>
      <c r="D26" s="107" t="n">
        <v>4231890</v>
      </c>
      <c r="E26" s="91" t="n">
        <f aca="false">SUM(D26-C26)</f>
        <v>17050</v>
      </c>
      <c r="F26" s="128" t="n">
        <v>17019</v>
      </c>
      <c r="G26" s="41" t="n">
        <v>0.8257</v>
      </c>
      <c r="H26" s="93" t="n">
        <f aca="false">SUM(G26*F26)</f>
        <v>14052.5883</v>
      </c>
      <c r="I26" s="176" t="n">
        <v>251</v>
      </c>
      <c r="J26" s="1" t="n">
        <v>6319</v>
      </c>
      <c r="K26" s="118" t="s">
        <v>60</v>
      </c>
      <c r="L26" s="117"/>
      <c r="M26" s="117"/>
      <c r="N26" s="117"/>
      <c r="O26" s="117"/>
      <c r="P26" s="117"/>
      <c r="Q26" s="117"/>
      <c r="R26" s="117"/>
      <c r="S26" s="117"/>
    </row>
    <row r="27" customFormat="false" ht="14.25" hidden="false" customHeight="true" outlineLevel="0" collapsed="false">
      <c r="A27" s="89" t="n">
        <v>0.420138888888889</v>
      </c>
      <c r="B27" s="90" t="s">
        <v>72</v>
      </c>
      <c r="C27" s="97" t="n">
        <f aca="false">SUM(D26)</f>
        <v>4231890</v>
      </c>
      <c r="D27" s="107" t="n">
        <v>4242620</v>
      </c>
      <c r="E27" s="91" t="n">
        <f aca="false">SUM(D27-C27)</f>
        <v>10730</v>
      </c>
      <c r="F27" s="108" t="n">
        <f aca="false">SUM(D27-C27)</f>
        <v>10730</v>
      </c>
      <c r="G27" s="41" t="n">
        <v>0.8257</v>
      </c>
      <c r="H27" s="93" t="n">
        <f aca="false">SUM(G27*F27)</f>
        <v>8859.761</v>
      </c>
      <c r="I27" s="176" t="n">
        <v>382</v>
      </c>
      <c r="J27" s="1" t="n">
        <v>6320</v>
      </c>
      <c r="K27" s="118" t="s">
        <v>60</v>
      </c>
      <c r="L27" s="117"/>
      <c r="M27" s="117"/>
      <c r="N27" s="117"/>
      <c r="O27" s="117"/>
      <c r="P27" s="117"/>
      <c r="Q27" s="117"/>
      <c r="R27" s="117"/>
      <c r="S27" s="117"/>
    </row>
    <row r="28" customFormat="false" ht="15" hidden="false" customHeight="true" outlineLevel="0" collapsed="false">
      <c r="A28" s="89" t="n">
        <v>0.440972222222222</v>
      </c>
      <c r="B28" s="177" t="s">
        <v>61</v>
      </c>
      <c r="C28" s="97" t="n">
        <f aca="false">SUM(D27)</f>
        <v>4242620</v>
      </c>
      <c r="D28" s="107" t="n">
        <v>4254050</v>
      </c>
      <c r="E28" s="91" t="n">
        <f aca="false">SUM(D28-C28)</f>
        <v>11430</v>
      </c>
      <c r="F28" s="108" t="n">
        <f aca="false">SUM(D28-C28)</f>
        <v>11430</v>
      </c>
      <c r="G28" s="41" t="n">
        <v>0.8259</v>
      </c>
      <c r="H28" s="93" t="n">
        <f aca="false">SUM(G28*F28)</f>
        <v>9440.037</v>
      </c>
      <c r="I28" s="178" t="n">
        <v>81</v>
      </c>
      <c r="J28" s="1" t="n">
        <v>6323</v>
      </c>
      <c r="K28" s="140" t="s">
        <v>70</v>
      </c>
      <c r="L28" s="117"/>
      <c r="M28" s="117"/>
      <c r="N28" s="117"/>
      <c r="O28" s="117"/>
      <c r="P28" s="117"/>
      <c r="Q28" s="117"/>
      <c r="R28" s="117"/>
      <c r="S28" s="117"/>
    </row>
    <row r="29" customFormat="false" ht="15.75" hidden="false" customHeight="false" outlineLevel="0" collapsed="false">
      <c r="A29" s="89" t="n">
        <v>0.451388888888889</v>
      </c>
      <c r="B29" s="179" t="s">
        <v>57</v>
      </c>
      <c r="C29" s="97" t="n">
        <f aca="false">SUM(D28)</f>
        <v>4254050</v>
      </c>
      <c r="D29" s="107" t="n">
        <v>4260330</v>
      </c>
      <c r="E29" s="91" t="n">
        <f aca="false">SUM(D29-C29)</f>
        <v>6280</v>
      </c>
      <c r="F29" s="108" t="n">
        <f aca="false">SUM(D29-C29)</f>
        <v>6280</v>
      </c>
      <c r="G29" s="41" t="n">
        <v>0.8281</v>
      </c>
      <c r="H29" s="93" t="n">
        <f aca="false">SUM(G29*F29)</f>
        <v>5200.468</v>
      </c>
      <c r="I29" s="180" t="n">
        <v>119</v>
      </c>
      <c r="J29" s="181" t="n">
        <v>6324</v>
      </c>
      <c r="K29" s="119" t="s">
        <v>84</v>
      </c>
      <c r="L29" s="117"/>
      <c r="M29" s="117"/>
      <c r="N29" s="117"/>
      <c r="O29" s="117"/>
      <c r="P29" s="117"/>
      <c r="Q29" s="117"/>
      <c r="R29" s="117"/>
      <c r="S29" s="117"/>
    </row>
    <row r="30" customFormat="false" ht="15.75" hidden="false" customHeight="false" outlineLevel="0" collapsed="false">
      <c r="A30" s="89" t="n">
        <v>0.458333333333333</v>
      </c>
      <c r="B30" s="90" t="s">
        <v>61</v>
      </c>
      <c r="C30" s="97" t="n">
        <f aca="false">SUM(D29)</f>
        <v>4260330</v>
      </c>
      <c r="D30" s="107" t="n">
        <v>4277390</v>
      </c>
      <c r="E30" s="91" t="n">
        <f aca="false">SUM(D30-C30)</f>
        <v>17060</v>
      </c>
      <c r="F30" s="128" t="n">
        <v>17019</v>
      </c>
      <c r="G30" s="41" t="n">
        <v>0.8259</v>
      </c>
      <c r="H30" s="93" t="n">
        <f aca="false">SUM(G30*F30)</f>
        <v>14055.9921</v>
      </c>
      <c r="I30" s="178" t="n">
        <v>251</v>
      </c>
      <c r="J30" s="1" t="n">
        <v>6325</v>
      </c>
      <c r="K30" s="140" t="s">
        <v>70</v>
      </c>
      <c r="L30" s="117"/>
      <c r="M30" s="117"/>
      <c r="N30" s="117"/>
      <c r="O30" s="117"/>
      <c r="P30" s="117"/>
      <c r="Q30" s="117"/>
      <c r="R30" s="117"/>
      <c r="S30" s="117"/>
    </row>
    <row r="31" customFormat="false" ht="15.75" hidden="false" customHeight="false" outlineLevel="0" collapsed="false">
      <c r="A31" s="89" t="n">
        <v>0.472222222222222</v>
      </c>
      <c r="B31" s="90" t="s">
        <v>61</v>
      </c>
      <c r="C31" s="97" t="n">
        <f aca="false">SUM(D30)</f>
        <v>4277390</v>
      </c>
      <c r="D31" s="107" t="n">
        <v>4283440</v>
      </c>
      <c r="E31" s="91" t="n">
        <f aca="false">SUM(D31-C31)</f>
        <v>6050</v>
      </c>
      <c r="F31" s="108" t="n">
        <f aca="false">SUM(D31-C31)</f>
        <v>6050</v>
      </c>
      <c r="G31" s="41" t="n">
        <v>0.8259</v>
      </c>
      <c r="H31" s="93" t="n">
        <f aca="false">SUM(G31*F31)</f>
        <v>4996.695</v>
      </c>
      <c r="I31" s="178" t="n">
        <v>57</v>
      </c>
      <c r="J31" s="1" t="n">
        <v>6326</v>
      </c>
      <c r="K31" s="140" t="s">
        <v>70</v>
      </c>
      <c r="L31" s="117"/>
      <c r="M31" s="117"/>
      <c r="N31" s="117"/>
      <c r="O31" s="117"/>
      <c r="P31" s="117"/>
      <c r="Q31" s="117"/>
      <c r="R31" s="117"/>
      <c r="S31" s="117"/>
    </row>
    <row r="32" customFormat="false" ht="15.75" hidden="false" customHeight="false" outlineLevel="0" collapsed="false">
      <c r="A32" s="89" t="n">
        <v>0.5</v>
      </c>
      <c r="B32" s="182" t="s">
        <v>90</v>
      </c>
      <c r="C32" s="97" t="n">
        <f aca="false">SUM(D31)</f>
        <v>4283440</v>
      </c>
      <c r="D32" s="107" t="n">
        <v>4293430</v>
      </c>
      <c r="E32" s="91" t="n">
        <f aca="false">SUM(D32-C32)</f>
        <v>9990</v>
      </c>
      <c r="F32" s="128" t="n">
        <v>9986</v>
      </c>
      <c r="G32" s="41" t="n">
        <v>0.8248</v>
      </c>
      <c r="H32" s="93" t="n">
        <f aca="false">SUM(G32*F32)</f>
        <v>8236.4528</v>
      </c>
      <c r="I32" s="183" t="n">
        <v>251</v>
      </c>
      <c r="J32" s="1" t="n">
        <v>6327</v>
      </c>
      <c r="K32" s="118" t="s">
        <v>60</v>
      </c>
      <c r="L32" s="117"/>
      <c r="M32" s="117"/>
      <c r="N32" s="94"/>
      <c r="O32" s="117"/>
      <c r="P32" s="117"/>
      <c r="Q32" s="117"/>
      <c r="R32" s="117"/>
      <c r="S32" s="117"/>
    </row>
    <row r="33" customFormat="false" ht="15.75" hidden="false" customHeight="false" outlineLevel="0" collapsed="false">
      <c r="A33" s="89" t="n">
        <v>0.597222222222222</v>
      </c>
      <c r="B33" s="90" t="s">
        <v>90</v>
      </c>
      <c r="C33" s="97" t="n">
        <f aca="false">SUM(D32)</f>
        <v>4293430</v>
      </c>
      <c r="D33" s="107" t="n">
        <v>4305080</v>
      </c>
      <c r="E33" s="91" t="n">
        <f aca="false">SUM(D33-C33)</f>
        <v>11650</v>
      </c>
      <c r="F33" s="108" t="n">
        <f aca="false">SUM(D33-C33)</f>
        <v>11650</v>
      </c>
      <c r="G33" s="41" t="n">
        <v>0.8248</v>
      </c>
      <c r="H33" s="93" t="n">
        <f aca="false">SUM(G33*F33)</f>
        <v>9608.92</v>
      </c>
      <c r="I33" s="183" t="n">
        <v>81</v>
      </c>
      <c r="J33" s="29" t="n">
        <v>6329</v>
      </c>
      <c r="K33" s="118" t="s">
        <v>60</v>
      </c>
      <c r="L33" s="117"/>
      <c r="M33" s="117"/>
      <c r="N33" s="94"/>
      <c r="O33" s="117"/>
      <c r="P33" s="117"/>
      <c r="Q33" s="117"/>
      <c r="R33" s="117"/>
      <c r="S33" s="117"/>
    </row>
    <row r="34" customFormat="false" ht="15.75" hidden="false" customHeight="false" outlineLevel="0" collapsed="false">
      <c r="A34" s="89" t="n">
        <v>0.604166666666667</v>
      </c>
      <c r="B34" s="90" t="s">
        <v>90</v>
      </c>
      <c r="C34" s="97" t="n">
        <f aca="false">SUM(D33)</f>
        <v>4305080</v>
      </c>
      <c r="D34" s="107" t="n">
        <v>4310810</v>
      </c>
      <c r="E34" s="91" t="n">
        <f aca="false">SUM(D34-C34)</f>
        <v>5730</v>
      </c>
      <c r="F34" s="108" t="n">
        <f aca="false">SUM(D34-C34)</f>
        <v>5730</v>
      </c>
      <c r="G34" s="41" t="n">
        <v>0.8248</v>
      </c>
      <c r="H34" s="93" t="n">
        <f aca="false">SUM(G34*F34)</f>
        <v>4726.104</v>
      </c>
      <c r="I34" s="183" t="n">
        <v>57</v>
      </c>
      <c r="J34" s="29" t="n">
        <v>6330</v>
      </c>
      <c r="K34" s="118" t="s">
        <v>60</v>
      </c>
      <c r="L34" s="117"/>
      <c r="M34" s="117"/>
      <c r="N34" s="94"/>
      <c r="O34" s="117"/>
      <c r="P34" s="117"/>
      <c r="Q34" s="117"/>
      <c r="R34" s="117"/>
      <c r="S34" s="117"/>
    </row>
    <row r="35" customFormat="false" ht="15" hidden="false" customHeight="true" outlineLevel="0" collapsed="false">
      <c r="A35" s="89" t="n">
        <v>0.663194444444444</v>
      </c>
      <c r="B35" s="184" t="s">
        <v>62</v>
      </c>
      <c r="C35" s="97" t="n">
        <f aca="false">SUM(D34)</f>
        <v>4310810</v>
      </c>
      <c r="D35" s="107" t="n">
        <v>4327810</v>
      </c>
      <c r="E35" s="91" t="n">
        <f aca="false">SUM(D35-C35)</f>
        <v>17000</v>
      </c>
      <c r="F35" s="128" t="n">
        <v>17019</v>
      </c>
      <c r="G35" s="41" t="n">
        <v>0.8235</v>
      </c>
      <c r="H35" s="93" t="n">
        <f aca="false">SUM(G35*F35)</f>
        <v>14015.1465</v>
      </c>
      <c r="I35" s="185" t="n">
        <v>251</v>
      </c>
      <c r="J35" s="181" t="n">
        <v>6332</v>
      </c>
      <c r="K35" s="119" t="s">
        <v>84</v>
      </c>
      <c r="L35" s="117"/>
      <c r="M35" s="117"/>
      <c r="N35" s="94"/>
      <c r="O35" s="117"/>
      <c r="P35" s="117"/>
      <c r="Q35" s="117"/>
      <c r="R35" s="117"/>
      <c r="S35" s="117"/>
    </row>
    <row r="36" customFormat="false" ht="15.75" hidden="false" customHeight="false" outlineLevel="0" collapsed="false">
      <c r="A36" s="89" t="n">
        <v>0.760416666666667</v>
      </c>
      <c r="B36" s="90" t="s">
        <v>62</v>
      </c>
      <c r="C36" s="97" t="n">
        <f aca="false">SUM(D35)</f>
        <v>4327810</v>
      </c>
      <c r="D36" s="107" t="n">
        <v>4344810</v>
      </c>
      <c r="E36" s="91" t="n">
        <f aca="false">SUM(D36-C36)</f>
        <v>17000</v>
      </c>
      <c r="F36" s="128" t="n">
        <v>17019</v>
      </c>
      <c r="G36" s="41" t="n">
        <v>0.8235</v>
      </c>
      <c r="H36" s="93" t="n">
        <f aca="false">SUM(G36*F36)</f>
        <v>14015.1465</v>
      </c>
      <c r="I36" s="185" t="n">
        <v>251</v>
      </c>
      <c r="J36" s="181" t="n">
        <v>6335</v>
      </c>
      <c r="K36" s="119" t="s">
        <v>84</v>
      </c>
      <c r="L36" s="117"/>
      <c r="M36" s="117"/>
      <c r="N36" s="117"/>
      <c r="O36" s="117"/>
      <c r="P36" s="117"/>
      <c r="Q36" s="117"/>
      <c r="R36" s="117"/>
      <c r="S36" s="117"/>
    </row>
    <row r="37" customFormat="false" ht="15.75" hidden="false" customHeight="false" outlineLevel="0" collapsed="false">
      <c r="A37" s="89" t="n">
        <v>0.809027777777778</v>
      </c>
      <c r="B37" s="90" t="s">
        <v>61</v>
      </c>
      <c r="C37" s="97" t="n">
        <f aca="false">SUM(D36)</f>
        <v>4344810</v>
      </c>
      <c r="D37" s="107" t="n">
        <v>4361850</v>
      </c>
      <c r="E37" s="91" t="n">
        <f aca="false">SUM(D37-C37)</f>
        <v>17040</v>
      </c>
      <c r="F37" s="128" t="n">
        <v>17019</v>
      </c>
      <c r="G37" s="41" t="n">
        <v>0.8218</v>
      </c>
      <c r="H37" s="93" t="n">
        <f aca="false">SUM(G37*F37)</f>
        <v>13986.2142</v>
      </c>
      <c r="I37" s="178" t="n">
        <v>251</v>
      </c>
      <c r="J37" s="29" t="n">
        <v>6336</v>
      </c>
      <c r="K37" s="140" t="s">
        <v>70</v>
      </c>
      <c r="L37" s="117"/>
      <c r="M37" s="117"/>
      <c r="N37" s="117"/>
      <c r="O37" s="117"/>
      <c r="P37" s="117"/>
      <c r="Q37" s="117"/>
      <c r="R37" s="117"/>
      <c r="S37" s="117"/>
    </row>
    <row r="38" customFormat="false" ht="15.75" hidden="false" customHeight="false" outlineLevel="0" collapsed="false">
      <c r="A38" s="89" t="n">
        <v>0.881944444444444</v>
      </c>
      <c r="B38" s="90" t="s">
        <v>61</v>
      </c>
      <c r="C38" s="97" t="n">
        <f aca="false">SUM(D37)</f>
        <v>4361850</v>
      </c>
      <c r="D38" s="107" t="n">
        <v>4371570</v>
      </c>
      <c r="E38" s="91" t="n">
        <f aca="false">SUM(D38-C38)</f>
        <v>9720</v>
      </c>
      <c r="F38" s="108" t="n">
        <f aca="false">SUM(D38-C38)</f>
        <v>9720</v>
      </c>
      <c r="G38" s="41" t="n">
        <v>0.8218</v>
      </c>
      <c r="H38" s="93" t="n">
        <f aca="false">SUM(G38*F38)</f>
        <v>7987.896</v>
      </c>
      <c r="I38" s="178" t="n">
        <v>81</v>
      </c>
      <c r="J38" s="29" t="n">
        <v>6338</v>
      </c>
      <c r="K38" s="140" t="s">
        <v>70</v>
      </c>
      <c r="L38" s="117"/>
      <c r="M38" s="117"/>
      <c r="N38" s="117"/>
      <c r="O38" s="117"/>
      <c r="P38" s="117"/>
      <c r="Q38" s="117"/>
      <c r="R38" s="117"/>
      <c r="S38" s="117"/>
    </row>
    <row r="39" customFormat="false" ht="15.75" hidden="false" customHeight="false" outlineLevel="0" collapsed="false">
      <c r="A39" s="89" t="n">
        <v>0.899305555555555</v>
      </c>
      <c r="B39" s="90" t="s">
        <v>61</v>
      </c>
      <c r="C39" s="97" t="n">
        <f aca="false">SUM(D38)</f>
        <v>4371570</v>
      </c>
      <c r="D39" s="107" t="n">
        <v>4376690</v>
      </c>
      <c r="E39" s="91" t="n">
        <f aca="false">SUM(D39-C39)</f>
        <v>5120</v>
      </c>
      <c r="F39" s="108" t="n">
        <f aca="false">SUM(D39-C39)</f>
        <v>5120</v>
      </c>
      <c r="G39" s="41" t="n">
        <v>0.8218</v>
      </c>
      <c r="H39" s="93" t="n">
        <f aca="false">SUM(G39*F39)</f>
        <v>4207.616</v>
      </c>
      <c r="I39" s="178" t="n">
        <v>382</v>
      </c>
      <c r="J39" s="29" t="n">
        <v>6340</v>
      </c>
      <c r="K39" s="140" t="s">
        <v>70</v>
      </c>
      <c r="L39" s="117"/>
      <c r="M39" s="117"/>
      <c r="N39" s="117"/>
      <c r="O39" s="117"/>
      <c r="P39" s="117"/>
      <c r="Q39" s="117"/>
      <c r="R39" s="117"/>
      <c r="S39" s="117"/>
    </row>
    <row r="40" customFormat="false" ht="15.75" hidden="false" customHeight="false" outlineLevel="0" collapsed="false">
      <c r="A40" s="89" t="n">
        <v>0.916666666666667</v>
      </c>
      <c r="B40" s="90" t="s">
        <v>72</v>
      </c>
      <c r="C40" s="97" t="n">
        <f aca="false">SUM(D39)</f>
        <v>4376690</v>
      </c>
      <c r="D40" s="107" t="n">
        <v>4381990</v>
      </c>
      <c r="E40" s="91" t="n">
        <f aca="false">SUM(D40-C40)</f>
        <v>5300</v>
      </c>
      <c r="F40" s="108" t="n">
        <f aca="false">SUM(D40-C40)</f>
        <v>5300</v>
      </c>
      <c r="G40" s="41" t="n">
        <v>0.8252</v>
      </c>
      <c r="H40" s="93" t="n">
        <f aca="false">SUM(G40*F40)</f>
        <v>4373.56</v>
      </c>
      <c r="I40" s="176" t="n">
        <v>57</v>
      </c>
      <c r="J40" s="29" t="n">
        <v>6341</v>
      </c>
      <c r="K40" s="140" t="s">
        <v>70</v>
      </c>
      <c r="L40" s="117"/>
      <c r="M40" s="117"/>
      <c r="N40" s="117"/>
      <c r="O40" s="117"/>
      <c r="P40" s="117"/>
      <c r="Q40" s="117"/>
      <c r="R40" s="117"/>
      <c r="S40" s="117"/>
    </row>
    <row r="41" customFormat="false" ht="15.75" hidden="false" customHeight="false" outlineLevel="0" collapsed="false">
      <c r="A41" s="89" t="n">
        <v>0.951388888888889</v>
      </c>
      <c r="B41" s="90" t="s">
        <v>62</v>
      </c>
      <c r="C41" s="97" t="n">
        <f aca="false">SUM(D40)</f>
        <v>4381990</v>
      </c>
      <c r="D41" s="107" t="n">
        <v>4393330</v>
      </c>
      <c r="E41" s="91" t="n">
        <f aca="false">SUM(D41-C41)</f>
        <v>11340</v>
      </c>
      <c r="F41" s="108" t="n">
        <f aca="false">SUM(D41-C41)</f>
        <v>11340</v>
      </c>
      <c r="G41" s="41" t="n">
        <v>0.8235</v>
      </c>
      <c r="H41" s="93" t="n">
        <f aca="false">SUM(G41*F41)</f>
        <v>9338.49</v>
      </c>
      <c r="I41" s="185" t="n">
        <v>119</v>
      </c>
      <c r="J41" s="181" t="n">
        <v>6343</v>
      </c>
      <c r="K41" s="119" t="s">
        <v>84</v>
      </c>
      <c r="L41" s="117"/>
      <c r="M41" s="117"/>
      <c r="N41" s="117"/>
      <c r="O41" s="117"/>
      <c r="P41" s="117"/>
      <c r="Q41" s="117"/>
      <c r="R41" s="117"/>
      <c r="S41" s="117"/>
    </row>
    <row r="42" customFormat="false" ht="15.75" hidden="false" customHeight="false" outlineLevel="0" collapsed="false">
      <c r="A42" s="89" t="n">
        <v>0.982638888888889</v>
      </c>
      <c r="B42" s="90" t="s">
        <v>62</v>
      </c>
      <c r="C42" s="97" t="n">
        <f aca="false">SUM(D41)</f>
        <v>4393330</v>
      </c>
      <c r="D42" s="107" t="n">
        <v>4410370</v>
      </c>
      <c r="E42" s="91" t="n">
        <f aca="false">SUM(D42-C42)</f>
        <v>17040</v>
      </c>
      <c r="F42" s="128" t="n">
        <v>17019</v>
      </c>
      <c r="G42" s="41" t="n">
        <v>0.8235</v>
      </c>
      <c r="H42" s="93" t="n">
        <f aca="false">SUM(G42*F42)</f>
        <v>14015.1465</v>
      </c>
      <c r="I42" s="185" t="n">
        <v>251</v>
      </c>
      <c r="J42" s="181" t="n">
        <v>6345</v>
      </c>
      <c r="K42" s="119" t="s">
        <v>84</v>
      </c>
      <c r="L42" s="117"/>
      <c r="M42" s="117"/>
      <c r="N42" s="117"/>
      <c r="O42" s="117"/>
      <c r="P42" s="117"/>
      <c r="Q42" s="117"/>
      <c r="R42" s="117"/>
      <c r="S42" s="117"/>
    </row>
    <row r="43" customFormat="false" ht="15.75" hidden="false" customHeight="false" outlineLevel="0" collapsed="false">
      <c r="A43" s="89" t="n">
        <v>0.0381944444444444</v>
      </c>
      <c r="B43" s="90" t="s">
        <v>72</v>
      </c>
      <c r="C43" s="97" t="n">
        <f aca="false">SUM(D42)</f>
        <v>4410370</v>
      </c>
      <c r="D43" s="107" t="n">
        <v>4425510</v>
      </c>
      <c r="E43" s="91" t="n">
        <f aca="false">SUM(D43-C43)</f>
        <v>15140</v>
      </c>
      <c r="F43" s="108" t="n">
        <v>15040</v>
      </c>
      <c r="G43" s="41" t="n">
        <v>0.8252</v>
      </c>
      <c r="H43" s="93" t="n">
        <f aca="false">SUM(G43*F43)</f>
        <v>12411.008</v>
      </c>
      <c r="I43" s="176" t="n">
        <v>467</v>
      </c>
      <c r="J43" s="29" t="n">
        <v>6347</v>
      </c>
      <c r="K43" s="140" t="s">
        <v>70</v>
      </c>
      <c r="L43" s="117"/>
      <c r="M43" s="117"/>
      <c r="N43" s="117"/>
      <c r="O43" s="117"/>
      <c r="P43" s="117"/>
      <c r="Q43" s="117"/>
      <c r="R43" s="117"/>
      <c r="S43" s="117"/>
    </row>
    <row r="44" customFormat="false" ht="15.75" hidden="false" customHeight="false" outlineLevel="0" collapsed="false">
      <c r="A44" s="89" t="n">
        <v>0.107638888888889</v>
      </c>
      <c r="B44" s="90" t="s">
        <v>72</v>
      </c>
      <c r="C44" s="97" t="n">
        <f aca="false">SUM(D43)</f>
        <v>4425510</v>
      </c>
      <c r="D44" s="107" t="n">
        <v>4433160</v>
      </c>
      <c r="E44" s="91" t="n">
        <f aca="false">SUM(D44-C44)</f>
        <v>7650</v>
      </c>
      <c r="F44" s="108" t="n">
        <f aca="false">SUM(D44-C44)</f>
        <v>7650</v>
      </c>
      <c r="G44" s="41" t="n">
        <v>0.8252</v>
      </c>
      <c r="H44" s="93" t="n">
        <f aca="false">SUM(G44*F44)</f>
        <v>6312.78</v>
      </c>
      <c r="I44" s="176" t="n">
        <v>57</v>
      </c>
      <c r="J44" s="29" t="n">
        <v>6348</v>
      </c>
      <c r="K44" s="140" t="s">
        <v>70</v>
      </c>
      <c r="L44" s="117"/>
      <c r="M44" s="117"/>
      <c r="N44" s="117"/>
      <c r="O44" s="117"/>
      <c r="P44" s="117"/>
      <c r="Q44" s="117"/>
      <c r="R44" s="117"/>
      <c r="S44" s="117"/>
    </row>
    <row r="45" customFormat="false" ht="15.75" hidden="false" customHeight="false" outlineLevel="0" collapsed="false">
      <c r="A45" s="89" t="n">
        <v>0.114583333333333</v>
      </c>
      <c r="B45" s="90" t="s">
        <v>72</v>
      </c>
      <c r="C45" s="97" t="n">
        <f aca="false">SUM(D44)</f>
        <v>4433160</v>
      </c>
      <c r="D45" s="107" t="n">
        <v>4439940</v>
      </c>
      <c r="E45" s="91" t="n">
        <f aca="false">SUM(D45-C45)</f>
        <v>6780</v>
      </c>
      <c r="F45" s="108" t="n">
        <f aca="false">SUM(D45-C45)</f>
        <v>6780</v>
      </c>
      <c r="G45" s="41" t="n">
        <v>0.8252</v>
      </c>
      <c r="H45" s="93" t="n">
        <f aca="false">SUM(G45*F45)</f>
        <v>5594.856</v>
      </c>
      <c r="I45" s="176" t="n">
        <v>81</v>
      </c>
      <c r="J45" s="29" t="n">
        <v>6349</v>
      </c>
      <c r="K45" s="140" t="s">
        <v>70</v>
      </c>
      <c r="L45" s="117"/>
      <c r="M45" s="117"/>
      <c r="N45" s="117"/>
      <c r="O45" s="117"/>
      <c r="P45" s="117"/>
      <c r="Q45" s="117"/>
      <c r="R45" s="117"/>
      <c r="S45" s="117"/>
    </row>
    <row r="46" customFormat="false" ht="15.75" hidden="false" customHeight="false" outlineLevel="0" collapsed="false">
      <c r="A46" s="89" t="n">
        <v>0.180555555555556</v>
      </c>
      <c r="B46" s="186" t="s">
        <v>89</v>
      </c>
      <c r="C46" s="97" t="n">
        <f aca="false">SUM(D45)</f>
        <v>4439940</v>
      </c>
      <c r="D46" s="107" t="n">
        <v>4456970</v>
      </c>
      <c r="E46" s="91" t="n">
        <f aca="false">SUM(D46-C46)</f>
        <v>17030</v>
      </c>
      <c r="F46" s="128" t="n">
        <v>17019</v>
      </c>
      <c r="G46" s="41" t="n">
        <v>0.8241</v>
      </c>
      <c r="H46" s="93" t="n">
        <f aca="false">SUM(G46*F46)</f>
        <v>14025.3579</v>
      </c>
      <c r="I46" s="187" t="n">
        <v>251</v>
      </c>
      <c r="J46" s="181" t="n">
        <v>6352</v>
      </c>
      <c r="K46" s="119" t="s">
        <v>84</v>
      </c>
      <c r="L46" s="117"/>
      <c r="M46" s="117"/>
      <c r="N46" s="117"/>
      <c r="O46" s="117"/>
      <c r="P46" s="117"/>
      <c r="Q46" s="117"/>
      <c r="R46" s="117"/>
      <c r="S46" s="117"/>
    </row>
    <row r="47" customFormat="false" ht="15.75" hidden="false" customHeight="false" outlineLevel="0" collapsed="false">
      <c r="A47" s="89" t="n">
        <v>0.28125</v>
      </c>
      <c r="B47" s="90" t="s">
        <v>89</v>
      </c>
      <c r="C47" s="97" t="n">
        <f aca="false">SUM(D46)</f>
        <v>4456970</v>
      </c>
      <c r="D47" s="107" t="n">
        <v>4474010</v>
      </c>
      <c r="E47" s="91" t="n">
        <f aca="false">SUM(D47-C47)</f>
        <v>17040</v>
      </c>
      <c r="F47" s="128" t="n">
        <v>17019</v>
      </c>
      <c r="G47" s="41" t="n">
        <v>0.8241</v>
      </c>
      <c r="H47" s="93" t="n">
        <f aca="false">SUM(G47*F47)</f>
        <v>14025.3579</v>
      </c>
      <c r="I47" s="187" t="n">
        <v>251</v>
      </c>
      <c r="J47" s="181" t="n">
        <v>6355</v>
      </c>
      <c r="K47" s="119" t="s">
        <v>84</v>
      </c>
      <c r="L47" s="117"/>
      <c r="M47" s="117"/>
      <c r="N47" s="117"/>
      <c r="O47" s="117"/>
      <c r="P47" s="117"/>
      <c r="Q47" s="117"/>
      <c r="R47" s="117"/>
      <c r="S47" s="117"/>
    </row>
    <row r="48" customFormat="false" ht="15.75" hidden="false" customHeight="false" outlineLevel="0" collapsed="false">
      <c r="A48" s="89" t="n">
        <v>0.302083333333333</v>
      </c>
      <c r="B48" s="138" t="s">
        <v>50</v>
      </c>
      <c r="C48" s="97" t="n">
        <f aca="false">SUM(D47)</f>
        <v>4474010</v>
      </c>
      <c r="D48" s="107" t="n">
        <v>4479700</v>
      </c>
      <c r="E48" s="91" t="n">
        <f aca="false">SUM(D48-C48)</f>
        <v>5690</v>
      </c>
      <c r="F48" s="108" t="n">
        <f aca="false">SUM(D48-C48)</f>
        <v>5690</v>
      </c>
      <c r="G48" s="41" t="n">
        <v>0.8386</v>
      </c>
      <c r="H48" s="93" t="n">
        <f aca="false">SUM(G48*F48)</f>
        <v>4771.634</v>
      </c>
      <c r="I48" s="164" t="n">
        <v>467</v>
      </c>
      <c r="J48" s="29" t="n">
        <v>6357</v>
      </c>
      <c r="K48" s="119" t="s">
        <v>82</v>
      </c>
      <c r="L48" s="117"/>
      <c r="M48" s="117"/>
      <c r="N48" s="117"/>
      <c r="O48" s="117"/>
      <c r="P48" s="117"/>
      <c r="Q48" s="117"/>
      <c r="R48" s="117"/>
      <c r="S48" s="117"/>
    </row>
    <row r="49" customFormat="false" ht="15.75" hidden="false" customHeight="false" outlineLevel="0" collapsed="false">
      <c r="A49" s="89" t="n">
        <v>0.333333333333333</v>
      </c>
      <c r="B49" s="90" t="s">
        <v>72</v>
      </c>
      <c r="C49" s="97" t="n">
        <f aca="false">SUM(D48)</f>
        <v>4479700</v>
      </c>
      <c r="D49" s="107" t="n">
        <v>4496750</v>
      </c>
      <c r="E49" s="91" t="n">
        <f aca="false">SUM(D49-C49)</f>
        <v>17050</v>
      </c>
      <c r="F49" s="128" t="n">
        <v>17019</v>
      </c>
      <c r="G49" s="41" t="n">
        <v>0.8252</v>
      </c>
      <c r="H49" s="93" t="n">
        <f aca="false">SUM(G49*F49)</f>
        <v>14044.0788</v>
      </c>
      <c r="I49" s="176" t="n">
        <v>251</v>
      </c>
      <c r="J49" s="29" t="n">
        <v>6358</v>
      </c>
      <c r="K49" s="140" t="s">
        <v>70</v>
      </c>
      <c r="L49" s="117"/>
      <c r="M49" s="117"/>
      <c r="N49" s="117"/>
      <c r="O49" s="117"/>
      <c r="P49" s="117"/>
      <c r="Q49" s="117"/>
      <c r="R49" s="117"/>
      <c r="S49" s="117"/>
    </row>
    <row r="50" customFormat="false" ht="15" hidden="false" customHeight="false" outlineLevel="0" collapsed="false">
      <c r="A50" s="89"/>
      <c r="B50" s="90"/>
      <c r="C50" s="97" t="n">
        <f aca="false">SUM(D49)</f>
        <v>4496750</v>
      </c>
      <c r="D50" s="107"/>
      <c r="E50" s="91" t="n">
        <f aca="false">SUM(D50-C50)</f>
        <v>-4496750</v>
      </c>
      <c r="F50" s="108" t="n">
        <f aca="false">SUM(D50-C50)</f>
        <v>-4496750</v>
      </c>
      <c r="G50" s="41"/>
      <c r="H50" s="93" t="n">
        <f aca="false">SUM(G50*F50)</f>
        <v>0</v>
      </c>
      <c r="I50" s="1"/>
      <c r="J50" s="29"/>
      <c r="K50" s="110"/>
      <c r="L50" s="117"/>
      <c r="M50" s="117"/>
      <c r="N50" s="117"/>
      <c r="O50" s="117"/>
      <c r="P50" s="117"/>
      <c r="Q50" s="117"/>
      <c r="R50" s="117"/>
      <c r="S50" s="117"/>
    </row>
    <row r="51" customFormat="false" ht="15" hidden="false" customHeight="false" outlineLevel="0" collapsed="false">
      <c r="A51" s="89"/>
      <c r="B51" s="90"/>
      <c r="C51" s="97" t="n">
        <f aca="false">SUM(D50)</f>
        <v>0</v>
      </c>
      <c r="D51" s="107"/>
      <c r="E51" s="91" t="n">
        <f aca="false">SUM(D51-C51)</f>
        <v>0</v>
      </c>
      <c r="F51" s="130" t="n">
        <f aca="false">SUM(D51-C51)</f>
        <v>0</v>
      </c>
      <c r="G51" s="41"/>
      <c r="H51" s="93" t="n">
        <f aca="false">SUM(G51*F51)</f>
        <v>0</v>
      </c>
      <c r="I51" s="1"/>
      <c r="J51" s="29"/>
      <c r="K51" s="117"/>
      <c r="L51" s="117"/>
      <c r="M51" s="117"/>
      <c r="N51" s="117"/>
      <c r="O51" s="117"/>
      <c r="P51" s="117"/>
      <c r="Q51" s="117"/>
      <c r="R51" s="117"/>
      <c r="S51" s="117"/>
    </row>
    <row r="52" customFormat="false" ht="15" hidden="false" customHeight="false" outlineLevel="0" collapsed="false">
      <c r="A52" s="89"/>
      <c r="B52" s="90"/>
      <c r="C52" s="97" t="n">
        <f aca="false">SUM(D51)</f>
        <v>0</v>
      </c>
      <c r="D52" s="75"/>
      <c r="E52" s="109" t="n">
        <f aca="false">SUM(D52-C52)</f>
        <v>0</v>
      </c>
      <c r="F52" s="188" t="n">
        <f aca="false">SUM(D52-C52)</f>
        <v>0</v>
      </c>
      <c r="G52" s="168"/>
      <c r="H52" s="131" t="n">
        <f aca="false">SUM(G52*F52)</f>
        <v>0</v>
      </c>
      <c r="I52" s="1"/>
      <c r="J52" s="29"/>
      <c r="K52" s="117"/>
      <c r="L52" s="117"/>
      <c r="M52" s="117"/>
      <c r="N52" s="117"/>
      <c r="O52" s="117"/>
      <c r="P52" s="117"/>
      <c r="Q52" s="117"/>
      <c r="R52" s="117"/>
      <c r="S52" s="117"/>
    </row>
    <row r="53" customFormat="false" ht="15" hidden="false" customHeight="false" outlineLevel="0" collapsed="false">
      <c r="A53" s="89"/>
      <c r="B53" s="90"/>
      <c r="C53" s="97" t="n">
        <f aca="false">SUM(D52)</f>
        <v>0</v>
      </c>
      <c r="D53" s="75"/>
      <c r="E53" s="109" t="n">
        <f aca="false">SUM(D53-C53)</f>
        <v>0</v>
      </c>
      <c r="F53" s="174" t="n">
        <v>281667</v>
      </c>
      <c r="G53" s="133"/>
      <c r="H53" s="175" t="n">
        <v>232301</v>
      </c>
      <c r="I53" s="135"/>
      <c r="J53" s="29"/>
      <c r="K53" s="120"/>
      <c r="L53" s="117"/>
      <c r="M53" s="117"/>
      <c r="N53" s="117"/>
      <c r="O53" s="117"/>
      <c r="P53" s="117"/>
      <c r="Q53" s="117"/>
      <c r="R53" s="117"/>
      <c r="S53" s="117"/>
    </row>
    <row r="54" customFormat="false" ht="15" hidden="false" customHeight="false" outlineLevel="0" collapsed="false">
      <c r="L54" s="117"/>
      <c r="M54" s="117"/>
      <c r="N54" s="117"/>
      <c r="O54" s="117"/>
      <c r="P54" s="117"/>
      <c r="Q54" s="117"/>
      <c r="R54" s="117"/>
      <c r="S54" s="117"/>
    </row>
    <row r="55" customFormat="false" ht="15" hidden="false" customHeight="false" outlineLevel="0" collapsed="false">
      <c r="F55" s="174" t="n">
        <f aca="false">F53+F24</f>
        <v>592100</v>
      </c>
      <c r="G55" s="133"/>
      <c r="H55" s="175" t="n">
        <f aca="false">H53+H24</f>
        <v>490633</v>
      </c>
      <c r="L55" s="117"/>
      <c r="M55" s="117"/>
      <c r="N55" s="117"/>
      <c r="O55" s="117"/>
      <c r="P55" s="117"/>
      <c r="Q55" s="117"/>
      <c r="R55" s="117"/>
      <c r="S55" s="117"/>
    </row>
    <row r="56" customFormat="false" ht="15" hidden="false" customHeight="false" outlineLevel="0" collapsed="false">
      <c r="E56" s="117"/>
      <c r="L56" s="117"/>
      <c r="M56" s="117"/>
      <c r="N56" s="117"/>
      <c r="O56" s="117"/>
      <c r="P56" s="117"/>
      <c r="Q56" s="117"/>
      <c r="R56" s="117"/>
      <c r="S56" s="117"/>
    </row>
    <row r="57" customFormat="false" ht="15" hidden="false" customHeight="false" outlineLevel="0" collapsed="false">
      <c r="E57" s="117"/>
      <c r="L57" s="117"/>
      <c r="M57" s="117"/>
      <c r="N57" s="117"/>
      <c r="O57" s="117"/>
      <c r="P57" s="117"/>
      <c r="Q57" s="117"/>
      <c r="R57" s="117"/>
      <c r="S57" s="117"/>
    </row>
    <row r="58" customFormat="false" ht="15" hidden="false" customHeight="false" outlineLevel="0" collapsed="false">
      <c r="E58" s="117"/>
      <c r="L58" s="117"/>
      <c r="M58" s="117"/>
      <c r="N58" s="117"/>
      <c r="O58" s="117"/>
      <c r="P58" s="117"/>
      <c r="Q58" s="117"/>
      <c r="R58" s="117"/>
      <c r="S58" s="117"/>
    </row>
    <row r="59" customFormat="false" ht="15" hidden="false" customHeight="false" outlineLevel="0" collapsed="false">
      <c r="E59" s="117"/>
      <c r="L59" s="117"/>
      <c r="M59" s="117"/>
      <c r="N59" s="117"/>
      <c r="O59" s="117"/>
      <c r="P59" s="117"/>
      <c r="Q59" s="117"/>
      <c r="R59" s="117"/>
      <c r="S59" s="117"/>
    </row>
    <row r="60" customFormat="false" ht="15" hidden="false" customHeight="false" outlineLevel="0" collapsed="false">
      <c r="E60" s="117"/>
      <c r="L60" s="117"/>
      <c r="M60" s="117"/>
      <c r="N60" s="117"/>
      <c r="O60" s="117"/>
      <c r="P60" s="117"/>
      <c r="Q60" s="117"/>
      <c r="R60" s="117"/>
      <c r="S60" s="117"/>
    </row>
    <row r="61" customFormat="false" ht="15" hidden="false" customHeight="false" outlineLevel="0" collapsed="false">
      <c r="E61" s="117"/>
      <c r="L61" s="117"/>
      <c r="M61" s="117"/>
      <c r="N61" s="117"/>
      <c r="O61" s="117"/>
      <c r="P61" s="117"/>
      <c r="Q61" s="117"/>
      <c r="R61" s="117"/>
      <c r="S61" s="117"/>
    </row>
    <row r="62" customFormat="false" ht="15" hidden="false" customHeight="false" outlineLevel="0" collapsed="false">
      <c r="E62" s="117"/>
      <c r="L62" s="117"/>
      <c r="M62" s="117"/>
      <c r="N62" s="117"/>
      <c r="O62" s="117"/>
      <c r="P62" s="117"/>
      <c r="Q62" s="117"/>
      <c r="R62" s="117"/>
      <c r="S62" s="117"/>
    </row>
    <row r="63" customFormat="false" ht="15" hidden="false" customHeight="false" outlineLevel="0" collapsed="false">
      <c r="E63" s="117"/>
      <c r="L63" s="117"/>
      <c r="M63" s="117"/>
      <c r="N63" s="117"/>
      <c r="O63" s="117"/>
      <c r="P63" s="117"/>
      <c r="Q63" s="117"/>
      <c r="R63" s="117"/>
      <c r="S63" s="117"/>
    </row>
    <row r="64" customFormat="false" ht="15" hidden="false" customHeight="false" outlineLevel="0" collapsed="false">
      <c r="E64" s="117"/>
      <c r="L64" s="117"/>
      <c r="M64" s="117"/>
      <c r="N64" s="117"/>
      <c r="O64" s="117"/>
      <c r="P64" s="117"/>
      <c r="Q64" s="117"/>
      <c r="R64" s="117"/>
      <c r="S64" s="117"/>
    </row>
    <row r="65" customFormat="false" ht="15" hidden="false" customHeight="false" outlineLevel="0" collapsed="false">
      <c r="E65" s="117"/>
      <c r="L65" s="117"/>
      <c r="M65" s="117"/>
      <c r="N65" s="117"/>
      <c r="O65" s="117"/>
      <c r="P65" s="117"/>
      <c r="Q65" s="117"/>
      <c r="R65" s="117"/>
      <c r="S65" s="117"/>
    </row>
    <row r="66" customFormat="false" ht="15" hidden="false" customHeight="false" outlineLevel="0" collapsed="false">
      <c r="E66" s="117"/>
      <c r="L66" s="117"/>
      <c r="M66" s="117"/>
      <c r="N66" s="117"/>
      <c r="O66" s="117"/>
      <c r="P66" s="117"/>
      <c r="Q66" s="117"/>
      <c r="R66" s="117"/>
      <c r="S66" s="117"/>
    </row>
    <row r="67" customFormat="false" ht="15" hidden="false" customHeight="false" outlineLevel="0" collapsed="false">
      <c r="E67" s="117"/>
      <c r="L67" s="117"/>
      <c r="M67" s="117"/>
      <c r="N67" s="117"/>
      <c r="O67" s="117"/>
      <c r="P67" s="117"/>
      <c r="Q67" s="117"/>
      <c r="R67" s="117"/>
      <c r="S67" s="117"/>
    </row>
    <row r="68" customFormat="false" ht="15" hidden="false" customHeight="false" outlineLevel="0" collapsed="false">
      <c r="E68" s="117"/>
      <c r="L68" s="117"/>
      <c r="M68" s="117"/>
      <c r="N68" s="117"/>
      <c r="O68" s="117"/>
      <c r="P68" s="117"/>
      <c r="Q68" s="117"/>
      <c r="R68" s="117"/>
      <c r="S68" s="117"/>
    </row>
    <row r="69" customFormat="false" ht="15" hidden="false" customHeight="false" outlineLevel="0" collapsed="false">
      <c r="E69" s="117"/>
      <c r="L69" s="117"/>
      <c r="M69" s="117"/>
      <c r="N69" s="117"/>
      <c r="O69" s="117"/>
      <c r="P69" s="117"/>
      <c r="Q69" s="117"/>
      <c r="R69" s="117"/>
      <c r="S69" s="117"/>
    </row>
    <row r="70" customFormat="false" ht="15" hidden="false" customHeight="false" outlineLevel="0" collapsed="false">
      <c r="E70" s="117"/>
      <c r="L70" s="117"/>
      <c r="M70" s="117"/>
      <c r="N70" s="117"/>
      <c r="O70" s="117"/>
      <c r="P70" s="117"/>
      <c r="Q70" s="117"/>
      <c r="R70" s="117"/>
      <c r="S70" s="117"/>
    </row>
    <row r="71" customFormat="false" ht="15" hidden="false" customHeight="false" outlineLevel="0" collapsed="false">
      <c r="E71" s="117"/>
      <c r="L71" s="117"/>
      <c r="M71" s="117"/>
      <c r="N71" s="117"/>
      <c r="O71" s="117"/>
      <c r="P71" s="117"/>
      <c r="Q71" s="117"/>
      <c r="R71" s="117"/>
      <c r="S71" s="117"/>
    </row>
    <row r="72" customFormat="false" ht="15" hidden="false" customHeight="false" outlineLevel="0" collapsed="false">
      <c r="E72" s="117"/>
      <c r="L72" s="117"/>
      <c r="M72" s="117"/>
      <c r="N72" s="117"/>
      <c r="O72" s="117"/>
      <c r="P72" s="117"/>
      <c r="Q72" s="117"/>
      <c r="R72" s="117"/>
      <c r="S72" s="117"/>
    </row>
    <row r="73" customFormat="false" ht="15" hidden="true" customHeight="false" outlineLevel="0" collapsed="false">
      <c r="E73" s="117"/>
      <c r="L73" s="117"/>
      <c r="M73" s="117"/>
      <c r="N73" s="117"/>
      <c r="O73" s="117"/>
      <c r="P73" s="117"/>
      <c r="Q73" s="117"/>
      <c r="R73" s="117"/>
      <c r="S73" s="117"/>
    </row>
    <row r="74" customFormat="false" ht="15" hidden="true" customHeight="false" outlineLevel="0" collapsed="false">
      <c r="E74" s="117"/>
      <c r="L74" s="117"/>
      <c r="M74" s="117"/>
      <c r="N74" s="117"/>
      <c r="O74" s="117"/>
      <c r="P74" s="117"/>
      <c r="Q74" s="117"/>
      <c r="R74" s="117"/>
      <c r="S74" s="117"/>
    </row>
    <row r="75" customFormat="false" ht="15" hidden="true" customHeight="false" outlineLevel="0" collapsed="false">
      <c r="E75" s="117"/>
      <c r="L75" s="117"/>
      <c r="M75" s="117"/>
      <c r="N75" s="117"/>
      <c r="O75" s="117"/>
      <c r="P75" s="117"/>
      <c r="Q75" s="117"/>
      <c r="R75" s="117"/>
      <c r="S75" s="117"/>
    </row>
    <row r="76" customFormat="false" ht="15" hidden="true" customHeight="false" outlineLevel="0" collapsed="false">
      <c r="E76" s="117"/>
      <c r="L76" s="117"/>
      <c r="M76" s="117"/>
      <c r="N76" s="117"/>
      <c r="O76" s="117"/>
      <c r="P76" s="117"/>
      <c r="Q76" s="117"/>
      <c r="R76" s="117"/>
      <c r="S76" s="117"/>
    </row>
    <row r="77" customFormat="false" ht="15" hidden="true" customHeight="false" outlineLevel="0" collapsed="false">
      <c r="E77" s="117"/>
      <c r="L77" s="117"/>
      <c r="M77" s="117"/>
      <c r="N77" s="117"/>
      <c r="O77" s="117"/>
      <c r="P77" s="117"/>
      <c r="Q77" s="117"/>
      <c r="R77" s="117"/>
      <c r="S77" s="117"/>
    </row>
    <row r="78" customFormat="false" ht="15" hidden="false" customHeight="false" outlineLevel="0" collapsed="false">
      <c r="E78" s="117"/>
      <c r="L78" s="117"/>
      <c r="M78" s="117"/>
      <c r="N78" s="117"/>
      <c r="O78" s="117"/>
      <c r="P78" s="117"/>
      <c r="Q78" s="117"/>
      <c r="R78" s="117"/>
      <c r="S78" s="117"/>
    </row>
    <row r="79" customFormat="false" ht="15" hidden="false" customHeight="false" outlineLevel="0" collapsed="false">
      <c r="E79" s="117"/>
      <c r="L79" s="117"/>
      <c r="M79" s="117"/>
      <c r="N79" s="117"/>
      <c r="O79" s="117"/>
      <c r="P79" s="117"/>
      <c r="Q79" s="117"/>
      <c r="R79" s="117"/>
      <c r="S79" s="117"/>
    </row>
    <row r="80" customFormat="false" ht="15" hidden="false" customHeight="false" outlineLevel="0" collapsed="false">
      <c r="E80" s="117"/>
      <c r="L80" s="117"/>
      <c r="M80" s="117"/>
      <c r="N80" s="117"/>
      <c r="O80" s="117"/>
      <c r="P80" s="117"/>
      <c r="Q80" s="117"/>
      <c r="R80" s="117"/>
      <c r="S80" s="117"/>
    </row>
    <row r="81" customFormat="false" ht="15" hidden="false" customHeight="false" outlineLevel="0" collapsed="false">
      <c r="E81" s="117"/>
    </row>
    <row r="82" customFormat="false" ht="15" hidden="false" customHeight="false" outlineLevel="0" collapsed="false">
      <c r="E82" s="117"/>
    </row>
    <row r="83" customFormat="false" ht="15" hidden="false" customHeight="false" outlineLevel="0" collapsed="false">
      <c r="E83" s="117"/>
    </row>
    <row r="84" customFormat="false" ht="15" hidden="false" customHeight="false" outlineLevel="0" collapsed="false">
      <c r="E84" s="117"/>
    </row>
    <row r="85" customFormat="false" ht="15" hidden="false" customHeight="false" outlineLevel="0" collapsed="false">
      <c r="E85" s="117"/>
    </row>
    <row r="86" customFormat="false" ht="15" hidden="false" customHeight="false" outlineLevel="0" collapsed="false">
      <c r="E86" s="117"/>
    </row>
    <row r="87" customFormat="false" ht="15" hidden="false" customHeight="false" outlineLevel="0" collapsed="false">
      <c r="E87" s="117"/>
    </row>
    <row r="88" customFormat="false" ht="15" hidden="false" customHeight="false" outlineLevel="0" collapsed="false">
      <c r="E88" s="117"/>
    </row>
    <row r="89" customFormat="false" ht="15" hidden="false" customHeight="false" outlineLevel="0" collapsed="false">
      <c r="E89" s="117"/>
    </row>
    <row r="90" customFormat="false" ht="15" hidden="false" customHeight="false" outlineLevel="0" collapsed="false">
      <c r="E90" s="117"/>
    </row>
    <row r="91" customFormat="false" ht="15" hidden="false" customHeight="false" outlineLevel="0" collapsed="false">
      <c r="E91" s="117"/>
    </row>
    <row r="92" customFormat="false" ht="15" hidden="false" customHeight="false" outlineLevel="0" collapsed="false">
      <c r="E92" s="117"/>
    </row>
    <row r="93" customFormat="false" ht="15" hidden="false" customHeight="false" outlineLevel="0" collapsed="false">
      <c r="E93" s="117"/>
    </row>
    <row r="94" customFormat="false" ht="15" hidden="false" customHeight="false" outlineLevel="0" collapsed="false">
      <c r="E94" s="117"/>
    </row>
    <row r="95" customFormat="false" ht="15" hidden="false" customHeight="false" outlineLevel="0" collapsed="false">
      <c r="E95" s="117"/>
    </row>
    <row r="96" customFormat="false" ht="15" hidden="false" customHeight="false" outlineLevel="0" collapsed="false">
      <c r="E96" s="117"/>
    </row>
    <row r="97" customFormat="false" ht="15" hidden="false" customHeight="false" outlineLevel="0" collapsed="false">
      <c r="E97" s="117"/>
    </row>
    <row r="98" customFormat="false" ht="15" hidden="false" customHeight="false" outlineLevel="0" collapsed="false">
      <c r="E98" s="117"/>
    </row>
    <row r="99" customFormat="false" ht="15" hidden="false" customHeight="false" outlineLevel="0" collapsed="false">
      <c r="E99" s="117"/>
    </row>
    <row r="100" customFormat="false" ht="15" hidden="false" customHeight="false" outlineLevel="0" collapsed="false">
      <c r="E100" s="117"/>
    </row>
    <row r="101" customFormat="false" ht="15" hidden="false" customHeight="false" outlineLevel="0" collapsed="false">
      <c r="E101" s="117"/>
    </row>
    <row r="102" customFormat="false" ht="15" hidden="false" customHeight="false" outlineLevel="0" collapsed="false">
      <c r="E102" s="117"/>
    </row>
    <row r="103" customFormat="false" ht="15" hidden="false" customHeight="false" outlineLevel="0" collapsed="false">
      <c r="E103" s="117"/>
    </row>
    <row r="104" customFormat="false" ht="15" hidden="false" customHeight="false" outlineLevel="0" collapsed="false">
      <c r="E104" s="117"/>
    </row>
    <row r="105" customFormat="false" ht="15" hidden="false" customHeight="false" outlineLevel="0" collapsed="false">
      <c r="E105" s="117"/>
    </row>
    <row r="106" customFormat="false" ht="15" hidden="false" customHeight="false" outlineLevel="0" collapsed="false">
      <c r="E106" s="117"/>
    </row>
    <row r="107" customFormat="false" ht="15" hidden="false" customHeight="false" outlineLevel="0" collapsed="false">
      <c r="E107" s="117"/>
    </row>
    <row r="108" customFormat="false" ht="15" hidden="false" customHeight="false" outlineLevel="0" collapsed="false">
      <c r="E108" s="117"/>
    </row>
    <row r="109" customFormat="false" ht="15" hidden="false" customHeight="false" outlineLevel="0" collapsed="false">
      <c r="E109" s="117"/>
    </row>
    <row r="110" customFormat="false" ht="15" hidden="false" customHeight="false" outlineLevel="0" collapsed="false">
      <c r="E110" s="117"/>
    </row>
    <row r="111" customFormat="false" ht="15" hidden="false" customHeight="false" outlineLevel="0" collapsed="false">
      <c r="E111" s="117"/>
    </row>
    <row r="112" customFormat="false" ht="15" hidden="false" customHeight="false" outlineLevel="0" collapsed="false">
      <c r="E112" s="117"/>
    </row>
    <row r="113" customFormat="false" ht="15" hidden="false" customHeight="false" outlineLevel="0" collapsed="false">
      <c r="E113" s="117"/>
    </row>
    <row r="114" customFormat="false" ht="15" hidden="false" customHeight="false" outlineLevel="0" collapsed="false">
      <c r="E114" s="117"/>
    </row>
    <row r="115" customFormat="false" ht="15" hidden="false" customHeight="false" outlineLevel="0" collapsed="false">
      <c r="E115" s="117"/>
    </row>
    <row r="116" customFormat="false" ht="15" hidden="false" customHeight="false" outlineLevel="0" collapsed="false">
      <c r="E116" s="117"/>
    </row>
    <row r="117" customFormat="false" ht="15" hidden="false" customHeight="false" outlineLevel="0" collapsed="false">
      <c r="E117" s="117"/>
    </row>
    <row r="118" customFormat="false" ht="15" hidden="false" customHeight="false" outlineLevel="0" collapsed="false">
      <c r="E118" s="117"/>
    </row>
    <row r="119" customFormat="false" ht="15" hidden="false" customHeight="false" outlineLevel="0" collapsed="false">
      <c r="E119" s="117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V123"/>
  <sheetViews>
    <sheetView showFormulas="false" showGridLines="true" showRowColHeaders="true" showZeros="true" rightToLeft="false" tabSelected="false" showOutlineSymbols="true" defaultGridColor="true" view="normal" topLeftCell="A25" colorId="64" zoomScale="60" zoomScaleNormal="60" zoomScalePageLayoutView="100" workbookViewId="0">
      <selection pane="topLeft" activeCell="A53" activeCellId="0" sqref="A53"/>
    </sheetView>
  </sheetViews>
  <sheetFormatPr defaultColWidth="8.8359375" defaultRowHeight="15" zeroHeight="false" outlineLevelRow="0" outlineLevelCol="0"/>
  <cols>
    <col collapsed="false" customWidth="true" hidden="false" outlineLevel="0" max="1" min="1" style="66" width="13.66"/>
    <col collapsed="false" customWidth="true" hidden="false" outlineLevel="0" max="2" min="2" style="67" width="10.33"/>
    <col collapsed="false" customWidth="true" hidden="false" outlineLevel="0" max="4" min="3" style="68" width="18.17"/>
    <col collapsed="false" customWidth="true" hidden="false" outlineLevel="0" max="6" min="5" style="68" width="14"/>
    <col collapsed="false" customWidth="true" hidden="false" outlineLevel="0" max="7" min="7" style="66" width="13.51"/>
    <col collapsed="false" customWidth="true" hidden="false" outlineLevel="0" max="8" min="8" style="69" width="13.83"/>
    <col collapsed="false" customWidth="true" hidden="false" outlineLevel="0" max="10" min="9" style="70" width="14.33"/>
    <col collapsed="false" customWidth="true" hidden="false" outlineLevel="0" max="11" min="11" style="71" width="10.33"/>
    <col collapsed="false" customWidth="true" hidden="false" outlineLevel="0" max="12" min="12" style="70" width="12.17"/>
    <col collapsed="false" customWidth="true" hidden="false" outlineLevel="0" max="13" min="13" style="70" width="10.17"/>
    <col collapsed="false" customWidth="true" hidden="false" outlineLevel="0" max="14" min="14" style="70" width="18.5"/>
    <col collapsed="false" customWidth="true" hidden="false" outlineLevel="0" max="15" min="15" style="70" width="17.83"/>
    <col collapsed="false" customWidth="true" hidden="false" outlineLevel="0" max="16" min="16" style="70" width="13.83"/>
    <col collapsed="false" customWidth="true" hidden="false" outlineLevel="0" max="17" min="17" style="70" width="12.66"/>
    <col collapsed="false" customWidth="true" hidden="false" outlineLevel="0" max="18" min="18" style="70" width="12.83"/>
    <col collapsed="false" customWidth="true" hidden="false" outlineLevel="0" max="19" min="19" style="70" width="12.17"/>
  </cols>
  <sheetData>
    <row r="1" customFormat="false" ht="48" hidden="false" customHeight="false" outlineLevel="0" collapsed="false">
      <c r="A1" s="41" t="s">
        <v>25</v>
      </c>
      <c r="B1" s="72" t="s">
        <v>26</v>
      </c>
      <c r="C1" s="73" t="s">
        <v>27</v>
      </c>
      <c r="D1" s="73" t="s">
        <v>28</v>
      </c>
      <c r="E1" s="73" t="s">
        <v>29</v>
      </c>
      <c r="F1" s="73" t="s">
        <v>29</v>
      </c>
      <c r="G1" s="73" t="s">
        <v>30</v>
      </c>
      <c r="H1" s="74" t="s">
        <v>31</v>
      </c>
      <c r="I1" s="75" t="s">
        <v>32</v>
      </c>
      <c r="J1" s="76" t="s">
        <v>3</v>
      </c>
      <c r="L1" s="77" t="s">
        <v>33</v>
      </c>
      <c r="M1" s="78" t="s">
        <v>34</v>
      </c>
      <c r="N1" s="79" t="s">
        <v>27</v>
      </c>
      <c r="O1" s="79" t="s">
        <v>28</v>
      </c>
      <c r="P1" s="79" t="s">
        <v>29</v>
      </c>
      <c r="Q1" s="79" t="s">
        <v>30</v>
      </c>
      <c r="R1" s="80" t="s">
        <v>31</v>
      </c>
      <c r="S1" s="79" t="s">
        <v>35</v>
      </c>
    </row>
    <row r="2" customFormat="false" ht="15" hidden="false" customHeight="false" outlineLevel="0" collapsed="false">
      <c r="A2" s="81" t="n">
        <v>45082</v>
      </c>
      <c r="B2" s="81" t="s">
        <v>36</v>
      </c>
      <c r="C2" s="82"/>
      <c r="D2" s="82"/>
      <c r="E2" s="82"/>
      <c r="F2" s="82"/>
      <c r="G2" s="83"/>
      <c r="H2" s="84"/>
      <c r="I2" s="85"/>
      <c r="J2" s="86"/>
      <c r="K2" s="87"/>
      <c r="L2" s="88"/>
      <c r="M2" s="81" t="s">
        <v>37</v>
      </c>
      <c r="N2" s="82"/>
      <c r="O2" s="82"/>
      <c r="P2" s="82"/>
      <c r="Q2" s="83"/>
      <c r="R2" s="84"/>
      <c r="S2" s="85"/>
    </row>
    <row r="3" customFormat="false" ht="15.75" hidden="false" customHeight="false" outlineLevel="0" collapsed="false">
      <c r="A3" s="89" t="n">
        <v>0.440972222222222</v>
      </c>
      <c r="B3" s="90" t="s">
        <v>46</v>
      </c>
      <c r="C3" s="75" t="n">
        <v>48868590</v>
      </c>
      <c r="D3" s="75" t="n">
        <v>48891020</v>
      </c>
      <c r="E3" s="91" t="n">
        <f aca="false">SUM(D3-C3)</f>
        <v>22430</v>
      </c>
      <c r="F3" s="189" t="n">
        <v>22430</v>
      </c>
      <c r="G3" s="41" t="n">
        <v>0.8323</v>
      </c>
      <c r="H3" s="93" t="n">
        <f aca="false">SUM(G3*F3)</f>
        <v>18668.489</v>
      </c>
      <c r="I3" s="29" t="n">
        <v>388</v>
      </c>
      <c r="J3" s="29" t="n">
        <v>6360</v>
      </c>
      <c r="K3" s="94" t="s">
        <v>18</v>
      </c>
      <c r="L3" s="95" t="n">
        <v>0.673611111111111</v>
      </c>
      <c r="M3" s="96" t="s">
        <v>39</v>
      </c>
      <c r="N3" s="159" t="n">
        <v>7621730</v>
      </c>
      <c r="O3" s="98" t="n">
        <v>7621990</v>
      </c>
      <c r="P3" s="99" t="n">
        <f aca="false">SUM(O3-N3)</f>
        <v>260</v>
      </c>
      <c r="Q3" s="100" t="n">
        <v>0.8357</v>
      </c>
      <c r="R3" s="101" t="n">
        <f aca="false">SUM(Q3*P3)</f>
        <v>217.282</v>
      </c>
      <c r="S3" s="102" t="s">
        <v>65</v>
      </c>
      <c r="V3" s="0" t="s">
        <v>41</v>
      </c>
    </row>
    <row r="4" customFormat="false" ht="15.75" hidden="false" customHeight="false" outlineLevel="0" collapsed="false">
      <c r="A4" s="89" t="n">
        <v>0.458333333333333</v>
      </c>
      <c r="B4" s="90" t="s">
        <v>38</v>
      </c>
      <c r="C4" s="97" t="n">
        <f aca="false">SUM(D3)</f>
        <v>48891020</v>
      </c>
      <c r="D4" s="75" t="n">
        <v>48899760</v>
      </c>
      <c r="E4" s="91" t="n">
        <f aca="false">SUM(D4-C4)</f>
        <v>8740</v>
      </c>
      <c r="F4" s="108" t="n">
        <f aca="false">SUM(D4-C4)</f>
        <v>8740</v>
      </c>
      <c r="G4" s="41" t="n">
        <v>0.8318</v>
      </c>
      <c r="H4" s="93" t="n">
        <f aca="false">SUM(G4*F4)</f>
        <v>7269.932</v>
      </c>
      <c r="I4" s="29" t="n">
        <v>237</v>
      </c>
      <c r="J4" s="29" t="n">
        <v>6362</v>
      </c>
      <c r="K4" s="94" t="s">
        <v>18</v>
      </c>
      <c r="L4" s="95" t="n">
        <v>0.756944444444444</v>
      </c>
      <c r="M4" s="104" t="s">
        <v>38</v>
      </c>
      <c r="N4" s="99" t="n">
        <f aca="false">SUM(O3)</f>
        <v>7621990</v>
      </c>
      <c r="O4" s="98" t="n">
        <v>7622070</v>
      </c>
      <c r="P4" s="99" t="n">
        <f aca="false">SUM(O4-N4)</f>
        <v>80</v>
      </c>
      <c r="Q4" s="105" t="n">
        <v>0.8312</v>
      </c>
      <c r="R4" s="101" t="n">
        <f aca="false">SUM(Q4*P4)</f>
        <v>66.496</v>
      </c>
      <c r="S4" s="102" t="s">
        <v>64</v>
      </c>
    </row>
    <row r="5" customFormat="false" ht="15.75" hidden="false" customHeight="false" outlineLevel="0" collapsed="false">
      <c r="A5" s="89" t="n">
        <v>0.5</v>
      </c>
      <c r="B5" s="90" t="s">
        <v>38</v>
      </c>
      <c r="C5" s="97" t="n">
        <f aca="false">SUM(D4)</f>
        <v>48899760</v>
      </c>
      <c r="D5" s="75" t="n">
        <v>48909930</v>
      </c>
      <c r="E5" s="91" t="n">
        <f aca="false">SUM(D5-C5)</f>
        <v>10170</v>
      </c>
      <c r="F5" s="108" t="n">
        <f aca="false">SUM(D5-C5)</f>
        <v>10170</v>
      </c>
      <c r="G5" s="41" t="n">
        <v>0.8318</v>
      </c>
      <c r="H5" s="93" t="n">
        <f aca="false">SUM(G5*F5)</f>
        <v>8459.406</v>
      </c>
      <c r="I5" s="29" t="n">
        <v>248</v>
      </c>
      <c r="J5" s="29" t="n">
        <v>6367</v>
      </c>
      <c r="K5" s="94" t="s">
        <v>18</v>
      </c>
      <c r="L5" s="95" t="n">
        <v>0.8125</v>
      </c>
      <c r="M5" s="104" t="s">
        <v>38</v>
      </c>
      <c r="N5" s="99" t="n">
        <f aca="false">SUM(O4)</f>
        <v>7622070</v>
      </c>
      <c r="O5" s="98" t="n">
        <v>7622080</v>
      </c>
      <c r="P5" s="99" t="n">
        <f aca="false">SUM(O5-N5)</f>
        <v>10</v>
      </c>
      <c r="Q5" s="100" t="n">
        <v>0.8312</v>
      </c>
      <c r="R5" s="101" t="n">
        <f aca="false">SUM(Q5*P5)</f>
        <v>8.312</v>
      </c>
      <c r="S5" s="102" t="s">
        <v>45</v>
      </c>
    </row>
    <row r="6" customFormat="false" ht="15.75" hidden="false" customHeight="false" outlineLevel="0" collapsed="false">
      <c r="A6" s="89" t="n">
        <v>0.534722222222222</v>
      </c>
      <c r="B6" s="90" t="s">
        <v>38</v>
      </c>
      <c r="C6" s="97" t="n">
        <f aca="false">SUM(D5)</f>
        <v>48909930</v>
      </c>
      <c r="D6" s="75" t="n">
        <v>48911110</v>
      </c>
      <c r="E6" s="91" t="n">
        <f aca="false">SUM(D6-C6)</f>
        <v>1180</v>
      </c>
      <c r="F6" s="108" t="n">
        <f aca="false">SUM(D6-C6)</f>
        <v>1180</v>
      </c>
      <c r="G6" s="41" t="n">
        <v>0.8318</v>
      </c>
      <c r="H6" s="93" t="n">
        <f aca="false">SUM(G6*F6)</f>
        <v>981.524</v>
      </c>
      <c r="I6" s="29" t="n">
        <v>237</v>
      </c>
      <c r="J6" s="29" t="n">
        <v>6368</v>
      </c>
      <c r="K6" s="94" t="s">
        <v>18</v>
      </c>
      <c r="L6" s="95"/>
      <c r="M6" s="104"/>
      <c r="N6" s="99" t="n">
        <f aca="false">SUM(O5)</f>
        <v>7622080</v>
      </c>
      <c r="O6" s="98"/>
      <c r="P6" s="99" t="n">
        <f aca="false">SUM(O6-N6)</f>
        <v>-7622080</v>
      </c>
      <c r="Q6" s="41"/>
      <c r="R6" s="101" t="n">
        <f aca="false">SUM(Q6*P6)</f>
        <v>0</v>
      </c>
      <c r="S6" s="102"/>
    </row>
    <row r="7" customFormat="false" ht="15.75" hidden="false" customHeight="false" outlineLevel="0" collapsed="false">
      <c r="A7" s="89" t="n">
        <v>0.555555555555556</v>
      </c>
      <c r="B7" s="90" t="s">
        <v>38</v>
      </c>
      <c r="C7" s="97" t="n">
        <f aca="false">SUM(D6)</f>
        <v>48911110</v>
      </c>
      <c r="D7" s="75" t="n">
        <v>48933540</v>
      </c>
      <c r="E7" s="91" t="n">
        <f aca="false">SUM(D7-C7)</f>
        <v>22430</v>
      </c>
      <c r="F7" s="189" t="n">
        <v>22430</v>
      </c>
      <c r="G7" s="41" t="n">
        <v>0.8318</v>
      </c>
      <c r="H7" s="93" t="n">
        <f aca="false">SUM(G7*F7)</f>
        <v>18657.274</v>
      </c>
      <c r="I7" s="29" t="n">
        <v>388</v>
      </c>
      <c r="J7" s="29" t="n">
        <v>6369</v>
      </c>
      <c r="K7" s="94" t="s">
        <v>18</v>
      </c>
      <c r="L7" s="95"/>
      <c r="M7" s="104"/>
      <c r="N7" s="99" t="n">
        <f aca="false">SUM(O6)</f>
        <v>0</v>
      </c>
      <c r="O7" s="98"/>
      <c r="P7" s="99" t="n">
        <f aca="false">SUM(O7-N7)</f>
        <v>0</v>
      </c>
      <c r="Q7" s="41"/>
      <c r="R7" s="101" t="n">
        <f aca="false">SUM(Q7*P7)</f>
        <v>0</v>
      </c>
      <c r="S7" s="102"/>
    </row>
    <row r="8" customFormat="false" ht="15.75" hidden="false" customHeight="false" outlineLevel="0" collapsed="false">
      <c r="A8" s="89" t="n">
        <v>0.635416666666667</v>
      </c>
      <c r="B8" s="90" t="s">
        <v>38</v>
      </c>
      <c r="C8" s="97" t="n">
        <f aca="false">SUM(D7)</f>
        <v>48933540</v>
      </c>
      <c r="D8" s="75" t="n">
        <v>48945020</v>
      </c>
      <c r="E8" s="91" t="n">
        <f aca="false">SUM(D8-C8)</f>
        <v>11480</v>
      </c>
      <c r="F8" s="189" t="n">
        <v>11480</v>
      </c>
      <c r="G8" s="41" t="n">
        <v>0.8312</v>
      </c>
      <c r="H8" s="93" t="n">
        <f aca="false">SUM(G8*F8)</f>
        <v>9542.176</v>
      </c>
      <c r="I8" s="29" t="n">
        <v>388</v>
      </c>
      <c r="J8" s="29" t="n">
        <v>6372</v>
      </c>
      <c r="K8" s="94" t="s">
        <v>18</v>
      </c>
      <c r="L8" s="95"/>
      <c r="M8" s="96"/>
      <c r="N8" s="99" t="n">
        <f aca="false">SUM(O7)</f>
        <v>0</v>
      </c>
      <c r="O8" s="98"/>
      <c r="P8" s="99" t="n">
        <f aca="false">SUM(O8-N8)</f>
        <v>0</v>
      </c>
      <c r="Q8" s="100"/>
      <c r="R8" s="101" t="n">
        <f aca="false">SUM(Q8*P8)</f>
        <v>0</v>
      </c>
      <c r="S8" s="1"/>
    </row>
    <row r="9" customFormat="false" ht="15.75" hidden="false" customHeight="false" outlineLevel="0" collapsed="false">
      <c r="A9" s="89" t="n">
        <v>0.635416666666667</v>
      </c>
      <c r="B9" s="90" t="s">
        <v>48</v>
      </c>
      <c r="C9" s="97" t="n">
        <f aca="false">SUM(D8)</f>
        <v>48945020</v>
      </c>
      <c r="D9" s="75" t="n">
        <v>48955950</v>
      </c>
      <c r="E9" s="91" t="n">
        <f aca="false">SUM(D9-C9)</f>
        <v>10930</v>
      </c>
      <c r="F9" s="189" t="n">
        <v>10950</v>
      </c>
      <c r="G9" s="41" t="n">
        <v>0.8312</v>
      </c>
      <c r="H9" s="93" t="n">
        <f aca="false">SUM(G9*F9)</f>
        <v>9101.64</v>
      </c>
      <c r="I9" s="29" t="n">
        <v>388</v>
      </c>
      <c r="J9" s="29" t="n">
        <v>6372</v>
      </c>
      <c r="K9" s="94" t="s">
        <v>18</v>
      </c>
      <c r="L9" s="95"/>
      <c r="M9" s="96"/>
      <c r="N9" s="99" t="n">
        <f aca="false">SUM(O8)</f>
        <v>0</v>
      </c>
      <c r="O9" s="98"/>
      <c r="P9" s="99" t="n">
        <f aca="false">SUM(O9-N9)</f>
        <v>0</v>
      </c>
      <c r="Q9" s="100"/>
      <c r="R9" s="101" t="n">
        <f aca="false">SUM(Q9*P9)</f>
        <v>0</v>
      </c>
      <c r="S9" s="1"/>
    </row>
    <row r="10" customFormat="false" ht="15.75" hidden="false" customHeight="false" outlineLevel="0" collapsed="false">
      <c r="A10" s="89" t="n">
        <v>0.722222222222222</v>
      </c>
      <c r="B10" s="90" t="s">
        <v>48</v>
      </c>
      <c r="C10" s="97" t="n">
        <f aca="false">SUM(D9)</f>
        <v>48955950</v>
      </c>
      <c r="D10" s="75" t="n">
        <v>48967430</v>
      </c>
      <c r="E10" s="91" t="n">
        <f aca="false">SUM(D10-C10)</f>
        <v>11480</v>
      </c>
      <c r="F10" s="189" t="n">
        <v>11480</v>
      </c>
      <c r="G10" s="41" t="n">
        <v>0.8312</v>
      </c>
      <c r="H10" s="93" t="n">
        <f aca="false">SUM(G10*F10)</f>
        <v>9542.176</v>
      </c>
      <c r="I10" s="29" t="n">
        <v>388</v>
      </c>
      <c r="J10" s="29" t="n">
        <v>6374</v>
      </c>
      <c r="K10" s="94" t="s">
        <v>18</v>
      </c>
      <c r="L10" s="95"/>
      <c r="M10" s="96"/>
      <c r="N10" s="99" t="n">
        <f aca="false">SUM(O9)</f>
        <v>0</v>
      </c>
      <c r="O10" s="98"/>
      <c r="P10" s="99" t="n">
        <f aca="false">SUM(O10-N10)</f>
        <v>0</v>
      </c>
      <c r="Q10" s="100"/>
      <c r="R10" s="101" t="n">
        <f aca="false">SUM(Q10*P10)</f>
        <v>0</v>
      </c>
      <c r="S10" s="102"/>
    </row>
    <row r="11" customFormat="false" ht="15.75" hidden="false" customHeight="false" outlineLevel="0" collapsed="false">
      <c r="A11" s="89" t="n">
        <v>0.760416666666667</v>
      </c>
      <c r="B11" s="90" t="s">
        <v>48</v>
      </c>
      <c r="C11" s="97" t="n">
        <f aca="false">SUM(D10)</f>
        <v>48967430</v>
      </c>
      <c r="D11" s="75" t="n">
        <v>48977410</v>
      </c>
      <c r="E11" s="91" t="n">
        <f aca="false">SUM(D11-C11)</f>
        <v>9980</v>
      </c>
      <c r="F11" s="106" t="n">
        <v>9986</v>
      </c>
      <c r="G11" s="41" t="n">
        <v>0.8312</v>
      </c>
      <c r="H11" s="93" t="n">
        <f aca="false">SUM(G11*F11)</f>
        <v>8300.3632</v>
      </c>
      <c r="I11" s="29" t="n">
        <v>251</v>
      </c>
      <c r="J11" s="29" t="n">
        <v>6375</v>
      </c>
      <c r="K11" s="94" t="s">
        <v>18</v>
      </c>
      <c r="L11" s="95"/>
      <c r="M11" s="96"/>
      <c r="N11" s="99" t="n">
        <f aca="false">SUM(O10)</f>
        <v>0</v>
      </c>
      <c r="O11" s="98"/>
      <c r="P11" s="99" t="n">
        <f aca="false">SUM(O11-N11)</f>
        <v>0</v>
      </c>
      <c r="Q11" s="100"/>
      <c r="R11" s="101" t="n">
        <f aca="false">SUM(Q11*P11)</f>
        <v>0</v>
      </c>
      <c r="S11" s="1"/>
    </row>
    <row r="12" customFormat="false" ht="15.75" hidden="false" customHeight="false" outlineLevel="0" collapsed="false">
      <c r="A12" s="89" t="n">
        <v>0.760416666666667</v>
      </c>
      <c r="B12" s="90" t="s">
        <v>48</v>
      </c>
      <c r="C12" s="97" t="n">
        <f aca="false">SUM(D11)</f>
        <v>48977410</v>
      </c>
      <c r="D12" s="75" t="n">
        <v>48984460</v>
      </c>
      <c r="E12" s="91" t="n">
        <f aca="false">SUM(D12-C12)</f>
        <v>7050</v>
      </c>
      <c r="F12" s="106" t="n">
        <v>7033</v>
      </c>
      <c r="G12" s="41" t="n">
        <v>0.8312</v>
      </c>
      <c r="H12" s="93" t="n">
        <f aca="false">SUM(G12*F12)</f>
        <v>5845.8296</v>
      </c>
      <c r="I12" s="29" t="n">
        <v>251</v>
      </c>
      <c r="J12" s="29" t="n">
        <v>6375</v>
      </c>
      <c r="K12" s="94" t="s">
        <v>18</v>
      </c>
      <c r="L12" s="95"/>
      <c r="M12" s="96"/>
      <c r="N12" s="99" t="n">
        <f aca="false">SUM(O11)</f>
        <v>0</v>
      </c>
      <c r="O12" s="98"/>
      <c r="P12" s="99" t="n">
        <f aca="false">SUM(O12-N12)</f>
        <v>0</v>
      </c>
      <c r="Q12" s="100"/>
      <c r="R12" s="101" t="n">
        <f aca="false">SUM(Q12*P12)</f>
        <v>0</v>
      </c>
      <c r="S12" s="1"/>
    </row>
    <row r="13" customFormat="false" ht="15.75" hidden="false" customHeight="false" outlineLevel="0" collapsed="false">
      <c r="A13" s="89" t="n">
        <v>0.777777777777778</v>
      </c>
      <c r="B13" s="90" t="s">
        <v>54</v>
      </c>
      <c r="C13" s="97" t="n">
        <f aca="false">SUM(D12)</f>
        <v>48984460</v>
      </c>
      <c r="D13" s="75" t="n">
        <v>48995940</v>
      </c>
      <c r="E13" s="91" t="n">
        <f aca="false">SUM(D13-C13)</f>
        <v>11480</v>
      </c>
      <c r="F13" s="189" t="n">
        <v>11480</v>
      </c>
      <c r="G13" s="41" t="n">
        <v>0.8312</v>
      </c>
      <c r="H13" s="93" t="n">
        <f aca="false">SUM(G13*F13)</f>
        <v>9542.176</v>
      </c>
      <c r="I13" s="29" t="n">
        <v>388</v>
      </c>
      <c r="J13" s="29" t="n">
        <v>6376</v>
      </c>
      <c r="K13" s="94" t="s">
        <v>18</v>
      </c>
      <c r="L13" s="95"/>
      <c r="M13" s="96"/>
      <c r="N13" s="99" t="n">
        <f aca="false">SUM(O12)</f>
        <v>0</v>
      </c>
      <c r="O13" s="98"/>
      <c r="P13" s="99" t="n">
        <f aca="false">SUM(O13-N13)</f>
        <v>0</v>
      </c>
      <c r="Q13" s="100"/>
      <c r="R13" s="101" t="n">
        <f aca="false">SUM(Q13*P13)</f>
        <v>0</v>
      </c>
      <c r="S13" s="1"/>
    </row>
    <row r="14" customFormat="false" ht="15.75" hidden="false" customHeight="false" outlineLevel="0" collapsed="false">
      <c r="A14" s="89" t="n">
        <v>0.777777777777778</v>
      </c>
      <c r="B14" s="90" t="s">
        <v>54</v>
      </c>
      <c r="C14" s="97" t="n">
        <f aca="false">SUM(D13)</f>
        <v>48995940</v>
      </c>
      <c r="D14" s="75" t="n">
        <v>49006890</v>
      </c>
      <c r="E14" s="91" t="n">
        <f aca="false">SUM(D14-C14)</f>
        <v>10950</v>
      </c>
      <c r="F14" s="189" t="n">
        <v>10950</v>
      </c>
      <c r="G14" s="41" t="n">
        <v>0.8312</v>
      </c>
      <c r="H14" s="93" t="n">
        <f aca="false">SUM(G14*F14)</f>
        <v>9101.64</v>
      </c>
      <c r="I14" s="29" t="n">
        <v>388</v>
      </c>
      <c r="J14" s="29" t="n">
        <v>6377</v>
      </c>
      <c r="K14" s="94" t="s">
        <v>18</v>
      </c>
      <c r="L14" s="95"/>
      <c r="M14" s="96"/>
      <c r="N14" s="99" t="n">
        <f aca="false">SUM(O13)</f>
        <v>0</v>
      </c>
      <c r="O14" s="98"/>
      <c r="P14" s="99" t="n">
        <f aca="false">SUM(O14-N14)</f>
        <v>0</v>
      </c>
      <c r="Q14" s="100"/>
      <c r="R14" s="101" t="n">
        <f aca="false">SUM(Q14*P14)</f>
        <v>0</v>
      </c>
      <c r="S14" s="1"/>
    </row>
    <row r="15" customFormat="false" ht="15.75" hidden="false" customHeight="false" outlineLevel="0" collapsed="false">
      <c r="A15" s="89" t="n">
        <v>0.944444444444444</v>
      </c>
      <c r="B15" s="90" t="s">
        <v>38</v>
      </c>
      <c r="C15" s="97" t="n">
        <f aca="false">SUM(D14)</f>
        <v>49006890</v>
      </c>
      <c r="D15" s="75" t="n">
        <v>49018370</v>
      </c>
      <c r="E15" s="91" t="n">
        <f aca="false">SUM(D15-C15)</f>
        <v>11480</v>
      </c>
      <c r="F15" s="189" t="n">
        <v>11480</v>
      </c>
      <c r="G15" s="41" t="n">
        <v>0.8291</v>
      </c>
      <c r="H15" s="93" t="n">
        <f aca="false">SUM(G15*F15)</f>
        <v>9518.068</v>
      </c>
      <c r="I15" s="29" t="n">
        <v>388</v>
      </c>
      <c r="J15" s="29" t="n">
        <v>6381</v>
      </c>
      <c r="K15" s="94" t="s">
        <v>18</v>
      </c>
      <c r="L15" s="95"/>
      <c r="M15" s="96"/>
      <c r="N15" s="99" t="n">
        <f aca="false">SUM(O14)</f>
        <v>0</v>
      </c>
      <c r="O15" s="98"/>
      <c r="P15" s="99" t="n">
        <f aca="false">SUM(O15-N15)</f>
        <v>0</v>
      </c>
      <c r="Q15" s="100"/>
      <c r="R15" s="101" t="n">
        <f aca="false">SUM(Q15*P15)</f>
        <v>0</v>
      </c>
      <c r="S15" s="1"/>
    </row>
    <row r="16" customFormat="false" ht="15.75" hidden="false" customHeight="false" outlineLevel="0" collapsed="false">
      <c r="A16" s="89" t="n">
        <v>0.944444444444444</v>
      </c>
      <c r="B16" s="90" t="s">
        <v>38</v>
      </c>
      <c r="C16" s="97" t="n">
        <f aca="false">SUM(D15)</f>
        <v>49018370</v>
      </c>
      <c r="D16" s="75" t="n">
        <v>49029320</v>
      </c>
      <c r="E16" s="91" t="n">
        <f aca="false">SUM(D16-C16)</f>
        <v>10950</v>
      </c>
      <c r="F16" s="189" t="n">
        <v>10950</v>
      </c>
      <c r="G16" s="41" t="n">
        <v>0.8291</v>
      </c>
      <c r="H16" s="93" t="n">
        <f aca="false">SUM(G16*F16)</f>
        <v>9078.645</v>
      </c>
      <c r="I16" s="29" t="n">
        <v>388</v>
      </c>
      <c r="J16" s="29" t="n">
        <v>6382</v>
      </c>
      <c r="K16" s="94" t="s">
        <v>18</v>
      </c>
      <c r="L16" s="95"/>
      <c r="M16" s="104"/>
      <c r="N16" s="99" t="n">
        <f aca="false">SUM(O15)</f>
        <v>0</v>
      </c>
      <c r="O16" s="98"/>
      <c r="P16" s="99" t="n">
        <f aca="false">SUM(O16-N16)</f>
        <v>0</v>
      </c>
      <c r="Q16" s="41"/>
      <c r="R16" s="101" t="n">
        <f aca="false">SUM(Q16*P16)</f>
        <v>0</v>
      </c>
      <c r="S16" s="102"/>
    </row>
    <row r="17" customFormat="false" ht="15.75" hidden="false" customHeight="false" outlineLevel="0" collapsed="false">
      <c r="A17" s="89" t="n">
        <v>0.958333333333333</v>
      </c>
      <c r="B17" s="90" t="s">
        <v>38</v>
      </c>
      <c r="C17" s="97" t="n">
        <f aca="false">SUM(D16)</f>
        <v>49029320</v>
      </c>
      <c r="D17" s="75" t="n">
        <v>49038250</v>
      </c>
      <c r="E17" s="91" t="n">
        <f aca="false">SUM(D17-C17)</f>
        <v>8930</v>
      </c>
      <c r="F17" s="108" t="n">
        <f aca="false">SUM(D17-C17)</f>
        <v>8930</v>
      </c>
      <c r="G17" s="41" t="n">
        <v>0.8291</v>
      </c>
      <c r="H17" s="93" t="n">
        <f aca="false">SUM(G17*F17)</f>
        <v>7403.863</v>
      </c>
      <c r="I17" s="29" t="n">
        <v>237</v>
      </c>
      <c r="J17" s="29" t="n">
        <v>6384</v>
      </c>
      <c r="K17" s="94" t="s">
        <v>18</v>
      </c>
      <c r="L17" s="88"/>
      <c r="M17" s="88" t="s">
        <v>49</v>
      </c>
      <c r="N17" s="82"/>
      <c r="O17" s="82"/>
      <c r="P17" s="82"/>
      <c r="Q17" s="83"/>
      <c r="R17" s="84"/>
      <c r="S17" s="85"/>
    </row>
    <row r="18" customFormat="false" ht="15.75" hidden="false" customHeight="false" outlineLevel="0" collapsed="false">
      <c r="A18" s="89" t="n">
        <v>0.00694444444444444</v>
      </c>
      <c r="B18" s="90" t="s">
        <v>38</v>
      </c>
      <c r="C18" s="97" t="n">
        <f aca="false">SUM(D17)</f>
        <v>49038250</v>
      </c>
      <c r="D18" s="75" t="n">
        <v>49060680</v>
      </c>
      <c r="E18" s="91" t="n">
        <f aca="false">SUM(D18-C18)</f>
        <v>22430</v>
      </c>
      <c r="F18" s="189" t="n">
        <v>22430</v>
      </c>
      <c r="G18" s="41" t="n">
        <v>0.8291</v>
      </c>
      <c r="H18" s="93" t="n">
        <f aca="false">SUM(G18*F18)</f>
        <v>18596.713</v>
      </c>
      <c r="I18" s="29" t="n">
        <v>388</v>
      </c>
      <c r="J18" s="29" t="n">
        <v>6385</v>
      </c>
      <c r="K18" s="94" t="s">
        <v>18</v>
      </c>
      <c r="L18" s="95" t="n">
        <v>0.409722222222222</v>
      </c>
      <c r="M18" s="104" t="s">
        <v>62</v>
      </c>
      <c r="N18" s="107" t="n">
        <v>4496750</v>
      </c>
      <c r="O18" s="98" t="n">
        <v>4496780</v>
      </c>
      <c r="P18" s="108" t="n">
        <f aca="false">SUM(O18-N18)</f>
        <v>30</v>
      </c>
      <c r="Q18" s="41" t="n">
        <v>0.8285</v>
      </c>
      <c r="R18" s="93" t="n">
        <f aca="false">SUM(Q18*P18)</f>
        <v>24.855</v>
      </c>
      <c r="S18" s="102" t="s">
        <v>78</v>
      </c>
      <c r="T18" s="0" t="s">
        <v>41</v>
      </c>
    </row>
    <row r="19" customFormat="false" ht="15.75" hidden="false" customHeight="false" outlineLevel="0" collapsed="false">
      <c r="A19" s="89" t="n">
        <v>0.159722222222222</v>
      </c>
      <c r="B19" s="90" t="s">
        <v>48</v>
      </c>
      <c r="C19" s="97" t="n">
        <f aca="false">SUM(D18)</f>
        <v>49060680</v>
      </c>
      <c r="D19" s="75" t="n">
        <v>49077700</v>
      </c>
      <c r="E19" s="91" t="n">
        <f aca="false">SUM(D19-C19)</f>
        <v>17020</v>
      </c>
      <c r="F19" s="106" t="n">
        <v>17019</v>
      </c>
      <c r="G19" s="41" t="n">
        <v>0.8285</v>
      </c>
      <c r="H19" s="93" t="n">
        <f aca="false">SUM(G19*F19)</f>
        <v>14100.2415</v>
      </c>
      <c r="I19" s="29" t="n">
        <v>251</v>
      </c>
      <c r="J19" s="29" t="n">
        <v>6387</v>
      </c>
      <c r="K19" s="94" t="s">
        <v>18</v>
      </c>
      <c r="L19" s="95"/>
      <c r="M19" s="104"/>
      <c r="N19" s="97" t="n">
        <f aca="false">SUM(O18)</f>
        <v>4496780</v>
      </c>
      <c r="O19" s="98"/>
      <c r="P19" s="108" t="n">
        <f aca="false">SUM(O19-N19)</f>
        <v>-4496780</v>
      </c>
      <c r="Q19" s="41"/>
      <c r="R19" s="93" t="n">
        <f aca="false">SUM(Q19*P19)</f>
        <v>0</v>
      </c>
      <c r="S19" s="102"/>
    </row>
    <row r="20" customFormat="false" ht="15.75" hidden="false" customHeight="false" outlineLevel="0" collapsed="false">
      <c r="A20" s="89" t="n">
        <v>0.1875</v>
      </c>
      <c r="B20" s="90" t="s">
        <v>48</v>
      </c>
      <c r="C20" s="97" t="n">
        <f aca="false">SUM(D19)</f>
        <v>49077700</v>
      </c>
      <c r="D20" s="75" t="n">
        <v>49100130</v>
      </c>
      <c r="E20" s="91" t="n">
        <f aca="false">SUM(D20-C20)</f>
        <v>22430</v>
      </c>
      <c r="F20" s="189" t="n">
        <v>22430</v>
      </c>
      <c r="G20" s="41" t="n">
        <v>0.8305</v>
      </c>
      <c r="H20" s="93" t="n">
        <f aca="false">SUM(G20*F20)</f>
        <v>18628.115</v>
      </c>
      <c r="I20" s="1" t="n">
        <v>388</v>
      </c>
      <c r="J20" s="29" t="n">
        <v>6388</v>
      </c>
      <c r="K20" s="94" t="s">
        <v>18</v>
      </c>
      <c r="L20" s="95"/>
      <c r="M20" s="104"/>
      <c r="N20" s="97" t="n">
        <f aca="false">SUM(O19)</f>
        <v>0</v>
      </c>
      <c r="O20" s="98"/>
      <c r="P20" s="108" t="n">
        <f aca="false">SUM(O20-N20)</f>
        <v>0</v>
      </c>
      <c r="Q20" s="41"/>
      <c r="R20" s="93" t="n">
        <f aca="false">SUM(Q20*P20)</f>
        <v>0</v>
      </c>
      <c r="S20" s="102"/>
    </row>
    <row r="21" customFormat="false" ht="15.75" hidden="false" customHeight="false" outlineLevel="0" collapsed="false">
      <c r="A21" s="89" t="n">
        <v>0.25</v>
      </c>
      <c r="B21" s="90" t="s">
        <v>48</v>
      </c>
      <c r="C21" s="97" t="n">
        <f aca="false">SUM(D20)</f>
        <v>49100130</v>
      </c>
      <c r="D21" s="75" t="n">
        <v>49122560</v>
      </c>
      <c r="E21" s="91" t="n">
        <f aca="false">SUM(D21-C21)</f>
        <v>22430</v>
      </c>
      <c r="F21" s="189" t="n">
        <v>22430</v>
      </c>
      <c r="G21" s="41" t="n">
        <v>0.8305</v>
      </c>
      <c r="H21" s="93" t="n">
        <f aca="false">SUM(G21*F21)</f>
        <v>18628.115</v>
      </c>
      <c r="I21" s="1" t="n">
        <v>388</v>
      </c>
      <c r="J21" s="29" t="n">
        <v>6390</v>
      </c>
      <c r="K21" s="94" t="s">
        <v>18</v>
      </c>
      <c r="L21" s="95"/>
      <c r="M21" s="104"/>
      <c r="N21" s="97" t="n">
        <f aca="false">SUM(O20)</f>
        <v>0</v>
      </c>
      <c r="O21" s="98"/>
      <c r="P21" s="108" t="n">
        <f aca="false">SUM(O21-N21)</f>
        <v>0</v>
      </c>
      <c r="Q21" s="41"/>
      <c r="R21" s="93" t="n">
        <f aca="false">SUM(Q21*P21)</f>
        <v>0</v>
      </c>
      <c r="S21" s="102"/>
    </row>
    <row r="22" customFormat="false" ht="15.75" hidden="false" customHeight="false" outlineLevel="0" collapsed="false">
      <c r="A22" s="89" t="n">
        <v>0.263888888888889</v>
      </c>
      <c r="B22" s="90" t="s">
        <v>39</v>
      </c>
      <c r="C22" s="97" t="n">
        <f aca="false">SUM(D21)</f>
        <v>49122560</v>
      </c>
      <c r="D22" s="75" t="n">
        <v>49139580</v>
      </c>
      <c r="E22" s="91" t="n">
        <f aca="false">SUM(D22-C22)</f>
        <v>17020</v>
      </c>
      <c r="F22" s="106" t="n">
        <v>17019</v>
      </c>
      <c r="G22" s="41" t="n">
        <v>0.8335</v>
      </c>
      <c r="H22" s="93" t="n">
        <f aca="false">SUM(G22*F22)</f>
        <v>14185.3365</v>
      </c>
      <c r="I22" s="1" t="n">
        <v>251</v>
      </c>
      <c r="J22" s="29" t="n">
        <v>6391</v>
      </c>
      <c r="K22" s="94" t="s">
        <v>18</v>
      </c>
      <c r="L22" s="95"/>
      <c r="M22" s="104"/>
      <c r="N22" s="97"/>
      <c r="O22" s="98"/>
      <c r="P22" s="108"/>
      <c r="Q22" s="41"/>
      <c r="R22" s="93"/>
      <c r="S22" s="102"/>
    </row>
    <row r="23" customFormat="false" ht="15.75" hidden="false" customHeight="false" outlineLevel="0" collapsed="false">
      <c r="A23" s="89" t="n">
        <v>0.305555555555555</v>
      </c>
      <c r="B23" s="90" t="s">
        <v>39</v>
      </c>
      <c r="C23" s="97" t="n">
        <f aca="false">SUM(D22)</f>
        <v>49139580</v>
      </c>
      <c r="D23" s="75" t="n">
        <v>49161990</v>
      </c>
      <c r="E23" s="91" t="n">
        <f aca="false">SUM(D23-C23)</f>
        <v>22410</v>
      </c>
      <c r="F23" s="189" t="n">
        <v>22430</v>
      </c>
      <c r="G23" s="41" t="n">
        <v>0.8335</v>
      </c>
      <c r="H23" s="93" t="n">
        <f aca="false">SUM(G23*F23)</f>
        <v>18695.405</v>
      </c>
      <c r="I23" s="1" t="n">
        <v>388</v>
      </c>
      <c r="J23" s="29" t="n">
        <v>6392</v>
      </c>
      <c r="K23" s="94" t="s">
        <v>18</v>
      </c>
      <c r="L23" s="95"/>
      <c r="M23" s="104"/>
      <c r="N23" s="97"/>
      <c r="O23" s="98"/>
      <c r="P23" s="108"/>
      <c r="Q23" s="41"/>
      <c r="R23" s="93"/>
      <c r="S23" s="102"/>
    </row>
    <row r="24" customFormat="false" ht="15.75" hidden="false" customHeight="false" outlineLevel="0" collapsed="false">
      <c r="A24" s="89" t="n">
        <v>0.361111111111111</v>
      </c>
      <c r="B24" s="90" t="s">
        <v>39</v>
      </c>
      <c r="C24" s="97" t="n">
        <f aca="false">SUM(D23)</f>
        <v>49161990</v>
      </c>
      <c r="D24" s="75" t="n">
        <v>49184410</v>
      </c>
      <c r="E24" s="91" t="n">
        <f aca="false">SUM(D24-C24)</f>
        <v>22420</v>
      </c>
      <c r="F24" s="189" t="n">
        <v>22430</v>
      </c>
      <c r="G24" s="41" t="n">
        <v>0.8335</v>
      </c>
      <c r="H24" s="93" t="n">
        <f aca="false">SUM(G24*F24)</f>
        <v>18695.405</v>
      </c>
      <c r="I24" s="1" t="n">
        <v>388</v>
      </c>
      <c r="J24" s="29" t="n">
        <v>6395</v>
      </c>
      <c r="K24" s="94" t="s">
        <v>18</v>
      </c>
      <c r="L24" s="95"/>
      <c r="M24" s="104"/>
      <c r="N24" s="97" t="n">
        <f aca="false">SUM(O21)</f>
        <v>0</v>
      </c>
      <c r="O24" s="98"/>
      <c r="P24" s="108" t="n">
        <f aca="false">SUM(O24-N24)</f>
        <v>0</v>
      </c>
      <c r="Q24" s="41"/>
      <c r="R24" s="93" t="n">
        <f aca="false">SUM(Q24*P24)</f>
        <v>0</v>
      </c>
      <c r="S24" s="102"/>
    </row>
    <row r="25" customFormat="false" ht="15" hidden="false" customHeight="false" outlineLevel="0" collapsed="false">
      <c r="A25" s="89"/>
      <c r="B25" s="90"/>
      <c r="C25" s="97"/>
      <c r="D25" s="75"/>
      <c r="E25" s="91" t="n">
        <f aca="false">SUM(D25-C25)</f>
        <v>0</v>
      </c>
      <c r="F25" s="108" t="n">
        <f aca="false">SUM(D25-C25)</f>
        <v>0</v>
      </c>
      <c r="G25" s="41"/>
      <c r="H25" s="93" t="n">
        <f aca="false">SUM(G25*F25)</f>
        <v>0</v>
      </c>
      <c r="I25" s="1"/>
      <c r="J25" s="29"/>
      <c r="K25" s="94"/>
      <c r="L25" s="95"/>
      <c r="M25" s="104"/>
      <c r="N25" s="97" t="n">
        <f aca="false">SUM(O24)</f>
        <v>0</v>
      </c>
      <c r="O25" s="98"/>
      <c r="P25" s="108" t="n">
        <f aca="false">SUM(O25-N25)</f>
        <v>0</v>
      </c>
      <c r="Q25" s="41"/>
      <c r="R25" s="93" t="n">
        <f aca="false">SUM(Q25*P25)</f>
        <v>0</v>
      </c>
      <c r="S25" s="102"/>
    </row>
    <row r="26" customFormat="false" ht="15" hidden="false" customHeight="false" outlineLevel="0" collapsed="false">
      <c r="A26" s="89"/>
      <c r="B26" s="90"/>
      <c r="C26" s="97" t="n">
        <f aca="false">SUM(D25)</f>
        <v>0</v>
      </c>
      <c r="D26" s="75"/>
      <c r="E26" s="91" t="n">
        <f aca="false">SUM(D26-C26)</f>
        <v>0</v>
      </c>
      <c r="F26" s="108" t="n">
        <f aca="false">SUM(F3:F25)</f>
        <v>315857</v>
      </c>
      <c r="G26" s="41"/>
      <c r="H26" s="93" t="n">
        <f aca="false">SUM(H3:H25)</f>
        <v>262542.5328</v>
      </c>
      <c r="I26" s="1"/>
      <c r="J26" s="29"/>
      <c r="K26" s="94"/>
      <c r="L26" s="95"/>
      <c r="M26" s="104"/>
      <c r="N26" s="97" t="n">
        <f aca="false">SUM(O25)</f>
        <v>0</v>
      </c>
      <c r="O26" s="98"/>
      <c r="P26" s="108" t="n">
        <f aca="false">SUM(O26-N26)</f>
        <v>0</v>
      </c>
      <c r="Q26" s="41"/>
      <c r="R26" s="93" t="n">
        <f aca="false">SUM(Q26*P26)</f>
        <v>0</v>
      </c>
      <c r="S26" s="102"/>
    </row>
    <row r="27" customFormat="false" ht="15" hidden="false" customHeight="false" outlineLevel="0" collapsed="false">
      <c r="A27" s="88"/>
      <c r="B27" s="81" t="s">
        <v>49</v>
      </c>
      <c r="C27" s="82"/>
      <c r="D27" s="82"/>
      <c r="E27" s="82"/>
      <c r="F27" s="82"/>
      <c r="G27" s="83"/>
      <c r="H27" s="84"/>
      <c r="I27" s="85"/>
      <c r="J27" s="85"/>
      <c r="L27" s="95"/>
      <c r="M27" s="96"/>
      <c r="N27" s="97" t="n">
        <f aca="false">SUM(O26)</f>
        <v>0</v>
      </c>
      <c r="O27" s="98"/>
      <c r="P27" s="108" t="n">
        <f aca="false">SUM(O27-N27)</f>
        <v>0</v>
      </c>
      <c r="Q27" s="100"/>
      <c r="R27" s="93" t="n">
        <f aca="false">SUM(Q27*P27)</f>
        <v>0</v>
      </c>
      <c r="S27" s="1"/>
    </row>
    <row r="28" customFormat="false" ht="15.75" hidden="false" customHeight="false" outlineLevel="0" collapsed="false">
      <c r="A28" s="89" t="n">
        <v>0.416666666666667</v>
      </c>
      <c r="B28" s="90" t="s">
        <v>57</v>
      </c>
      <c r="C28" s="98" t="n">
        <v>4496780</v>
      </c>
      <c r="D28" s="107" t="n">
        <v>4502790</v>
      </c>
      <c r="E28" s="91" t="n">
        <f aca="false">SUM(D28-C28)</f>
        <v>6010</v>
      </c>
      <c r="F28" s="108" t="n">
        <f aca="false">SUM(D28-C28)</f>
        <v>6010</v>
      </c>
      <c r="G28" s="41" t="n">
        <v>0.8245</v>
      </c>
      <c r="H28" s="93" t="n">
        <f aca="false">SUM(G28*F28)</f>
        <v>4955.245</v>
      </c>
      <c r="I28" s="29" t="n">
        <v>119</v>
      </c>
      <c r="J28" s="1" t="n">
        <v>6359</v>
      </c>
      <c r="K28" s="119" t="s">
        <v>91</v>
      </c>
      <c r="L28" s="95"/>
      <c r="M28" s="96"/>
      <c r="N28" s="97" t="n">
        <f aca="false">SUM(O27)</f>
        <v>0</v>
      </c>
      <c r="O28" s="98"/>
      <c r="P28" s="108" t="n">
        <f aca="false">SUM(O28-N28)</f>
        <v>0</v>
      </c>
      <c r="Q28" s="100"/>
      <c r="R28" s="93" t="n">
        <f aca="false">SUM(Q28*P28)</f>
        <v>0</v>
      </c>
      <c r="S28" s="102"/>
    </row>
    <row r="29" customFormat="false" ht="15.75" hidden="false" customHeight="false" outlineLevel="0" collapsed="false">
      <c r="A29" s="89" t="n">
        <v>0.451388888888889</v>
      </c>
      <c r="B29" s="90" t="s">
        <v>72</v>
      </c>
      <c r="C29" s="97" t="n">
        <f aca="false">SUM(D28)</f>
        <v>4502790</v>
      </c>
      <c r="D29" s="107" t="n">
        <v>4510080</v>
      </c>
      <c r="E29" s="91" t="n">
        <f aca="false">SUM(D29-C29)</f>
        <v>7290</v>
      </c>
      <c r="F29" s="108" t="n">
        <f aca="false">SUM(D29-C29)</f>
        <v>7290</v>
      </c>
      <c r="G29" s="41" t="n">
        <v>0.8252</v>
      </c>
      <c r="H29" s="93" t="n">
        <f aca="false">SUM(G29*F29)</f>
        <v>6015.708</v>
      </c>
      <c r="I29" s="29" t="n">
        <v>81</v>
      </c>
      <c r="J29" s="1" t="n">
        <v>6361</v>
      </c>
      <c r="K29" s="111" t="s">
        <v>56</v>
      </c>
      <c r="L29" s="95"/>
      <c r="M29" s="96"/>
      <c r="N29" s="97" t="n">
        <f aca="false">SUM(O28)</f>
        <v>0</v>
      </c>
      <c r="O29" s="98"/>
      <c r="P29" s="108" t="n">
        <f aca="false">SUM(O29-N29)</f>
        <v>0</v>
      </c>
      <c r="Q29" s="100"/>
      <c r="R29" s="93" t="n">
        <f aca="false">SUM(Q29*P29)</f>
        <v>0</v>
      </c>
      <c r="S29" s="1"/>
    </row>
    <row r="30" customFormat="false" ht="15.75" hidden="false" customHeight="false" outlineLevel="0" collapsed="false">
      <c r="A30" s="89" t="n">
        <v>0.458333333333333</v>
      </c>
      <c r="B30" s="90" t="s">
        <v>90</v>
      </c>
      <c r="C30" s="97" t="n">
        <f aca="false">SUM(D29)</f>
        <v>4510080</v>
      </c>
      <c r="D30" s="107" t="n">
        <v>4525140</v>
      </c>
      <c r="E30" s="91" t="n">
        <f aca="false">SUM(D30-C30)</f>
        <v>15060</v>
      </c>
      <c r="F30" s="108" t="n">
        <v>15040</v>
      </c>
      <c r="G30" s="41" t="n">
        <v>0.8218</v>
      </c>
      <c r="H30" s="93" t="n">
        <f aca="false">SUM(G30*F30)</f>
        <v>12359.872</v>
      </c>
      <c r="I30" s="29" t="n">
        <v>467</v>
      </c>
      <c r="J30" s="1" t="n">
        <v>6363</v>
      </c>
      <c r="K30" s="118" t="s">
        <v>60</v>
      </c>
      <c r="L30" s="95"/>
      <c r="M30" s="96"/>
      <c r="N30" s="97" t="n">
        <f aca="false">SUM(O29)</f>
        <v>0</v>
      </c>
      <c r="O30" s="98"/>
      <c r="P30" s="108" t="n">
        <f aca="false">SUM(O30-N30)</f>
        <v>0</v>
      </c>
      <c r="Q30" s="100"/>
      <c r="R30" s="93" t="n">
        <f aca="false">SUM(Q30*P30)</f>
        <v>0</v>
      </c>
      <c r="S30" s="1"/>
    </row>
    <row r="31" customFormat="false" ht="15.75" hidden="false" customHeight="false" outlineLevel="0" collapsed="false">
      <c r="A31" s="89" t="n">
        <v>0.472222222222222</v>
      </c>
      <c r="B31" s="90" t="s">
        <v>72</v>
      </c>
      <c r="C31" s="97" t="n">
        <f aca="false">SUM(D30)</f>
        <v>4525140</v>
      </c>
      <c r="D31" s="107" t="n">
        <v>4530790</v>
      </c>
      <c r="E31" s="91" t="n">
        <f aca="false">SUM(D31-C31)</f>
        <v>5650</v>
      </c>
      <c r="F31" s="108" t="n">
        <f aca="false">SUM(D31-C31)</f>
        <v>5650</v>
      </c>
      <c r="G31" s="41" t="n">
        <v>0.8256</v>
      </c>
      <c r="H31" s="93" t="n">
        <f aca="false">SUM(G31*F31)</f>
        <v>4664.64</v>
      </c>
      <c r="I31" s="29" t="n">
        <v>57</v>
      </c>
      <c r="J31" s="1" t="n">
        <v>6364</v>
      </c>
      <c r="K31" s="111" t="s">
        <v>56</v>
      </c>
      <c r="L31" s="95"/>
      <c r="M31" s="96"/>
      <c r="N31" s="97" t="n">
        <f aca="false">SUM(O30)</f>
        <v>0</v>
      </c>
      <c r="O31" s="98"/>
      <c r="P31" s="108" t="n">
        <f aca="false">SUM(O31-N31)</f>
        <v>0</v>
      </c>
      <c r="Q31" s="100"/>
      <c r="R31" s="93" t="n">
        <f aca="false">SUM(Q31*P31)</f>
        <v>0</v>
      </c>
      <c r="S31" s="1"/>
    </row>
    <row r="32" customFormat="false" ht="15.75" hidden="false" customHeight="false" outlineLevel="0" collapsed="false">
      <c r="A32" s="89" t="n">
        <v>0.482638888888889</v>
      </c>
      <c r="B32" s="90" t="s">
        <v>90</v>
      </c>
      <c r="C32" s="97" t="n">
        <f aca="false">SUM(D31)</f>
        <v>4530790</v>
      </c>
      <c r="D32" s="107" t="n">
        <v>4540770</v>
      </c>
      <c r="E32" s="91" t="n">
        <f aca="false">SUM(D32-C32)</f>
        <v>9980</v>
      </c>
      <c r="F32" s="106" t="n">
        <v>9986</v>
      </c>
      <c r="G32" s="41" t="n">
        <v>0.8221</v>
      </c>
      <c r="H32" s="93" t="n">
        <f aca="false">SUM(G32*F32)</f>
        <v>8209.4906</v>
      </c>
      <c r="I32" s="29" t="n">
        <v>251</v>
      </c>
      <c r="J32" s="1" t="n">
        <v>6365</v>
      </c>
      <c r="K32" s="118" t="s">
        <v>60</v>
      </c>
      <c r="L32" s="95"/>
      <c r="M32" s="96"/>
      <c r="N32" s="97" t="n">
        <f aca="false">SUM(O31)</f>
        <v>0</v>
      </c>
      <c r="O32" s="98"/>
      <c r="P32" s="108" t="n">
        <f aca="false">SUM(O32-N32)</f>
        <v>0</v>
      </c>
      <c r="Q32" s="100"/>
      <c r="R32" s="93" t="n">
        <f aca="false">SUM(Q32*P32)</f>
        <v>0</v>
      </c>
      <c r="S32" s="1"/>
    </row>
    <row r="33" customFormat="false" ht="15.75" hidden="false" customHeight="false" outlineLevel="0" collapsed="false">
      <c r="A33" s="89" t="n">
        <v>0.482638888888889</v>
      </c>
      <c r="B33" s="90" t="s">
        <v>90</v>
      </c>
      <c r="C33" s="97" t="n">
        <f aca="false">SUM(D32)</f>
        <v>4540770</v>
      </c>
      <c r="D33" s="107" t="n">
        <v>4547810</v>
      </c>
      <c r="E33" s="91" t="n">
        <f aca="false">SUM(D33-C33)</f>
        <v>7040</v>
      </c>
      <c r="F33" s="106" t="n">
        <v>7033</v>
      </c>
      <c r="G33" s="41" t="n">
        <v>0.8221</v>
      </c>
      <c r="H33" s="93" t="n">
        <f aca="false">SUM(G33*F33)</f>
        <v>5781.8293</v>
      </c>
      <c r="I33" s="29" t="n">
        <v>251</v>
      </c>
      <c r="J33" s="1" t="n">
        <v>6366</v>
      </c>
      <c r="K33" s="118" t="s">
        <v>60</v>
      </c>
      <c r="L33" s="95"/>
      <c r="M33" s="96"/>
      <c r="N33" s="97" t="n">
        <f aca="false">SUM(O32)</f>
        <v>0</v>
      </c>
      <c r="O33" s="98"/>
      <c r="P33" s="108" t="n">
        <f aca="false">SUM(O33-N33)</f>
        <v>0</v>
      </c>
      <c r="Q33" s="100"/>
      <c r="R33" s="93" t="n">
        <f aca="false">SUM(Q33*P33)</f>
        <v>0</v>
      </c>
      <c r="S33" s="1"/>
    </row>
    <row r="34" customFormat="false" ht="15.75" hidden="false" customHeight="false" outlineLevel="0" collapsed="false">
      <c r="A34" s="89" t="n">
        <v>0.569444444444444</v>
      </c>
      <c r="B34" s="90" t="s">
        <v>90</v>
      </c>
      <c r="C34" s="97" t="n">
        <f aca="false">SUM(D33)</f>
        <v>4547810</v>
      </c>
      <c r="D34" s="107" t="n">
        <v>4554890</v>
      </c>
      <c r="E34" s="91" t="n">
        <f aca="false">SUM(D34-C34)</f>
        <v>7080</v>
      </c>
      <c r="F34" s="108" t="n">
        <f aca="false">SUM(D34-C34)</f>
        <v>7080</v>
      </c>
      <c r="G34" s="41" t="n">
        <v>0.8221</v>
      </c>
      <c r="H34" s="93" t="n">
        <f aca="false">SUM(G34*F34)</f>
        <v>5820.468</v>
      </c>
      <c r="I34" s="29" t="n">
        <v>81</v>
      </c>
      <c r="J34" s="1" t="n">
        <v>6370</v>
      </c>
      <c r="K34" s="118" t="s">
        <v>60</v>
      </c>
      <c r="L34" s="112"/>
      <c r="M34" s="113"/>
      <c r="N34" s="113"/>
      <c r="O34" s="114"/>
      <c r="P34" s="115"/>
      <c r="Q34" s="116"/>
      <c r="R34" s="62"/>
      <c r="S34" s="62"/>
    </row>
    <row r="35" customFormat="false" ht="15.75" hidden="false" customHeight="false" outlineLevel="0" collapsed="false">
      <c r="A35" s="89" t="n">
        <v>0.576388888888889</v>
      </c>
      <c r="B35" s="90" t="s">
        <v>90</v>
      </c>
      <c r="C35" s="97" t="n">
        <f aca="false">SUM(D34)</f>
        <v>4554890</v>
      </c>
      <c r="D35" s="107" t="n">
        <v>4560760</v>
      </c>
      <c r="E35" s="91" t="n">
        <f aca="false">SUM(D35-C35)</f>
        <v>5870</v>
      </c>
      <c r="F35" s="108" t="n">
        <f aca="false">SUM(D35-C35)</f>
        <v>5870</v>
      </c>
      <c r="G35" s="41" t="n">
        <v>0.8221</v>
      </c>
      <c r="H35" s="93" t="n">
        <f aca="false">SUM(G35*F35)</f>
        <v>4825.727</v>
      </c>
      <c r="I35" s="29" t="n">
        <v>57</v>
      </c>
      <c r="J35" s="29" t="n">
        <v>6371</v>
      </c>
      <c r="K35" s="118" t="s">
        <v>60</v>
      </c>
      <c r="L35" s="117"/>
      <c r="M35" s="117"/>
      <c r="N35" s="117"/>
      <c r="O35" s="117"/>
      <c r="P35" s="117"/>
      <c r="Q35" s="117"/>
      <c r="R35" s="117"/>
      <c r="S35" s="117"/>
    </row>
    <row r="36" customFormat="false" ht="15.75" hidden="false" customHeight="false" outlineLevel="0" collapsed="false">
      <c r="A36" s="89" t="n">
        <v>0.6875</v>
      </c>
      <c r="B36" s="90" t="s">
        <v>57</v>
      </c>
      <c r="C36" s="97" t="n">
        <f aca="false">SUM(D35)</f>
        <v>4560760</v>
      </c>
      <c r="D36" s="107" t="n">
        <v>4570790</v>
      </c>
      <c r="E36" s="91" t="n">
        <f aca="false">SUM(D36-C36)</f>
        <v>10030</v>
      </c>
      <c r="F36" s="106" t="n">
        <v>9986</v>
      </c>
      <c r="G36" s="41" t="n">
        <v>0.8231</v>
      </c>
      <c r="H36" s="93" t="n">
        <f aca="false">SUM(G36*F36)</f>
        <v>8219.4766</v>
      </c>
      <c r="I36" s="29" t="n">
        <v>251</v>
      </c>
      <c r="J36" s="29" t="n">
        <v>6373</v>
      </c>
      <c r="K36" s="119" t="s">
        <v>91</v>
      </c>
      <c r="L36" s="117"/>
      <c r="M36" s="117"/>
      <c r="N36" s="117"/>
      <c r="O36" s="117"/>
      <c r="P36" s="117"/>
      <c r="Q36" s="117"/>
      <c r="R36" s="117"/>
      <c r="S36" s="117"/>
    </row>
    <row r="37" customFormat="false" ht="15.75" hidden="false" customHeight="false" outlineLevel="0" collapsed="false">
      <c r="A37" s="89" t="n">
        <v>0.6875</v>
      </c>
      <c r="B37" s="90" t="s">
        <v>57</v>
      </c>
      <c r="C37" s="97" t="n">
        <f aca="false">SUM(D36)</f>
        <v>4570790</v>
      </c>
      <c r="D37" s="107" t="n">
        <v>4577900</v>
      </c>
      <c r="E37" s="91" t="n">
        <f aca="false">SUM(D37-C37)</f>
        <v>7110</v>
      </c>
      <c r="F37" s="106" t="n">
        <v>7033</v>
      </c>
      <c r="G37" s="41" t="n">
        <v>0.8231</v>
      </c>
      <c r="H37" s="93" t="n">
        <f aca="false">SUM(G37*F37)</f>
        <v>5788.8623</v>
      </c>
      <c r="I37" s="29" t="n">
        <v>251</v>
      </c>
      <c r="J37" s="29" t="n">
        <v>6373</v>
      </c>
      <c r="K37" s="119" t="s">
        <v>91</v>
      </c>
      <c r="L37" s="117"/>
      <c r="M37" s="117"/>
      <c r="N37" s="117"/>
      <c r="O37" s="117"/>
      <c r="P37" s="117"/>
      <c r="Q37" s="117"/>
      <c r="R37" s="117"/>
      <c r="S37" s="117"/>
    </row>
    <row r="38" customFormat="false" ht="15.75" hidden="false" customHeight="false" outlineLevel="0" collapsed="false">
      <c r="A38" s="89" t="n">
        <v>0.854166666666667</v>
      </c>
      <c r="B38" s="90" t="s">
        <v>72</v>
      </c>
      <c r="C38" s="97" t="n">
        <f aca="false">SUM(D37)</f>
        <v>4577900</v>
      </c>
      <c r="D38" s="107" t="n">
        <v>4584990</v>
      </c>
      <c r="E38" s="91" t="n">
        <f aca="false">SUM(D38-C38)</f>
        <v>7090</v>
      </c>
      <c r="F38" s="108" t="n">
        <f aca="false">SUM(D38-C38)</f>
        <v>7090</v>
      </c>
      <c r="G38" s="41" t="n">
        <v>0.8224</v>
      </c>
      <c r="H38" s="93" t="n">
        <f aca="false">SUM(G38*F38)</f>
        <v>5830.816</v>
      </c>
      <c r="I38" s="29" t="n">
        <v>81</v>
      </c>
      <c r="J38" s="29" t="n">
        <v>6378</v>
      </c>
      <c r="K38" s="118" t="s">
        <v>60</v>
      </c>
      <c r="L38" s="117"/>
      <c r="M38" s="117"/>
      <c r="N38" s="117"/>
      <c r="O38" s="117"/>
      <c r="P38" s="117"/>
      <c r="Q38" s="117"/>
      <c r="R38" s="117"/>
      <c r="S38" s="117"/>
    </row>
    <row r="39" customFormat="false" ht="15.75" hidden="false" customHeight="false" outlineLevel="0" collapsed="false">
      <c r="A39" s="89" t="n">
        <v>0.930555555555555</v>
      </c>
      <c r="B39" s="90" t="s">
        <v>72</v>
      </c>
      <c r="C39" s="97" t="n">
        <f aca="false">SUM(D38)</f>
        <v>4584990</v>
      </c>
      <c r="D39" s="107" t="n">
        <v>4590040</v>
      </c>
      <c r="E39" s="91" t="n">
        <f aca="false">SUM(D39-C39)</f>
        <v>5050</v>
      </c>
      <c r="F39" s="108" t="n">
        <f aca="false">SUM(D39-C39)</f>
        <v>5050</v>
      </c>
      <c r="G39" s="41" t="n">
        <v>0.8209</v>
      </c>
      <c r="H39" s="93" t="n">
        <f aca="false">SUM(G39*F39)</f>
        <v>4145.545</v>
      </c>
      <c r="I39" s="29" t="n">
        <v>57</v>
      </c>
      <c r="J39" s="29" t="n">
        <v>6379</v>
      </c>
      <c r="K39" s="118" t="s">
        <v>60</v>
      </c>
      <c r="L39" s="117"/>
      <c r="M39" s="117"/>
      <c r="N39" s="117"/>
      <c r="O39" s="117"/>
      <c r="P39" s="117"/>
      <c r="Q39" s="117"/>
      <c r="R39" s="117"/>
      <c r="S39" s="117"/>
    </row>
    <row r="40" customFormat="false" ht="15.75" hidden="false" customHeight="false" outlineLevel="0" collapsed="false">
      <c r="A40" s="89" t="n">
        <v>0.958333333333333</v>
      </c>
      <c r="B40" s="90" t="s">
        <v>57</v>
      </c>
      <c r="C40" s="97" t="n">
        <f aca="false">SUM(D39)</f>
        <v>4590040</v>
      </c>
      <c r="D40" s="75" t="n">
        <v>4599270</v>
      </c>
      <c r="E40" s="91" t="n">
        <f aca="false">SUM(D40-C40)</f>
        <v>9230</v>
      </c>
      <c r="F40" s="108" t="n">
        <f aca="false">SUM(D40-C40)</f>
        <v>9230</v>
      </c>
      <c r="G40" s="41" t="n">
        <v>0.8215</v>
      </c>
      <c r="H40" s="93" t="n">
        <f aca="false">SUM(G40*F40)</f>
        <v>7582.445</v>
      </c>
      <c r="I40" s="1" t="n">
        <v>119</v>
      </c>
      <c r="J40" s="1" t="n">
        <v>6383</v>
      </c>
      <c r="K40" s="119" t="s">
        <v>91</v>
      </c>
      <c r="L40" s="117"/>
      <c r="M40" s="117"/>
      <c r="N40" s="117"/>
      <c r="O40" s="117"/>
      <c r="P40" s="117"/>
      <c r="Q40" s="117"/>
      <c r="R40" s="117"/>
      <c r="S40" s="117"/>
    </row>
    <row r="41" customFormat="false" ht="15.75" hidden="false" customHeight="false" outlineLevel="0" collapsed="false">
      <c r="A41" s="89" t="n">
        <v>0.0625</v>
      </c>
      <c r="B41" s="90" t="s">
        <v>72</v>
      </c>
      <c r="C41" s="97" t="n">
        <f aca="false">SUM(D40)</f>
        <v>4599270</v>
      </c>
      <c r="D41" s="75" t="n">
        <v>4604350</v>
      </c>
      <c r="E41" s="91" t="n">
        <f aca="false">SUM(D41-C41)</f>
        <v>5080</v>
      </c>
      <c r="F41" s="108" t="n">
        <f aca="false">SUM(D41-C41)</f>
        <v>5080</v>
      </c>
      <c r="G41" s="41" t="n">
        <v>0.8214</v>
      </c>
      <c r="H41" s="93" t="n">
        <f aca="false">SUM(G41*F41)</f>
        <v>4172.712</v>
      </c>
      <c r="I41" s="1" t="n">
        <v>57</v>
      </c>
      <c r="J41" s="1" t="n">
        <v>6387</v>
      </c>
      <c r="K41" s="111" t="s">
        <v>56</v>
      </c>
      <c r="L41" s="117"/>
      <c r="M41" s="117"/>
      <c r="N41" s="117"/>
      <c r="O41" s="117"/>
      <c r="P41" s="117"/>
      <c r="Q41" s="117"/>
      <c r="R41" s="117"/>
      <c r="S41" s="117"/>
    </row>
    <row r="42" customFormat="false" ht="15" hidden="false" customHeight="false" outlineLevel="0" collapsed="false">
      <c r="A42" s="89"/>
      <c r="B42" s="90"/>
      <c r="C42" s="97"/>
      <c r="D42" s="75"/>
      <c r="E42" s="91" t="n">
        <f aca="false">SUM(D42-C42)</f>
        <v>0</v>
      </c>
      <c r="F42" s="108" t="n">
        <f aca="false">SUM(D42-C42)</f>
        <v>0</v>
      </c>
      <c r="G42" s="41"/>
      <c r="H42" s="93" t="n">
        <f aca="false">SUM(G42*F42)</f>
        <v>0</v>
      </c>
      <c r="I42" s="1"/>
      <c r="J42" s="1"/>
      <c r="K42" s="119"/>
      <c r="L42" s="117"/>
      <c r="M42" s="117"/>
      <c r="N42" s="117"/>
      <c r="O42" s="117"/>
      <c r="P42" s="117"/>
      <c r="Q42" s="117"/>
      <c r="R42" s="117"/>
      <c r="S42" s="117"/>
    </row>
    <row r="43" customFormat="false" ht="14.25" hidden="false" customHeight="true" outlineLevel="0" collapsed="false">
      <c r="A43" s="89"/>
      <c r="B43" s="90"/>
      <c r="C43" s="97" t="n">
        <f aca="false">SUM(D42)</f>
        <v>0</v>
      </c>
      <c r="D43" s="75"/>
      <c r="E43" s="91" t="n">
        <f aca="false">SUM(D43-C43)</f>
        <v>0</v>
      </c>
      <c r="F43" s="108" t="n">
        <f aca="false">SUM(D43-C43)</f>
        <v>0</v>
      </c>
      <c r="G43" s="41"/>
      <c r="H43" s="93" t="n">
        <f aca="false">SUM(G43*F43)</f>
        <v>0</v>
      </c>
      <c r="I43" s="1"/>
      <c r="J43" s="1"/>
      <c r="K43" s="111"/>
      <c r="L43" s="117"/>
      <c r="M43" s="117"/>
      <c r="N43" s="117"/>
      <c r="O43" s="117"/>
      <c r="P43" s="117"/>
      <c r="Q43" s="117"/>
      <c r="R43" s="117"/>
      <c r="S43" s="117"/>
    </row>
    <row r="44" customFormat="false" ht="15" hidden="false" customHeight="true" outlineLevel="0" collapsed="false">
      <c r="A44" s="89"/>
      <c r="B44" s="90"/>
      <c r="C44" s="97" t="n">
        <f aca="false">SUM(D43)</f>
        <v>0</v>
      </c>
      <c r="D44" s="75"/>
      <c r="E44" s="91" t="n">
        <f aca="false">SUM(D44-C44)</f>
        <v>0</v>
      </c>
      <c r="F44" s="108" t="n">
        <f aca="false">SUM(D44-C44)</f>
        <v>0</v>
      </c>
      <c r="G44" s="41"/>
      <c r="H44" s="93" t="n">
        <f aca="false">SUM(G44*F44)</f>
        <v>0</v>
      </c>
      <c r="I44" s="1"/>
      <c r="J44" s="1"/>
      <c r="K44" s="118"/>
      <c r="L44" s="117"/>
      <c r="M44" s="117"/>
      <c r="N44" s="117"/>
      <c r="O44" s="117"/>
      <c r="P44" s="117"/>
      <c r="Q44" s="117"/>
      <c r="R44" s="117"/>
      <c r="S44" s="117"/>
    </row>
    <row r="45" customFormat="false" ht="15" hidden="false" customHeight="false" outlineLevel="0" collapsed="false">
      <c r="A45" s="89"/>
      <c r="B45" s="90"/>
      <c r="C45" s="97" t="n">
        <f aca="false">SUM(D44)</f>
        <v>0</v>
      </c>
      <c r="D45" s="75"/>
      <c r="E45" s="91" t="n">
        <f aca="false">SUM(D45-C45)</f>
        <v>0</v>
      </c>
      <c r="F45" s="108" t="n">
        <f aca="false">SUM(D45-C45)</f>
        <v>0</v>
      </c>
      <c r="G45" s="41"/>
      <c r="H45" s="93" t="n">
        <f aca="false">SUM(G45*F45)</f>
        <v>0</v>
      </c>
      <c r="I45" s="1"/>
      <c r="J45" s="1"/>
      <c r="K45" s="111"/>
      <c r="L45" s="117"/>
      <c r="M45" s="117"/>
      <c r="N45" s="117"/>
      <c r="O45" s="117"/>
      <c r="P45" s="117"/>
      <c r="Q45" s="117"/>
      <c r="R45" s="117"/>
      <c r="S45" s="117"/>
    </row>
    <row r="46" customFormat="false" ht="15" hidden="false" customHeight="false" outlineLevel="0" collapsed="false">
      <c r="A46" s="89"/>
      <c r="B46" s="90"/>
      <c r="C46" s="97" t="n">
        <f aca="false">SUM(D45)</f>
        <v>0</v>
      </c>
      <c r="D46" s="75"/>
      <c r="E46" s="91" t="n">
        <f aca="false">SUM(D46-C46)</f>
        <v>0</v>
      </c>
      <c r="F46" s="108" t="n">
        <f aca="false">SUM(D46-C46)</f>
        <v>0</v>
      </c>
      <c r="G46" s="41"/>
      <c r="H46" s="93" t="n">
        <f aca="false">SUM(G46*F46)</f>
        <v>0</v>
      </c>
      <c r="I46" s="1"/>
      <c r="J46" s="1"/>
      <c r="K46" s="118"/>
      <c r="L46" s="117"/>
      <c r="M46" s="117"/>
      <c r="N46" s="117"/>
      <c r="O46" s="117"/>
      <c r="P46" s="117"/>
      <c r="Q46" s="117"/>
      <c r="R46" s="117"/>
      <c r="S46" s="117"/>
    </row>
    <row r="47" customFormat="false" ht="15" hidden="false" customHeight="false" outlineLevel="0" collapsed="false">
      <c r="A47" s="190"/>
      <c r="B47" s="81" t="s">
        <v>92</v>
      </c>
      <c r="C47" s="191" t="n">
        <f aca="false">SUM(D46)</f>
        <v>0</v>
      </c>
      <c r="D47" s="191"/>
      <c r="E47" s="192" t="n">
        <f aca="false">SUM(D47-C47)</f>
        <v>0</v>
      </c>
      <c r="F47" s="192" t="n">
        <f aca="false">SUM(D47-C47)</f>
        <v>0</v>
      </c>
      <c r="G47" s="193"/>
      <c r="H47" s="194" t="n">
        <f aca="false">SUM(G47*F47)</f>
        <v>0</v>
      </c>
      <c r="I47" s="58"/>
      <c r="J47" s="58"/>
      <c r="K47" s="118"/>
      <c r="L47" s="117"/>
      <c r="M47" s="117"/>
      <c r="N47" s="117"/>
      <c r="O47" s="117"/>
      <c r="P47" s="117"/>
      <c r="Q47" s="117"/>
      <c r="R47" s="117"/>
      <c r="S47" s="117"/>
    </row>
    <row r="48" customFormat="false" ht="15.75" hidden="false" customHeight="false" outlineLevel="0" collapsed="false">
      <c r="A48" s="89" t="n">
        <v>0.9375</v>
      </c>
      <c r="B48" s="90" t="s">
        <v>57</v>
      </c>
      <c r="C48" s="97" t="n">
        <v>335750</v>
      </c>
      <c r="D48" s="75" t="n">
        <v>352790</v>
      </c>
      <c r="E48" s="91" t="n">
        <f aca="false">SUM(D48-C48)</f>
        <v>17040</v>
      </c>
      <c r="F48" s="106" t="n">
        <v>17019</v>
      </c>
      <c r="G48" s="41" t="n">
        <v>0.8204</v>
      </c>
      <c r="H48" s="93" t="n">
        <f aca="false">SUM(G48*F48)</f>
        <v>13962.3876</v>
      </c>
      <c r="I48" s="1" t="n">
        <v>251</v>
      </c>
      <c r="J48" s="1" t="n">
        <v>6380</v>
      </c>
      <c r="K48" s="119" t="s">
        <v>91</v>
      </c>
      <c r="L48" s="117"/>
      <c r="M48" s="117"/>
      <c r="N48" s="94"/>
      <c r="O48" s="117"/>
      <c r="P48" s="117"/>
      <c r="Q48" s="117"/>
      <c r="R48" s="117"/>
      <c r="S48" s="117"/>
    </row>
    <row r="49" customFormat="false" ht="15.75" hidden="false" customHeight="false" outlineLevel="0" collapsed="false">
      <c r="A49" s="89" t="n">
        <v>0.208333333333333</v>
      </c>
      <c r="B49" s="90" t="s">
        <v>57</v>
      </c>
      <c r="C49" s="97" t="n">
        <f aca="false">SUM(D48)</f>
        <v>352790</v>
      </c>
      <c r="D49" s="75" t="n">
        <v>369830</v>
      </c>
      <c r="E49" s="91" t="n">
        <f aca="false">SUM(D49-C49)</f>
        <v>17040</v>
      </c>
      <c r="F49" s="106" t="n">
        <v>17019</v>
      </c>
      <c r="G49" s="41" t="n">
        <v>0.8219</v>
      </c>
      <c r="H49" s="93" t="n">
        <f aca="false">SUM(G49*F49)</f>
        <v>13987.9161</v>
      </c>
      <c r="I49" s="1" t="n">
        <v>251</v>
      </c>
      <c r="J49" s="1" t="n">
        <v>6389</v>
      </c>
      <c r="K49" s="119" t="s">
        <v>91</v>
      </c>
      <c r="L49" s="117"/>
      <c r="M49" s="117"/>
      <c r="N49" s="94"/>
      <c r="O49" s="117"/>
      <c r="P49" s="117"/>
      <c r="Q49" s="117"/>
      <c r="R49" s="117"/>
      <c r="S49" s="117"/>
    </row>
    <row r="50" customFormat="false" ht="15.75" hidden="false" customHeight="false" outlineLevel="0" collapsed="false">
      <c r="A50" s="89" t="n">
        <v>0.309027777777778</v>
      </c>
      <c r="B50" s="90" t="s">
        <v>62</v>
      </c>
      <c r="C50" s="97" t="n">
        <f aca="false">SUM(D49)</f>
        <v>369830</v>
      </c>
      <c r="D50" s="75" t="n">
        <v>386860</v>
      </c>
      <c r="E50" s="91" t="n">
        <f aca="false">SUM(D50-C50)</f>
        <v>17030</v>
      </c>
      <c r="F50" s="106" t="n">
        <v>17019</v>
      </c>
      <c r="G50" s="41" t="n">
        <v>0.8252</v>
      </c>
      <c r="H50" s="93" t="n">
        <f aca="false">SUM(G50*F50)</f>
        <v>14044.0788</v>
      </c>
      <c r="I50" s="1" t="n">
        <v>251</v>
      </c>
      <c r="J50" s="1" t="n">
        <v>6393</v>
      </c>
      <c r="K50" s="119" t="s">
        <v>91</v>
      </c>
      <c r="L50" s="117"/>
      <c r="M50" s="117"/>
      <c r="N50" s="94"/>
      <c r="O50" s="117"/>
      <c r="P50" s="117"/>
      <c r="Q50" s="117"/>
      <c r="R50" s="117"/>
      <c r="S50" s="117"/>
    </row>
    <row r="51" customFormat="false" ht="15" hidden="false" customHeight="true" outlineLevel="0" collapsed="false">
      <c r="A51" s="89" t="n">
        <v>0.354166666666667</v>
      </c>
      <c r="B51" s="90" t="s">
        <v>72</v>
      </c>
      <c r="C51" s="97" t="n">
        <f aca="false">SUM(D50)</f>
        <v>386860</v>
      </c>
      <c r="D51" s="75" t="n">
        <v>403910</v>
      </c>
      <c r="E51" s="91" t="n">
        <f aca="false">SUM(D51-C51)</f>
        <v>17050</v>
      </c>
      <c r="F51" s="106" t="n">
        <v>17019</v>
      </c>
      <c r="G51" s="41" t="n">
        <v>0.8231</v>
      </c>
      <c r="H51" s="93" t="n">
        <f aca="false">SUM(G51*F51)</f>
        <v>14008.3389</v>
      </c>
      <c r="I51" s="1" t="n">
        <v>251</v>
      </c>
      <c r="J51" s="1" t="n">
        <v>6394</v>
      </c>
      <c r="K51" s="111" t="s">
        <v>56</v>
      </c>
      <c r="L51" s="117"/>
      <c r="M51" s="117"/>
      <c r="N51" s="94"/>
      <c r="O51" s="117"/>
      <c r="P51" s="117"/>
      <c r="Q51" s="117"/>
      <c r="R51" s="117"/>
      <c r="S51" s="117"/>
    </row>
    <row r="52" customFormat="false" ht="15" hidden="false" customHeight="false" outlineLevel="0" collapsed="false">
      <c r="A52" s="89"/>
      <c r="B52" s="90"/>
      <c r="C52" s="97"/>
      <c r="D52" s="75"/>
      <c r="E52" s="91" t="n">
        <f aca="false">SUM(D52-C52)</f>
        <v>0</v>
      </c>
      <c r="F52" s="108" t="n">
        <f aca="false">SUM(D52-C52)</f>
        <v>0</v>
      </c>
      <c r="G52" s="41"/>
      <c r="H52" s="93" t="n">
        <f aca="false">SUM(G52*F52)</f>
        <v>0</v>
      </c>
      <c r="I52" s="1"/>
      <c r="J52" s="1"/>
      <c r="K52" s="118"/>
      <c r="L52" s="117"/>
      <c r="M52" s="117"/>
      <c r="N52" s="117"/>
      <c r="O52" s="117"/>
      <c r="P52" s="117"/>
      <c r="Q52" s="117"/>
      <c r="R52" s="117"/>
      <c r="S52" s="117"/>
    </row>
    <row r="53" customFormat="false" ht="15" hidden="false" customHeight="false" outlineLevel="0" collapsed="false">
      <c r="A53" s="89"/>
      <c r="B53" s="90"/>
      <c r="C53" s="97" t="n">
        <f aca="false">SUM(D52)</f>
        <v>0</v>
      </c>
      <c r="D53" s="107"/>
      <c r="E53" s="91" t="n">
        <f aca="false">SUM(D53-C53)</f>
        <v>0</v>
      </c>
      <c r="F53" s="108" t="n">
        <f aca="false">SUM(D53-C53)</f>
        <v>0</v>
      </c>
      <c r="G53" s="41"/>
      <c r="H53" s="93" t="n">
        <f aca="false">SUM(G53*F53)</f>
        <v>0</v>
      </c>
      <c r="I53" s="1"/>
      <c r="J53" s="29"/>
      <c r="K53" s="118"/>
      <c r="L53" s="117"/>
      <c r="M53" s="117"/>
      <c r="N53" s="117"/>
      <c r="O53" s="117"/>
      <c r="P53" s="117"/>
      <c r="Q53" s="117"/>
      <c r="R53" s="117"/>
      <c r="S53" s="117"/>
    </row>
    <row r="54" customFormat="false" ht="15" hidden="false" customHeight="false" outlineLevel="0" collapsed="false">
      <c r="A54" s="89"/>
      <c r="B54" s="90"/>
      <c r="C54" s="97" t="n">
        <f aca="false">SUM(D53)</f>
        <v>0</v>
      </c>
      <c r="D54" s="107"/>
      <c r="E54" s="91" t="n">
        <f aca="false">SUM(D54-C54)</f>
        <v>0</v>
      </c>
      <c r="F54" s="108" t="n">
        <f aca="false">SUM(D54-C54)</f>
        <v>0</v>
      </c>
      <c r="G54" s="41"/>
      <c r="H54" s="93" t="n">
        <f aca="false">SUM(G54*F54)</f>
        <v>0</v>
      </c>
      <c r="I54" s="1"/>
      <c r="J54" s="29"/>
      <c r="K54" s="119"/>
      <c r="L54" s="117"/>
      <c r="M54" s="117"/>
      <c r="N54" s="117"/>
      <c r="O54" s="117"/>
      <c r="P54" s="117"/>
      <c r="Q54" s="117"/>
      <c r="R54" s="117"/>
      <c r="S54" s="117"/>
    </row>
    <row r="55" customFormat="false" ht="15" hidden="false" customHeight="false" outlineLevel="0" collapsed="false">
      <c r="A55" s="89"/>
      <c r="B55" s="90"/>
      <c r="C55" s="97" t="n">
        <f aca="false">SUM(D54)</f>
        <v>0</v>
      </c>
      <c r="D55" s="107"/>
      <c r="E55" s="91" t="n">
        <f aca="false">SUM(D55-C55)</f>
        <v>0</v>
      </c>
      <c r="F55" s="108" t="n">
        <f aca="false">SUM(D55-C55)</f>
        <v>0</v>
      </c>
      <c r="G55" s="41"/>
      <c r="H55" s="93" t="n">
        <f aca="false">SUM(G55*F55)</f>
        <v>0</v>
      </c>
      <c r="I55" s="1"/>
      <c r="J55" s="29"/>
      <c r="K55" s="118"/>
      <c r="L55" s="117"/>
      <c r="M55" s="117"/>
      <c r="N55" s="117"/>
      <c r="O55" s="117"/>
      <c r="P55" s="117"/>
      <c r="Q55" s="117"/>
      <c r="R55" s="117"/>
      <c r="S55" s="117"/>
    </row>
    <row r="56" customFormat="false" ht="15" hidden="false" customHeight="false" outlineLevel="0" collapsed="false">
      <c r="A56" s="89"/>
      <c r="B56" s="90"/>
      <c r="C56" s="97" t="n">
        <f aca="false">SUM(D55)</f>
        <v>0</v>
      </c>
      <c r="D56" s="75"/>
      <c r="E56" s="91" t="n">
        <f aca="false">SUM(D56-C56)</f>
        <v>0</v>
      </c>
      <c r="F56" s="108" t="n">
        <f aca="false">SUM(D56-C56)</f>
        <v>0</v>
      </c>
      <c r="G56" s="41"/>
      <c r="H56" s="93" t="n">
        <f aca="false">SUM(G56*F56)</f>
        <v>0</v>
      </c>
      <c r="I56" s="1"/>
      <c r="J56" s="29"/>
      <c r="K56" s="110"/>
      <c r="L56" s="117"/>
      <c r="M56" s="117"/>
      <c r="N56" s="117"/>
      <c r="O56" s="117"/>
      <c r="P56" s="117"/>
      <c r="Q56" s="117"/>
      <c r="R56" s="117"/>
      <c r="S56" s="117"/>
    </row>
    <row r="57" customFormat="false" ht="15" hidden="false" customHeight="false" outlineLevel="0" collapsed="false">
      <c r="A57" s="89"/>
      <c r="B57" s="90"/>
      <c r="C57" s="97" t="n">
        <f aca="false">SUM(D56)</f>
        <v>0</v>
      </c>
      <c r="D57" s="75"/>
      <c r="E57" s="91" t="n">
        <f aca="false">SUM(D57-C57)</f>
        <v>0</v>
      </c>
      <c r="F57" s="108" t="n">
        <f aca="false">SUM(F28:F56)</f>
        <v>175504</v>
      </c>
      <c r="G57" s="41"/>
      <c r="H57" s="93" t="n">
        <f aca="false">SUM(H28:H56)</f>
        <v>144375.5582</v>
      </c>
      <c r="I57" s="1"/>
      <c r="J57" s="29"/>
      <c r="K57" s="110"/>
      <c r="L57" s="117"/>
      <c r="M57" s="117"/>
      <c r="N57" s="117"/>
      <c r="O57" s="117"/>
      <c r="P57" s="117"/>
      <c r="Q57" s="117"/>
      <c r="R57" s="117"/>
      <c r="S57" s="117"/>
    </row>
    <row r="58" customFormat="false" ht="15" hidden="false" customHeight="false" outlineLevel="0" collapsed="false">
      <c r="K58" s="110"/>
      <c r="L58" s="117"/>
      <c r="M58" s="117"/>
      <c r="N58" s="117"/>
      <c r="O58" s="117"/>
      <c r="P58" s="117"/>
      <c r="Q58" s="117"/>
      <c r="R58" s="117"/>
      <c r="S58" s="117"/>
    </row>
    <row r="59" customFormat="false" ht="15" hidden="false" customHeight="false" outlineLevel="0" collapsed="false">
      <c r="F59" s="97" t="n">
        <f aca="false">SUM(F26+F57)</f>
        <v>491361</v>
      </c>
      <c r="G59" s="41"/>
      <c r="H59" s="93" t="n">
        <f aca="false">SUM(H26+H57)</f>
        <v>406918.091</v>
      </c>
      <c r="K59" s="110"/>
      <c r="L59" s="117"/>
      <c r="M59" s="117"/>
      <c r="N59" s="117"/>
      <c r="O59" s="117"/>
      <c r="P59" s="117"/>
      <c r="Q59" s="117"/>
      <c r="R59" s="117"/>
      <c r="S59" s="117"/>
    </row>
    <row r="60" customFormat="false" ht="15" hidden="false" customHeight="false" outlineLevel="0" collapsed="false">
      <c r="E60" s="117"/>
      <c r="K60" s="110"/>
      <c r="L60" s="117"/>
      <c r="M60" s="117"/>
      <c r="N60" s="117"/>
      <c r="O60" s="117"/>
      <c r="P60" s="117"/>
      <c r="Q60" s="117"/>
      <c r="R60" s="117"/>
      <c r="S60" s="117"/>
    </row>
    <row r="61" customFormat="false" ht="15" hidden="false" customHeight="false" outlineLevel="0" collapsed="false">
      <c r="E61" s="117"/>
      <c r="K61" s="117"/>
      <c r="L61" s="117"/>
      <c r="M61" s="117"/>
      <c r="N61" s="117"/>
      <c r="O61" s="117"/>
      <c r="P61" s="117"/>
      <c r="Q61" s="117"/>
      <c r="R61" s="117"/>
      <c r="S61" s="117"/>
    </row>
    <row r="62" customFormat="false" ht="15" hidden="false" customHeight="false" outlineLevel="0" collapsed="false">
      <c r="E62" s="117"/>
      <c r="K62" s="117"/>
      <c r="L62" s="117"/>
      <c r="M62" s="117"/>
      <c r="N62" s="117"/>
      <c r="O62" s="117"/>
      <c r="P62" s="117"/>
      <c r="Q62" s="117"/>
      <c r="R62" s="117"/>
      <c r="S62" s="117"/>
    </row>
    <row r="63" customFormat="false" ht="15" hidden="false" customHeight="false" outlineLevel="0" collapsed="false">
      <c r="E63" s="117"/>
      <c r="K63" s="120"/>
      <c r="L63" s="117"/>
      <c r="M63" s="117"/>
      <c r="N63" s="117"/>
      <c r="O63" s="117"/>
      <c r="P63" s="117"/>
      <c r="Q63" s="117"/>
      <c r="R63" s="117"/>
      <c r="S63" s="117"/>
    </row>
    <row r="64" customFormat="false" ht="15" hidden="false" customHeight="false" outlineLevel="0" collapsed="false">
      <c r="E64" s="117"/>
      <c r="L64" s="117"/>
      <c r="M64" s="117"/>
      <c r="N64" s="117"/>
      <c r="O64" s="117"/>
      <c r="P64" s="117"/>
      <c r="Q64" s="117"/>
      <c r="R64" s="117"/>
      <c r="S64" s="117"/>
    </row>
    <row r="65" customFormat="false" ht="15" hidden="false" customHeight="false" outlineLevel="0" collapsed="false">
      <c r="E65" s="117"/>
      <c r="L65" s="117"/>
      <c r="M65" s="117"/>
      <c r="N65" s="117"/>
      <c r="O65" s="117"/>
      <c r="P65" s="117"/>
      <c r="Q65" s="117"/>
      <c r="R65" s="117"/>
      <c r="S65" s="117"/>
    </row>
    <row r="66" customFormat="false" ht="15" hidden="false" customHeight="false" outlineLevel="0" collapsed="false">
      <c r="E66" s="117"/>
      <c r="L66" s="117"/>
      <c r="M66" s="117"/>
      <c r="N66" s="117"/>
      <c r="O66" s="117"/>
      <c r="P66" s="117"/>
      <c r="Q66" s="117"/>
      <c r="R66" s="117"/>
      <c r="S66" s="117"/>
    </row>
    <row r="67" customFormat="false" ht="15" hidden="false" customHeight="false" outlineLevel="0" collapsed="false">
      <c r="E67" s="117"/>
      <c r="L67" s="117"/>
      <c r="M67" s="117"/>
      <c r="N67" s="117"/>
      <c r="O67" s="117"/>
      <c r="P67" s="117"/>
      <c r="Q67" s="117"/>
      <c r="R67" s="117"/>
      <c r="S67" s="117"/>
    </row>
    <row r="68" customFormat="false" ht="15" hidden="false" customHeight="false" outlineLevel="0" collapsed="false">
      <c r="E68" s="117"/>
      <c r="L68" s="117"/>
      <c r="M68" s="117"/>
      <c r="N68" s="117"/>
      <c r="O68" s="117"/>
      <c r="P68" s="117"/>
      <c r="Q68" s="117"/>
      <c r="R68" s="117"/>
      <c r="S68" s="117"/>
    </row>
    <row r="69" customFormat="false" ht="15" hidden="false" customHeight="false" outlineLevel="0" collapsed="false">
      <c r="E69" s="117"/>
      <c r="L69" s="117"/>
      <c r="M69" s="117"/>
      <c r="N69" s="117"/>
      <c r="O69" s="117"/>
      <c r="P69" s="117"/>
      <c r="Q69" s="117"/>
      <c r="R69" s="117"/>
      <c r="S69" s="117"/>
    </row>
    <row r="70" customFormat="false" ht="15" hidden="false" customHeight="false" outlineLevel="0" collapsed="false">
      <c r="E70" s="117"/>
      <c r="L70" s="117"/>
      <c r="M70" s="117"/>
      <c r="N70" s="117"/>
      <c r="O70" s="117"/>
      <c r="P70" s="117"/>
      <c r="Q70" s="117"/>
      <c r="R70" s="117"/>
      <c r="S70" s="117"/>
    </row>
    <row r="71" customFormat="false" ht="15" hidden="false" customHeight="false" outlineLevel="0" collapsed="false">
      <c r="E71" s="117"/>
      <c r="L71" s="117"/>
      <c r="M71" s="117"/>
      <c r="N71" s="117"/>
      <c r="O71" s="117"/>
      <c r="P71" s="117"/>
      <c r="Q71" s="117"/>
      <c r="R71" s="117"/>
      <c r="S71" s="117"/>
    </row>
    <row r="72" customFormat="false" ht="15" hidden="false" customHeight="false" outlineLevel="0" collapsed="false">
      <c r="E72" s="117"/>
      <c r="L72" s="117"/>
      <c r="M72" s="117"/>
      <c r="N72" s="117"/>
      <c r="O72" s="117"/>
      <c r="P72" s="117"/>
      <c r="Q72" s="117"/>
      <c r="R72" s="117"/>
      <c r="S72" s="117"/>
    </row>
    <row r="73" customFormat="false" ht="15" hidden="false" customHeight="false" outlineLevel="0" collapsed="false">
      <c r="E73" s="117"/>
      <c r="L73" s="117"/>
      <c r="M73" s="117"/>
      <c r="N73" s="117"/>
      <c r="O73" s="117"/>
      <c r="P73" s="117"/>
      <c r="Q73" s="117"/>
      <c r="R73" s="117"/>
      <c r="S73" s="117"/>
    </row>
    <row r="74" customFormat="false" ht="15" hidden="false" customHeight="false" outlineLevel="0" collapsed="false">
      <c r="E74" s="117"/>
      <c r="L74" s="117"/>
      <c r="M74" s="117"/>
      <c r="N74" s="117"/>
      <c r="O74" s="117"/>
      <c r="P74" s="117"/>
      <c r="Q74" s="117"/>
      <c r="R74" s="117"/>
      <c r="S74" s="117"/>
    </row>
    <row r="75" customFormat="false" ht="15" hidden="false" customHeight="false" outlineLevel="0" collapsed="false">
      <c r="E75" s="117"/>
      <c r="L75" s="117"/>
      <c r="M75" s="117"/>
      <c r="N75" s="117"/>
      <c r="O75" s="117"/>
      <c r="P75" s="117"/>
      <c r="Q75" s="117"/>
      <c r="R75" s="117"/>
      <c r="S75" s="117"/>
    </row>
    <row r="76" customFormat="false" ht="15" hidden="false" customHeight="false" outlineLevel="0" collapsed="false">
      <c r="E76" s="117"/>
      <c r="L76" s="117"/>
      <c r="M76" s="117"/>
      <c r="N76" s="117"/>
      <c r="O76" s="117"/>
      <c r="P76" s="117"/>
      <c r="Q76" s="117"/>
      <c r="R76" s="117"/>
      <c r="S76" s="117"/>
    </row>
    <row r="77" customFormat="false" ht="15" hidden="false" customHeight="false" outlineLevel="0" collapsed="false">
      <c r="E77" s="117"/>
      <c r="L77" s="117"/>
      <c r="M77" s="117"/>
      <c r="N77" s="117"/>
      <c r="O77" s="117"/>
      <c r="P77" s="117"/>
      <c r="Q77" s="117"/>
      <c r="R77" s="117"/>
      <c r="S77" s="117"/>
    </row>
    <row r="78" customFormat="false" ht="15" hidden="false" customHeight="false" outlineLevel="0" collapsed="false">
      <c r="E78" s="117"/>
      <c r="L78" s="117"/>
      <c r="M78" s="117"/>
      <c r="N78" s="117"/>
      <c r="O78" s="117"/>
      <c r="P78" s="117"/>
      <c r="Q78" s="117"/>
      <c r="R78" s="117"/>
      <c r="S78" s="117"/>
    </row>
    <row r="79" customFormat="false" ht="15" hidden="false" customHeight="false" outlineLevel="0" collapsed="false">
      <c r="E79" s="117"/>
      <c r="L79" s="117"/>
      <c r="M79" s="117"/>
      <c r="N79" s="117"/>
      <c r="O79" s="117"/>
      <c r="P79" s="117"/>
      <c r="Q79" s="117"/>
      <c r="R79" s="117"/>
      <c r="S79" s="117"/>
    </row>
    <row r="80" customFormat="false" ht="15" hidden="false" customHeight="false" outlineLevel="0" collapsed="false">
      <c r="E80" s="117"/>
      <c r="L80" s="117"/>
      <c r="M80" s="117"/>
      <c r="N80" s="117"/>
      <c r="O80" s="117"/>
      <c r="P80" s="117"/>
      <c r="Q80" s="117"/>
      <c r="R80" s="117"/>
      <c r="S80" s="117"/>
    </row>
    <row r="81" customFormat="false" ht="15" hidden="false" customHeight="false" outlineLevel="0" collapsed="false">
      <c r="E81" s="117"/>
      <c r="L81" s="117"/>
      <c r="M81" s="117"/>
      <c r="N81" s="117"/>
      <c r="O81" s="117"/>
      <c r="P81" s="117"/>
      <c r="Q81" s="117"/>
      <c r="R81" s="117"/>
      <c r="S81" s="117"/>
    </row>
    <row r="82" customFormat="false" ht="15" hidden="false" customHeight="false" outlineLevel="0" collapsed="false">
      <c r="E82" s="117"/>
      <c r="L82" s="117"/>
      <c r="M82" s="117"/>
      <c r="N82" s="117"/>
      <c r="O82" s="117"/>
      <c r="P82" s="117"/>
      <c r="Q82" s="117"/>
      <c r="R82" s="117"/>
      <c r="S82" s="117"/>
    </row>
    <row r="83" customFormat="false" ht="15" hidden="true" customHeight="false" outlineLevel="0" collapsed="false">
      <c r="E83" s="117"/>
      <c r="L83" s="117"/>
      <c r="M83" s="117"/>
      <c r="N83" s="117"/>
      <c r="O83" s="117"/>
      <c r="P83" s="117"/>
      <c r="Q83" s="117"/>
      <c r="R83" s="117"/>
      <c r="S83" s="117"/>
    </row>
    <row r="84" customFormat="false" ht="15" hidden="true" customHeight="false" outlineLevel="0" collapsed="false">
      <c r="E84" s="117"/>
      <c r="L84" s="117"/>
      <c r="M84" s="117"/>
      <c r="N84" s="117"/>
      <c r="O84" s="117"/>
      <c r="P84" s="117"/>
      <c r="Q84" s="117"/>
      <c r="R84" s="117"/>
      <c r="S84" s="117"/>
    </row>
    <row r="85" customFormat="false" ht="15" hidden="true" customHeight="false" outlineLevel="0" collapsed="false">
      <c r="E85" s="117"/>
      <c r="L85" s="117"/>
      <c r="M85" s="117"/>
      <c r="N85" s="117"/>
      <c r="O85" s="117"/>
      <c r="P85" s="117"/>
      <c r="Q85" s="117"/>
      <c r="R85" s="117"/>
      <c r="S85" s="117"/>
    </row>
    <row r="86" customFormat="false" ht="15" hidden="true" customHeight="false" outlineLevel="0" collapsed="false">
      <c r="E86" s="117"/>
      <c r="L86" s="117"/>
      <c r="M86" s="117"/>
      <c r="N86" s="117"/>
      <c r="O86" s="117"/>
      <c r="P86" s="117"/>
      <c r="Q86" s="117"/>
      <c r="R86" s="117"/>
      <c r="S86" s="117"/>
    </row>
    <row r="87" customFormat="false" ht="15" hidden="true" customHeight="false" outlineLevel="0" collapsed="false">
      <c r="E87" s="117"/>
      <c r="L87" s="117"/>
      <c r="M87" s="117"/>
      <c r="N87" s="117"/>
      <c r="O87" s="117"/>
      <c r="P87" s="117"/>
      <c r="Q87" s="117"/>
      <c r="R87" s="117"/>
      <c r="S87" s="117"/>
    </row>
    <row r="88" customFormat="false" ht="15" hidden="false" customHeight="false" outlineLevel="0" collapsed="false">
      <c r="E88" s="117"/>
      <c r="L88" s="117"/>
      <c r="M88" s="117"/>
      <c r="N88" s="117"/>
      <c r="O88" s="117"/>
      <c r="P88" s="117"/>
      <c r="Q88" s="117"/>
      <c r="R88" s="117"/>
      <c r="S88" s="117"/>
    </row>
    <row r="89" customFormat="false" ht="15" hidden="false" customHeight="false" outlineLevel="0" collapsed="false">
      <c r="E89" s="117"/>
      <c r="L89" s="117"/>
      <c r="M89" s="117"/>
      <c r="N89" s="117"/>
      <c r="O89" s="117"/>
      <c r="P89" s="117"/>
      <c r="Q89" s="117"/>
      <c r="R89" s="117"/>
      <c r="S89" s="117"/>
    </row>
    <row r="90" customFormat="false" ht="15" hidden="false" customHeight="false" outlineLevel="0" collapsed="false">
      <c r="E90" s="117"/>
      <c r="L90" s="117"/>
      <c r="M90" s="117"/>
      <c r="N90" s="117"/>
      <c r="O90" s="117"/>
      <c r="P90" s="117"/>
      <c r="Q90" s="117"/>
      <c r="R90" s="117"/>
      <c r="S90" s="117"/>
    </row>
    <row r="91" customFormat="false" ht="15" hidden="false" customHeight="false" outlineLevel="0" collapsed="false">
      <c r="E91" s="117"/>
    </row>
    <row r="92" customFormat="false" ht="15" hidden="false" customHeight="false" outlineLevel="0" collapsed="false">
      <c r="E92" s="117"/>
    </row>
    <row r="93" customFormat="false" ht="15" hidden="false" customHeight="false" outlineLevel="0" collapsed="false">
      <c r="E93" s="117"/>
    </row>
    <row r="94" customFormat="false" ht="15" hidden="false" customHeight="false" outlineLevel="0" collapsed="false">
      <c r="E94" s="117"/>
    </row>
    <row r="95" customFormat="false" ht="15" hidden="false" customHeight="false" outlineLevel="0" collapsed="false">
      <c r="E95" s="117"/>
    </row>
    <row r="96" customFormat="false" ht="15" hidden="false" customHeight="false" outlineLevel="0" collapsed="false">
      <c r="E96" s="117"/>
    </row>
    <row r="97" customFormat="false" ht="15" hidden="false" customHeight="false" outlineLevel="0" collapsed="false">
      <c r="E97" s="117"/>
    </row>
    <row r="98" customFormat="false" ht="15" hidden="false" customHeight="false" outlineLevel="0" collapsed="false">
      <c r="E98" s="117"/>
    </row>
    <row r="99" customFormat="false" ht="15" hidden="false" customHeight="false" outlineLevel="0" collapsed="false">
      <c r="E99" s="117"/>
    </row>
    <row r="100" customFormat="false" ht="15" hidden="false" customHeight="false" outlineLevel="0" collapsed="false">
      <c r="E100" s="117"/>
    </row>
    <row r="101" customFormat="false" ht="15" hidden="false" customHeight="false" outlineLevel="0" collapsed="false">
      <c r="E101" s="117"/>
    </row>
    <row r="102" customFormat="false" ht="15" hidden="false" customHeight="false" outlineLevel="0" collapsed="false">
      <c r="E102" s="117"/>
    </row>
    <row r="103" customFormat="false" ht="15" hidden="false" customHeight="false" outlineLevel="0" collapsed="false">
      <c r="E103" s="117"/>
    </row>
    <row r="104" customFormat="false" ht="15" hidden="false" customHeight="false" outlineLevel="0" collapsed="false">
      <c r="E104" s="117"/>
    </row>
    <row r="105" customFormat="false" ht="15" hidden="false" customHeight="false" outlineLevel="0" collapsed="false">
      <c r="E105" s="117"/>
    </row>
    <row r="106" customFormat="false" ht="15" hidden="false" customHeight="false" outlineLevel="0" collapsed="false">
      <c r="E106" s="117"/>
    </row>
    <row r="107" customFormat="false" ht="15" hidden="false" customHeight="false" outlineLevel="0" collapsed="false">
      <c r="E107" s="117"/>
    </row>
    <row r="108" customFormat="false" ht="15" hidden="false" customHeight="false" outlineLevel="0" collapsed="false">
      <c r="E108" s="117"/>
    </row>
    <row r="109" customFormat="false" ht="15" hidden="false" customHeight="false" outlineLevel="0" collapsed="false">
      <c r="E109" s="117"/>
    </row>
    <row r="110" customFormat="false" ht="15" hidden="false" customHeight="false" outlineLevel="0" collapsed="false">
      <c r="E110" s="117"/>
    </row>
    <row r="111" customFormat="false" ht="15" hidden="false" customHeight="false" outlineLevel="0" collapsed="false">
      <c r="E111" s="117"/>
    </row>
    <row r="112" customFormat="false" ht="15" hidden="false" customHeight="false" outlineLevel="0" collapsed="false">
      <c r="E112" s="117"/>
    </row>
    <row r="113" customFormat="false" ht="15" hidden="false" customHeight="false" outlineLevel="0" collapsed="false">
      <c r="E113" s="117"/>
    </row>
    <row r="114" customFormat="false" ht="15" hidden="false" customHeight="false" outlineLevel="0" collapsed="false">
      <c r="E114" s="117"/>
    </row>
    <row r="115" customFormat="false" ht="15" hidden="false" customHeight="false" outlineLevel="0" collapsed="false">
      <c r="E115" s="117"/>
    </row>
    <row r="116" customFormat="false" ht="15" hidden="false" customHeight="false" outlineLevel="0" collapsed="false">
      <c r="E116" s="117"/>
    </row>
    <row r="117" customFormat="false" ht="15" hidden="false" customHeight="false" outlineLevel="0" collapsed="false">
      <c r="E117" s="117"/>
    </row>
    <row r="118" customFormat="false" ht="15" hidden="false" customHeight="false" outlineLevel="0" collapsed="false">
      <c r="E118" s="117"/>
    </row>
    <row r="119" customFormat="false" ht="15" hidden="false" customHeight="false" outlineLevel="0" collapsed="false">
      <c r="E119" s="117"/>
    </row>
    <row r="120" customFormat="false" ht="15" hidden="false" customHeight="false" outlineLevel="0" collapsed="false">
      <c r="E120" s="117"/>
    </row>
    <row r="121" customFormat="false" ht="15" hidden="false" customHeight="false" outlineLevel="0" collapsed="false">
      <c r="E121" s="117"/>
    </row>
    <row r="122" customFormat="false" ht="15" hidden="false" customHeight="false" outlineLevel="0" collapsed="false">
      <c r="E122" s="117"/>
    </row>
    <row r="123" customFormat="false" ht="15" hidden="false" customHeight="false" outlineLevel="0" collapsed="false">
      <c r="E123" s="117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V127"/>
  <sheetViews>
    <sheetView showFormulas="false" showGridLines="true" showRowColHeaders="true" showZeros="true" rightToLeft="false" tabSelected="false" showOutlineSymbols="true" defaultGridColor="true" view="normal" topLeftCell="A13" colorId="64" zoomScale="60" zoomScaleNormal="60" zoomScalePageLayoutView="100" workbookViewId="0">
      <selection pane="topLeft" activeCell="K54" activeCellId="0" sqref="K54"/>
    </sheetView>
  </sheetViews>
  <sheetFormatPr defaultColWidth="8.8359375" defaultRowHeight="15" zeroHeight="false" outlineLevelRow="0" outlineLevelCol="0"/>
  <cols>
    <col collapsed="false" customWidth="true" hidden="false" outlineLevel="0" max="1" min="1" style="66" width="13.66"/>
    <col collapsed="false" customWidth="true" hidden="false" outlineLevel="0" max="2" min="2" style="67" width="10.33"/>
    <col collapsed="false" customWidth="true" hidden="false" outlineLevel="0" max="4" min="3" style="68" width="18.17"/>
    <col collapsed="false" customWidth="true" hidden="false" outlineLevel="0" max="6" min="5" style="68" width="14"/>
    <col collapsed="false" customWidth="true" hidden="false" outlineLevel="0" max="7" min="7" style="66" width="13.51"/>
    <col collapsed="false" customWidth="true" hidden="false" outlineLevel="0" max="8" min="8" style="69" width="13.83"/>
    <col collapsed="false" customWidth="true" hidden="false" outlineLevel="0" max="10" min="9" style="70" width="14.33"/>
    <col collapsed="false" customWidth="true" hidden="false" outlineLevel="0" max="11" min="11" style="71" width="16.5"/>
    <col collapsed="false" customWidth="true" hidden="false" outlineLevel="0" max="12" min="12" style="70" width="12.17"/>
    <col collapsed="false" customWidth="true" hidden="false" outlineLevel="0" max="13" min="13" style="70" width="12.51"/>
    <col collapsed="false" customWidth="true" hidden="false" outlineLevel="0" max="14" min="14" style="70" width="18.5"/>
    <col collapsed="false" customWidth="true" hidden="false" outlineLevel="0" max="15" min="15" style="70" width="17.83"/>
    <col collapsed="false" customWidth="true" hidden="false" outlineLevel="0" max="16" min="16" style="70" width="13.83"/>
    <col collapsed="false" customWidth="true" hidden="false" outlineLevel="0" max="17" min="17" style="70" width="12.66"/>
    <col collapsed="false" customWidth="true" hidden="false" outlineLevel="0" max="18" min="18" style="70" width="12.83"/>
    <col collapsed="false" customWidth="true" hidden="false" outlineLevel="0" max="19" min="19" style="70" width="12.17"/>
  </cols>
  <sheetData>
    <row r="1" customFormat="false" ht="48" hidden="false" customHeight="false" outlineLevel="0" collapsed="false">
      <c r="A1" s="41" t="s">
        <v>25</v>
      </c>
      <c r="B1" s="72" t="s">
        <v>26</v>
      </c>
      <c r="C1" s="73" t="s">
        <v>27</v>
      </c>
      <c r="D1" s="73" t="s">
        <v>28</v>
      </c>
      <c r="E1" s="73" t="s">
        <v>29</v>
      </c>
      <c r="F1" s="73" t="s">
        <v>29</v>
      </c>
      <c r="G1" s="73" t="s">
        <v>30</v>
      </c>
      <c r="H1" s="74" t="s">
        <v>31</v>
      </c>
      <c r="I1" s="75" t="s">
        <v>32</v>
      </c>
      <c r="J1" s="76" t="s">
        <v>3</v>
      </c>
      <c r="L1" s="77" t="s">
        <v>33</v>
      </c>
      <c r="M1" s="78" t="s">
        <v>34</v>
      </c>
      <c r="N1" s="79" t="s">
        <v>27</v>
      </c>
      <c r="O1" s="79" t="s">
        <v>28</v>
      </c>
      <c r="P1" s="79" t="s">
        <v>29</v>
      </c>
      <c r="Q1" s="79" t="s">
        <v>30</v>
      </c>
      <c r="R1" s="80" t="s">
        <v>31</v>
      </c>
      <c r="S1" s="79" t="s">
        <v>35</v>
      </c>
    </row>
    <row r="2" customFormat="false" ht="15" hidden="false" customHeight="false" outlineLevel="0" collapsed="false">
      <c r="A2" s="81"/>
      <c r="B2" s="81" t="s">
        <v>36</v>
      </c>
      <c r="C2" s="82"/>
      <c r="D2" s="82"/>
      <c r="E2" s="82"/>
      <c r="F2" s="82"/>
      <c r="G2" s="83"/>
      <c r="H2" s="84"/>
      <c r="I2" s="85"/>
      <c r="J2" s="86" t="s">
        <v>18</v>
      </c>
      <c r="K2" s="87"/>
      <c r="L2" s="88"/>
      <c r="M2" s="81" t="s">
        <v>37</v>
      </c>
      <c r="N2" s="82"/>
      <c r="O2" s="82"/>
      <c r="P2" s="82"/>
      <c r="Q2" s="83"/>
      <c r="R2" s="84"/>
      <c r="S2" s="85"/>
    </row>
    <row r="3" customFormat="false" ht="15.75" hidden="false" customHeight="false" outlineLevel="0" collapsed="false">
      <c r="A3" s="89" t="n">
        <v>0.444444444444444</v>
      </c>
      <c r="B3" s="143" t="s">
        <v>38</v>
      </c>
      <c r="C3" s="75" t="n">
        <v>49184410</v>
      </c>
      <c r="D3" s="75" t="n">
        <v>49193030</v>
      </c>
      <c r="E3" s="91" t="n">
        <f aca="false">SUM(D3-C3)</f>
        <v>8620</v>
      </c>
      <c r="F3" s="108" t="n">
        <f aca="false">SUM(D3-C3)</f>
        <v>8620</v>
      </c>
      <c r="G3" s="41" t="n">
        <v>0.833</v>
      </c>
      <c r="H3" s="144" t="n">
        <f aca="false">SUM(G3*F3)</f>
        <v>7180.46</v>
      </c>
      <c r="I3" s="29" t="n">
        <v>237</v>
      </c>
      <c r="J3" s="29" t="n">
        <v>6398</v>
      </c>
      <c r="K3" s="94"/>
      <c r="L3" s="95" t="n">
        <v>0.5</v>
      </c>
      <c r="M3" s="96" t="s">
        <v>38</v>
      </c>
      <c r="N3" s="98" t="n">
        <v>7622080</v>
      </c>
      <c r="O3" s="98" t="n">
        <v>7622180</v>
      </c>
      <c r="P3" s="99" t="n">
        <f aca="false">SUM(O3-N3)</f>
        <v>100</v>
      </c>
      <c r="Q3" s="100" t="n">
        <v>0.8326</v>
      </c>
      <c r="R3" s="101" t="n">
        <f aca="false">SUM(Q3*P3)</f>
        <v>83.26</v>
      </c>
      <c r="S3" s="102" t="s">
        <v>42</v>
      </c>
      <c r="V3" s="0" t="s">
        <v>41</v>
      </c>
    </row>
    <row r="4" customFormat="false" ht="15.75" hidden="false" customHeight="false" outlineLevel="0" collapsed="false">
      <c r="A4" s="89" t="n">
        <v>0.458333333333333</v>
      </c>
      <c r="B4" s="138" t="s">
        <v>46</v>
      </c>
      <c r="C4" s="97" t="n">
        <f aca="false">SUM(D3)</f>
        <v>49193030</v>
      </c>
      <c r="D4" s="75" t="n">
        <v>49199810</v>
      </c>
      <c r="E4" s="91" t="n">
        <f aca="false">SUM(D4-C4)</f>
        <v>6780</v>
      </c>
      <c r="F4" s="108" t="n">
        <f aca="false">SUM(D4-C4)</f>
        <v>6780</v>
      </c>
      <c r="G4" s="41" t="n">
        <v>0.8328</v>
      </c>
      <c r="H4" s="139" t="n">
        <f aca="false">SUM(G4*F4)</f>
        <v>5646.384</v>
      </c>
      <c r="I4" s="29" t="n">
        <v>248</v>
      </c>
      <c r="J4" s="29" t="n">
        <v>6399</v>
      </c>
      <c r="K4" s="94"/>
      <c r="L4" s="95" t="n">
        <v>0.972222222222222</v>
      </c>
      <c r="M4" s="104" t="s">
        <v>46</v>
      </c>
      <c r="N4" s="99" t="n">
        <f aca="false">SUM(O3)</f>
        <v>7622180</v>
      </c>
      <c r="O4" s="98" t="n">
        <v>7622250</v>
      </c>
      <c r="P4" s="99" t="n">
        <f aca="false">SUM(O4-N4)</f>
        <v>70</v>
      </c>
      <c r="Q4" s="105" t="n">
        <v>0.8423</v>
      </c>
      <c r="R4" s="101" t="n">
        <f aca="false">SUM(Q4*P4)</f>
        <v>58.961</v>
      </c>
      <c r="S4" s="102" t="s">
        <v>93</v>
      </c>
    </row>
    <row r="5" customFormat="false" ht="15.75" hidden="false" customHeight="false" outlineLevel="0" collapsed="false">
      <c r="A5" s="89" t="n">
        <v>0.59375</v>
      </c>
      <c r="B5" s="90" t="s">
        <v>46</v>
      </c>
      <c r="C5" s="97" t="n">
        <f aca="false">SUM(D4)</f>
        <v>49199810</v>
      </c>
      <c r="D5" s="75" t="n">
        <v>49222240</v>
      </c>
      <c r="E5" s="91" t="n">
        <f aca="false">SUM(D5-C5)</f>
        <v>22430</v>
      </c>
      <c r="F5" s="122" t="n">
        <v>22430</v>
      </c>
      <c r="G5" s="41" t="n">
        <v>0.832</v>
      </c>
      <c r="H5" s="139" t="n">
        <f aca="false">SUM(G5*F5)</f>
        <v>18661.76</v>
      </c>
      <c r="I5" s="29" t="n">
        <v>388</v>
      </c>
      <c r="J5" s="1" t="n">
        <v>6404</v>
      </c>
      <c r="K5" s="94"/>
      <c r="L5" s="95" t="n">
        <v>0.0555555555555556</v>
      </c>
      <c r="M5" s="104" t="s">
        <v>46</v>
      </c>
      <c r="N5" s="99" t="n">
        <f aca="false">SUM(O4)</f>
        <v>7622250</v>
      </c>
      <c r="O5" s="98" t="n">
        <v>7622400</v>
      </c>
      <c r="P5" s="99" t="n">
        <f aca="false">SUM(O5-N5)</f>
        <v>150</v>
      </c>
      <c r="Q5" s="100" t="n">
        <v>0.829</v>
      </c>
      <c r="R5" s="101" t="n">
        <f aca="false">SUM(Q5*P5)</f>
        <v>124.35</v>
      </c>
      <c r="S5" s="102" t="s">
        <v>67</v>
      </c>
    </row>
    <row r="6" customFormat="false" ht="15.75" hidden="false" customHeight="false" outlineLevel="0" collapsed="false">
      <c r="A6" s="89" t="n">
        <v>0.663194444444444</v>
      </c>
      <c r="B6" s="90" t="s">
        <v>46</v>
      </c>
      <c r="C6" s="97" t="n">
        <f aca="false">SUM(D5)</f>
        <v>49222240</v>
      </c>
      <c r="D6" s="75" t="n">
        <v>49244660</v>
      </c>
      <c r="E6" s="91" t="n">
        <f aca="false">SUM(D6-C6)</f>
        <v>22420</v>
      </c>
      <c r="F6" s="122" t="n">
        <v>22430</v>
      </c>
      <c r="G6" s="41" t="n">
        <v>0.832</v>
      </c>
      <c r="H6" s="139" t="n">
        <f aca="false">SUM(G6*F6)</f>
        <v>18661.76</v>
      </c>
      <c r="I6" s="29" t="n">
        <v>388</v>
      </c>
      <c r="J6" s="1" t="n">
        <v>6406</v>
      </c>
      <c r="K6" s="94"/>
      <c r="L6" s="95"/>
      <c r="M6" s="104"/>
      <c r="N6" s="99" t="n">
        <v>0</v>
      </c>
      <c r="O6" s="98"/>
      <c r="P6" s="99" t="n">
        <f aca="false">SUM(O6-N6)</f>
        <v>0</v>
      </c>
      <c r="Q6" s="41"/>
      <c r="R6" s="101" t="n">
        <f aca="false">SUM(Q6*P6)</f>
        <v>0</v>
      </c>
      <c r="S6" s="102"/>
    </row>
    <row r="7" customFormat="false" ht="15.75" hidden="false" customHeight="false" outlineLevel="0" collapsed="false">
      <c r="A7" s="89" t="n">
        <v>0.708333333333333</v>
      </c>
      <c r="B7" s="90" t="s">
        <v>46</v>
      </c>
      <c r="C7" s="97" t="n">
        <f aca="false">SUM(D6)</f>
        <v>49244660</v>
      </c>
      <c r="D7" s="75" t="n">
        <v>49256140</v>
      </c>
      <c r="E7" s="91" t="n">
        <f aca="false">SUM(D7-C7)</f>
        <v>11480</v>
      </c>
      <c r="F7" s="122" t="n">
        <v>11480</v>
      </c>
      <c r="G7" s="41" t="n">
        <v>0.832</v>
      </c>
      <c r="H7" s="139" t="n">
        <f aca="false">SUM(G7*F7)</f>
        <v>9551.36</v>
      </c>
      <c r="I7" s="29" t="n">
        <v>388</v>
      </c>
      <c r="J7" s="1" t="n">
        <v>6408</v>
      </c>
      <c r="K7" s="94"/>
      <c r="L7" s="95"/>
      <c r="M7" s="104"/>
      <c r="N7" s="99" t="n">
        <f aca="false">SUM(O6)</f>
        <v>0</v>
      </c>
      <c r="O7" s="98"/>
      <c r="P7" s="99" t="n">
        <f aca="false">SUM(O7-N7)</f>
        <v>0</v>
      </c>
      <c r="Q7" s="41"/>
      <c r="R7" s="101" t="n">
        <f aca="false">SUM(Q7*P7)</f>
        <v>0</v>
      </c>
      <c r="S7" s="102"/>
    </row>
    <row r="8" customFormat="false" ht="15.75" hidden="false" customHeight="false" outlineLevel="0" collapsed="false">
      <c r="A8" s="89" t="n">
        <v>0.708333333333333</v>
      </c>
      <c r="B8" s="121" t="s">
        <v>39</v>
      </c>
      <c r="C8" s="97" t="n">
        <f aca="false">SUM(D7)</f>
        <v>49256140</v>
      </c>
      <c r="D8" s="75" t="n">
        <v>49267080</v>
      </c>
      <c r="E8" s="91" t="n">
        <f aca="false">SUM(D8-C8)</f>
        <v>10940</v>
      </c>
      <c r="F8" s="122" t="n">
        <v>10950</v>
      </c>
      <c r="G8" s="41" t="n">
        <v>0.83</v>
      </c>
      <c r="H8" s="123" t="n">
        <f aca="false">SUM(G8*F8)</f>
        <v>9088.5</v>
      </c>
      <c r="I8" s="29" t="n">
        <v>388</v>
      </c>
      <c r="J8" s="1" t="n">
        <v>6409</v>
      </c>
      <c r="K8" s="94"/>
      <c r="L8" s="95"/>
      <c r="M8" s="96"/>
      <c r="N8" s="99" t="n">
        <f aca="false">SUM(O7)</f>
        <v>0</v>
      </c>
      <c r="O8" s="98"/>
      <c r="P8" s="99" t="n">
        <f aca="false">SUM(O8-N8)</f>
        <v>0</v>
      </c>
      <c r="Q8" s="100"/>
      <c r="R8" s="101" t="n">
        <f aca="false">SUM(Q8*P8)</f>
        <v>0</v>
      </c>
      <c r="S8" s="1"/>
    </row>
    <row r="9" customFormat="false" ht="15.75" hidden="false" customHeight="false" outlineLevel="0" collapsed="false">
      <c r="A9" s="89" t="n">
        <v>0.75</v>
      </c>
      <c r="B9" s="90" t="s">
        <v>39</v>
      </c>
      <c r="C9" s="97" t="n">
        <f aca="false">SUM(D8)</f>
        <v>49267080</v>
      </c>
      <c r="D9" s="75" t="n">
        <v>49284100</v>
      </c>
      <c r="E9" s="91" t="n">
        <f aca="false">SUM(D9-C9)</f>
        <v>17020</v>
      </c>
      <c r="F9" s="128" t="n">
        <v>17019</v>
      </c>
      <c r="G9" s="41" t="n">
        <v>0.83</v>
      </c>
      <c r="H9" s="123" t="n">
        <f aca="false">SUM(G9*F9)</f>
        <v>14125.77</v>
      </c>
      <c r="I9" s="29" t="n">
        <v>251</v>
      </c>
      <c r="J9" s="1" t="n">
        <v>6410</v>
      </c>
      <c r="K9" s="94"/>
      <c r="L9" s="95"/>
      <c r="M9" s="96"/>
      <c r="N9" s="99" t="n">
        <f aca="false">SUM(O8)</f>
        <v>0</v>
      </c>
      <c r="O9" s="98"/>
      <c r="P9" s="99" t="n">
        <f aca="false">SUM(O9-N9)</f>
        <v>0</v>
      </c>
      <c r="Q9" s="100"/>
      <c r="R9" s="101" t="n">
        <f aca="false">SUM(Q9*P9)</f>
        <v>0</v>
      </c>
      <c r="S9" s="1"/>
    </row>
    <row r="10" customFormat="false" ht="15.75" hidden="false" customHeight="false" outlineLevel="0" collapsed="false">
      <c r="A10" s="89" t="n">
        <v>0.802083333333333</v>
      </c>
      <c r="B10" s="90" t="s">
        <v>39</v>
      </c>
      <c r="C10" s="97" t="n">
        <f aca="false">SUM(D9)</f>
        <v>49284100</v>
      </c>
      <c r="D10" s="75" t="n">
        <v>49306550</v>
      </c>
      <c r="E10" s="91" t="n">
        <f aca="false">SUM(D10-C10)</f>
        <v>22450</v>
      </c>
      <c r="F10" s="122" t="n">
        <v>22430</v>
      </c>
      <c r="G10" s="41" t="n">
        <v>0.83</v>
      </c>
      <c r="H10" s="123" t="n">
        <f aca="false">SUM(G10*F10)</f>
        <v>18616.9</v>
      </c>
      <c r="I10" s="29" t="n">
        <v>388</v>
      </c>
      <c r="J10" s="1" t="n">
        <v>6411</v>
      </c>
      <c r="K10" s="94"/>
      <c r="L10" s="95"/>
      <c r="M10" s="96"/>
      <c r="N10" s="99" t="n">
        <f aca="false">SUM(O9)</f>
        <v>0</v>
      </c>
      <c r="O10" s="98"/>
      <c r="P10" s="99" t="n">
        <f aca="false">SUM(O10-N10)</f>
        <v>0</v>
      </c>
      <c r="Q10" s="100"/>
      <c r="R10" s="101" t="n">
        <f aca="false">SUM(Q10*P10)</f>
        <v>0</v>
      </c>
      <c r="S10" s="102"/>
    </row>
    <row r="11" customFormat="false" ht="15.75" hidden="false" customHeight="false" outlineLevel="0" collapsed="false">
      <c r="A11" s="89" t="n">
        <v>0.871527777777778</v>
      </c>
      <c r="B11" s="90" t="s">
        <v>39</v>
      </c>
      <c r="C11" s="97" t="n">
        <f aca="false">SUM(D10)</f>
        <v>49306550</v>
      </c>
      <c r="D11" s="75" t="n">
        <v>49315850</v>
      </c>
      <c r="E11" s="91" t="n">
        <f aca="false">SUM(D11-C11)</f>
        <v>9300</v>
      </c>
      <c r="F11" s="108" t="n">
        <f aca="false">SUM(D11-C11)</f>
        <v>9300</v>
      </c>
      <c r="G11" s="41" t="n">
        <v>0.83</v>
      </c>
      <c r="H11" s="123" t="n">
        <f aca="false">SUM(G11*F11)</f>
        <v>7719</v>
      </c>
      <c r="I11" s="29" t="n">
        <v>237</v>
      </c>
      <c r="J11" s="1" t="n">
        <v>6414</v>
      </c>
      <c r="K11" s="94"/>
      <c r="L11" s="95"/>
      <c r="M11" s="96"/>
      <c r="N11" s="99" t="n">
        <f aca="false">SUM(O10)</f>
        <v>0</v>
      </c>
      <c r="O11" s="98"/>
      <c r="P11" s="99" t="n">
        <f aca="false">SUM(O11-N11)</f>
        <v>0</v>
      </c>
      <c r="Q11" s="100"/>
      <c r="R11" s="101" t="n">
        <f aca="false">SUM(Q11*P11)</f>
        <v>0</v>
      </c>
      <c r="S11" s="1"/>
    </row>
    <row r="12" customFormat="false" ht="15.75" hidden="false" customHeight="false" outlineLevel="0" collapsed="false">
      <c r="A12" s="89" t="n">
        <v>0.944444444444444</v>
      </c>
      <c r="B12" s="90" t="s">
        <v>38</v>
      </c>
      <c r="C12" s="97" t="n">
        <f aca="false">SUM(D11)</f>
        <v>49315850</v>
      </c>
      <c r="D12" s="75" t="n">
        <v>49327330</v>
      </c>
      <c r="E12" s="91" t="n">
        <f aca="false">SUM(D12-C12)</f>
        <v>11480</v>
      </c>
      <c r="F12" s="122" t="n">
        <v>11480</v>
      </c>
      <c r="G12" s="41" t="n">
        <v>0.834</v>
      </c>
      <c r="H12" s="144" t="n">
        <f aca="false">SUM(G12*F12)</f>
        <v>9574.32</v>
      </c>
      <c r="I12" s="29" t="n">
        <v>388</v>
      </c>
      <c r="J12" s="1" t="n">
        <v>6421</v>
      </c>
      <c r="K12" s="94"/>
      <c r="L12" s="95"/>
      <c r="M12" s="96"/>
      <c r="N12" s="99" t="n">
        <f aca="false">SUM(O11)</f>
        <v>0</v>
      </c>
      <c r="O12" s="98"/>
      <c r="P12" s="99" t="n">
        <f aca="false">SUM(O12-N12)</f>
        <v>0</v>
      </c>
      <c r="Q12" s="100"/>
      <c r="R12" s="101" t="n">
        <f aca="false">SUM(Q12*P12)</f>
        <v>0</v>
      </c>
      <c r="S12" s="1"/>
    </row>
    <row r="13" customFormat="false" ht="15.75" hidden="false" customHeight="false" outlineLevel="0" collapsed="false">
      <c r="A13" s="89" t="n">
        <v>0.993055555555555</v>
      </c>
      <c r="B13" s="90" t="s">
        <v>38</v>
      </c>
      <c r="C13" s="97" t="n">
        <f aca="false">SUM(D12)</f>
        <v>49327330</v>
      </c>
      <c r="D13" s="75" t="n">
        <v>49349750</v>
      </c>
      <c r="E13" s="91" t="n">
        <f aca="false">SUM(D13-C13)</f>
        <v>22420</v>
      </c>
      <c r="F13" s="122" t="n">
        <v>22430</v>
      </c>
      <c r="G13" s="41" t="n">
        <v>0.834</v>
      </c>
      <c r="H13" s="144" t="n">
        <f aca="false">SUM(G13*F13)</f>
        <v>18706.62</v>
      </c>
      <c r="I13" s="29" t="n">
        <v>388</v>
      </c>
      <c r="J13" s="1" t="n">
        <v>6423</v>
      </c>
      <c r="K13" s="94"/>
      <c r="L13" s="95"/>
      <c r="M13" s="96"/>
      <c r="N13" s="99" t="n">
        <f aca="false">SUM(O12)</f>
        <v>0</v>
      </c>
      <c r="O13" s="98"/>
      <c r="P13" s="99" t="n">
        <f aca="false">SUM(O13-N13)</f>
        <v>0</v>
      </c>
      <c r="Q13" s="100"/>
      <c r="R13" s="101" t="n">
        <f aca="false">SUM(Q13*P13)</f>
        <v>0</v>
      </c>
      <c r="S13" s="1"/>
    </row>
    <row r="14" customFormat="false" ht="15.75" hidden="false" customHeight="false" outlineLevel="0" collapsed="false">
      <c r="A14" s="89" t="n">
        <v>0.170138888888889</v>
      </c>
      <c r="B14" s="90" t="s">
        <v>46</v>
      </c>
      <c r="C14" s="97" t="n">
        <f aca="false">SUM(D13)</f>
        <v>49349750</v>
      </c>
      <c r="D14" s="75" t="n">
        <v>49366770</v>
      </c>
      <c r="E14" s="91" t="n">
        <f aca="false">SUM(D14-C14)</f>
        <v>17020</v>
      </c>
      <c r="F14" s="128" t="n">
        <v>17019</v>
      </c>
      <c r="G14" s="41" t="n">
        <v>0.8315</v>
      </c>
      <c r="H14" s="139" t="n">
        <f aca="false">SUM(G14*F14)</f>
        <v>14151.2985</v>
      </c>
      <c r="I14" s="29" t="n">
        <v>251</v>
      </c>
      <c r="J14" s="1" t="n">
        <v>6426</v>
      </c>
      <c r="K14" s="94"/>
      <c r="L14" s="95"/>
      <c r="M14" s="96"/>
      <c r="N14" s="99" t="n">
        <f aca="false">SUM(O13)</f>
        <v>0</v>
      </c>
      <c r="O14" s="98"/>
      <c r="P14" s="99" t="n">
        <f aca="false">SUM(O14-N14)</f>
        <v>0</v>
      </c>
      <c r="Q14" s="100"/>
      <c r="R14" s="101" t="n">
        <f aca="false">SUM(Q14*P14)</f>
        <v>0</v>
      </c>
      <c r="S14" s="1"/>
    </row>
    <row r="15" customFormat="false" ht="15.75" hidden="false" customHeight="false" outlineLevel="0" collapsed="false">
      <c r="A15" s="89" t="n">
        <v>0.197916666666667</v>
      </c>
      <c r="B15" s="90" t="s">
        <v>46</v>
      </c>
      <c r="C15" s="97" t="n">
        <f aca="false">SUM(D14)</f>
        <v>49366770</v>
      </c>
      <c r="D15" s="75" t="n">
        <v>49389190</v>
      </c>
      <c r="E15" s="91" t="n">
        <f aca="false">SUM(D15-C15)</f>
        <v>22420</v>
      </c>
      <c r="F15" s="122" t="n">
        <v>22430</v>
      </c>
      <c r="G15" s="41" t="n">
        <v>0.8315</v>
      </c>
      <c r="H15" s="139" t="n">
        <f aca="false">SUM(G15*F15)</f>
        <v>18650.545</v>
      </c>
      <c r="I15" s="29" t="n">
        <v>388</v>
      </c>
      <c r="J15" s="1" t="n">
        <v>6427</v>
      </c>
      <c r="K15" s="94"/>
      <c r="L15" s="95"/>
      <c r="M15" s="96"/>
      <c r="N15" s="99" t="n">
        <f aca="false">SUM(O14)</f>
        <v>0</v>
      </c>
      <c r="O15" s="98"/>
      <c r="P15" s="99" t="n">
        <f aca="false">SUM(O15-N15)</f>
        <v>0</v>
      </c>
      <c r="Q15" s="100"/>
      <c r="R15" s="101" t="n">
        <f aca="false">SUM(Q15*P15)</f>
        <v>0</v>
      </c>
      <c r="S15" s="1"/>
    </row>
    <row r="16" customFormat="false" ht="15.75" hidden="false" customHeight="false" outlineLevel="0" collapsed="false">
      <c r="A16" s="89" t="n">
        <v>0.260416666666667</v>
      </c>
      <c r="B16" s="90" t="s">
        <v>46</v>
      </c>
      <c r="C16" s="97" t="n">
        <f aca="false">SUM(D15)</f>
        <v>49389190</v>
      </c>
      <c r="D16" s="75" t="n">
        <v>49411610</v>
      </c>
      <c r="E16" s="91" t="n">
        <f aca="false">SUM(D16-C16)</f>
        <v>22420</v>
      </c>
      <c r="F16" s="122" t="n">
        <v>22430</v>
      </c>
      <c r="G16" s="41" t="n">
        <v>0.8315</v>
      </c>
      <c r="H16" s="139" t="n">
        <f aca="false">SUM(G16*F16)</f>
        <v>18650.545</v>
      </c>
      <c r="I16" s="29" t="n">
        <v>388</v>
      </c>
      <c r="J16" s="1" t="n">
        <v>6429</v>
      </c>
      <c r="K16" s="94"/>
      <c r="L16" s="95"/>
      <c r="M16" s="104"/>
      <c r="N16" s="99" t="n">
        <f aca="false">SUM(O15)</f>
        <v>0</v>
      </c>
      <c r="O16" s="98"/>
      <c r="P16" s="99" t="n">
        <f aca="false">SUM(O16-N16)</f>
        <v>0</v>
      </c>
      <c r="Q16" s="41"/>
      <c r="R16" s="101" t="n">
        <f aca="false">SUM(Q16*P16)</f>
        <v>0</v>
      </c>
      <c r="S16" s="102"/>
    </row>
    <row r="17" customFormat="false" ht="15.75" hidden="false" customHeight="false" outlineLevel="0" collapsed="false">
      <c r="A17" s="89" t="n">
        <v>0.270833333333333</v>
      </c>
      <c r="B17" s="124" t="s">
        <v>54</v>
      </c>
      <c r="C17" s="97" t="n">
        <f aca="false">SUM(D16)</f>
        <v>49411610</v>
      </c>
      <c r="D17" s="75" t="n">
        <v>49428640</v>
      </c>
      <c r="E17" s="91" t="n">
        <f aca="false">SUM(D17-C17)</f>
        <v>17030</v>
      </c>
      <c r="F17" s="128" t="n">
        <v>17019</v>
      </c>
      <c r="G17" s="41" t="n">
        <v>0.8285</v>
      </c>
      <c r="H17" s="125" t="n">
        <v>14101</v>
      </c>
      <c r="I17" s="29" t="n">
        <v>251</v>
      </c>
      <c r="J17" s="1" t="n">
        <v>6430</v>
      </c>
      <c r="K17" s="94"/>
      <c r="L17" s="88"/>
      <c r="M17" s="88" t="s">
        <v>49</v>
      </c>
      <c r="N17" s="82"/>
      <c r="O17" s="82"/>
      <c r="P17" s="82"/>
      <c r="Q17" s="83"/>
      <c r="R17" s="84"/>
      <c r="S17" s="85"/>
    </row>
    <row r="18" customFormat="false" ht="15.75" hidden="false" customHeight="false" outlineLevel="0" collapsed="false">
      <c r="A18" s="89" t="n">
        <v>0.319444444444444</v>
      </c>
      <c r="B18" s="90" t="s">
        <v>54</v>
      </c>
      <c r="C18" s="97" t="n">
        <f aca="false">SUM(D17)</f>
        <v>49428640</v>
      </c>
      <c r="D18" s="75" t="n">
        <v>49451060</v>
      </c>
      <c r="E18" s="91" t="n">
        <f aca="false">SUM(D18-C18)</f>
        <v>22420</v>
      </c>
      <c r="F18" s="122" t="n">
        <v>22430</v>
      </c>
      <c r="G18" s="41" t="n">
        <v>0.8285</v>
      </c>
      <c r="H18" s="125" t="n">
        <f aca="false">SUM(G18*F18)</f>
        <v>18583.255</v>
      </c>
      <c r="I18" s="29" t="n">
        <v>388</v>
      </c>
      <c r="J18" s="1" t="n">
        <v>6431</v>
      </c>
      <c r="K18" s="94"/>
      <c r="L18" s="95" t="n">
        <v>0.434027777777778</v>
      </c>
      <c r="M18" s="104" t="s">
        <v>72</v>
      </c>
      <c r="N18" s="129" t="n">
        <f aca="false">D40</f>
        <v>1810380</v>
      </c>
      <c r="O18" s="98" t="n">
        <v>1810420</v>
      </c>
      <c r="P18" s="108" t="n">
        <f aca="false">SUM(O18-N18)</f>
        <v>40</v>
      </c>
      <c r="Q18" s="41" t="n">
        <v>0.82344</v>
      </c>
      <c r="R18" s="93" t="n">
        <f aca="false">SUM(Q18*P18)</f>
        <v>32.9376</v>
      </c>
      <c r="S18" s="102" t="s">
        <v>68</v>
      </c>
      <c r="T18" s="0" t="s">
        <v>41</v>
      </c>
    </row>
    <row r="19" customFormat="false" ht="15" hidden="false" customHeight="false" outlineLevel="0" collapsed="false">
      <c r="A19" s="89"/>
      <c r="B19" s="90"/>
      <c r="C19" s="97" t="n">
        <v>0</v>
      </c>
      <c r="D19" s="75"/>
      <c r="E19" s="91" t="n">
        <f aca="false">SUM(D19-C19)</f>
        <v>0</v>
      </c>
      <c r="F19" s="108" t="n">
        <f aca="false">SUM(D19-C19)</f>
        <v>0</v>
      </c>
      <c r="G19" s="41"/>
      <c r="H19" s="93" t="n">
        <f aca="false">SUM(G19*F19)</f>
        <v>0</v>
      </c>
      <c r="I19" s="29"/>
      <c r="J19" s="1"/>
      <c r="K19" s="94"/>
      <c r="L19" s="95"/>
      <c r="M19" s="104"/>
      <c r="N19" s="97" t="n">
        <v>0</v>
      </c>
      <c r="O19" s="98"/>
      <c r="P19" s="108" t="n">
        <f aca="false">SUM(O19-N19)</f>
        <v>0</v>
      </c>
      <c r="Q19" s="41"/>
      <c r="R19" s="93" t="n">
        <f aca="false">SUM(Q19*P19)</f>
        <v>0</v>
      </c>
      <c r="S19" s="102"/>
    </row>
    <row r="20" customFormat="false" ht="15" hidden="false" customHeight="false" outlineLevel="0" collapsed="false">
      <c r="A20" s="89"/>
      <c r="B20" s="90"/>
      <c r="C20" s="97" t="n">
        <f aca="false">SUM(D19)</f>
        <v>0</v>
      </c>
      <c r="D20" s="75"/>
      <c r="E20" s="91" t="n">
        <f aca="false">SUM(D20-C20)</f>
        <v>0</v>
      </c>
      <c r="F20" s="108" t="n">
        <f aca="false">SUM(D20-C20)</f>
        <v>0</v>
      </c>
      <c r="G20" s="41"/>
      <c r="H20" s="93" t="n">
        <f aca="false">SUM(G20*F20)</f>
        <v>0</v>
      </c>
      <c r="I20" s="1"/>
      <c r="J20" s="1"/>
      <c r="K20" s="94"/>
      <c r="L20" s="95"/>
      <c r="M20" s="104"/>
      <c r="N20" s="97" t="n">
        <f aca="false">SUM(O19)</f>
        <v>0</v>
      </c>
      <c r="O20" s="98"/>
      <c r="P20" s="108" t="n">
        <f aca="false">SUM(O20-N20)</f>
        <v>0</v>
      </c>
      <c r="Q20" s="41"/>
      <c r="R20" s="93" t="n">
        <f aca="false">SUM(Q20*P20)</f>
        <v>0</v>
      </c>
      <c r="S20" s="102"/>
    </row>
    <row r="21" customFormat="false" ht="15" hidden="false" customHeight="false" outlineLevel="0" collapsed="false">
      <c r="A21" s="89"/>
      <c r="B21" s="90"/>
      <c r="C21" s="97" t="n">
        <f aca="false">SUM(D20)</f>
        <v>0</v>
      </c>
      <c r="D21" s="75"/>
      <c r="E21" s="91" t="n">
        <f aca="false">SUM(D21-C21)</f>
        <v>0</v>
      </c>
      <c r="F21" s="108" t="n">
        <f aca="false">SUM(D21-C21)</f>
        <v>0</v>
      </c>
      <c r="G21" s="41"/>
      <c r="H21" s="93" t="n">
        <f aca="false">SUM(G21*F21)</f>
        <v>0</v>
      </c>
      <c r="I21" s="1"/>
      <c r="J21" s="1"/>
      <c r="K21" s="94"/>
      <c r="L21" s="95"/>
      <c r="M21" s="104"/>
      <c r="N21" s="97" t="n">
        <f aca="false">SUM(O20)</f>
        <v>0</v>
      </c>
      <c r="O21" s="98"/>
      <c r="P21" s="108" t="n">
        <f aca="false">SUM(O21-N21)</f>
        <v>0</v>
      </c>
      <c r="Q21" s="41"/>
      <c r="R21" s="93" t="n">
        <f aca="false">SUM(Q21*P21)</f>
        <v>0</v>
      </c>
      <c r="S21" s="102"/>
    </row>
    <row r="22" customFormat="false" ht="15" hidden="false" customHeight="false" outlineLevel="0" collapsed="false">
      <c r="A22" s="89"/>
      <c r="B22" s="90"/>
      <c r="C22" s="97" t="n">
        <f aca="false">SUM(D21)</f>
        <v>0</v>
      </c>
      <c r="D22" s="75"/>
      <c r="E22" s="91" t="n">
        <f aca="false">SUM(D22-C22)</f>
        <v>0</v>
      </c>
      <c r="F22" s="108" t="n">
        <f aca="false">SUM(D22-C22)</f>
        <v>0</v>
      </c>
      <c r="G22" s="41"/>
      <c r="H22" s="93" t="n">
        <f aca="false">SUM(G22*F22)</f>
        <v>0</v>
      </c>
      <c r="I22" s="1"/>
      <c r="J22" s="29"/>
      <c r="K22" s="94"/>
      <c r="L22" s="95"/>
      <c r="M22" s="104"/>
      <c r="N22" s="97" t="n">
        <f aca="false">SUM(O21)</f>
        <v>0</v>
      </c>
      <c r="O22" s="98"/>
      <c r="P22" s="108" t="n">
        <f aca="false">SUM(O22-N22)</f>
        <v>0</v>
      </c>
      <c r="Q22" s="41"/>
      <c r="R22" s="93" t="n">
        <f aca="false">SUM(Q22*P22)</f>
        <v>0</v>
      </c>
      <c r="S22" s="102"/>
    </row>
    <row r="23" customFormat="false" ht="15" hidden="false" customHeight="false" outlineLevel="0" collapsed="false">
      <c r="A23" s="89"/>
      <c r="B23" s="90"/>
      <c r="C23" s="97" t="n">
        <f aca="false">SUM(D22)</f>
        <v>0</v>
      </c>
      <c r="D23" s="75"/>
      <c r="E23" s="91" t="n">
        <f aca="false">SUM(D23-C23)</f>
        <v>0</v>
      </c>
      <c r="F23" s="108" t="n">
        <f aca="false">SUM(D23-C23)</f>
        <v>0</v>
      </c>
      <c r="G23" s="41"/>
      <c r="H23" s="93" t="n">
        <f aca="false">SUM(G23*F23)</f>
        <v>0</v>
      </c>
      <c r="I23" s="1"/>
      <c r="J23" s="29"/>
      <c r="K23" s="94"/>
      <c r="L23" s="95"/>
      <c r="M23" s="104"/>
      <c r="N23" s="97" t="n">
        <f aca="false">SUM(O22)</f>
        <v>0</v>
      </c>
      <c r="O23" s="98"/>
      <c r="P23" s="108" t="n">
        <f aca="false">SUM(O23-N23)</f>
        <v>0</v>
      </c>
      <c r="Q23" s="41"/>
      <c r="R23" s="93" t="n">
        <f aca="false">SUM(Q23*P23)</f>
        <v>0</v>
      </c>
      <c r="S23" s="102"/>
    </row>
    <row r="24" customFormat="false" ht="15" hidden="false" customHeight="false" outlineLevel="0" collapsed="false">
      <c r="A24" s="89"/>
      <c r="B24" s="90"/>
      <c r="C24" s="97" t="n">
        <f aca="false">SUM(D23)</f>
        <v>0</v>
      </c>
      <c r="D24" s="75"/>
      <c r="E24" s="91" t="n">
        <f aca="false">SUM(D24-C24)</f>
        <v>0</v>
      </c>
      <c r="F24" s="108" t="n">
        <f aca="false">SUM(D24-C24)</f>
        <v>0</v>
      </c>
      <c r="G24" s="41"/>
      <c r="H24" s="93" t="n">
        <f aca="false">SUM(G24*F24)</f>
        <v>0</v>
      </c>
      <c r="I24" s="1"/>
      <c r="J24" s="29"/>
      <c r="K24" s="94"/>
      <c r="L24" s="95"/>
      <c r="M24" s="104"/>
      <c r="N24" s="97" t="n">
        <f aca="false">SUM(O23)</f>
        <v>0</v>
      </c>
      <c r="O24" s="98"/>
      <c r="P24" s="108" t="n">
        <f aca="false">SUM(O24-N24)</f>
        <v>0</v>
      </c>
      <c r="Q24" s="41"/>
      <c r="R24" s="93" t="n">
        <f aca="false">SUM(Q24*P24)</f>
        <v>0</v>
      </c>
      <c r="S24" s="102"/>
    </row>
    <row r="25" customFormat="false" ht="15" hidden="true" customHeight="false" outlineLevel="0" collapsed="false">
      <c r="A25" s="89"/>
      <c r="B25" s="90"/>
      <c r="C25" s="97" t="n">
        <f aca="false">SUM(D24)</f>
        <v>0</v>
      </c>
      <c r="D25" s="75"/>
      <c r="E25" s="91" t="n">
        <f aca="false">SUM(D25-C25)</f>
        <v>0</v>
      </c>
      <c r="F25" s="108" t="n">
        <f aca="false">SUM(D25-C25)</f>
        <v>0</v>
      </c>
      <c r="G25" s="41"/>
      <c r="H25" s="93" t="n">
        <f aca="false">SUM(G25*F25)</f>
        <v>0</v>
      </c>
      <c r="I25" s="1"/>
      <c r="J25" s="29"/>
      <c r="K25" s="94"/>
      <c r="L25" s="95"/>
      <c r="M25" s="96"/>
      <c r="N25" s="97" t="n">
        <f aca="false">SUM(O24)</f>
        <v>0</v>
      </c>
      <c r="O25" s="98"/>
      <c r="P25" s="108" t="n">
        <f aca="false">SUM(O25-N25)</f>
        <v>0</v>
      </c>
      <c r="Q25" s="100"/>
      <c r="R25" s="93" t="n">
        <f aca="false">SUM(Q25*P25)</f>
        <v>0</v>
      </c>
      <c r="S25" s="1"/>
    </row>
    <row r="26" customFormat="false" ht="15" hidden="true" customHeight="false" outlineLevel="0" collapsed="false">
      <c r="A26" s="89"/>
      <c r="B26" s="90"/>
      <c r="C26" s="97" t="n">
        <f aca="false">SUM(D25)</f>
        <v>0</v>
      </c>
      <c r="D26" s="75"/>
      <c r="E26" s="91" t="n">
        <f aca="false">SUM(D26-C26)</f>
        <v>0</v>
      </c>
      <c r="F26" s="108" t="n">
        <f aca="false">SUM(D26-C26)</f>
        <v>0</v>
      </c>
      <c r="G26" s="41"/>
      <c r="H26" s="93" t="n">
        <f aca="false">SUM(G26*F26)</f>
        <v>0</v>
      </c>
      <c r="I26" s="1"/>
      <c r="J26" s="29"/>
      <c r="K26" s="94"/>
      <c r="L26" s="95"/>
      <c r="M26" s="96"/>
      <c r="N26" s="97" t="n">
        <f aca="false">SUM(O25)</f>
        <v>0</v>
      </c>
      <c r="O26" s="98"/>
      <c r="P26" s="108" t="n">
        <f aca="false">SUM(O26-N26)</f>
        <v>0</v>
      </c>
      <c r="Q26" s="100"/>
      <c r="R26" s="93" t="n">
        <f aca="false">SUM(Q26*P26)</f>
        <v>0</v>
      </c>
      <c r="S26" s="102"/>
    </row>
    <row r="27" customFormat="false" ht="15" hidden="true" customHeight="false" outlineLevel="0" collapsed="false">
      <c r="A27" s="89"/>
      <c r="B27" s="90"/>
      <c r="C27" s="97" t="n">
        <f aca="false">SUM(D26)</f>
        <v>0</v>
      </c>
      <c r="D27" s="75"/>
      <c r="E27" s="91" t="n">
        <f aca="false">SUM(D27-C27)</f>
        <v>0</v>
      </c>
      <c r="F27" s="108" t="n">
        <f aca="false">SUM(D27-C27)</f>
        <v>0</v>
      </c>
      <c r="G27" s="41"/>
      <c r="H27" s="93" t="n">
        <f aca="false">SUM(G27*F27)</f>
        <v>0</v>
      </c>
      <c r="I27" s="1"/>
      <c r="J27" s="29"/>
      <c r="K27" s="94"/>
      <c r="L27" s="95"/>
      <c r="M27" s="96"/>
      <c r="N27" s="97" t="n">
        <f aca="false">SUM(O26)</f>
        <v>0</v>
      </c>
      <c r="O27" s="98"/>
      <c r="P27" s="108" t="n">
        <f aca="false">SUM(O27-N27)</f>
        <v>0</v>
      </c>
      <c r="Q27" s="100"/>
      <c r="R27" s="93" t="n">
        <f aca="false">SUM(Q27*P27)</f>
        <v>0</v>
      </c>
      <c r="S27" s="1"/>
    </row>
    <row r="28" customFormat="false" ht="15" hidden="true" customHeight="false" outlineLevel="0" collapsed="false">
      <c r="A28" s="89"/>
      <c r="B28" s="90"/>
      <c r="C28" s="97" t="n">
        <f aca="false">SUM(D27)</f>
        <v>0</v>
      </c>
      <c r="D28" s="75"/>
      <c r="E28" s="91" t="n">
        <f aca="false">SUM(D28-C28)</f>
        <v>0</v>
      </c>
      <c r="F28" s="108" t="n">
        <f aca="false">SUM(D28-C28)</f>
        <v>0</v>
      </c>
      <c r="G28" s="41"/>
      <c r="H28" s="93" t="n">
        <f aca="false">SUM(G28*F28)</f>
        <v>0</v>
      </c>
      <c r="I28" s="1"/>
      <c r="J28" s="29"/>
      <c r="K28" s="94"/>
      <c r="L28" s="95"/>
      <c r="M28" s="96"/>
      <c r="N28" s="97" t="n">
        <f aca="false">SUM(O27)</f>
        <v>0</v>
      </c>
      <c r="O28" s="98"/>
      <c r="P28" s="108" t="n">
        <f aca="false">SUM(O28-N28)</f>
        <v>0</v>
      </c>
      <c r="Q28" s="100"/>
      <c r="R28" s="93" t="n">
        <f aca="false">SUM(Q28*P28)</f>
        <v>0</v>
      </c>
      <c r="S28" s="1"/>
    </row>
    <row r="29" customFormat="false" ht="15" hidden="true" customHeight="false" outlineLevel="0" collapsed="false">
      <c r="A29" s="89"/>
      <c r="B29" s="90"/>
      <c r="C29" s="97" t="n">
        <f aca="false">SUM(D28)</f>
        <v>0</v>
      </c>
      <c r="D29" s="75"/>
      <c r="E29" s="91" t="n">
        <f aca="false">SUM(D29-C29)</f>
        <v>0</v>
      </c>
      <c r="F29" s="108" t="n">
        <f aca="false">SUM(D29-C29)</f>
        <v>0</v>
      </c>
      <c r="G29" s="41"/>
      <c r="H29" s="93" t="n">
        <f aca="false">SUM(G29*F29)</f>
        <v>0</v>
      </c>
      <c r="I29" s="1"/>
      <c r="J29" s="29"/>
      <c r="K29" s="94"/>
      <c r="L29" s="95"/>
      <c r="M29" s="96"/>
      <c r="N29" s="97" t="n">
        <f aca="false">SUM(O28)</f>
        <v>0</v>
      </c>
      <c r="O29" s="98"/>
      <c r="P29" s="108" t="n">
        <f aca="false">SUM(O29-N29)</f>
        <v>0</v>
      </c>
      <c r="Q29" s="100"/>
      <c r="R29" s="93" t="n">
        <f aca="false">SUM(Q29*P29)</f>
        <v>0</v>
      </c>
      <c r="S29" s="1"/>
    </row>
    <row r="30" customFormat="false" ht="15" hidden="true" customHeight="false" outlineLevel="0" collapsed="false">
      <c r="A30" s="89"/>
      <c r="B30" s="90"/>
      <c r="C30" s="97" t="n">
        <f aca="false">SUM(D29)</f>
        <v>0</v>
      </c>
      <c r="D30" s="75"/>
      <c r="E30" s="91" t="n">
        <f aca="false">SUM(D30-C30)</f>
        <v>0</v>
      </c>
      <c r="F30" s="108" t="n">
        <f aca="false">SUM(D30-C30)</f>
        <v>0</v>
      </c>
      <c r="G30" s="41"/>
      <c r="H30" s="93" t="n">
        <f aca="false">SUM(G30*F30)</f>
        <v>0</v>
      </c>
      <c r="I30" s="1"/>
      <c r="J30" s="29"/>
      <c r="K30" s="110"/>
      <c r="L30" s="95"/>
      <c r="M30" s="96"/>
      <c r="N30" s="97" t="n">
        <f aca="false">SUM(O29)</f>
        <v>0</v>
      </c>
      <c r="O30" s="98"/>
      <c r="P30" s="108" t="n">
        <f aca="false">SUM(O30-N30)</f>
        <v>0</v>
      </c>
      <c r="Q30" s="100"/>
      <c r="R30" s="93" t="n">
        <f aca="false">SUM(Q30*P30)</f>
        <v>0</v>
      </c>
      <c r="S30" s="1"/>
    </row>
    <row r="31" customFormat="false" ht="15" hidden="true" customHeight="false" outlineLevel="0" collapsed="false">
      <c r="A31" s="89"/>
      <c r="B31" s="90"/>
      <c r="C31" s="97" t="n">
        <f aca="false">SUM(D30)</f>
        <v>0</v>
      </c>
      <c r="D31" s="75"/>
      <c r="E31" s="91" t="n">
        <f aca="false">SUM(D31-C31)</f>
        <v>0</v>
      </c>
      <c r="F31" s="108" t="n">
        <f aca="false">SUM(D31-C31)</f>
        <v>0</v>
      </c>
      <c r="G31" s="41"/>
      <c r="H31" s="93" t="n">
        <f aca="false">SUM(G31*F31)</f>
        <v>0</v>
      </c>
      <c r="I31" s="1"/>
      <c r="J31" s="29"/>
      <c r="K31" s="94"/>
      <c r="L31" s="95"/>
      <c r="M31" s="96"/>
      <c r="N31" s="97" t="n">
        <f aca="false">SUM(O30)</f>
        <v>0</v>
      </c>
      <c r="O31" s="98"/>
      <c r="P31" s="108" t="n">
        <f aca="false">SUM(O31-N31)</f>
        <v>0</v>
      </c>
      <c r="Q31" s="100"/>
      <c r="R31" s="93" t="n">
        <f aca="false">SUM(Q31*P31)</f>
        <v>0</v>
      </c>
      <c r="S31" s="1"/>
    </row>
    <row r="32" customFormat="false" ht="15" hidden="true" customHeight="false" outlineLevel="0" collapsed="false">
      <c r="A32" s="89"/>
      <c r="B32" s="90"/>
      <c r="C32" s="97" t="n">
        <f aca="false">SUM(D31)</f>
        <v>0</v>
      </c>
      <c r="D32" s="75"/>
      <c r="E32" s="91" t="n">
        <f aca="false">SUM(D32-C32)</f>
        <v>0</v>
      </c>
      <c r="F32" s="108" t="n">
        <f aca="false">SUM(D32-C32)</f>
        <v>0</v>
      </c>
      <c r="G32" s="41"/>
      <c r="H32" s="93" t="n">
        <f aca="false">SUM(G32*F32)</f>
        <v>0</v>
      </c>
      <c r="I32" s="1"/>
      <c r="J32" s="29"/>
      <c r="K32" s="94"/>
      <c r="L32" s="112"/>
      <c r="M32" s="113"/>
      <c r="N32" s="113"/>
      <c r="O32" s="114"/>
      <c r="P32" s="115"/>
      <c r="Q32" s="116"/>
      <c r="R32" s="62"/>
      <c r="S32" s="62"/>
    </row>
    <row r="33" customFormat="false" ht="15" hidden="true" customHeight="false" outlineLevel="0" collapsed="false">
      <c r="A33" s="89"/>
      <c r="B33" s="90"/>
      <c r="C33" s="97" t="n">
        <f aca="false">SUM(D32)</f>
        <v>0</v>
      </c>
      <c r="D33" s="75"/>
      <c r="E33" s="91" t="n">
        <f aca="false">SUM(D33-C33)</f>
        <v>0</v>
      </c>
      <c r="F33" s="108" t="n">
        <f aca="false">SUM(D33-C33)</f>
        <v>0</v>
      </c>
      <c r="G33" s="41"/>
      <c r="H33" s="93" t="n">
        <f aca="false">SUM(G33*F33)</f>
        <v>0</v>
      </c>
      <c r="I33" s="1"/>
      <c r="J33" s="29"/>
      <c r="K33" s="94"/>
      <c r="L33" s="117"/>
      <c r="M33" s="117"/>
      <c r="N33" s="117"/>
      <c r="O33" s="117"/>
      <c r="P33" s="117"/>
      <c r="Q33" s="117"/>
      <c r="R33" s="117"/>
      <c r="S33" s="117"/>
    </row>
    <row r="34" customFormat="false" ht="15" hidden="true" customHeight="false" outlineLevel="0" collapsed="false">
      <c r="A34" s="89"/>
      <c r="B34" s="90"/>
      <c r="C34" s="97" t="n">
        <f aca="false">SUM(D33)</f>
        <v>0</v>
      </c>
      <c r="D34" s="75"/>
      <c r="E34" s="91" t="n">
        <f aca="false">SUM(D34-C34)</f>
        <v>0</v>
      </c>
      <c r="F34" s="108" t="n">
        <f aca="false">SUM(D34-C34)</f>
        <v>0</v>
      </c>
      <c r="G34" s="41"/>
      <c r="H34" s="93" t="n">
        <f aca="false">SUM(G34*F34)</f>
        <v>0</v>
      </c>
      <c r="I34" s="1"/>
      <c r="J34" s="29"/>
      <c r="K34" s="94"/>
      <c r="L34" s="117"/>
      <c r="M34" s="117"/>
      <c r="N34" s="117"/>
      <c r="O34" s="117"/>
      <c r="P34" s="117"/>
      <c r="Q34" s="117"/>
      <c r="R34" s="117"/>
      <c r="S34" s="117"/>
    </row>
    <row r="35" customFormat="false" ht="15" hidden="true" customHeight="false" outlineLevel="0" collapsed="false">
      <c r="A35" s="89"/>
      <c r="B35" s="90"/>
      <c r="C35" s="97" t="n">
        <f aca="false">SUM(D34)</f>
        <v>0</v>
      </c>
      <c r="D35" s="75"/>
      <c r="E35" s="91" t="n">
        <f aca="false">SUM(D35-C35)</f>
        <v>0</v>
      </c>
      <c r="F35" s="108" t="n">
        <f aca="false">SUM(D35-C35)</f>
        <v>0</v>
      </c>
      <c r="G35" s="41"/>
      <c r="H35" s="93" t="n">
        <f aca="false">SUM(G35*F35)</f>
        <v>0</v>
      </c>
      <c r="I35" s="1"/>
      <c r="J35" s="29"/>
      <c r="K35" s="94"/>
      <c r="L35" s="117"/>
      <c r="M35" s="117"/>
      <c r="N35" s="117"/>
      <c r="O35" s="117"/>
      <c r="P35" s="117"/>
      <c r="Q35" s="117"/>
      <c r="R35" s="117"/>
      <c r="S35" s="117"/>
    </row>
    <row r="36" customFormat="false" ht="15" hidden="true" customHeight="false" outlineLevel="0" collapsed="false">
      <c r="A36" s="89"/>
      <c r="B36" s="90"/>
      <c r="C36" s="97" t="n">
        <f aca="false">SUM(D35)</f>
        <v>0</v>
      </c>
      <c r="D36" s="75"/>
      <c r="E36" s="91" t="n">
        <f aca="false">SUM(D36-C36)</f>
        <v>0</v>
      </c>
      <c r="F36" s="108" t="n">
        <f aca="false">SUM(D36-C36)</f>
        <v>0</v>
      </c>
      <c r="G36" s="41"/>
      <c r="H36" s="93" t="n">
        <f aca="false">SUM(G36*F36)</f>
        <v>0</v>
      </c>
      <c r="I36" s="1"/>
      <c r="J36" s="29"/>
      <c r="K36" s="94"/>
      <c r="L36" s="117"/>
      <c r="M36" s="117"/>
      <c r="N36" s="117"/>
      <c r="O36" s="117"/>
      <c r="P36" s="117"/>
      <c r="Q36" s="117"/>
      <c r="R36" s="117"/>
      <c r="S36" s="117"/>
    </row>
    <row r="37" customFormat="false" ht="15" hidden="false" customHeight="false" outlineLevel="0" collapsed="false">
      <c r="A37" s="89"/>
      <c r="B37" s="90"/>
      <c r="C37" s="97" t="n">
        <f aca="false">SUM(D36)</f>
        <v>0</v>
      </c>
      <c r="D37" s="75"/>
      <c r="E37" s="91" t="n">
        <f aca="false">SUM(D37-C37)</f>
        <v>0</v>
      </c>
      <c r="F37" s="130" t="n">
        <f aca="false">SUM(D37-C37)</f>
        <v>0</v>
      </c>
      <c r="G37" s="41"/>
      <c r="H37" s="131" t="n">
        <f aca="false">SUM(G37*F37)</f>
        <v>0</v>
      </c>
      <c r="I37" s="1"/>
      <c r="J37" s="1"/>
      <c r="K37" s="94"/>
      <c r="L37" s="117"/>
      <c r="M37" s="117"/>
      <c r="N37" s="117"/>
      <c r="O37" s="117"/>
      <c r="P37" s="117"/>
      <c r="Q37" s="117"/>
      <c r="R37" s="117"/>
      <c r="S37" s="117"/>
    </row>
    <row r="38" customFormat="false" ht="15" hidden="false" customHeight="false" outlineLevel="0" collapsed="false">
      <c r="A38" s="89"/>
      <c r="B38" s="90"/>
      <c r="C38" s="97" t="n">
        <f aca="false">SUM(D37)</f>
        <v>0</v>
      </c>
      <c r="D38" s="75"/>
      <c r="E38" s="109"/>
      <c r="F38" s="132" t="n">
        <f aca="false">SUM(F3:F37)</f>
        <v>266677</v>
      </c>
      <c r="G38" s="133"/>
      <c r="H38" s="134" t="n">
        <f aca="false">SUM(H3:H37)</f>
        <v>221669.4775</v>
      </c>
      <c r="I38" s="135"/>
      <c r="J38" s="1"/>
      <c r="L38" s="117"/>
      <c r="M38" s="117"/>
      <c r="N38" s="117"/>
      <c r="O38" s="117"/>
      <c r="P38" s="117"/>
      <c r="Q38" s="117"/>
      <c r="R38" s="117"/>
      <c r="S38" s="117"/>
    </row>
    <row r="39" customFormat="false" ht="15" hidden="false" customHeight="false" outlineLevel="0" collapsed="false">
      <c r="A39" s="88"/>
      <c r="B39" s="81" t="s">
        <v>49</v>
      </c>
      <c r="C39" s="82"/>
      <c r="D39" s="82"/>
      <c r="E39" s="82"/>
      <c r="F39" s="136"/>
      <c r="G39" s="83"/>
      <c r="H39" s="137"/>
      <c r="I39" s="85"/>
      <c r="J39" s="85"/>
      <c r="L39" s="117"/>
      <c r="M39" s="117"/>
      <c r="N39" s="117"/>
      <c r="O39" s="117"/>
      <c r="P39" s="117"/>
      <c r="Q39" s="117"/>
      <c r="R39" s="117"/>
      <c r="S39" s="117"/>
    </row>
    <row r="40" customFormat="false" ht="15.75" hidden="false" customHeight="false" outlineLevel="0" collapsed="false">
      <c r="A40" s="89" t="n">
        <v>0.423611111111111</v>
      </c>
      <c r="B40" s="138" t="s">
        <v>62</v>
      </c>
      <c r="C40" s="75" t="n">
        <v>1806010</v>
      </c>
      <c r="D40" s="107" t="n">
        <v>1810380</v>
      </c>
      <c r="E40" s="91" t="n">
        <f aca="false">SUM(D40-C40)</f>
        <v>4370</v>
      </c>
      <c r="F40" s="108" t="n">
        <f aca="false">SUM(D40-C40)</f>
        <v>4370</v>
      </c>
      <c r="G40" s="41" t="n">
        <v>0.8255</v>
      </c>
      <c r="H40" s="139" t="n">
        <f aca="false">SUM(G40*F40)</f>
        <v>3607.435</v>
      </c>
      <c r="I40" s="29" t="n">
        <v>119</v>
      </c>
      <c r="J40" s="1" t="n">
        <v>6396</v>
      </c>
      <c r="K40" s="119" t="s">
        <v>91</v>
      </c>
      <c r="L40" s="117"/>
      <c r="M40" s="117"/>
      <c r="N40" s="117"/>
      <c r="O40" s="117"/>
      <c r="P40" s="117"/>
      <c r="Q40" s="117"/>
      <c r="R40" s="117"/>
      <c r="S40" s="117"/>
    </row>
    <row r="41" customFormat="false" ht="14.25" hidden="false" customHeight="true" outlineLevel="0" collapsed="false">
      <c r="A41" s="89" t="n">
        <v>0.440972222222222</v>
      </c>
      <c r="B41" s="121" t="s">
        <v>90</v>
      </c>
      <c r="C41" s="97" t="n">
        <f aca="false">O18</f>
        <v>1810420</v>
      </c>
      <c r="D41" s="107" t="n">
        <v>1817090</v>
      </c>
      <c r="E41" s="91" t="n">
        <f aca="false">SUM(D41-C41)</f>
        <v>6670</v>
      </c>
      <c r="F41" s="108" t="n">
        <f aca="false">SUM(D41-C41)</f>
        <v>6670</v>
      </c>
      <c r="G41" s="41" t="n">
        <v>0.8247</v>
      </c>
      <c r="H41" s="123" t="n">
        <f aca="false">SUM(G41*F41)</f>
        <v>5500.749</v>
      </c>
      <c r="I41" s="29" t="n">
        <v>382</v>
      </c>
      <c r="J41" s="1" t="n">
        <v>6397</v>
      </c>
      <c r="K41" s="195" t="s">
        <v>56</v>
      </c>
      <c r="L41" s="117"/>
      <c r="M41" s="117"/>
      <c r="N41" s="117"/>
      <c r="O41" s="117"/>
      <c r="P41" s="117"/>
      <c r="Q41" s="117"/>
      <c r="R41" s="117"/>
      <c r="S41" s="117"/>
    </row>
    <row r="42" customFormat="false" ht="15" hidden="false" customHeight="true" outlineLevel="0" collapsed="false">
      <c r="A42" s="89" t="n">
        <v>0.458333333333333</v>
      </c>
      <c r="B42" s="90" t="s">
        <v>90</v>
      </c>
      <c r="C42" s="97" t="n">
        <f aca="false">SUM(D41)</f>
        <v>1817090</v>
      </c>
      <c r="D42" s="107" t="n">
        <v>1827440</v>
      </c>
      <c r="E42" s="91" t="n">
        <f aca="false">SUM(D42-C42)</f>
        <v>10350</v>
      </c>
      <c r="F42" s="108" t="n">
        <f aca="false">SUM(D42-C42)</f>
        <v>10350</v>
      </c>
      <c r="G42" s="41" t="n">
        <v>0.8247</v>
      </c>
      <c r="H42" s="123" t="n">
        <f aca="false">SUM(G42*F42)</f>
        <v>8535.645</v>
      </c>
      <c r="I42" s="29" t="n">
        <v>81</v>
      </c>
      <c r="J42" s="1" t="n">
        <v>6400</v>
      </c>
      <c r="K42" s="195" t="s">
        <v>56</v>
      </c>
      <c r="L42" s="117"/>
      <c r="M42" s="117"/>
      <c r="N42" s="117"/>
      <c r="O42" s="117"/>
      <c r="P42" s="117"/>
      <c r="Q42" s="117"/>
      <c r="R42" s="117"/>
      <c r="S42" s="117"/>
    </row>
    <row r="43" customFormat="false" ht="15.75" hidden="false" customHeight="false" outlineLevel="0" collapsed="false">
      <c r="A43" s="89" t="n">
        <v>0.46875</v>
      </c>
      <c r="B43" s="90" t="s">
        <v>61</v>
      </c>
      <c r="C43" s="97" t="n">
        <f aca="false">SUM(D42)</f>
        <v>1827440</v>
      </c>
      <c r="D43" s="107" t="n">
        <v>1833210</v>
      </c>
      <c r="E43" s="91" t="n">
        <f aca="false">SUM(D43-C43)</f>
        <v>5770</v>
      </c>
      <c r="F43" s="108" t="n">
        <f aca="false">SUM(D43-C43)</f>
        <v>5770</v>
      </c>
      <c r="G43" s="41" t="n">
        <v>0.8247</v>
      </c>
      <c r="H43" s="93" t="n">
        <f aca="false">SUM(G43*F43)</f>
        <v>4758.519</v>
      </c>
      <c r="I43" s="29" t="n">
        <v>57</v>
      </c>
      <c r="J43" s="1" t="n">
        <v>6401</v>
      </c>
      <c r="K43" s="195" t="s">
        <v>56</v>
      </c>
      <c r="L43" s="117"/>
      <c r="M43" s="117"/>
      <c r="N43" s="117"/>
      <c r="O43" s="117"/>
      <c r="P43" s="117"/>
      <c r="Q43" s="117"/>
      <c r="R43" s="117"/>
      <c r="S43" s="117"/>
    </row>
    <row r="44" customFormat="false" ht="15.75" hidden="false" customHeight="false" outlineLevel="0" collapsed="false">
      <c r="A44" s="89" t="n">
        <v>0.583333333333333</v>
      </c>
      <c r="B44" s="154" t="s">
        <v>55</v>
      </c>
      <c r="C44" s="97" t="n">
        <f aca="false">SUM(D43)</f>
        <v>1833210</v>
      </c>
      <c r="D44" s="107" t="n">
        <v>1839550</v>
      </c>
      <c r="E44" s="91" t="n">
        <f aca="false">SUM(D44-C44)</f>
        <v>6340</v>
      </c>
      <c r="F44" s="108" t="n">
        <f aca="false">SUM(D44-C44)</f>
        <v>6340</v>
      </c>
      <c r="G44" s="41" t="n">
        <v>0.8238</v>
      </c>
      <c r="H44" s="196" t="n">
        <f aca="false">SUM(G44*F44)</f>
        <v>5222.892</v>
      </c>
      <c r="I44" s="29" t="n">
        <v>81</v>
      </c>
      <c r="J44" s="1" t="n">
        <v>6402</v>
      </c>
      <c r="K44" s="195" t="s">
        <v>56</v>
      </c>
      <c r="L44" s="117"/>
      <c r="M44" s="117"/>
      <c r="N44" s="117"/>
      <c r="O44" s="117"/>
      <c r="P44" s="117"/>
      <c r="Q44" s="117"/>
      <c r="R44" s="117"/>
      <c r="S44" s="117"/>
    </row>
    <row r="45" customFormat="false" ht="15.75" hidden="false" customHeight="false" outlineLevel="0" collapsed="false">
      <c r="A45" s="89" t="n">
        <v>0.590277777777778</v>
      </c>
      <c r="B45" s="90" t="s">
        <v>55</v>
      </c>
      <c r="C45" s="97" t="n">
        <f aca="false">SUM(D44)</f>
        <v>1839550</v>
      </c>
      <c r="D45" s="107" t="n">
        <v>1848680</v>
      </c>
      <c r="E45" s="91" t="n">
        <f aca="false">SUM(D45-C45)</f>
        <v>9130</v>
      </c>
      <c r="F45" s="108" t="n">
        <f aca="false">SUM(D45-C45)</f>
        <v>9130</v>
      </c>
      <c r="G45" s="41" t="n">
        <v>0.8238</v>
      </c>
      <c r="H45" s="196" t="n">
        <f aca="false">SUM(G45*F45)</f>
        <v>7521.294</v>
      </c>
      <c r="I45" s="29" t="n">
        <v>57</v>
      </c>
      <c r="J45" s="1" t="n">
        <v>6403</v>
      </c>
      <c r="K45" s="195" t="s">
        <v>56</v>
      </c>
      <c r="L45" s="117"/>
      <c r="M45" s="117"/>
      <c r="N45" s="117"/>
      <c r="O45" s="117"/>
      <c r="P45" s="117"/>
      <c r="Q45" s="117"/>
      <c r="R45" s="117"/>
      <c r="S45" s="117"/>
    </row>
    <row r="46" customFormat="false" ht="15.75" hidden="false" customHeight="false" outlineLevel="0" collapsed="false">
      <c r="A46" s="89" t="n">
        <v>0.618055555555556</v>
      </c>
      <c r="B46" s="90" t="s">
        <v>55</v>
      </c>
      <c r="C46" s="97" t="n">
        <f aca="false">SUM(D45)</f>
        <v>1848680</v>
      </c>
      <c r="D46" s="107" t="n">
        <v>1865680</v>
      </c>
      <c r="E46" s="91" t="n">
        <f aca="false">SUM(D46-C46)</f>
        <v>17000</v>
      </c>
      <c r="F46" s="128" t="n">
        <v>17019</v>
      </c>
      <c r="G46" s="41" t="n">
        <v>0.8238</v>
      </c>
      <c r="H46" s="196" t="n">
        <f aca="false">SUM(G46*F46)</f>
        <v>14020.2522</v>
      </c>
      <c r="I46" s="29" t="n">
        <v>251</v>
      </c>
      <c r="J46" s="1" t="n">
        <v>6405</v>
      </c>
      <c r="K46" s="195" t="s">
        <v>56</v>
      </c>
      <c r="L46" s="117"/>
      <c r="M46" s="117"/>
      <c r="N46" s="94"/>
      <c r="O46" s="117"/>
      <c r="P46" s="117"/>
      <c r="Q46" s="117"/>
      <c r="R46" s="117"/>
      <c r="S46" s="117"/>
    </row>
    <row r="47" customFormat="false" ht="15.75" hidden="false" customHeight="false" outlineLevel="0" collapsed="false">
      <c r="A47" s="89" t="n">
        <v>0.690972222222222</v>
      </c>
      <c r="B47" s="90" t="s">
        <v>57</v>
      </c>
      <c r="C47" s="97" t="n">
        <f aca="false">SUM(D46)</f>
        <v>1865680</v>
      </c>
      <c r="D47" s="107" t="n">
        <v>1882770</v>
      </c>
      <c r="E47" s="91" t="n">
        <f aca="false">SUM(D47-C47)</f>
        <v>17090</v>
      </c>
      <c r="F47" s="128" t="n">
        <v>17019</v>
      </c>
      <c r="G47" s="41" t="n">
        <v>0.8235</v>
      </c>
      <c r="H47" s="93" t="n">
        <f aca="false">SUM(G47*F47)</f>
        <v>14015.1465</v>
      </c>
      <c r="I47" s="29" t="n">
        <v>251</v>
      </c>
      <c r="J47" s="1" t="n">
        <v>6407</v>
      </c>
      <c r="K47" s="119" t="s">
        <v>91</v>
      </c>
      <c r="L47" s="117"/>
      <c r="M47" s="117"/>
      <c r="N47" s="94"/>
      <c r="O47" s="117"/>
      <c r="P47" s="117"/>
      <c r="Q47" s="117"/>
      <c r="R47" s="117"/>
      <c r="S47" s="117"/>
    </row>
    <row r="48" customFormat="false" ht="15.75" hidden="false" customHeight="false" outlineLevel="0" collapsed="false">
      <c r="A48" s="89" t="n">
        <v>0.809027777777778</v>
      </c>
      <c r="B48" s="90" t="s">
        <v>62</v>
      </c>
      <c r="C48" s="97" t="n">
        <f aca="false">SUM(D47)</f>
        <v>1882770</v>
      </c>
      <c r="D48" s="107" t="n">
        <v>1899790</v>
      </c>
      <c r="E48" s="91" t="n">
        <f aca="false">SUM(D48-C48)</f>
        <v>17020</v>
      </c>
      <c r="F48" s="128" t="n">
        <v>17019</v>
      </c>
      <c r="G48" s="41" t="n">
        <v>0.8255</v>
      </c>
      <c r="H48" s="139" t="n">
        <f aca="false">SUM(G48*F48)</f>
        <v>14049.1845</v>
      </c>
      <c r="I48" s="29" t="n">
        <v>251</v>
      </c>
      <c r="J48" s="1" t="n">
        <v>6412</v>
      </c>
      <c r="K48" s="119" t="s">
        <v>91</v>
      </c>
      <c r="L48" s="117"/>
      <c r="M48" s="117"/>
      <c r="N48" s="94"/>
      <c r="O48" s="117"/>
      <c r="P48" s="117"/>
      <c r="Q48" s="117"/>
      <c r="R48" s="117"/>
      <c r="S48" s="117"/>
    </row>
    <row r="49" customFormat="false" ht="15" hidden="false" customHeight="true" outlineLevel="0" collapsed="false">
      <c r="A49" s="89" t="n">
        <v>0.850694444444444</v>
      </c>
      <c r="B49" s="90" t="s">
        <v>55</v>
      </c>
      <c r="C49" s="97" t="n">
        <f aca="false">SUM(D48)</f>
        <v>1899790</v>
      </c>
      <c r="D49" s="107" t="n">
        <v>1907560</v>
      </c>
      <c r="E49" s="91" t="n">
        <f aca="false">SUM(D49-C49)</f>
        <v>7770</v>
      </c>
      <c r="F49" s="108" t="n">
        <f aca="false">SUM(D49-C49)</f>
        <v>7770</v>
      </c>
      <c r="G49" s="41" t="n">
        <v>0.8235</v>
      </c>
      <c r="H49" s="196" t="n">
        <f aca="false">SUM(G49*F49)</f>
        <v>6398.595</v>
      </c>
      <c r="I49" s="29" t="n">
        <v>81</v>
      </c>
      <c r="J49" s="1" t="n">
        <v>6413</v>
      </c>
      <c r="K49" s="195" t="s">
        <v>56</v>
      </c>
      <c r="L49" s="117"/>
      <c r="M49" s="117"/>
      <c r="N49" s="94"/>
      <c r="O49" s="117"/>
      <c r="P49" s="117"/>
      <c r="Q49" s="117"/>
      <c r="R49" s="117"/>
      <c r="S49" s="117"/>
    </row>
    <row r="50" customFormat="false" ht="15.75" hidden="false" customHeight="false" outlineLevel="0" collapsed="false">
      <c r="A50" s="89" t="n">
        <v>0.881944444444444</v>
      </c>
      <c r="B50" s="124" t="s">
        <v>72</v>
      </c>
      <c r="C50" s="97" t="n">
        <f aca="false">SUM(D49)</f>
        <v>1907560</v>
      </c>
      <c r="D50" s="107" t="n">
        <v>1915800</v>
      </c>
      <c r="E50" s="91" t="n">
        <f aca="false">SUM(D50-C50)</f>
        <v>8240</v>
      </c>
      <c r="F50" s="108" t="n">
        <f aca="false">SUM(D50-C50)</f>
        <v>8240</v>
      </c>
      <c r="G50" s="41" t="n">
        <v>0.8225</v>
      </c>
      <c r="H50" s="125" t="n">
        <f aca="false">SUM(G50*F50)</f>
        <v>6777.4</v>
      </c>
      <c r="I50" s="29" t="n">
        <v>382</v>
      </c>
      <c r="J50" s="1" t="n">
        <v>6415</v>
      </c>
      <c r="K50" s="195" t="s">
        <v>56</v>
      </c>
      <c r="L50" s="117"/>
      <c r="M50" s="117"/>
      <c r="N50" s="117"/>
      <c r="O50" s="117"/>
      <c r="P50" s="117"/>
      <c r="Q50" s="117"/>
      <c r="R50" s="117"/>
      <c r="S50" s="117"/>
    </row>
    <row r="51" customFormat="false" ht="15.75" hidden="false" customHeight="false" outlineLevel="0" collapsed="false">
      <c r="A51" s="89" t="n">
        <v>0.892361111111111</v>
      </c>
      <c r="B51" s="90" t="s">
        <v>72</v>
      </c>
      <c r="C51" s="97" t="n">
        <f aca="false">SUM(D50)</f>
        <v>1915800</v>
      </c>
      <c r="D51" s="107" t="n">
        <v>1932860</v>
      </c>
      <c r="E51" s="91" t="n">
        <f aca="false">SUM(D51-C51)</f>
        <v>17060</v>
      </c>
      <c r="F51" s="128" t="n">
        <v>17019</v>
      </c>
      <c r="G51" s="41" t="n">
        <v>0.8225</v>
      </c>
      <c r="H51" s="125" t="n">
        <f aca="false">SUM(G51*F51)</f>
        <v>13998.1275</v>
      </c>
      <c r="I51" s="29" t="n">
        <v>251</v>
      </c>
      <c r="J51" s="1" t="n">
        <v>6416</v>
      </c>
      <c r="K51" s="195" t="s">
        <v>56</v>
      </c>
      <c r="L51" s="117"/>
      <c r="M51" s="117"/>
      <c r="N51" s="117"/>
      <c r="O51" s="117"/>
      <c r="P51" s="117"/>
      <c r="Q51" s="117"/>
      <c r="R51" s="117"/>
      <c r="S51" s="117"/>
    </row>
    <row r="52" customFormat="false" ht="15.75" hidden="false" customHeight="false" outlineLevel="0" collapsed="false">
      <c r="A52" s="89" t="n">
        <v>0.902777777777778</v>
      </c>
      <c r="B52" s="90" t="s">
        <v>72</v>
      </c>
      <c r="C52" s="97" t="n">
        <f aca="false">SUM(D51)</f>
        <v>1932860</v>
      </c>
      <c r="D52" s="107" t="n">
        <v>1938970</v>
      </c>
      <c r="E52" s="91" t="n">
        <f aca="false">SUM(D52-C52)</f>
        <v>6110</v>
      </c>
      <c r="F52" s="108" t="n">
        <f aca="false">SUM(D52-C52)</f>
        <v>6110</v>
      </c>
      <c r="G52" s="41" t="n">
        <v>0.8225</v>
      </c>
      <c r="H52" s="125" t="n">
        <f aca="false">SUM(G52*F52)</f>
        <v>5025.475</v>
      </c>
      <c r="I52" s="29" t="n">
        <v>57</v>
      </c>
      <c r="J52" s="1" t="n">
        <v>6417</v>
      </c>
      <c r="K52" s="195" t="s">
        <v>56</v>
      </c>
      <c r="L52" s="117"/>
      <c r="M52" s="117"/>
      <c r="N52" s="117"/>
      <c r="O52" s="117"/>
      <c r="P52" s="117"/>
      <c r="Q52" s="117"/>
      <c r="R52" s="117"/>
      <c r="S52" s="117"/>
    </row>
    <row r="53" customFormat="false" ht="15.75" hidden="false" customHeight="false" outlineLevel="0" collapsed="false">
      <c r="A53" s="89" t="n">
        <v>0.916666666666667</v>
      </c>
      <c r="B53" s="90" t="s">
        <v>62</v>
      </c>
      <c r="C53" s="97" t="n">
        <f aca="false">SUM(D52)</f>
        <v>1938970</v>
      </c>
      <c r="D53" s="107" t="n">
        <v>1950140</v>
      </c>
      <c r="E53" s="91" t="n">
        <f aca="false">SUM(D53-C53)</f>
        <v>11170</v>
      </c>
      <c r="F53" s="108" t="n">
        <f aca="false">SUM(D53-C53)</f>
        <v>11170</v>
      </c>
      <c r="G53" s="41" t="n">
        <v>0.8255</v>
      </c>
      <c r="H53" s="139" t="n">
        <f aca="false">SUM(G53*F53)</f>
        <v>9220.835</v>
      </c>
      <c r="I53" s="29" t="n">
        <v>119</v>
      </c>
      <c r="J53" s="1" t="n">
        <v>6418</v>
      </c>
      <c r="K53" s="119" t="s">
        <v>91</v>
      </c>
      <c r="L53" s="117"/>
      <c r="M53" s="117"/>
      <c r="N53" s="117"/>
      <c r="O53" s="117"/>
      <c r="P53" s="117"/>
      <c r="Q53" s="117"/>
      <c r="R53" s="117"/>
      <c r="S53" s="117"/>
    </row>
    <row r="54" customFormat="false" ht="15.75" hidden="false" customHeight="false" outlineLevel="0" collapsed="false">
      <c r="A54" s="89" t="n">
        <v>0.934027777777778</v>
      </c>
      <c r="B54" s="90" t="s">
        <v>59</v>
      </c>
      <c r="C54" s="97" t="n">
        <f aca="false">SUM(D53)</f>
        <v>1950140</v>
      </c>
      <c r="D54" s="107" t="n">
        <v>1965250</v>
      </c>
      <c r="E54" s="91" t="n">
        <f aca="false">SUM(D54-C54)</f>
        <v>15110</v>
      </c>
      <c r="F54" s="141" t="n">
        <v>15040</v>
      </c>
      <c r="G54" s="41" t="n">
        <v>0.8345</v>
      </c>
      <c r="H54" s="93" t="n">
        <f aca="false">SUM(G54*F54)</f>
        <v>12550.88</v>
      </c>
      <c r="I54" s="1" t="n">
        <v>467</v>
      </c>
      <c r="J54" s="1" t="n">
        <v>6419</v>
      </c>
      <c r="K54" s="119" t="s">
        <v>82</v>
      </c>
      <c r="L54" s="117"/>
      <c r="M54" s="117"/>
      <c r="N54" s="117"/>
      <c r="O54" s="117"/>
      <c r="P54" s="117"/>
      <c r="Q54" s="117"/>
      <c r="R54" s="117"/>
      <c r="S54" s="117"/>
    </row>
    <row r="55" customFormat="false" ht="15.75" hidden="false" customHeight="false" outlineLevel="0" collapsed="false">
      <c r="A55" s="89" t="n">
        <v>0.9375</v>
      </c>
      <c r="B55" s="90" t="s">
        <v>62</v>
      </c>
      <c r="C55" s="97" t="n">
        <f aca="false">SUM(D54)</f>
        <v>1965250</v>
      </c>
      <c r="D55" s="107" t="n">
        <v>1975330</v>
      </c>
      <c r="E55" s="91" t="n">
        <f aca="false">SUM(D55-C55)</f>
        <v>10080</v>
      </c>
      <c r="F55" s="128" t="n">
        <v>9986</v>
      </c>
      <c r="G55" s="41" t="n">
        <v>0.8255</v>
      </c>
      <c r="H55" s="139" t="n">
        <f aca="false">SUM(G55*F55)</f>
        <v>8243.443</v>
      </c>
      <c r="I55" s="1" t="n">
        <v>251</v>
      </c>
      <c r="J55" s="1" t="n">
        <v>6420</v>
      </c>
      <c r="K55" s="119" t="s">
        <v>91</v>
      </c>
      <c r="L55" s="117"/>
      <c r="M55" s="117"/>
      <c r="N55" s="117"/>
      <c r="O55" s="117"/>
      <c r="P55" s="117"/>
      <c r="Q55" s="117"/>
      <c r="R55" s="117"/>
      <c r="S55" s="117"/>
    </row>
    <row r="56" customFormat="false" ht="15.75" hidden="false" customHeight="false" outlineLevel="0" collapsed="false">
      <c r="A56" s="89" t="n">
        <v>0.979166666666667</v>
      </c>
      <c r="B56" s="90" t="s">
        <v>89</v>
      </c>
      <c r="C56" s="97" t="n">
        <f aca="false">SUM(D55)</f>
        <v>1975330</v>
      </c>
      <c r="D56" s="107" t="n">
        <v>1992410</v>
      </c>
      <c r="E56" s="91" t="n">
        <f aca="false">SUM(D56-C56)</f>
        <v>17080</v>
      </c>
      <c r="F56" s="128" t="n">
        <v>17019</v>
      </c>
      <c r="G56" s="41" t="n">
        <v>0.823</v>
      </c>
      <c r="H56" s="93" t="n">
        <f aca="false">SUM(G56*F56)</f>
        <v>14006.637</v>
      </c>
      <c r="I56" s="1" t="n">
        <v>251</v>
      </c>
      <c r="J56" s="1" t="n">
        <v>6422</v>
      </c>
      <c r="K56" s="119" t="s">
        <v>91</v>
      </c>
      <c r="L56" s="117"/>
      <c r="M56" s="117"/>
      <c r="N56" s="117"/>
      <c r="O56" s="117"/>
      <c r="P56" s="117"/>
      <c r="Q56" s="117"/>
      <c r="R56" s="117"/>
      <c r="S56" s="117"/>
    </row>
    <row r="57" customFormat="false" ht="15.75" hidden="false" customHeight="false" outlineLevel="0" collapsed="false">
      <c r="A57" s="89" t="n">
        <v>0.0729166666666667</v>
      </c>
      <c r="B57" s="90" t="s">
        <v>72</v>
      </c>
      <c r="C57" s="97" t="n">
        <f aca="false">SUM(D56)</f>
        <v>1992410</v>
      </c>
      <c r="D57" s="107" t="n">
        <v>1998200</v>
      </c>
      <c r="E57" s="91" t="n">
        <f aca="false">SUM(D57-C57)</f>
        <v>5790</v>
      </c>
      <c r="F57" s="108" t="n">
        <f aca="false">SUM(D57-C57)</f>
        <v>5790</v>
      </c>
      <c r="G57" s="41" t="n">
        <v>0.8235</v>
      </c>
      <c r="H57" s="125" t="n">
        <f aca="false">SUM(G57*F57)</f>
        <v>4768.065</v>
      </c>
      <c r="I57" s="1" t="n">
        <v>81</v>
      </c>
      <c r="J57" s="1" t="n">
        <v>6424</v>
      </c>
      <c r="K57" s="195" t="s">
        <v>56</v>
      </c>
      <c r="L57" s="117"/>
      <c r="M57" s="117"/>
      <c r="N57" s="117"/>
      <c r="O57" s="117"/>
      <c r="P57" s="117"/>
      <c r="Q57" s="117"/>
      <c r="R57" s="117"/>
      <c r="S57" s="117"/>
    </row>
    <row r="58" customFormat="false" ht="15.75" hidden="false" customHeight="false" outlineLevel="0" collapsed="false">
      <c r="A58" s="89" t="n">
        <v>0.0833333333333333</v>
      </c>
      <c r="B58" s="90" t="s">
        <v>72</v>
      </c>
      <c r="C58" s="97" t="n">
        <f aca="false">SUM(D57)</f>
        <v>1998200</v>
      </c>
      <c r="D58" s="107" t="n">
        <v>2005110</v>
      </c>
      <c r="E58" s="91" t="n">
        <f aca="false">SUM(D58-C58)</f>
        <v>6910</v>
      </c>
      <c r="F58" s="108" t="n">
        <f aca="false">SUM(D58-C58)</f>
        <v>6910</v>
      </c>
      <c r="G58" s="41" t="n">
        <v>0.8235</v>
      </c>
      <c r="H58" s="125" t="n">
        <f aca="false">SUM(G58*F58)</f>
        <v>5690.385</v>
      </c>
      <c r="I58" s="1" t="n">
        <v>57</v>
      </c>
      <c r="J58" s="1" t="n">
        <v>6425</v>
      </c>
      <c r="K58" s="195" t="s">
        <v>56</v>
      </c>
      <c r="L58" s="117"/>
      <c r="M58" s="117"/>
      <c r="N58" s="117"/>
      <c r="O58" s="117"/>
      <c r="P58" s="117"/>
      <c r="Q58" s="117"/>
      <c r="R58" s="117"/>
      <c r="S58" s="117"/>
    </row>
    <row r="59" customFormat="false" ht="15.75" hidden="false" customHeight="false" outlineLevel="0" collapsed="false">
      <c r="A59" s="89" t="n">
        <v>0.222222222222222</v>
      </c>
      <c r="B59" s="90" t="s">
        <v>89</v>
      </c>
      <c r="C59" s="97" t="n">
        <f aca="false">SUM(D58)</f>
        <v>2005110</v>
      </c>
      <c r="D59" s="107" t="n">
        <v>2022240</v>
      </c>
      <c r="E59" s="91" t="n">
        <f aca="false">SUM(D59-C59)</f>
        <v>17130</v>
      </c>
      <c r="F59" s="128" t="n">
        <v>17019</v>
      </c>
      <c r="G59" s="41" t="n">
        <v>0.825</v>
      </c>
      <c r="H59" s="93" t="n">
        <f aca="false">SUM(G59*F59)</f>
        <v>14040.675</v>
      </c>
      <c r="I59" s="1" t="n">
        <v>251</v>
      </c>
      <c r="J59" s="1" t="n">
        <v>6428</v>
      </c>
      <c r="K59" s="119" t="s">
        <v>91</v>
      </c>
      <c r="L59" s="117"/>
      <c r="M59" s="117"/>
      <c r="N59" s="117"/>
      <c r="O59" s="117"/>
      <c r="P59" s="117"/>
      <c r="Q59" s="117"/>
      <c r="R59" s="117"/>
      <c r="S59" s="117"/>
    </row>
    <row r="60" customFormat="false" ht="15.75" hidden="false" customHeight="false" outlineLevel="0" collapsed="false">
      <c r="A60" s="89" t="n">
        <v>0.322916666666667</v>
      </c>
      <c r="B60" s="90" t="s">
        <v>72</v>
      </c>
      <c r="C60" s="97" t="n">
        <f aca="false">SUM(D59)</f>
        <v>2022240</v>
      </c>
      <c r="D60" s="107" t="n">
        <v>2039390</v>
      </c>
      <c r="E60" s="91" t="n">
        <f aca="false">SUM(D60-C60)</f>
        <v>17150</v>
      </c>
      <c r="F60" s="128" t="n">
        <v>17019</v>
      </c>
      <c r="G60" s="41" t="n">
        <v>0.826</v>
      </c>
      <c r="H60" s="197" t="n">
        <f aca="false">SUM(G60*F60)</f>
        <v>14057.694</v>
      </c>
      <c r="I60" s="1" t="n">
        <v>251</v>
      </c>
      <c r="J60" s="1" t="n">
        <v>6432</v>
      </c>
      <c r="K60" s="118" t="s">
        <v>60</v>
      </c>
      <c r="L60" s="117"/>
      <c r="M60" s="117"/>
      <c r="N60" s="117"/>
      <c r="O60" s="117"/>
      <c r="P60" s="117"/>
      <c r="Q60" s="117"/>
      <c r="R60" s="117"/>
      <c r="S60" s="117"/>
    </row>
    <row r="61" customFormat="false" ht="15" hidden="false" customHeight="false" outlineLevel="0" collapsed="false">
      <c r="A61" s="89"/>
      <c r="B61" s="90"/>
      <c r="C61" s="97" t="n">
        <v>0</v>
      </c>
      <c r="D61" s="107"/>
      <c r="E61" s="109" t="n">
        <f aca="false">SUM(D61-C61)</f>
        <v>0</v>
      </c>
      <c r="F61" s="132" t="n">
        <f aca="false">SUM(F40:F60)</f>
        <v>232779</v>
      </c>
      <c r="G61" s="133"/>
      <c r="H61" s="134" t="n">
        <f aca="false">SUM(H40:H60)</f>
        <v>192009.3287</v>
      </c>
      <c r="I61" s="135"/>
      <c r="J61" s="1"/>
      <c r="K61" s="120"/>
      <c r="L61" s="117"/>
      <c r="M61" s="117"/>
      <c r="N61" s="117"/>
      <c r="O61" s="117"/>
      <c r="P61" s="117"/>
      <c r="Q61" s="117"/>
      <c r="R61" s="117"/>
      <c r="S61" s="117"/>
    </row>
    <row r="62" customFormat="false" ht="15" hidden="false" customHeight="false" outlineLevel="0" collapsed="false">
      <c r="L62" s="117"/>
      <c r="M62" s="117"/>
      <c r="N62" s="117"/>
      <c r="O62" s="117"/>
      <c r="P62" s="117"/>
      <c r="Q62" s="117"/>
      <c r="R62" s="117"/>
      <c r="S62" s="117"/>
    </row>
    <row r="63" customFormat="false" ht="15" hidden="false" customHeight="false" outlineLevel="0" collapsed="false">
      <c r="F63" s="145" t="n">
        <f aca="false">F61+F38</f>
        <v>499456</v>
      </c>
      <c r="G63" s="133"/>
      <c r="H63" s="134" t="n">
        <f aca="false">H61+H38</f>
        <v>413678.8062</v>
      </c>
      <c r="L63" s="117"/>
      <c r="M63" s="117"/>
      <c r="N63" s="117"/>
      <c r="O63" s="117"/>
      <c r="P63" s="117"/>
      <c r="Q63" s="117"/>
      <c r="R63" s="117"/>
      <c r="S63" s="117"/>
    </row>
    <row r="64" customFormat="false" ht="15" hidden="false" customHeight="false" outlineLevel="0" collapsed="false">
      <c r="E64" s="117"/>
      <c r="L64" s="117"/>
      <c r="M64" s="117"/>
      <c r="N64" s="117"/>
      <c r="O64" s="117"/>
      <c r="P64" s="117"/>
      <c r="Q64" s="117"/>
      <c r="R64" s="117"/>
      <c r="S64" s="117"/>
    </row>
    <row r="65" customFormat="false" ht="15" hidden="false" customHeight="false" outlineLevel="0" collapsed="false">
      <c r="E65" s="117"/>
      <c r="L65" s="117"/>
      <c r="M65" s="117"/>
      <c r="N65" s="117"/>
      <c r="O65" s="117"/>
      <c r="P65" s="117"/>
      <c r="Q65" s="117"/>
      <c r="R65" s="117"/>
      <c r="S65" s="117"/>
    </row>
    <row r="66" customFormat="false" ht="15" hidden="false" customHeight="false" outlineLevel="0" collapsed="false">
      <c r="E66" s="117"/>
      <c r="L66" s="117"/>
      <c r="M66" s="117"/>
      <c r="N66" s="117"/>
      <c r="O66" s="117"/>
      <c r="P66" s="117"/>
      <c r="Q66" s="117"/>
      <c r="R66" s="117"/>
      <c r="S66" s="117"/>
    </row>
    <row r="67" customFormat="false" ht="15" hidden="false" customHeight="false" outlineLevel="0" collapsed="false">
      <c r="E67" s="117"/>
      <c r="L67" s="117"/>
      <c r="M67" s="117"/>
      <c r="N67" s="117"/>
      <c r="O67" s="117"/>
      <c r="P67" s="117"/>
      <c r="Q67" s="117"/>
      <c r="R67" s="117"/>
      <c r="S67" s="117"/>
    </row>
    <row r="68" customFormat="false" ht="15" hidden="false" customHeight="false" outlineLevel="0" collapsed="false">
      <c r="E68" s="117"/>
      <c r="L68" s="117"/>
      <c r="M68" s="117"/>
      <c r="N68" s="117"/>
      <c r="O68" s="117"/>
      <c r="P68" s="117"/>
      <c r="Q68" s="117"/>
      <c r="R68" s="117"/>
      <c r="S68" s="117"/>
    </row>
    <row r="69" customFormat="false" ht="15" hidden="false" customHeight="false" outlineLevel="0" collapsed="false">
      <c r="E69" s="117"/>
      <c r="L69" s="117"/>
      <c r="M69" s="117"/>
      <c r="N69" s="117"/>
      <c r="O69" s="117"/>
      <c r="P69" s="117"/>
      <c r="Q69" s="117"/>
      <c r="R69" s="117"/>
      <c r="S69" s="117"/>
    </row>
    <row r="70" customFormat="false" ht="15" hidden="false" customHeight="false" outlineLevel="0" collapsed="false">
      <c r="E70" s="117"/>
      <c r="L70" s="117"/>
      <c r="M70" s="117"/>
      <c r="N70" s="117"/>
      <c r="O70" s="117"/>
      <c r="P70" s="117"/>
      <c r="Q70" s="117"/>
      <c r="R70" s="117"/>
      <c r="S70" s="117"/>
    </row>
    <row r="71" customFormat="false" ht="15" hidden="false" customHeight="false" outlineLevel="0" collapsed="false">
      <c r="E71" s="117"/>
      <c r="L71" s="117"/>
      <c r="M71" s="117"/>
      <c r="N71" s="117"/>
      <c r="O71" s="117"/>
      <c r="P71" s="117"/>
      <c r="Q71" s="117"/>
      <c r="R71" s="117"/>
      <c r="S71" s="117"/>
    </row>
    <row r="72" customFormat="false" ht="15" hidden="false" customHeight="false" outlineLevel="0" collapsed="false">
      <c r="E72" s="117"/>
      <c r="L72" s="117"/>
      <c r="M72" s="117"/>
      <c r="N72" s="117"/>
      <c r="O72" s="117"/>
      <c r="P72" s="117"/>
      <c r="Q72" s="117"/>
      <c r="R72" s="117"/>
      <c r="S72" s="117"/>
    </row>
    <row r="73" customFormat="false" ht="15" hidden="false" customHeight="false" outlineLevel="0" collapsed="false">
      <c r="E73" s="117"/>
      <c r="L73" s="117"/>
      <c r="M73" s="117"/>
      <c r="N73" s="117"/>
      <c r="O73" s="117"/>
      <c r="P73" s="117"/>
      <c r="Q73" s="117"/>
      <c r="R73" s="117"/>
      <c r="S73" s="117"/>
    </row>
    <row r="74" customFormat="false" ht="15" hidden="false" customHeight="false" outlineLevel="0" collapsed="false">
      <c r="E74" s="117"/>
      <c r="L74" s="117"/>
      <c r="M74" s="117"/>
      <c r="N74" s="117"/>
      <c r="O74" s="117"/>
      <c r="P74" s="117"/>
      <c r="Q74" s="117"/>
      <c r="R74" s="117"/>
      <c r="S74" s="117"/>
    </row>
    <row r="75" customFormat="false" ht="15" hidden="false" customHeight="false" outlineLevel="0" collapsed="false">
      <c r="E75" s="117"/>
      <c r="L75" s="117"/>
      <c r="M75" s="117"/>
      <c r="N75" s="117"/>
      <c r="O75" s="117"/>
      <c r="P75" s="117"/>
      <c r="Q75" s="117"/>
      <c r="R75" s="117"/>
      <c r="S75" s="117"/>
    </row>
    <row r="76" customFormat="false" ht="15" hidden="false" customHeight="false" outlineLevel="0" collapsed="false">
      <c r="E76" s="117"/>
      <c r="L76" s="117"/>
      <c r="M76" s="117"/>
      <c r="N76" s="117"/>
      <c r="O76" s="117"/>
      <c r="P76" s="117"/>
      <c r="Q76" s="117"/>
      <c r="R76" s="117"/>
      <c r="S76" s="117"/>
    </row>
    <row r="77" customFormat="false" ht="15" hidden="false" customHeight="false" outlineLevel="0" collapsed="false">
      <c r="E77" s="117"/>
      <c r="L77" s="117"/>
      <c r="M77" s="117"/>
      <c r="N77" s="117"/>
      <c r="O77" s="117"/>
      <c r="P77" s="117"/>
      <c r="Q77" s="117"/>
      <c r="R77" s="117"/>
      <c r="S77" s="117"/>
    </row>
    <row r="78" customFormat="false" ht="15" hidden="false" customHeight="false" outlineLevel="0" collapsed="false">
      <c r="E78" s="117"/>
      <c r="L78" s="117"/>
      <c r="M78" s="117"/>
      <c r="N78" s="117"/>
      <c r="O78" s="117"/>
      <c r="P78" s="117"/>
      <c r="Q78" s="117"/>
      <c r="R78" s="117"/>
      <c r="S78" s="117"/>
    </row>
    <row r="79" customFormat="false" ht="15" hidden="false" customHeight="false" outlineLevel="0" collapsed="false">
      <c r="E79" s="117"/>
      <c r="L79" s="117"/>
      <c r="M79" s="117"/>
      <c r="N79" s="117"/>
      <c r="O79" s="117"/>
      <c r="P79" s="117"/>
      <c r="Q79" s="117"/>
      <c r="R79" s="117"/>
      <c r="S79" s="117"/>
    </row>
    <row r="80" customFormat="false" ht="15" hidden="false" customHeight="false" outlineLevel="0" collapsed="false">
      <c r="E80" s="117"/>
      <c r="L80" s="117"/>
      <c r="M80" s="117"/>
      <c r="N80" s="117"/>
      <c r="O80" s="117"/>
      <c r="P80" s="117"/>
      <c r="Q80" s="117"/>
      <c r="R80" s="117"/>
      <c r="S80" s="117"/>
    </row>
    <row r="81" customFormat="false" ht="15" hidden="true" customHeight="false" outlineLevel="0" collapsed="false">
      <c r="E81" s="117"/>
      <c r="L81" s="117"/>
      <c r="M81" s="117"/>
      <c r="N81" s="117"/>
      <c r="O81" s="117"/>
      <c r="P81" s="117"/>
      <c r="Q81" s="117"/>
      <c r="R81" s="117"/>
      <c r="S81" s="117"/>
    </row>
    <row r="82" customFormat="false" ht="15" hidden="true" customHeight="false" outlineLevel="0" collapsed="false">
      <c r="E82" s="117"/>
      <c r="L82" s="117"/>
      <c r="M82" s="117"/>
      <c r="N82" s="117"/>
      <c r="O82" s="117"/>
      <c r="P82" s="117"/>
      <c r="Q82" s="117"/>
      <c r="R82" s="117"/>
      <c r="S82" s="117"/>
    </row>
    <row r="83" customFormat="false" ht="15" hidden="true" customHeight="false" outlineLevel="0" collapsed="false">
      <c r="E83" s="117"/>
      <c r="L83" s="117"/>
      <c r="M83" s="117"/>
      <c r="N83" s="117"/>
      <c r="O83" s="117"/>
      <c r="P83" s="117"/>
      <c r="Q83" s="117"/>
      <c r="R83" s="117"/>
      <c r="S83" s="117"/>
    </row>
    <row r="84" customFormat="false" ht="15" hidden="true" customHeight="false" outlineLevel="0" collapsed="false">
      <c r="E84" s="117"/>
      <c r="L84" s="117"/>
      <c r="M84" s="117"/>
      <c r="N84" s="117"/>
      <c r="O84" s="117"/>
      <c r="P84" s="117"/>
      <c r="Q84" s="117"/>
      <c r="R84" s="117"/>
      <c r="S84" s="117"/>
    </row>
    <row r="85" customFormat="false" ht="15" hidden="true" customHeight="false" outlineLevel="0" collapsed="false">
      <c r="E85" s="117"/>
      <c r="L85" s="117"/>
      <c r="M85" s="117"/>
      <c r="N85" s="117"/>
      <c r="O85" s="117"/>
      <c r="P85" s="117"/>
      <c r="Q85" s="117"/>
      <c r="R85" s="117"/>
      <c r="S85" s="117"/>
    </row>
    <row r="86" customFormat="false" ht="15" hidden="false" customHeight="false" outlineLevel="0" collapsed="false">
      <c r="E86" s="117"/>
      <c r="L86" s="117"/>
      <c r="M86" s="117"/>
      <c r="N86" s="117"/>
      <c r="O86" s="117"/>
      <c r="P86" s="117"/>
      <c r="Q86" s="117"/>
      <c r="R86" s="117"/>
      <c r="S86" s="117"/>
    </row>
    <row r="87" customFormat="false" ht="15" hidden="false" customHeight="false" outlineLevel="0" collapsed="false">
      <c r="E87" s="117"/>
      <c r="L87" s="117"/>
      <c r="M87" s="117"/>
      <c r="N87" s="117"/>
      <c r="O87" s="117"/>
      <c r="P87" s="117"/>
      <c r="Q87" s="117"/>
      <c r="R87" s="117"/>
      <c r="S87" s="117"/>
    </row>
    <row r="88" customFormat="false" ht="15" hidden="false" customHeight="false" outlineLevel="0" collapsed="false">
      <c r="E88" s="117"/>
      <c r="L88" s="117"/>
      <c r="M88" s="117"/>
      <c r="N88" s="117"/>
      <c r="O88" s="117"/>
      <c r="P88" s="117"/>
      <c r="Q88" s="117"/>
      <c r="R88" s="117"/>
      <c r="S88" s="117"/>
    </row>
    <row r="89" customFormat="false" ht="15" hidden="false" customHeight="false" outlineLevel="0" collapsed="false">
      <c r="E89" s="117"/>
    </row>
    <row r="90" customFormat="false" ht="15" hidden="false" customHeight="false" outlineLevel="0" collapsed="false">
      <c r="E90" s="117"/>
    </row>
    <row r="91" customFormat="false" ht="15" hidden="false" customHeight="false" outlineLevel="0" collapsed="false">
      <c r="E91" s="117"/>
    </row>
    <row r="92" customFormat="false" ht="15" hidden="false" customHeight="false" outlineLevel="0" collapsed="false">
      <c r="E92" s="117"/>
    </row>
    <row r="93" customFormat="false" ht="15" hidden="false" customHeight="false" outlineLevel="0" collapsed="false">
      <c r="E93" s="117"/>
    </row>
    <row r="94" customFormat="false" ht="15" hidden="false" customHeight="false" outlineLevel="0" collapsed="false">
      <c r="E94" s="117"/>
    </row>
    <row r="95" customFormat="false" ht="15" hidden="false" customHeight="false" outlineLevel="0" collapsed="false">
      <c r="E95" s="117"/>
    </row>
    <row r="96" customFormat="false" ht="15" hidden="false" customHeight="false" outlineLevel="0" collapsed="false">
      <c r="E96" s="117"/>
    </row>
    <row r="97" customFormat="false" ht="15" hidden="false" customHeight="false" outlineLevel="0" collapsed="false">
      <c r="E97" s="117"/>
    </row>
    <row r="98" customFormat="false" ht="15" hidden="false" customHeight="false" outlineLevel="0" collapsed="false">
      <c r="E98" s="117"/>
    </row>
    <row r="99" customFormat="false" ht="15" hidden="false" customHeight="false" outlineLevel="0" collapsed="false">
      <c r="E99" s="117"/>
    </row>
    <row r="100" customFormat="false" ht="15" hidden="false" customHeight="false" outlineLevel="0" collapsed="false">
      <c r="E100" s="117"/>
    </row>
    <row r="101" customFormat="false" ht="15" hidden="false" customHeight="false" outlineLevel="0" collapsed="false">
      <c r="E101" s="117"/>
    </row>
    <row r="102" customFormat="false" ht="15" hidden="false" customHeight="false" outlineLevel="0" collapsed="false">
      <c r="E102" s="117"/>
    </row>
    <row r="103" customFormat="false" ht="15" hidden="false" customHeight="false" outlineLevel="0" collapsed="false">
      <c r="E103" s="117"/>
    </row>
    <row r="104" customFormat="false" ht="15" hidden="false" customHeight="false" outlineLevel="0" collapsed="false">
      <c r="E104" s="117"/>
    </row>
    <row r="105" customFormat="false" ht="15" hidden="false" customHeight="false" outlineLevel="0" collapsed="false">
      <c r="E105" s="117"/>
    </row>
    <row r="106" customFormat="false" ht="15" hidden="false" customHeight="false" outlineLevel="0" collapsed="false">
      <c r="E106" s="117"/>
    </row>
    <row r="107" customFormat="false" ht="15" hidden="false" customHeight="false" outlineLevel="0" collapsed="false">
      <c r="E107" s="117"/>
    </row>
    <row r="108" customFormat="false" ht="15" hidden="false" customHeight="false" outlineLevel="0" collapsed="false">
      <c r="E108" s="117"/>
    </row>
    <row r="109" customFormat="false" ht="15" hidden="false" customHeight="false" outlineLevel="0" collapsed="false">
      <c r="E109" s="117"/>
    </row>
    <row r="110" customFormat="false" ht="15" hidden="false" customHeight="false" outlineLevel="0" collapsed="false">
      <c r="E110" s="117"/>
    </row>
    <row r="111" customFormat="false" ht="15" hidden="false" customHeight="false" outlineLevel="0" collapsed="false">
      <c r="E111" s="117"/>
    </row>
    <row r="112" customFormat="false" ht="15" hidden="false" customHeight="false" outlineLevel="0" collapsed="false">
      <c r="E112" s="117"/>
    </row>
    <row r="113" customFormat="false" ht="15" hidden="false" customHeight="false" outlineLevel="0" collapsed="false">
      <c r="E113" s="117"/>
    </row>
    <row r="114" customFormat="false" ht="15" hidden="false" customHeight="false" outlineLevel="0" collapsed="false">
      <c r="E114" s="117"/>
    </row>
    <row r="115" customFormat="false" ht="15" hidden="false" customHeight="false" outlineLevel="0" collapsed="false">
      <c r="E115" s="117"/>
    </row>
    <row r="116" customFormat="false" ht="15" hidden="false" customHeight="false" outlineLevel="0" collapsed="false">
      <c r="E116" s="117"/>
    </row>
    <row r="117" customFormat="false" ht="15" hidden="false" customHeight="false" outlineLevel="0" collapsed="false">
      <c r="E117" s="117"/>
    </row>
    <row r="118" customFormat="false" ht="15" hidden="false" customHeight="false" outlineLevel="0" collapsed="false">
      <c r="E118" s="117"/>
    </row>
    <row r="119" customFormat="false" ht="15" hidden="false" customHeight="false" outlineLevel="0" collapsed="false">
      <c r="E119" s="117"/>
    </row>
    <row r="120" customFormat="false" ht="15" hidden="false" customHeight="false" outlineLevel="0" collapsed="false">
      <c r="E120" s="117"/>
    </row>
    <row r="121" customFormat="false" ht="15" hidden="false" customHeight="false" outlineLevel="0" collapsed="false">
      <c r="E121" s="117"/>
    </row>
    <row r="122" customFormat="false" ht="15" hidden="false" customHeight="false" outlineLevel="0" collapsed="false">
      <c r="E122" s="117"/>
    </row>
    <row r="123" customFormat="false" ht="15" hidden="false" customHeight="false" outlineLevel="0" collapsed="false">
      <c r="E123" s="117"/>
    </row>
    <row r="124" customFormat="false" ht="15" hidden="false" customHeight="false" outlineLevel="0" collapsed="false">
      <c r="E124" s="117"/>
    </row>
    <row r="125" customFormat="false" ht="15" hidden="false" customHeight="false" outlineLevel="0" collapsed="false">
      <c r="E125" s="117"/>
    </row>
    <row r="126" customFormat="false" ht="15" hidden="false" customHeight="false" outlineLevel="0" collapsed="false">
      <c r="E126" s="117"/>
    </row>
    <row r="127" customFormat="false" ht="15" hidden="false" customHeight="false" outlineLevel="0" collapsed="false">
      <c r="E127" s="117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V126"/>
  <sheetViews>
    <sheetView showFormulas="false" showGridLines="true" showRowColHeaders="true" showZeros="true" rightToLeft="false" tabSelected="false" showOutlineSymbols="true" defaultGridColor="true" view="normal" topLeftCell="A19" colorId="64" zoomScale="60" zoomScaleNormal="60" zoomScalePageLayoutView="100" workbookViewId="0">
      <selection pane="topLeft" activeCell="K57" activeCellId="0" sqref="K57"/>
    </sheetView>
  </sheetViews>
  <sheetFormatPr defaultColWidth="8.8359375" defaultRowHeight="15" zeroHeight="false" outlineLevelRow="0" outlineLevelCol="0"/>
  <cols>
    <col collapsed="false" customWidth="true" hidden="false" outlineLevel="0" max="1" min="1" style="66" width="13.66"/>
    <col collapsed="false" customWidth="true" hidden="false" outlineLevel="0" max="2" min="2" style="67" width="10.33"/>
    <col collapsed="false" customWidth="true" hidden="false" outlineLevel="0" max="4" min="3" style="68" width="18.17"/>
    <col collapsed="false" customWidth="true" hidden="false" outlineLevel="0" max="6" min="5" style="68" width="14"/>
    <col collapsed="false" customWidth="true" hidden="false" outlineLevel="0" max="7" min="7" style="66" width="13.51"/>
    <col collapsed="false" customWidth="true" hidden="false" outlineLevel="0" max="8" min="8" style="69" width="13.83"/>
    <col collapsed="false" customWidth="true" hidden="false" outlineLevel="0" max="10" min="9" style="70" width="14.33"/>
    <col collapsed="false" customWidth="true" hidden="false" outlineLevel="0" max="11" min="11" style="71" width="11"/>
    <col collapsed="false" customWidth="true" hidden="false" outlineLevel="0" max="12" min="12" style="70" width="10.51"/>
    <col collapsed="false" customWidth="true" hidden="false" outlineLevel="0" max="13" min="13" style="70" width="9.66"/>
    <col collapsed="false" customWidth="true" hidden="false" outlineLevel="0" max="14" min="14" style="70" width="14.5"/>
    <col collapsed="false" customWidth="true" hidden="false" outlineLevel="0" max="15" min="15" style="70" width="15.5"/>
    <col collapsed="false" customWidth="true" hidden="false" outlineLevel="0" max="16" min="16" style="70" width="13.83"/>
    <col collapsed="false" customWidth="true" hidden="false" outlineLevel="0" max="17" min="17" style="70" width="12.66"/>
    <col collapsed="false" customWidth="true" hidden="false" outlineLevel="0" max="18" min="18" style="70" width="12.83"/>
    <col collapsed="false" customWidth="true" hidden="false" outlineLevel="0" max="19" min="19" style="70" width="12.17"/>
  </cols>
  <sheetData>
    <row r="1" customFormat="false" ht="48" hidden="false" customHeight="false" outlineLevel="0" collapsed="false">
      <c r="A1" s="41" t="s">
        <v>25</v>
      </c>
      <c r="B1" s="72" t="s">
        <v>26</v>
      </c>
      <c r="C1" s="73" t="s">
        <v>27</v>
      </c>
      <c r="D1" s="73" t="s">
        <v>28</v>
      </c>
      <c r="E1" s="73" t="s">
        <v>29</v>
      </c>
      <c r="F1" s="73" t="s">
        <v>29</v>
      </c>
      <c r="G1" s="73" t="s">
        <v>30</v>
      </c>
      <c r="H1" s="74" t="s">
        <v>31</v>
      </c>
      <c r="I1" s="75" t="s">
        <v>32</v>
      </c>
      <c r="J1" s="76" t="s">
        <v>3</v>
      </c>
      <c r="L1" s="77" t="s">
        <v>33</v>
      </c>
      <c r="M1" s="78" t="s">
        <v>34</v>
      </c>
      <c r="N1" s="79" t="s">
        <v>27</v>
      </c>
      <c r="O1" s="79" t="s">
        <v>28</v>
      </c>
      <c r="P1" s="79" t="s">
        <v>29</v>
      </c>
      <c r="Q1" s="79" t="s">
        <v>30</v>
      </c>
      <c r="R1" s="80" t="s">
        <v>31</v>
      </c>
      <c r="S1" s="79" t="s">
        <v>35</v>
      </c>
    </row>
    <row r="2" customFormat="false" ht="15" hidden="false" customHeight="false" outlineLevel="0" collapsed="false">
      <c r="A2" s="81"/>
      <c r="B2" s="81" t="s">
        <v>36</v>
      </c>
      <c r="C2" s="82"/>
      <c r="D2" s="82"/>
      <c r="E2" s="82"/>
      <c r="F2" s="82"/>
      <c r="G2" s="83"/>
      <c r="H2" s="84"/>
      <c r="I2" s="85"/>
      <c r="J2" s="86" t="s">
        <v>18</v>
      </c>
      <c r="K2" s="87"/>
      <c r="L2" s="148"/>
      <c r="M2" s="149" t="s">
        <v>37</v>
      </c>
      <c r="N2" s="150"/>
      <c r="O2" s="150"/>
      <c r="P2" s="150"/>
      <c r="Q2" s="151"/>
      <c r="R2" s="152"/>
      <c r="S2" s="153"/>
    </row>
    <row r="3" customFormat="false" ht="15.75" hidden="false" customHeight="false" outlineLevel="0" collapsed="false">
      <c r="A3" s="89" t="n">
        <v>0.423611111111111</v>
      </c>
      <c r="B3" s="154" t="s">
        <v>54</v>
      </c>
      <c r="C3" s="97" t="n">
        <v>49451060</v>
      </c>
      <c r="D3" s="75" t="n">
        <v>49461510</v>
      </c>
      <c r="E3" s="91" t="n">
        <f aca="false">SUM(D3-C3)</f>
        <v>10450</v>
      </c>
      <c r="F3" s="92" t="n">
        <f aca="false">SUM(D3-C3)</f>
        <v>10450</v>
      </c>
      <c r="G3" s="41" t="n">
        <v>0.8317</v>
      </c>
      <c r="H3" s="93" t="n">
        <f aca="false">SUM(G3*F3)</f>
        <v>8691.265</v>
      </c>
      <c r="I3" s="155" t="n">
        <v>237</v>
      </c>
      <c r="J3" s="29" t="n">
        <v>6434</v>
      </c>
      <c r="K3" s="94"/>
      <c r="L3" s="156" t="n">
        <v>0.402777777777778</v>
      </c>
      <c r="M3" s="157" t="s">
        <v>46</v>
      </c>
      <c r="N3" s="158" t="n">
        <v>7622400</v>
      </c>
      <c r="O3" s="159" t="n">
        <v>7622620</v>
      </c>
      <c r="P3" s="158" t="n">
        <f aca="false">SUM(O3-N3)</f>
        <v>220</v>
      </c>
      <c r="Q3" s="160" t="n">
        <v>0.835</v>
      </c>
      <c r="R3" s="161" t="n">
        <f aca="false">SUM(Q3*P3)</f>
        <v>183.7</v>
      </c>
      <c r="S3" s="162" t="s">
        <v>53</v>
      </c>
      <c r="V3" s="0" t="s">
        <v>41</v>
      </c>
    </row>
    <row r="4" customFormat="false" ht="15.75" hidden="false" customHeight="false" outlineLevel="0" collapsed="false">
      <c r="A4" s="89" t="n">
        <v>0.444444444444444</v>
      </c>
      <c r="B4" s="90" t="s">
        <v>54</v>
      </c>
      <c r="C4" s="97" t="n">
        <f aca="false">SUM(D3)</f>
        <v>49461510</v>
      </c>
      <c r="D4" s="75" t="n">
        <v>49472990</v>
      </c>
      <c r="E4" s="91" t="n">
        <f aca="false">SUM(D4-C4)</f>
        <v>11480</v>
      </c>
      <c r="F4" s="163" t="n">
        <v>11480</v>
      </c>
      <c r="G4" s="41" t="n">
        <v>0.8317</v>
      </c>
      <c r="H4" s="93" t="n">
        <f aca="false">SUM(G4*F4)</f>
        <v>9547.916</v>
      </c>
      <c r="I4" s="155" t="n">
        <v>388</v>
      </c>
      <c r="J4" s="29" t="n">
        <v>6438</v>
      </c>
      <c r="K4" s="94"/>
      <c r="L4" s="156" t="n">
        <v>0.420138888888889</v>
      </c>
      <c r="M4" s="157" t="s">
        <v>48</v>
      </c>
      <c r="N4" s="158" t="n">
        <f aca="false">SUM(O3)</f>
        <v>7622620</v>
      </c>
      <c r="O4" s="159" t="n">
        <v>7622780</v>
      </c>
      <c r="P4" s="158" t="n">
        <f aca="false">SUM(O4-N4)</f>
        <v>160</v>
      </c>
      <c r="Q4" s="160" t="n">
        <v>0.8367</v>
      </c>
      <c r="R4" s="161" t="n">
        <f aca="false">SUM(Q4*P4)</f>
        <v>133.872</v>
      </c>
      <c r="S4" s="162" t="s">
        <v>65</v>
      </c>
    </row>
    <row r="5" customFormat="false" ht="15.75" hidden="false" customHeight="false" outlineLevel="0" collapsed="false">
      <c r="A5" s="89" t="n">
        <v>0.444444444444444</v>
      </c>
      <c r="B5" s="138" t="s">
        <v>66</v>
      </c>
      <c r="C5" s="97" t="n">
        <f aca="false">SUM(D4)</f>
        <v>49472990</v>
      </c>
      <c r="D5" s="75" t="n">
        <v>49483930</v>
      </c>
      <c r="E5" s="91" t="n">
        <f aca="false">SUM(D5-C5)</f>
        <v>10940</v>
      </c>
      <c r="F5" s="163" t="n">
        <v>10950</v>
      </c>
      <c r="G5" s="41" t="n">
        <v>0.8331</v>
      </c>
      <c r="H5" s="93" t="n">
        <f aca="false">SUM(G5*F5)</f>
        <v>9122.445</v>
      </c>
      <c r="I5" s="164" t="n">
        <v>388</v>
      </c>
      <c r="J5" s="29" t="n">
        <v>6438</v>
      </c>
      <c r="K5" s="94"/>
      <c r="L5" s="156" t="n">
        <v>0.486111111111111</v>
      </c>
      <c r="M5" s="157" t="s">
        <v>48</v>
      </c>
      <c r="N5" s="158" t="n">
        <f aca="false">SUM(O4)</f>
        <v>7622780</v>
      </c>
      <c r="O5" s="159" t="n">
        <v>7622920</v>
      </c>
      <c r="P5" s="158" t="n">
        <f aca="false">SUM(O5-N5)</f>
        <v>140</v>
      </c>
      <c r="Q5" s="160" t="n">
        <v>0.8367</v>
      </c>
      <c r="R5" s="161" t="n">
        <f aca="false">SUM(Q5*P5)</f>
        <v>117.138</v>
      </c>
      <c r="S5" s="162" t="s">
        <v>64</v>
      </c>
    </row>
    <row r="6" customFormat="false" ht="15.75" hidden="false" customHeight="false" outlineLevel="0" collapsed="false">
      <c r="A6" s="89" t="n">
        <v>0.46875</v>
      </c>
      <c r="B6" s="90" t="s">
        <v>66</v>
      </c>
      <c r="C6" s="97" t="n">
        <f aca="false">SUM(D5)</f>
        <v>49483930</v>
      </c>
      <c r="D6" s="75" t="n">
        <v>49493640</v>
      </c>
      <c r="E6" s="91" t="n">
        <f aca="false">SUM(D6-C6)</f>
        <v>9710</v>
      </c>
      <c r="F6" s="92" t="n">
        <f aca="false">SUM(D6-C6)</f>
        <v>9710</v>
      </c>
      <c r="G6" s="41" t="n">
        <v>0.8331</v>
      </c>
      <c r="H6" s="93" t="n">
        <f aca="false">SUM(G6*F6)</f>
        <v>8089.401</v>
      </c>
      <c r="I6" s="164" t="n">
        <v>248</v>
      </c>
      <c r="J6" s="29" t="n">
        <v>6441</v>
      </c>
      <c r="K6" s="94"/>
      <c r="L6" s="156" t="n">
        <v>0.84375</v>
      </c>
      <c r="M6" s="157" t="s">
        <v>66</v>
      </c>
      <c r="N6" s="158" t="n">
        <f aca="false">SUM(O5)</f>
        <v>7622920</v>
      </c>
      <c r="O6" s="159" t="n">
        <v>7623040</v>
      </c>
      <c r="P6" s="158" t="n">
        <f aca="false">SUM(O6-N6)</f>
        <v>120</v>
      </c>
      <c r="Q6" s="167" t="n">
        <v>0.8331</v>
      </c>
      <c r="R6" s="161" t="n">
        <f aca="false">SUM(Q6*P6)</f>
        <v>99.972</v>
      </c>
      <c r="S6" s="162" t="s">
        <v>45</v>
      </c>
    </row>
    <row r="7" customFormat="false" ht="15.75" hidden="false" customHeight="false" outlineLevel="0" collapsed="false">
      <c r="A7" s="89" t="n">
        <v>0.489583333333333</v>
      </c>
      <c r="B7" s="90" t="s">
        <v>66</v>
      </c>
      <c r="C7" s="97" t="n">
        <f aca="false">SUM(D6)</f>
        <v>49493640</v>
      </c>
      <c r="D7" s="75" t="n">
        <v>49494430</v>
      </c>
      <c r="E7" s="91" t="n">
        <f aca="false">SUM(D7-C7)</f>
        <v>790</v>
      </c>
      <c r="F7" s="92" t="n">
        <f aca="false">SUM(D7-C7)</f>
        <v>790</v>
      </c>
      <c r="G7" s="41" t="n">
        <v>0.8331</v>
      </c>
      <c r="H7" s="93" t="n">
        <f aca="false">SUM(G7*F7)</f>
        <v>658.149</v>
      </c>
      <c r="I7" s="164" t="n">
        <v>237</v>
      </c>
      <c r="J7" s="29" t="n">
        <v>6442</v>
      </c>
      <c r="K7" s="94"/>
      <c r="L7" s="170" t="n">
        <v>0.875</v>
      </c>
      <c r="M7" s="104" t="s">
        <v>54</v>
      </c>
      <c r="N7" s="99" t="n">
        <f aca="false">SUM(O6)</f>
        <v>7623040</v>
      </c>
      <c r="O7" s="171" t="n">
        <v>7623080</v>
      </c>
      <c r="P7" s="99" t="n">
        <f aca="false">SUM(O7-N7)</f>
        <v>40</v>
      </c>
      <c r="Q7" s="198" t="n">
        <v>0.827</v>
      </c>
      <c r="R7" s="101" t="n">
        <f aca="false">SUM(Q7*P7)</f>
        <v>33.08</v>
      </c>
      <c r="S7" s="102" t="s">
        <v>94</v>
      </c>
    </row>
    <row r="8" customFormat="false" ht="15.75" hidden="false" customHeight="false" outlineLevel="0" collapsed="false">
      <c r="A8" s="89" t="n">
        <v>0.663194444444444</v>
      </c>
      <c r="B8" s="90" t="s">
        <v>66</v>
      </c>
      <c r="C8" s="97" t="n">
        <f aca="false">SUM(D7)</f>
        <v>49494430</v>
      </c>
      <c r="D8" s="75" t="n">
        <v>49516850</v>
      </c>
      <c r="E8" s="91" t="n">
        <f aca="false">SUM(D8-C8)</f>
        <v>22420</v>
      </c>
      <c r="F8" s="163" t="n">
        <v>22430</v>
      </c>
      <c r="G8" s="41" t="n">
        <v>0.8331</v>
      </c>
      <c r="H8" s="93" t="n">
        <f aca="false">SUM(G8*F8)</f>
        <v>18686.433</v>
      </c>
      <c r="I8" s="164" t="n">
        <v>388</v>
      </c>
      <c r="J8" s="29" t="n">
        <v>6448</v>
      </c>
      <c r="K8" s="94"/>
      <c r="L8" s="95" t="n">
        <v>0.986111111111111</v>
      </c>
      <c r="M8" s="96" t="s">
        <v>66</v>
      </c>
      <c r="N8" s="99" t="n">
        <f aca="false">SUM(O7)</f>
        <v>7623080</v>
      </c>
      <c r="O8" s="171" t="n">
        <v>7623150</v>
      </c>
      <c r="P8" s="99" t="n">
        <f aca="false">SUM(O8-N8)</f>
        <v>70</v>
      </c>
      <c r="Q8" s="100" t="n">
        <v>0.828</v>
      </c>
      <c r="R8" s="101" t="n">
        <f aca="false">SUM(Q8*P8)</f>
        <v>57.96</v>
      </c>
      <c r="S8" s="1" t="s">
        <v>42</v>
      </c>
    </row>
    <row r="9" customFormat="false" ht="15.75" hidden="false" customHeight="false" outlineLevel="0" collapsed="false">
      <c r="A9" s="89" t="n">
        <v>0.729166666666667</v>
      </c>
      <c r="B9" s="90" t="s">
        <v>66</v>
      </c>
      <c r="C9" s="97" t="n">
        <f aca="false">SUM(D8)</f>
        <v>49516850</v>
      </c>
      <c r="D9" s="75" t="n">
        <v>49539270</v>
      </c>
      <c r="E9" s="91" t="n">
        <f aca="false">SUM(D9-C9)</f>
        <v>22420</v>
      </c>
      <c r="F9" s="163" t="n">
        <v>22430</v>
      </c>
      <c r="G9" s="41" t="n">
        <v>0.8331</v>
      </c>
      <c r="H9" s="93" t="n">
        <f aca="false">SUM(G9*F9)</f>
        <v>18686.433</v>
      </c>
      <c r="I9" s="164" t="n">
        <v>388</v>
      </c>
      <c r="J9" s="29" t="n">
        <v>6449</v>
      </c>
      <c r="K9" s="94"/>
      <c r="L9" s="95"/>
      <c r="M9" s="96"/>
      <c r="N9" s="99" t="n">
        <v>0</v>
      </c>
      <c r="O9" s="171"/>
      <c r="P9" s="99" t="n">
        <f aca="false">SUM(O9-N9)</f>
        <v>0</v>
      </c>
      <c r="Q9" s="100"/>
      <c r="R9" s="101" t="n">
        <f aca="false">SUM(Q9*P9)</f>
        <v>0</v>
      </c>
      <c r="S9" s="1"/>
    </row>
    <row r="10" customFormat="false" ht="15.75" hidden="false" customHeight="false" outlineLevel="0" collapsed="false">
      <c r="A10" s="89" t="n">
        <v>0.75</v>
      </c>
      <c r="B10" s="124" t="s">
        <v>39</v>
      </c>
      <c r="C10" s="97" t="n">
        <f aca="false">SUM(D9)</f>
        <v>49539270</v>
      </c>
      <c r="D10" s="75" t="n">
        <v>49556290</v>
      </c>
      <c r="E10" s="91" t="n">
        <f aca="false">SUM(D10-C10)</f>
        <v>17020</v>
      </c>
      <c r="F10" s="128" t="n">
        <v>17019</v>
      </c>
      <c r="G10" s="41" t="n">
        <v>0.8296</v>
      </c>
      <c r="H10" s="93" t="n">
        <f aca="false">SUM(G10*F10)</f>
        <v>14118.9624</v>
      </c>
      <c r="I10" s="166" t="n">
        <v>251</v>
      </c>
      <c r="J10" s="29" t="n">
        <v>6450</v>
      </c>
      <c r="K10" s="94"/>
      <c r="L10" s="95"/>
      <c r="M10" s="96"/>
      <c r="N10" s="99" t="n">
        <f aca="false">SUM(O9)</f>
        <v>0</v>
      </c>
      <c r="O10" s="171"/>
      <c r="P10" s="99" t="n">
        <f aca="false">SUM(O10-N10)</f>
        <v>0</v>
      </c>
      <c r="Q10" s="100"/>
      <c r="R10" s="101" t="n">
        <f aca="false">SUM(Q10*P10)</f>
        <v>0</v>
      </c>
      <c r="S10" s="102"/>
    </row>
    <row r="11" customFormat="false" ht="15.75" hidden="false" customHeight="false" outlineLevel="0" collapsed="false">
      <c r="A11" s="89" t="n">
        <v>0.791666666666667</v>
      </c>
      <c r="B11" s="90" t="s">
        <v>39</v>
      </c>
      <c r="C11" s="97" t="n">
        <f aca="false">SUM(D10)</f>
        <v>49556290</v>
      </c>
      <c r="D11" s="75" t="n">
        <v>49578710</v>
      </c>
      <c r="E11" s="91" t="n">
        <f aca="false">SUM(D11-C11)</f>
        <v>22420</v>
      </c>
      <c r="F11" s="163" t="n">
        <v>22430</v>
      </c>
      <c r="G11" s="41" t="n">
        <v>0.8296</v>
      </c>
      <c r="H11" s="93" t="n">
        <f aca="false">SUM(G11*F11)</f>
        <v>18607.928</v>
      </c>
      <c r="I11" s="166" t="n">
        <v>388</v>
      </c>
      <c r="J11" s="29" t="n">
        <v>6451</v>
      </c>
      <c r="K11" s="94"/>
      <c r="L11" s="95"/>
      <c r="M11" s="96"/>
      <c r="N11" s="99" t="n">
        <f aca="false">SUM(O10)</f>
        <v>0</v>
      </c>
      <c r="O11" s="98"/>
      <c r="P11" s="99" t="n">
        <f aca="false">SUM(O11-N11)</f>
        <v>0</v>
      </c>
      <c r="Q11" s="100"/>
      <c r="R11" s="101" t="n">
        <f aca="false">SUM(Q11*P11)</f>
        <v>0</v>
      </c>
      <c r="S11" s="1"/>
    </row>
    <row r="12" customFormat="false" ht="15.75" hidden="false" customHeight="false" outlineLevel="0" collapsed="false">
      <c r="A12" s="89" t="n">
        <v>0.892361111111111</v>
      </c>
      <c r="B12" s="90" t="s">
        <v>39</v>
      </c>
      <c r="C12" s="97" t="n">
        <f aca="false">SUM(D11)</f>
        <v>49578710</v>
      </c>
      <c r="D12" s="75" t="n">
        <v>49595740</v>
      </c>
      <c r="E12" s="91" t="n">
        <f aca="false">SUM(D12-C12)</f>
        <v>17030</v>
      </c>
      <c r="F12" s="128" t="n">
        <v>17019</v>
      </c>
      <c r="G12" s="41" t="n">
        <v>0.8296</v>
      </c>
      <c r="H12" s="93" t="n">
        <f aca="false">SUM(G12*F12)</f>
        <v>14118.9624</v>
      </c>
      <c r="I12" s="166" t="n">
        <v>251</v>
      </c>
      <c r="J12" s="29" t="n">
        <v>6453</v>
      </c>
      <c r="K12" s="94"/>
      <c r="L12" s="95"/>
      <c r="M12" s="96"/>
      <c r="N12" s="99" t="n">
        <f aca="false">SUM(O11)</f>
        <v>0</v>
      </c>
      <c r="O12" s="98"/>
      <c r="P12" s="99" t="n">
        <f aca="false">SUM(O12-N12)</f>
        <v>0</v>
      </c>
      <c r="Q12" s="100"/>
      <c r="R12" s="101" t="n">
        <f aca="false">SUM(Q12*P12)</f>
        <v>0</v>
      </c>
      <c r="S12" s="1"/>
    </row>
    <row r="13" customFormat="false" ht="15.75" hidden="false" customHeight="false" outlineLevel="0" collapsed="false">
      <c r="A13" s="89" t="n">
        <v>0.902777777777778</v>
      </c>
      <c r="B13" s="90" t="s">
        <v>39</v>
      </c>
      <c r="C13" s="97" t="n">
        <f aca="false">SUM(D12)</f>
        <v>49595740</v>
      </c>
      <c r="D13" s="75" t="n">
        <v>49604380</v>
      </c>
      <c r="E13" s="91" t="n">
        <f aca="false">SUM(D13-C13)</f>
        <v>8640</v>
      </c>
      <c r="F13" s="92" t="n">
        <f aca="false">SUM(D13-C13)</f>
        <v>8640</v>
      </c>
      <c r="G13" s="41" t="n">
        <v>0.83</v>
      </c>
      <c r="H13" s="93" t="n">
        <f aca="false">SUM(G13*F13)</f>
        <v>7171.2</v>
      </c>
      <c r="I13" s="166" t="n">
        <v>237</v>
      </c>
      <c r="J13" s="29" t="n">
        <v>6454</v>
      </c>
      <c r="K13" s="94"/>
      <c r="L13" s="95"/>
      <c r="M13" s="96"/>
      <c r="N13" s="99" t="n">
        <f aca="false">SUM(O12)</f>
        <v>0</v>
      </c>
      <c r="O13" s="98"/>
      <c r="P13" s="99" t="n">
        <f aca="false">SUM(O13-N13)</f>
        <v>0</v>
      </c>
      <c r="Q13" s="100"/>
      <c r="R13" s="101" t="n">
        <f aca="false">SUM(Q13*P13)</f>
        <v>0</v>
      </c>
      <c r="S13" s="1"/>
    </row>
    <row r="14" customFormat="false" ht="15.75" hidden="false" customHeight="false" outlineLevel="0" collapsed="false">
      <c r="A14" s="89" t="n">
        <v>0.0729166666666667</v>
      </c>
      <c r="B14" s="143" t="s">
        <v>46</v>
      </c>
      <c r="C14" s="97" t="n">
        <f aca="false">SUM(D13)</f>
        <v>49604380</v>
      </c>
      <c r="D14" s="75" t="n">
        <v>49626810</v>
      </c>
      <c r="E14" s="91" t="n">
        <f aca="false">SUM(D14-C14)</f>
        <v>22430</v>
      </c>
      <c r="F14" s="163" t="n">
        <v>22430</v>
      </c>
      <c r="G14" s="41" t="n">
        <v>0.8315</v>
      </c>
      <c r="H14" s="93" t="n">
        <v>18561</v>
      </c>
      <c r="I14" s="176" t="n">
        <v>388</v>
      </c>
      <c r="J14" s="29" t="n">
        <v>6460</v>
      </c>
      <c r="K14" s="94"/>
      <c r="L14" s="95"/>
      <c r="M14" s="96"/>
      <c r="N14" s="99" t="n">
        <f aca="false">SUM(O13)</f>
        <v>0</v>
      </c>
      <c r="O14" s="98"/>
      <c r="P14" s="99" t="n">
        <f aca="false">SUM(O14-N14)</f>
        <v>0</v>
      </c>
      <c r="Q14" s="100"/>
      <c r="R14" s="101" t="n">
        <f aca="false">SUM(Q14*P14)</f>
        <v>0</v>
      </c>
      <c r="S14" s="1"/>
    </row>
    <row r="15" customFormat="false" ht="15.75" hidden="false" customHeight="false" outlineLevel="0" collapsed="false">
      <c r="A15" s="89" t="n">
        <v>0.135416666666667</v>
      </c>
      <c r="B15" s="90" t="s">
        <v>46</v>
      </c>
      <c r="C15" s="97" t="n">
        <f aca="false">SUM(D14)</f>
        <v>49626810</v>
      </c>
      <c r="D15" s="75" t="n">
        <v>49638290</v>
      </c>
      <c r="E15" s="91" t="n">
        <f aca="false">SUM(D15-C15)</f>
        <v>11480</v>
      </c>
      <c r="F15" s="163" t="n">
        <v>11480</v>
      </c>
      <c r="G15" s="41" t="n">
        <v>0.8315</v>
      </c>
      <c r="H15" s="93" t="n">
        <f aca="false">SUM(G15*F15)</f>
        <v>9545.62</v>
      </c>
      <c r="I15" s="176" t="n">
        <v>388</v>
      </c>
      <c r="J15" s="29" t="n">
        <v>6462</v>
      </c>
      <c r="K15" s="94"/>
      <c r="L15" s="95"/>
      <c r="M15" s="96"/>
      <c r="N15" s="99" t="n">
        <f aca="false">SUM(O14)</f>
        <v>0</v>
      </c>
      <c r="O15" s="98"/>
      <c r="P15" s="99" t="n">
        <f aca="false">SUM(O15-N15)</f>
        <v>0</v>
      </c>
      <c r="Q15" s="100"/>
      <c r="R15" s="101" t="n">
        <f aca="false">SUM(Q15*P15)</f>
        <v>0</v>
      </c>
      <c r="S15" s="1"/>
    </row>
    <row r="16" customFormat="false" ht="15.75" hidden="false" customHeight="false" outlineLevel="0" collapsed="false">
      <c r="A16" s="89" t="n">
        <v>0.135416666666667</v>
      </c>
      <c r="B16" s="90" t="s">
        <v>46</v>
      </c>
      <c r="C16" s="97" t="n">
        <f aca="false">SUM(D15)</f>
        <v>49638290</v>
      </c>
      <c r="D16" s="75" t="n">
        <v>49649240</v>
      </c>
      <c r="E16" s="91" t="n">
        <f aca="false">SUM(D16-C16)</f>
        <v>10950</v>
      </c>
      <c r="F16" s="163" t="n">
        <v>10950</v>
      </c>
      <c r="G16" s="41" t="n">
        <v>0.8315</v>
      </c>
      <c r="H16" s="93" t="n">
        <f aca="false">SUM(G16*F16)</f>
        <v>9104.925</v>
      </c>
      <c r="I16" s="176" t="n">
        <v>388</v>
      </c>
      <c r="J16" s="29" t="n">
        <v>6463</v>
      </c>
      <c r="K16" s="94"/>
      <c r="L16" s="95"/>
      <c r="M16" s="104"/>
      <c r="N16" s="99" t="n">
        <f aca="false">SUM(O15)</f>
        <v>0</v>
      </c>
      <c r="O16" s="98"/>
      <c r="P16" s="99" t="n">
        <f aca="false">SUM(O16-N16)</f>
        <v>0</v>
      </c>
      <c r="Q16" s="41"/>
      <c r="R16" s="101" t="n">
        <f aca="false">SUM(Q16*P16)</f>
        <v>0</v>
      </c>
      <c r="S16" s="102"/>
    </row>
    <row r="17" customFormat="false" ht="15.75" hidden="false" customHeight="false" outlineLevel="0" collapsed="false">
      <c r="A17" s="89" t="n">
        <v>0.21875</v>
      </c>
      <c r="B17" s="90" t="s">
        <v>46</v>
      </c>
      <c r="C17" s="97" t="n">
        <f aca="false">SUM(D16)</f>
        <v>49649240</v>
      </c>
      <c r="D17" s="75" t="n">
        <v>49666250</v>
      </c>
      <c r="E17" s="91" t="n">
        <f aca="false">SUM(D17-C17)</f>
        <v>17010</v>
      </c>
      <c r="F17" s="128" t="n">
        <v>17019</v>
      </c>
      <c r="G17" s="41" t="n">
        <v>0.8315</v>
      </c>
      <c r="H17" s="93" t="n">
        <f aca="false">SUM(G17*F17)</f>
        <v>14151.2985</v>
      </c>
      <c r="I17" s="176" t="n">
        <v>251</v>
      </c>
      <c r="J17" s="29" t="n">
        <v>6465</v>
      </c>
      <c r="K17" s="94"/>
      <c r="L17" s="88"/>
      <c r="M17" s="88" t="s">
        <v>49</v>
      </c>
      <c r="N17" s="82"/>
      <c r="O17" s="82"/>
      <c r="P17" s="82"/>
      <c r="Q17" s="83"/>
      <c r="R17" s="84"/>
      <c r="S17" s="85"/>
    </row>
    <row r="18" customFormat="false" ht="15.75" hidden="false" customHeight="false" outlineLevel="0" collapsed="false">
      <c r="A18" s="89" t="n">
        <v>0.236111111111111</v>
      </c>
      <c r="B18" s="186" t="s">
        <v>48</v>
      </c>
      <c r="C18" s="97" t="n">
        <f aca="false">SUM(D17)</f>
        <v>49666250</v>
      </c>
      <c r="D18" s="75" t="n">
        <v>49688670</v>
      </c>
      <c r="E18" s="91" t="n">
        <f aca="false">SUM(D18-C18)</f>
        <v>22420</v>
      </c>
      <c r="F18" s="163" t="n">
        <v>22430</v>
      </c>
      <c r="G18" s="41" t="n">
        <v>0.8325</v>
      </c>
      <c r="H18" s="93" t="n">
        <f aca="false">SUM(G18*F18)</f>
        <v>18672.975</v>
      </c>
      <c r="I18" s="187" t="n">
        <v>388</v>
      </c>
      <c r="J18" s="29" t="n">
        <v>6466</v>
      </c>
      <c r="K18" s="94"/>
      <c r="L18" s="95"/>
      <c r="M18" s="104"/>
      <c r="N18" s="129"/>
      <c r="O18" s="98"/>
      <c r="P18" s="108" t="n">
        <f aca="false">SUM(O18-N18)</f>
        <v>0</v>
      </c>
      <c r="Q18" s="41"/>
      <c r="R18" s="93" t="n">
        <f aca="false">SUM(Q18*P18)</f>
        <v>0</v>
      </c>
      <c r="S18" s="102"/>
      <c r="T18" s="0" t="s">
        <v>41</v>
      </c>
    </row>
    <row r="19" customFormat="false" ht="15.75" hidden="false" customHeight="false" outlineLevel="0" collapsed="false">
      <c r="A19" s="89" t="n">
        <v>0.295138888888889</v>
      </c>
      <c r="B19" s="90" t="s">
        <v>48</v>
      </c>
      <c r="C19" s="97" t="n">
        <f aca="false">SUM(D18)</f>
        <v>49688670</v>
      </c>
      <c r="D19" s="75" t="n">
        <v>49711090</v>
      </c>
      <c r="E19" s="91" t="n">
        <f aca="false">SUM(D19-C19)</f>
        <v>22420</v>
      </c>
      <c r="F19" s="163" t="n">
        <v>22430</v>
      </c>
      <c r="G19" s="41" t="n">
        <v>0.8325</v>
      </c>
      <c r="H19" s="93" t="n">
        <f aca="false">SUM(G19*F19)</f>
        <v>18672.975</v>
      </c>
      <c r="I19" s="187" t="n">
        <v>388</v>
      </c>
      <c r="J19" s="29" t="n">
        <v>6468</v>
      </c>
      <c r="K19" s="94"/>
      <c r="L19" s="95"/>
      <c r="M19" s="104"/>
      <c r="N19" s="97" t="n">
        <f aca="false">SUM(O18)</f>
        <v>0</v>
      </c>
      <c r="O19" s="98"/>
      <c r="P19" s="108" t="n">
        <f aca="false">SUM(O19-N19)</f>
        <v>0</v>
      </c>
      <c r="Q19" s="41"/>
      <c r="R19" s="93" t="n">
        <f aca="false">SUM(Q19*P19)</f>
        <v>0</v>
      </c>
      <c r="S19" s="102"/>
    </row>
    <row r="20" customFormat="false" ht="15.75" hidden="false" customHeight="false" outlineLevel="0" collapsed="false">
      <c r="A20" s="89" t="n">
        <v>0.34375</v>
      </c>
      <c r="B20" s="90" t="s">
        <v>48</v>
      </c>
      <c r="C20" s="97" t="n">
        <f aca="false">SUM(D19)</f>
        <v>49711090</v>
      </c>
      <c r="D20" s="75" t="n">
        <v>49721080</v>
      </c>
      <c r="E20" s="91" t="n">
        <f aca="false">SUM(D20-C20)</f>
        <v>9990</v>
      </c>
      <c r="F20" s="128" t="n">
        <v>9986</v>
      </c>
      <c r="G20" s="41" t="n">
        <v>0.8325</v>
      </c>
      <c r="H20" s="93" t="n">
        <f aca="false">SUM(G20*F20)</f>
        <v>8313.345</v>
      </c>
      <c r="I20" s="187" t="n">
        <v>251</v>
      </c>
      <c r="J20" s="29" t="n">
        <v>6470</v>
      </c>
      <c r="K20" s="94"/>
      <c r="L20" s="95"/>
      <c r="M20" s="104"/>
      <c r="N20" s="97" t="n">
        <f aca="false">SUM(O19)</f>
        <v>0</v>
      </c>
      <c r="O20" s="98"/>
      <c r="P20" s="108" t="n">
        <f aca="false">SUM(O20-N20)</f>
        <v>0</v>
      </c>
      <c r="Q20" s="41"/>
      <c r="R20" s="93" t="n">
        <f aca="false">SUM(Q20*P20)</f>
        <v>0</v>
      </c>
      <c r="S20" s="102"/>
    </row>
    <row r="21" customFormat="false" ht="15.75" hidden="false" customHeight="false" outlineLevel="0" collapsed="false">
      <c r="A21" s="89" t="n">
        <v>0.34375</v>
      </c>
      <c r="B21" s="90" t="s">
        <v>54</v>
      </c>
      <c r="C21" s="97" t="n">
        <f aca="false">SUM(D20)</f>
        <v>49721080</v>
      </c>
      <c r="D21" s="75" t="n">
        <v>49728120</v>
      </c>
      <c r="E21" s="91" t="n">
        <f aca="false">SUM(D21-C21)</f>
        <v>7040</v>
      </c>
      <c r="F21" s="128" t="n">
        <v>7033</v>
      </c>
      <c r="G21" s="41" t="n">
        <v>0.8285</v>
      </c>
      <c r="H21" s="93" t="n">
        <f aca="false">SUM(G21*F21)</f>
        <v>5826.8405</v>
      </c>
      <c r="I21" s="155" t="n">
        <v>251</v>
      </c>
      <c r="J21" s="29" t="n">
        <v>6470</v>
      </c>
      <c r="K21" s="94"/>
      <c r="L21" s="95"/>
      <c r="M21" s="104"/>
      <c r="N21" s="97" t="n">
        <f aca="false">SUM(O20)</f>
        <v>0</v>
      </c>
      <c r="O21" s="98"/>
      <c r="P21" s="108" t="n">
        <f aca="false">SUM(O21-N21)</f>
        <v>0</v>
      </c>
      <c r="Q21" s="41"/>
      <c r="R21" s="93" t="n">
        <f aca="false">SUM(Q21*P21)</f>
        <v>0</v>
      </c>
      <c r="S21" s="102"/>
    </row>
    <row r="22" customFormat="false" ht="15.75" hidden="false" customHeight="false" outlineLevel="0" collapsed="false">
      <c r="A22" s="89" t="n">
        <v>0.357638888888889</v>
      </c>
      <c r="B22" s="90" t="s">
        <v>54</v>
      </c>
      <c r="C22" s="97" t="n">
        <f aca="false">SUM(D21)</f>
        <v>49728120</v>
      </c>
      <c r="D22" s="75" t="n">
        <v>49750540</v>
      </c>
      <c r="E22" s="91" t="n">
        <f aca="false">SUM(D22-C22)</f>
        <v>22420</v>
      </c>
      <c r="F22" s="163" t="n">
        <v>22430</v>
      </c>
      <c r="G22" s="41" t="n">
        <v>0.8285</v>
      </c>
      <c r="H22" s="93" t="n">
        <f aca="false">SUM(G22*F22)</f>
        <v>18583.255</v>
      </c>
      <c r="I22" s="155" t="n">
        <v>388</v>
      </c>
      <c r="J22" s="29" t="n">
        <v>6472</v>
      </c>
      <c r="K22" s="94"/>
      <c r="L22" s="95"/>
      <c r="M22" s="104"/>
      <c r="N22" s="97" t="n">
        <f aca="false">SUM(O21)</f>
        <v>0</v>
      </c>
      <c r="O22" s="98"/>
      <c r="P22" s="108" t="n">
        <f aca="false">SUM(O22-N22)</f>
        <v>0</v>
      </c>
      <c r="Q22" s="41"/>
      <c r="R22" s="93" t="n">
        <f aca="false">SUM(Q22*P22)</f>
        <v>0</v>
      </c>
      <c r="S22" s="102"/>
    </row>
    <row r="23" customFormat="false" ht="15" hidden="false" customHeight="false" outlineLevel="0" collapsed="false">
      <c r="A23" s="89"/>
      <c r="B23" s="90"/>
      <c r="C23" s="97"/>
      <c r="D23" s="75"/>
      <c r="E23" s="91" t="n">
        <f aca="false">SUM(D23-C23)</f>
        <v>0</v>
      </c>
      <c r="F23" s="108" t="n">
        <f aca="false">SUM(D23-C23)</f>
        <v>0</v>
      </c>
      <c r="G23" s="41"/>
      <c r="H23" s="93" t="n">
        <f aca="false">SUM(G23*F23)</f>
        <v>0</v>
      </c>
      <c r="I23" s="1"/>
      <c r="J23" s="29"/>
      <c r="K23" s="94"/>
      <c r="L23" s="95"/>
      <c r="M23" s="104"/>
      <c r="N23" s="97" t="n">
        <f aca="false">SUM(O22)</f>
        <v>0</v>
      </c>
      <c r="O23" s="98"/>
      <c r="P23" s="108" t="n">
        <f aca="false">SUM(O23-N23)</f>
        <v>0</v>
      </c>
      <c r="Q23" s="41"/>
      <c r="R23" s="93" t="n">
        <f aca="false">SUM(Q23*P23)</f>
        <v>0</v>
      </c>
      <c r="S23" s="102"/>
    </row>
    <row r="24" customFormat="false" ht="15" hidden="true" customHeight="false" outlineLevel="0" collapsed="false">
      <c r="A24" s="89"/>
      <c r="B24" s="90"/>
      <c r="C24" s="97" t="n">
        <f aca="false">SUM(D23)</f>
        <v>0</v>
      </c>
      <c r="D24" s="75"/>
      <c r="E24" s="91" t="n">
        <f aca="false">SUM(D24-C24)</f>
        <v>0</v>
      </c>
      <c r="F24" s="108" t="n">
        <f aca="false">SUM(D24-C24)</f>
        <v>0</v>
      </c>
      <c r="G24" s="41"/>
      <c r="H24" s="93" t="n">
        <f aca="false">SUM(G24*F24)</f>
        <v>0</v>
      </c>
      <c r="I24" s="1"/>
      <c r="J24" s="29"/>
      <c r="K24" s="94"/>
      <c r="L24" s="95"/>
      <c r="M24" s="104"/>
      <c r="N24" s="97" t="n">
        <f aca="false">SUM(O23)</f>
        <v>0</v>
      </c>
      <c r="O24" s="98"/>
      <c r="P24" s="108" t="n">
        <f aca="false">SUM(O24-N24)</f>
        <v>0</v>
      </c>
      <c r="Q24" s="41"/>
      <c r="R24" s="93" t="n">
        <f aca="false">SUM(Q24*P24)</f>
        <v>0</v>
      </c>
      <c r="S24" s="102"/>
    </row>
    <row r="25" customFormat="false" ht="15" hidden="true" customHeight="false" outlineLevel="0" collapsed="false">
      <c r="A25" s="89"/>
      <c r="B25" s="90"/>
      <c r="C25" s="97" t="n">
        <f aca="false">SUM(D24)</f>
        <v>0</v>
      </c>
      <c r="D25" s="75"/>
      <c r="E25" s="91" t="n">
        <f aca="false">SUM(D25-C25)</f>
        <v>0</v>
      </c>
      <c r="F25" s="108" t="n">
        <f aca="false">SUM(D25-C25)</f>
        <v>0</v>
      </c>
      <c r="G25" s="41"/>
      <c r="H25" s="93" t="n">
        <f aca="false">SUM(G25*F25)</f>
        <v>0</v>
      </c>
      <c r="I25" s="1"/>
      <c r="J25" s="29"/>
      <c r="K25" s="94"/>
      <c r="L25" s="95"/>
      <c r="M25" s="96"/>
      <c r="N25" s="97" t="n">
        <f aca="false">SUM(O24)</f>
        <v>0</v>
      </c>
      <c r="O25" s="98"/>
      <c r="P25" s="108" t="n">
        <f aca="false">SUM(O25-N25)</f>
        <v>0</v>
      </c>
      <c r="Q25" s="100"/>
      <c r="R25" s="93" t="n">
        <f aca="false">SUM(Q25*P25)</f>
        <v>0</v>
      </c>
      <c r="S25" s="1"/>
    </row>
    <row r="26" customFormat="false" ht="15" hidden="true" customHeight="false" outlineLevel="0" collapsed="false">
      <c r="A26" s="89"/>
      <c r="B26" s="90"/>
      <c r="C26" s="97" t="n">
        <f aca="false">SUM(D25)</f>
        <v>0</v>
      </c>
      <c r="D26" s="75"/>
      <c r="E26" s="91" t="n">
        <f aca="false">SUM(D26-C26)</f>
        <v>0</v>
      </c>
      <c r="F26" s="108" t="n">
        <f aca="false">SUM(D26-C26)</f>
        <v>0</v>
      </c>
      <c r="G26" s="41"/>
      <c r="H26" s="93" t="n">
        <f aca="false">SUM(G26*F26)</f>
        <v>0</v>
      </c>
      <c r="I26" s="1"/>
      <c r="J26" s="29"/>
      <c r="K26" s="94"/>
      <c r="L26" s="95"/>
      <c r="M26" s="96"/>
      <c r="N26" s="97" t="n">
        <f aca="false">SUM(O25)</f>
        <v>0</v>
      </c>
      <c r="O26" s="98"/>
      <c r="P26" s="108" t="n">
        <f aca="false">SUM(O26-N26)</f>
        <v>0</v>
      </c>
      <c r="Q26" s="100"/>
      <c r="R26" s="93" t="n">
        <f aca="false">SUM(Q26*P26)</f>
        <v>0</v>
      </c>
      <c r="S26" s="102"/>
    </row>
    <row r="27" customFormat="false" ht="15" hidden="true" customHeight="false" outlineLevel="0" collapsed="false">
      <c r="A27" s="89"/>
      <c r="B27" s="90"/>
      <c r="C27" s="97" t="n">
        <f aca="false">SUM(D26)</f>
        <v>0</v>
      </c>
      <c r="D27" s="75"/>
      <c r="E27" s="91" t="n">
        <f aca="false">SUM(D27-C27)</f>
        <v>0</v>
      </c>
      <c r="F27" s="108" t="n">
        <f aca="false">SUM(D27-C27)</f>
        <v>0</v>
      </c>
      <c r="G27" s="41"/>
      <c r="H27" s="93" t="n">
        <f aca="false">SUM(G27*F27)</f>
        <v>0</v>
      </c>
      <c r="I27" s="1"/>
      <c r="J27" s="29"/>
      <c r="K27" s="94"/>
      <c r="L27" s="95"/>
      <c r="M27" s="96"/>
      <c r="N27" s="97" t="n">
        <f aca="false">SUM(O26)</f>
        <v>0</v>
      </c>
      <c r="O27" s="98"/>
      <c r="P27" s="108" t="n">
        <f aca="false">SUM(O27-N27)</f>
        <v>0</v>
      </c>
      <c r="Q27" s="100"/>
      <c r="R27" s="93" t="n">
        <f aca="false">SUM(Q27*P27)</f>
        <v>0</v>
      </c>
      <c r="S27" s="1"/>
    </row>
    <row r="28" customFormat="false" ht="15" hidden="true" customHeight="false" outlineLevel="0" collapsed="false">
      <c r="A28" s="89"/>
      <c r="B28" s="90"/>
      <c r="C28" s="97" t="n">
        <f aca="false">SUM(D27)</f>
        <v>0</v>
      </c>
      <c r="D28" s="75"/>
      <c r="E28" s="91" t="n">
        <f aca="false">SUM(D28-C28)</f>
        <v>0</v>
      </c>
      <c r="F28" s="108" t="n">
        <f aca="false">SUM(D28-C28)</f>
        <v>0</v>
      </c>
      <c r="G28" s="41"/>
      <c r="H28" s="93" t="n">
        <f aca="false">SUM(G28*F28)</f>
        <v>0</v>
      </c>
      <c r="I28" s="1"/>
      <c r="J28" s="29"/>
      <c r="K28" s="94"/>
      <c r="L28" s="95"/>
      <c r="M28" s="96"/>
      <c r="N28" s="97" t="n">
        <f aca="false">SUM(O27)</f>
        <v>0</v>
      </c>
      <c r="O28" s="98"/>
      <c r="P28" s="108" t="n">
        <f aca="false">SUM(O28-N28)</f>
        <v>0</v>
      </c>
      <c r="Q28" s="100"/>
      <c r="R28" s="93" t="n">
        <f aca="false">SUM(Q28*P28)</f>
        <v>0</v>
      </c>
      <c r="S28" s="1"/>
    </row>
    <row r="29" customFormat="false" ht="15" hidden="true" customHeight="false" outlineLevel="0" collapsed="false">
      <c r="A29" s="89"/>
      <c r="B29" s="90"/>
      <c r="C29" s="97" t="n">
        <f aca="false">SUM(D28)</f>
        <v>0</v>
      </c>
      <c r="D29" s="75"/>
      <c r="E29" s="91" t="n">
        <f aca="false">SUM(D29-C29)</f>
        <v>0</v>
      </c>
      <c r="F29" s="108" t="n">
        <f aca="false">SUM(D29-C29)</f>
        <v>0</v>
      </c>
      <c r="G29" s="41"/>
      <c r="H29" s="93" t="n">
        <f aca="false">SUM(G29*F29)</f>
        <v>0</v>
      </c>
      <c r="I29" s="1"/>
      <c r="J29" s="29"/>
      <c r="K29" s="94"/>
      <c r="L29" s="95"/>
      <c r="M29" s="96"/>
      <c r="N29" s="97" t="n">
        <f aca="false">SUM(O28)</f>
        <v>0</v>
      </c>
      <c r="O29" s="98"/>
      <c r="P29" s="108" t="n">
        <f aca="false">SUM(O29-N29)</f>
        <v>0</v>
      </c>
      <c r="Q29" s="100"/>
      <c r="R29" s="93" t="n">
        <f aca="false">SUM(Q29*P29)</f>
        <v>0</v>
      </c>
      <c r="S29" s="1"/>
    </row>
    <row r="30" customFormat="false" ht="15" hidden="true" customHeight="false" outlineLevel="0" collapsed="false">
      <c r="A30" s="89"/>
      <c r="B30" s="90"/>
      <c r="C30" s="97" t="n">
        <f aca="false">SUM(D29)</f>
        <v>0</v>
      </c>
      <c r="D30" s="75"/>
      <c r="E30" s="91" t="n">
        <f aca="false">SUM(D30-C30)</f>
        <v>0</v>
      </c>
      <c r="F30" s="108" t="n">
        <f aca="false">SUM(D30-C30)</f>
        <v>0</v>
      </c>
      <c r="G30" s="41"/>
      <c r="H30" s="93" t="n">
        <f aca="false">SUM(G30*F30)</f>
        <v>0</v>
      </c>
      <c r="I30" s="1"/>
      <c r="J30" s="29"/>
      <c r="K30" s="110"/>
      <c r="L30" s="95"/>
      <c r="M30" s="96"/>
      <c r="N30" s="97" t="n">
        <f aca="false">SUM(O29)</f>
        <v>0</v>
      </c>
      <c r="O30" s="98"/>
      <c r="P30" s="108" t="n">
        <f aca="false">SUM(O30-N30)</f>
        <v>0</v>
      </c>
      <c r="Q30" s="100"/>
      <c r="R30" s="93" t="n">
        <f aca="false">SUM(Q30*P30)</f>
        <v>0</v>
      </c>
      <c r="S30" s="1"/>
    </row>
    <row r="31" customFormat="false" ht="15" hidden="true" customHeight="false" outlineLevel="0" collapsed="false">
      <c r="A31" s="89"/>
      <c r="B31" s="90"/>
      <c r="C31" s="97" t="n">
        <f aca="false">SUM(D30)</f>
        <v>0</v>
      </c>
      <c r="D31" s="75"/>
      <c r="E31" s="91" t="n">
        <f aca="false">SUM(D31-C31)</f>
        <v>0</v>
      </c>
      <c r="F31" s="108" t="n">
        <f aca="false">SUM(D31-C31)</f>
        <v>0</v>
      </c>
      <c r="G31" s="41"/>
      <c r="H31" s="93" t="n">
        <f aca="false">SUM(G31*F31)</f>
        <v>0</v>
      </c>
      <c r="I31" s="1"/>
      <c r="J31" s="29"/>
      <c r="K31" s="94"/>
      <c r="L31" s="95"/>
      <c r="M31" s="96"/>
      <c r="N31" s="97" t="n">
        <f aca="false">SUM(O30)</f>
        <v>0</v>
      </c>
      <c r="O31" s="98"/>
      <c r="P31" s="108" t="n">
        <f aca="false">SUM(O31-N31)</f>
        <v>0</v>
      </c>
      <c r="Q31" s="100"/>
      <c r="R31" s="93" t="n">
        <f aca="false">SUM(Q31*P31)</f>
        <v>0</v>
      </c>
      <c r="S31" s="1"/>
    </row>
    <row r="32" customFormat="false" ht="15" hidden="false" customHeight="false" outlineLevel="0" collapsed="false">
      <c r="A32" s="89"/>
      <c r="B32" s="90"/>
      <c r="C32" s="97" t="n">
        <f aca="false">SUM(D31)</f>
        <v>0</v>
      </c>
      <c r="D32" s="75"/>
      <c r="E32" s="91" t="n">
        <f aca="false">SUM(D32-C32)</f>
        <v>0</v>
      </c>
      <c r="F32" s="130" t="n">
        <f aca="false">SUM(D32-C32)</f>
        <v>0</v>
      </c>
      <c r="G32" s="41"/>
      <c r="H32" s="131" t="n">
        <f aca="false">SUM(G32*F32)</f>
        <v>0</v>
      </c>
      <c r="I32" s="1"/>
      <c r="J32" s="29"/>
      <c r="K32" s="94"/>
      <c r="L32" s="112"/>
      <c r="M32" s="113"/>
      <c r="N32" s="113"/>
      <c r="O32" s="114"/>
      <c r="P32" s="115"/>
      <c r="Q32" s="116"/>
      <c r="R32" s="62"/>
      <c r="S32" s="62"/>
    </row>
    <row r="33" customFormat="false" ht="16.5" hidden="false" customHeight="true" outlineLevel="0" collapsed="false">
      <c r="A33" s="89"/>
      <c r="B33" s="90"/>
      <c r="C33" s="97" t="n">
        <f aca="false">SUM(D32)</f>
        <v>0</v>
      </c>
      <c r="D33" s="75"/>
      <c r="E33" s="109" t="n">
        <f aca="false">SUM(D33-C33)</f>
        <v>0</v>
      </c>
      <c r="F33" s="132" t="n">
        <f aca="false">SUM(F3:F32)</f>
        <v>299536</v>
      </c>
      <c r="G33" s="133"/>
      <c r="H33" s="134" t="n">
        <f aca="false">SUM(H3:H32)</f>
        <v>248931.3288</v>
      </c>
      <c r="I33" s="135"/>
      <c r="J33" s="29"/>
      <c r="K33" s="94"/>
      <c r="L33" s="117"/>
      <c r="M33" s="117"/>
      <c r="N33" s="117"/>
      <c r="O33" s="117"/>
      <c r="P33" s="117"/>
      <c r="Q33" s="117"/>
      <c r="R33" s="117"/>
      <c r="S33" s="117"/>
    </row>
    <row r="34" customFormat="false" ht="15" hidden="false" customHeight="false" outlineLevel="0" collapsed="false">
      <c r="A34" s="88"/>
      <c r="B34" s="81" t="s">
        <v>49</v>
      </c>
      <c r="C34" s="82"/>
      <c r="D34" s="82"/>
      <c r="E34" s="82"/>
      <c r="F34" s="136"/>
      <c r="G34" s="83"/>
      <c r="H34" s="137"/>
      <c r="I34" s="85"/>
      <c r="J34" s="85"/>
      <c r="L34" s="117"/>
      <c r="M34" s="117"/>
      <c r="N34" s="117"/>
      <c r="O34" s="117"/>
      <c r="P34" s="117"/>
      <c r="Q34" s="117"/>
      <c r="R34" s="117"/>
      <c r="S34" s="117"/>
    </row>
    <row r="35" customFormat="false" ht="15.75" hidden="false" customHeight="false" outlineLevel="0" collapsed="false">
      <c r="A35" s="89" t="n">
        <v>0.413194444444444</v>
      </c>
      <c r="B35" s="177" t="s">
        <v>62</v>
      </c>
      <c r="C35" s="97" t="n">
        <v>2039390</v>
      </c>
      <c r="D35" s="107" t="n">
        <v>2045560</v>
      </c>
      <c r="E35" s="91" t="n">
        <f aca="false">SUM(D35-C35)</f>
        <v>6170</v>
      </c>
      <c r="F35" s="108" t="n">
        <f aca="false">SUM(D35-C35)</f>
        <v>6170</v>
      </c>
      <c r="G35" s="41" t="n">
        <v>0.8245</v>
      </c>
      <c r="H35" s="93" t="n">
        <f aca="false">SUM(G35*F35)</f>
        <v>5087.165</v>
      </c>
      <c r="I35" s="199" t="n">
        <v>119</v>
      </c>
      <c r="J35" s="181" t="n">
        <v>6433</v>
      </c>
      <c r="K35" s="119" t="s">
        <v>91</v>
      </c>
      <c r="L35" s="117"/>
      <c r="M35" s="117"/>
      <c r="N35" s="117"/>
      <c r="O35" s="117"/>
      <c r="P35" s="117"/>
      <c r="Q35" s="117"/>
      <c r="R35" s="117"/>
      <c r="S35" s="117"/>
    </row>
    <row r="36" customFormat="false" ht="14.25" hidden="false" customHeight="true" outlineLevel="0" collapsed="false">
      <c r="A36" s="89" t="n">
        <v>0.427083333333333</v>
      </c>
      <c r="B36" s="143" t="s">
        <v>61</v>
      </c>
      <c r="C36" s="97" t="n">
        <f aca="false">SUM(D35)</f>
        <v>2045560</v>
      </c>
      <c r="D36" s="107" t="n">
        <v>2051630</v>
      </c>
      <c r="E36" s="91" t="n">
        <f aca="false">SUM(D36-C36)</f>
        <v>6070</v>
      </c>
      <c r="F36" s="108" t="n">
        <f aca="false">SUM(D36-C36)</f>
        <v>6070</v>
      </c>
      <c r="G36" s="41" t="n">
        <v>0.8247</v>
      </c>
      <c r="H36" s="93" t="n">
        <f aca="false">SUM(G36*F36)</f>
        <v>5005.929</v>
      </c>
      <c r="I36" s="176" t="n">
        <v>81</v>
      </c>
      <c r="J36" s="1" t="n">
        <v>6435</v>
      </c>
      <c r="K36" s="118" t="s">
        <v>60</v>
      </c>
      <c r="L36" s="117"/>
      <c r="M36" s="117"/>
      <c r="N36" s="117"/>
      <c r="O36" s="117"/>
      <c r="P36" s="117"/>
      <c r="Q36" s="117"/>
      <c r="R36" s="117"/>
      <c r="S36" s="117"/>
    </row>
    <row r="37" customFormat="false" ht="15" hidden="false" customHeight="true" outlineLevel="0" collapsed="false">
      <c r="A37" s="89" t="n">
        <v>0.440972222222222</v>
      </c>
      <c r="B37" s="90" t="s">
        <v>61</v>
      </c>
      <c r="C37" s="97" t="n">
        <f aca="false">SUM(D36)</f>
        <v>2051630</v>
      </c>
      <c r="D37" s="107" t="n">
        <v>2061620</v>
      </c>
      <c r="E37" s="91" t="n">
        <f aca="false">SUM(D37-C37)</f>
        <v>9990</v>
      </c>
      <c r="F37" s="128" t="n">
        <v>9986</v>
      </c>
      <c r="G37" s="41" t="n">
        <v>0.8247</v>
      </c>
      <c r="H37" s="93" t="n">
        <f aca="false">SUM(G37*F37)</f>
        <v>8235.4542</v>
      </c>
      <c r="I37" s="176" t="n">
        <v>251</v>
      </c>
      <c r="J37" s="1" t="n">
        <v>6436</v>
      </c>
      <c r="K37" s="118" t="s">
        <v>60</v>
      </c>
      <c r="L37" s="117"/>
      <c r="M37" s="117"/>
      <c r="N37" s="117"/>
      <c r="O37" s="117"/>
      <c r="P37" s="117"/>
      <c r="Q37" s="117"/>
      <c r="R37" s="117"/>
      <c r="S37" s="117"/>
    </row>
    <row r="38" customFormat="false" ht="15.75" hidden="false" customHeight="false" outlineLevel="0" collapsed="false">
      <c r="A38" s="89" t="n">
        <v>0.447916666666667</v>
      </c>
      <c r="B38" s="90" t="s">
        <v>61</v>
      </c>
      <c r="C38" s="97" t="n">
        <f aca="false">SUM(D37)</f>
        <v>2061620</v>
      </c>
      <c r="D38" s="107" t="n">
        <v>2068750</v>
      </c>
      <c r="E38" s="91" t="n">
        <f aca="false">SUM(D38-C38)</f>
        <v>7130</v>
      </c>
      <c r="F38" s="128" t="n">
        <v>7033</v>
      </c>
      <c r="G38" s="41" t="n">
        <v>0.8247</v>
      </c>
      <c r="H38" s="93" t="n">
        <f aca="false">SUM(G38*F38)</f>
        <v>5800.1151</v>
      </c>
      <c r="I38" s="176" t="n">
        <v>251</v>
      </c>
      <c r="J38" s="1" t="n">
        <v>6437</v>
      </c>
      <c r="K38" s="118" t="s">
        <v>60</v>
      </c>
      <c r="L38" s="117"/>
      <c r="M38" s="117"/>
      <c r="N38" s="117"/>
      <c r="O38" s="117"/>
      <c r="P38" s="117"/>
      <c r="Q38" s="117"/>
      <c r="R38" s="117"/>
      <c r="S38" s="117"/>
    </row>
    <row r="39" customFormat="false" ht="15.75" hidden="false" customHeight="false" outlineLevel="0" collapsed="false">
      <c r="A39" s="89" t="n">
        <v>0.458333333333333</v>
      </c>
      <c r="B39" s="90" t="s">
        <v>61</v>
      </c>
      <c r="C39" s="97" t="n">
        <f aca="false">SUM(D38)</f>
        <v>2068750</v>
      </c>
      <c r="D39" s="107" t="n">
        <v>2074980</v>
      </c>
      <c r="E39" s="91" t="n">
        <f aca="false">SUM(D39-C39)</f>
        <v>6230</v>
      </c>
      <c r="F39" s="108" t="n">
        <f aca="false">SUM(D39-C39)</f>
        <v>6230</v>
      </c>
      <c r="G39" s="41" t="n">
        <v>0.8247</v>
      </c>
      <c r="H39" s="93" t="n">
        <f aca="false">SUM(G39*F39)</f>
        <v>5137.881</v>
      </c>
      <c r="I39" s="176" t="n">
        <v>57</v>
      </c>
      <c r="J39" s="1" t="n">
        <v>6439</v>
      </c>
      <c r="K39" s="118" t="s">
        <v>60</v>
      </c>
      <c r="L39" s="117"/>
      <c r="M39" s="117"/>
      <c r="N39" s="117"/>
      <c r="O39" s="117"/>
      <c r="P39" s="117"/>
      <c r="Q39" s="117"/>
      <c r="R39" s="117"/>
      <c r="S39" s="117"/>
    </row>
    <row r="40" customFormat="false" ht="15.75" hidden="false" customHeight="false" outlineLevel="0" collapsed="false">
      <c r="A40" s="89" t="n">
        <v>0.465277777777778</v>
      </c>
      <c r="B40" s="90" t="s">
        <v>61</v>
      </c>
      <c r="C40" s="97" t="n">
        <f aca="false">SUM(D39)</f>
        <v>2074980</v>
      </c>
      <c r="D40" s="107" t="n">
        <v>2082290</v>
      </c>
      <c r="E40" s="91" t="n">
        <f aca="false">SUM(D40-C40)</f>
        <v>7310</v>
      </c>
      <c r="F40" s="108" t="n">
        <f aca="false">SUM(D40-C40)</f>
        <v>7310</v>
      </c>
      <c r="G40" s="41" t="n">
        <v>0.8247</v>
      </c>
      <c r="H40" s="93" t="n">
        <f aca="false">SUM(G40*F40)</f>
        <v>6028.557</v>
      </c>
      <c r="I40" s="176" t="n">
        <v>382</v>
      </c>
      <c r="J40" s="1" t="n">
        <v>6440</v>
      </c>
      <c r="K40" s="118" t="s">
        <v>60</v>
      </c>
      <c r="L40" s="117"/>
      <c r="M40" s="117"/>
      <c r="N40" s="117"/>
      <c r="O40" s="117"/>
      <c r="P40" s="117"/>
      <c r="Q40" s="117"/>
      <c r="R40" s="117"/>
      <c r="S40" s="117"/>
    </row>
    <row r="41" customFormat="false" ht="15.75" hidden="false" customHeight="false" outlineLevel="0" collapsed="false">
      <c r="A41" s="89" t="n">
        <v>0.496527777777778</v>
      </c>
      <c r="B41" s="90" t="s">
        <v>62</v>
      </c>
      <c r="C41" s="97" t="n">
        <f aca="false">SUM(D40)</f>
        <v>2082290</v>
      </c>
      <c r="D41" s="107" t="n">
        <v>2099400</v>
      </c>
      <c r="E41" s="91" t="n">
        <f aca="false">SUM(D41-C41)</f>
        <v>17110</v>
      </c>
      <c r="F41" s="128" t="n">
        <v>17019</v>
      </c>
      <c r="G41" s="41" t="n">
        <v>0.8245</v>
      </c>
      <c r="H41" s="93" t="n">
        <f aca="false">SUM(G41*F41)</f>
        <v>14032.1655</v>
      </c>
      <c r="I41" s="199" t="n">
        <v>251</v>
      </c>
      <c r="J41" s="181" t="n">
        <v>6443</v>
      </c>
      <c r="K41" s="119" t="s">
        <v>91</v>
      </c>
      <c r="L41" s="117"/>
      <c r="M41" s="117"/>
      <c r="N41" s="94"/>
      <c r="O41" s="117"/>
      <c r="P41" s="117"/>
      <c r="Q41" s="117"/>
      <c r="R41" s="117"/>
      <c r="S41" s="117"/>
    </row>
    <row r="42" customFormat="false" ht="15.75" hidden="false" customHeight="false" outlineLevel="0" collapsed="false">
      <c r="A42" s="89" t="n">
        <v>0.53125</v>
      </c>
      <c r="B42" s="90" t="s">
        <v>61</v>
      </c>
      <c r="C42" s="97" t="n">
        <f aca="false">SUM(D41)</f>
        <v>2099400</v>
      </c>
      <c r="D42" s="107" t="n">
        <v>2121930</v>
      </c>
      <c r="E42" s="91" t="n">
        <f aca="false">SUM(D42-C42)</f>
        <v>22530</v>
      </c>
      <c r="F42" s="163" t="n">
        <v>22430</v>
      </c>
      <c r="G42" s="41" t="n">
        <v>0.8247</v>
      </c>
      <c r="H42" s="93" t="n">
        <f aca="false">SUM(G42*F42)</f>
        <v>18498.021</v>
      </c>
      <c r="I42" s="176" t="n">
        <v>388</v>
      </c>
      <c r="J42" s="29" t="n">
        <v>6444</v>
      </c>
      <c r="K42" s="118" t="s">
        <v>60</v>
      </c>
      <c r="L42" s="117"/>
      <c r="M42" s="117"/>
      <c r="N42" s="94"/>
      <c r="O42" s="117"/>
      <c r="P42" s="117"/>
      <c r="Q42" s="117"/>
      <c r="R42" s="117"/>
      <c r="S42" s="117"/>
    </row>
    <row r="43" customFormat="false" ht="15.75" hidden="false" customHeight="false" outlineLevel="0" collapsed="false">
      <c r="A43" s="89" t="n">
        <v>0.576388888888889</v>
      </c>
      <c r="B43" s="90" t="s">
        <v>61</v>
      </c>
      <c r="C43" s="97" t="n">
        <f aca="false">SUM(D42)</f>
        <v>2121930</v>
      </c>
      <c r="D43" s="107" t="n">
        <v>2133210</v>
      </c>
      <c r="E43" s="91" t="n">
        <f aca="false">SUM(D43-C43)</f>
        <v>11280</v>
      </c>
      <c r="F43" s="200" t="n">
        <v>11219</v>
      </c>
      <c r="G43" s="41" t="n">
        <v>0.8232</v>
      </c>
      <c r="H43" s="93" t="n">
        <f aca="false">SUM(G43*F43)</f>
        <v>9235.4808</v>
      </c>
      <c r="I43" s="176" t="n">
        <v>81</v>
      </c>
      <c r="J43" s="29" t="n">
        <v>6445</v>
      </c>
      <c r="K43" s="118" t="s">
        <v>60</v>
      </c>
      <c r="L43" s="117"/>
      <c r="M43" s="117"/>
      <c r="N43" s="94"/>
      <c r="O43" s="117"/>
      <c r="P43" s="117"/>
      <c r="Q43" s="117"/>
      <c r="R43" s="117"/>
      <c r="S43" s="117"/>
    </row>
    <row r="44" customFormat="false" ht="15" hidden="false" customHeight="true" outlineLevel="0" collapsed="false">
      <c r="A44" s="89" t="n">
        <v>0.597222222222222</v>
      </c>
      <c r="B44" s="90" t="s">
        <v>61</v>
      </c>
      <c r="C44" s="97" t="n">
        <f aca="false">SUM(D43)</f>
        <v>2133210</v>
      </c>
      <c r="D44" s="107" t="n">
        <v>2138260</v>
      </c>
      <c r="E44" s="91" t="n">
        <f aca="false">SUM(D44-C44)</f>
        <v>5050</v>
      </c>
      <c r="F44" s="108" t="n">
        <v>5017</v>
      </c>
      <c r="G44" s="41" t="n">
        <v>0.8232</v>
      </c>
      <c r="H44" s="93" t="n">
        <f aca="false">SUM(G44*F44)</f>
        <v>4129.9944</v>
      </c>
      <c r="I44" s="176" t="n">
        <v>57</v>
      </c>
      <c r="J44" s="29" t="n">
        <v>6446</v>
      </c>
      <c r="K44" s="201" t="s">
        <v>95</v>
      </c>
      <c r="L44" s="117"/>
      <c r="M44" s="117"/>
      <c r="N44" s="94"/>
      <c r="O44" s="117"/>
      <c r="P44" s="117"/>
      <c r="Q44" s="117"/>
      <c r="R44" s="117"/>
      <c r="S44" s="117"/>
    </row>
    <row r="45" customFormat="false" ht="15.75" hidden="false" customHeight="false" outlineLevel="0" collapsed="false">
      <c r="A45" s="89" t="n">
        <v>0.642361111111111</v>
      </c>
      <c r="B45" s="90" t="s">
        <v>62</v>
      </c>
      <c r="C45" s="97" t="n">
        <f aca="false">SUM(D44)</f>
        <v>2138260</v>
      </c>
      <c r="D45" s="107" t="n">
        <v>2155360</v>
      </c>
      <c r="E45" s="91" t="n">
        <f aca="false">SUM(D45-C45)</f>
        <v>17100</v>
      </c>
      <c r="F45" s="128" t="n">
        <v>17019</v>
      </c>
      <c r="G45" s="41" t="n">
        <v>0.824</v>
      </c>
      <c r="H45" s="93" t="n">
        <f aca="false">SUM(G45*F45)</f>
        <v>14023.656</v>
      </c>
      <c r="I45" s="199" t="n">
        <v>251</v>
      </c>
      <c r="J45" s="181" t="n">
        <v>6447</v>
      </c>
      <c r="K45" s="119" t="s">
        <v>91</v>
      </c>
      <c r="L45" s="117"/>
      <c r="M45" s="117"/>
      <c r="N45" s="117"/>
      <c r="O45" s="117"/>
      <c r="P45" s="117"/>
      <c r="Q45" s="117"/>
      <c r="R45" s="117"/>
      <c r="S45" s="117"/>
    </row>
    <row r="46" customFormat="false" ht="15.75" hidden="false" customHeight="false" outlineLevel="0" collapsed="false">
      <c r="A46" s="89" t="n">
        <v>0.802083333333333</v>
      </c>
      <c r="B46" s="182" t="s">
        <v>90</v>
      </c>
      <c r="C46" s="97" t="n">
        <f aca="false">SUM(D45)</f>
        <v>2155360</v>
      </c>
      <c r="D46" s="107" t="n">
        <v>2172490</v>
      </c>
      <c r="E46" s="91" t="n">
        <f aca="false">SUM(D46-C46)</f>
        <v>17130</v>
      </c>
      <c r="F46" s="128" t="n">
        <v>17019</v>
      </c>
      <c r="G46" s="41" t="n">
        <v>0.8221</v>
      </c>
      <c r="H46" s="93" t="n">
        <f aca="false">SUM(G46*F46)</f>
        <v>13991.3199</v>
      </c>
      <c r="I46" s="183" t="n">
        <v>251</v>
      </c>
      <c r="J46" s="29" t="n">
        <v>6452</v>
      </c>
      <c r="K46" s="118" t="s">
        <v>60</v>
      </c>
      <c r="L46" s="117"/>
      <c r="M46" s="117"/>
      <c r="N46" s="117"/>
      <c r="O46" s="117"/>
      <c r="P46" s="117"/>
      <c r="Q46" s="117"/>
      <c r="R46" s="117"/>
      <c r="S46" s="117"/>
    </row>
    <row r="47" customFormat="false" ht="15.75" hidden="false" customHeight="false" outlineLevel="0" collapsed="false">
      <c r="A47" s="89" t="n">
        <v>0.913194444444444</v>
      </c>
      <c r="B47" s="90" t="s">
        <v>62</v>
      </c>
      <c r="C47" s="97" t="n">
        <f aca="false">SUM(D46)</f>
        <v>2172490</v>
      </c>
      <c r="D47" s="107" t="n">
        <v>2183550</v>
      </c>
      <c r="E47" s="91" t="n">
        <f aca="false">SUM(D47-C47)</f>
        <v>11060</v>
      </c>
      <c r="F47" s="108" t="n">
        <v>11005</v>
      </c>
      <c r="G47" s="41" t="n">
        <v>0.824</v>
      </c>
      <c r="H47" s="93" t="n">
        <f aca="false">SUM(G47*F47)</f>
        <v>9068.12</v>
      </c>
      <c r="I47" s="199" t="n">
        <v>119</v>
      </c>
      <c r="J47" s="29" t="n">
        <v>6455</v>
      </c>
      <c r="K47" s="119" t="s">
        <v>91</v>
      </c>
      <c r="L47" s="117"/>
      <c r="M47" s="117"/>
      <c r="N47" s="117"/>
      <c r="O47" s="117"/>
      <c r="P47" s="117"/>
      <c r="Q47" s="117"/>
      <c r="R47" s="117"/>
      <c r="S47" s="117"/>
    </row>
    <row r="48" customFormat="false" ht="15.75" hidden="false" customHeight="false" outlineLevel="0" collapsed="false">
      <c r="A48" s="89" t="n">
        <v>0.927083333333333</v>
      </c>
      <c r="B48" s="90" t="s">
        <v>62</v>
      </c>
      <c r="C48" s="97" t="n">
        <f aca="false">SUM(D47)</f>
        <v>2183550</v>
      </c>
      <c r="D48" s="107" t="n">
        <v>2206080</v>
      </c>
      <c r="E48" s="91" t="n">
        <f aca="false">SUM(D48-C48)</f>
        <v>22530</v>
      </c>
      <c r="F48" s="163" t="n">
        <v>22430</v>
      </c>
      <c r="G48" s="41" t="n">
        <v>0.824</v>
      </c>
      <c r="H48" s="93" t="n">
        <f aca="false">SUM(G48*F48)</f>
        <v>18482.32</v>
      </c>
      <c r="I48" s="199" t="n">
        <v>388</v>
      </c>
      <c r="J48" s="29" t="n">
        <v>6456</v>
      </c>
      <c r="K48" s="119" t="s">
        <v>91</v>
      </c>
      <c r="L48" s="117"/>
      <c r="M48" s="117"/>
      <c r="N48" s="117"/>
      <c r="O48" s="117"/>
      <c r="P48" s="117"/>
      <c r="Q48" s="117"/>
      <c r="R48" s="117"/>
      <c r="S48" s="117"/>
    </row>
    <row r="49" customFormat="false" ht="15.75" hidden="false" customHeight="false" outlineLevel="0" collapsed="false">
      <c r="A49" s="89" t="n">
        <v>0.9375</v>
      </c>
      <c r="B49" s="90" t="s">
        <v>90</v>
      </c>
      <c r="C49" s="97" t="n">
        <f aca="false">SUM(D48)</f>
        <v>2206080</v>
      </c>
      <c r="D49" s="107" t="n">
        <v>2215980</v>
      </c>
      <c r="E49" s="91" t="n">
        <f aca="false">SUM(D49-C49)</f>
        <v>9900</v>
      </c>
      <c r="F49" s="108" t="n">
        <v>9847</v>
      </c>
      <c r="G49" s="41" t="n">
        <v>0.8225</v>
      </c>
      <c r="H49" s="93" t="n">
        <f aca="false">SUM(G49*F49)</f>
        <v>8099.1575</v>
      </c>
      <c r="I49" s="183" t="n">
        <v>81</v>
      </c>
      <c r="J49" s="29" t="n">
        <v>6457</v>
      </c>
      <c r="K49" s="118" t="s">
        <v>60</v>
      </c>
      <c r="L49" s="117"/>
      <c r="M49" s="117"/>
      <c r="N49" s="117"/>
      <c r="O49" s="117"/>
      <c r="P49" s="117"/>
      <c r="Q49" s="117"/>
      <c r="R49" s="117"/>
      <c r="S49" s="117"/>
    </row>
    <row r="50" customFormat="false" ht="15.75" hidden="false" customHeight="false" outlineLevel="0" collapsed="false">
      <c r="A50" s="89" t="n">
        <v>0.947916666666667</v>
      </c>
      <c r="B50" s="90" t="s">
        <v>90</v>
      </c>
      <c r="C50" s="97" t="n">
        <f aca="false">SUM(D49)</f>
        <v>2215980</v>
      </c>
      <c r="D50" s="107" t="n">
        <v>2226300</v>
      </c>
      <c r="E50" s="91" t="n">
        <f aca="false">SUM(D50-C50)</f>
        <v>10320</v>
      </c>
      <c r="F50" s="108" t="n">
        <v>10265</v>
      </c>
      <c r="G50" s="41" t="n">
        <v>0.8225</v>
      </c>
      <c r="H50" s="93" t="n">
        <f aca="false">SUM(G50*F50)</f>
        <v>8442.9625</v>
      </c>
      <c r="I50" s="183" t="n">
        <v>382</v>
      </c>
      <c r="J50" s="29" t="n">
        <v>6458</v>
      </c>
      <c r="K50" s="118" t="s">
        <v>60</v>
      </c>
      <c r="L50" s="117"/>
      <c r="M50" s="117"/>
      <c r="N50" s="117"/>
      <c r="O50" s="117"/>
      <c r="P50" s="117"/>
      <c r="Q50" s="117"/>
      <c r="R50" s="117"/>
      <c r="S50" s="117"/>
    </row>
    <row r="51" customFormat="false" ht="15.75" hidden="false" customHeight="false" outlineLevel="0" collapsed="false">
      <c r="A51" s="89" t="n">
        <v>0.958333333333333</v>
      </c>
      <c r="B51" s="90" t="s">
        <v>90</v>
      </c>
      <c r="C51" s="97" t="n">
        <f aca="false">SUM(D50)</f>
        <v>2226300</v>
      </c>
      <c r="D51" s="107" t="n">
        <v>2231190</v>
      </c>
      <c r="E51" s="91" t="n">
        <f aca="false">SUM(D51-C51)</f>
        <v>4890</v>
      </c>
      <c r="F51" s="108" t="n">
        <v>4850</v>
      </c>
      <c r="G51" s="41" t="n">
        <v>0.8225</v>
      </c>
      <c r="H51" s="93" t="n">
        <f aca="false">SUM(G51*F51)</f>
        <v>3989.125</v>
      </c>
      <c r="I51" s="183" t="n">
        <v>57</v>
      </c>
      <c r="J51" s="29" t="n">
        <v>6459</v>
      </c>
      <c r="K51" s="118" t="s">
        <v>60</v>
      </c>
      <c r="L51" s="117"/>
      <c r="M51" s="117"/>
      <c r="N51" s="117"/>
      <c r="O51" s="117"/>
      <c r="P51" s="117"/>
      <c r="Q51" s="117"/>
      <c r="R51" s="117"/>
      <c r="S51" s="117"/>
    </row>
    <row r="52" customFormat="false" ht="15.75" hidden="false" customHeight="false" outlineLevel="0" collapsed="false">
      <c r="A52" s="89" t="n">
        <v>0.0729166666666667</v>
      </c>
      <c r="B52" s="90" t="s">
        <v>90</v>
      </c>
      <c r="C52" s="97" t="n">
        <f aca="false">SUM(D51)</f>
        <v>2231190</v>
      </c>
      <c r="D52" s="107" t="n">
        <v>2237900</v>
      </c>
      <c r="E52" s="91" t="n">
        <f aca="false">SUM(D52-C52)</f>
        <v>6710</v>
      </c>
      <c r="F52" s="108" t="n">
        <v>6676</v>
      </c>
      <c r="G52" s="41" t="n">
        <v>0.823</v>
      </c>
      <c r="H52" s="93" t="n">
        <f aca="false">SUM(G52*F52)</f>
        <v>5494.348</v>
      </c>
      <c r="I52" s="183" t="n">
        <v>57</v>
      </c>
      <c r="J52" s="29" t="n">
        <v>6461</v>
      </c>
      <c r="K52" s="118" t="s">
        <v>60</v>
      </c>
      <c r="L52" s="117"/>
      <c r="M52" s="117"/>
      <c r="N52" s="117"/>
      <c r="O52" s="117"/>
      <c r="P52" s="117"/>
      <c r="Q52" s="117"/>
      <c r="R52" s="117"/>
      <c r="S52" s="117"/>
    </row>
    <row r="53" customFormat="false" ht="15.75" hidden="false" customHeight="false" outlineLevel="0" collapsed="false">
      <c r="A53" s="89" t="n">
        <v>0.177083333333333</v>
      </c>
      <c r="B53" s="90" t="s">
        <v>62</v>
      </c>
      <c r="C53" s="97" t="n">
        <f aca="false">SUM(D52)</f>
        <v>2237900</v>
      </c>
      <c r="D53" s="107" t="n">
        <v>2255020</v>
      </c>
      <c r="E53" s="91" t="n">
        <f aca="false">SUM(D53-C53)</f>
        <v>17120</v>
      </c>
      <c r="F53" s="128" t="n">
        <v>17019</v>
      </c>
      <c r="G53" s="41" t="n">
        <v>0.8255</v>
      </c>
      <c r="H53" s="93" t="n">
        <f aca="false">SUM(G53*F53)</f>
        <v>14049.1845</v>
      </c>
      <c r="I53" s="199" t="n">
        <v>251</v>
      </c>
      <c r="J53" s="29" t="n">
        <v>6464</v>
      </c>
      <c r="K53" s="119" t="s">
        <v>91</v>
      </c>
      <c r="L53" s="117"/>
      <c r="M53" s="117"/>
      <c r="N53" s="117"/>
      <c r="O53" s="117"/>
      <c r="P53" s="117"/>
      <c r="Q53" s="117"/>
      <c r="R53" s="117"/>
      <c r="S53" s="117"/>
    </row>
    <row r="54" customFormat="false" ht="15.75" hidden="false" customHeight="false" outlineLevel="0" collapsed="false">
      <c r="A54" s="89" t="n">
        <v>0.260416666666667</v>
      </c>
      <c r="B54" s="90" t="s">
        <v>62</v>
      </c>
      <c r="C54" s="97" t="n">
        <f aca="false">SUM(D53)</f>
        <v>2255020</v>
      </c>
      <c r="D54" s="107" t="n">
        <v>2272120</v>
      </c>
      <c r="E54" s="91" t="n">
        <f aca="false">SUM(D54-C54)</f>
        <v>17100</v>
      </c>
      <c r="F54" s="128" t="n">
        <v>17019</v>
      </c>
      <c r="G54" s="41" t="n">
        <v>0.8255</v>
      </c>
      <c r="H54" s="93" t="n">
        <f aca="false">SUM(G54*F54)</f>
        <v>14049.1845</v>
      </c>
      <c r="I54" s="199" t="n">
        <v>251</v>
      </c>
      <c r="J54" s="29" t="n">
        <v>6467</v>
      </c>
      <c r="K54" s="119" t="s">
        <v>91</v>
      </c>
      <c r="L54" s="117"/>
      <c r="M54" s="117"/>
      <c r="N54" s="117"/>
      <c r="O54" s="117"/>
      <c r="P54" s="117"/>
      <c r="Q54" s="117"/>
      <c r="R54" s="117"/>
      <c r="S54" s="117"/>
    </row>
    <row r="55" customFormat="false" ht="15.75" hidden="false" customHeight="false" outlineLevel="0" collapsed="false">
      <c r="A55" s="89" t="n">
        <v>0.302083333333333</v>
      </c>
      <c r="B55" s="90" t="s">
        <v>62</v>
      </c>
      <c r="C55" s="97" t="n">
        <f aca="false">D54</f>
        <v>2272120</v>
      </c>
      <c r="D55" s="107" t="n">
        <v>2282120</v>
      </c>
      <c r="E55" s="91" t="n">
        <f aca="false">SUM(D55-C55)</f>
        <v>10000</v>
      </c>
      <c r="F55" s="128" t="n">
        <v>9986</v>
      </c>
      <c r="G55" s="41" t="n">
        <v>0.8255</v>
      </c>
      <c r="H55" s="93" t="n">
        <f aca="false">SUM(G55*F55)</f>
        <v>8243.443</v>
      </c>
      <c r="I55" s="199" t="n">
        <v>251</v>
      </c>
      <c r="J55" s="29" t="n">
        <v>6469</v>
      </c>
      <c r="K55" s="119" t="s">
        <v>91</v>
      </c>
      <c r="L55" s="117"/>
      <c r="M55" s="117"/>
      <c r="N55" s="117"/>
      <c r="O55" s="117"/>
      <c r="P55" s="117"/>
      <c r="Q55" s="117"/>
      <c r="R55" s="117"/>
      <c r="S55" s="117"/>
    </row>
    <row r="56" customFormat="false" ht="15.75" hidden="false" customHeight="false" outlineLevel="0" collapsed="false">
      <c r="A56" s="89" t="n">
        <v>0.302083333333333</v>
      </c>
      <c r="B56" s="90" t="s">
        <v>62</v>
      </c>
      <c r="C56" s="97" t="n">
        <f aca="false">D55</f>
        <v>2282120</v>
      </c>
      <c r="D56" s="107" t="n">
        <v>2289270</v>
      </c>
      <c r="E56" s="91" t="n">
        <f aca="false">SUM(D56-C56)</f>
        <v>7150</v>
      </c>
      <c r="F56" s="128" t="n">
        <v>7033</v>
      </c>
      <c r="G56" s="41" t="n">
        <v>0.8265</v>
      </c>
      <c r="H56" s="131" t="n">
        <f aca="false">SUM(G56*F56)</f>
        <v>5812.7745</v>
      </c>
      <c r="I56" s="199" t="n">
        <v>251</v>
      </c>
      <c r="J56" s="29" t="n">
        <v>6469</v>
      </c>
      <c r="K56" s="119" t="s">
        <v>91</v>
      </c>
      <c r="L56" s="117"/>
      <c r="M56" s="117"/>
      <c r="N56" s="117"/>
      <c r="O56" s="117"/>
      <c r="P56" s="117"/>
      <c r="Q56" s="117"/>
      <c r="R56" s="117"/>
      <c r="S56" s="117"/>
    </row>
    <row r="57" customFormat="false" ht="15.75" hidden="false" customHeight="false" outlineLevel="0" collapsed="false">
      <c r="A57" s="89" t="n">
        <v>0.34375</v>
      </c>
      <c r="B57" s="90" t="s">
        <v>52</v>
      </c>
      <c r="C57" s="97" t="n">
        <f aca="false">SUM(D56)</f>
        <v>2289270</v>
      </c>
      <c r="D57" s="107" t="n">
        <v>2304420</v>
      </c>
      <c r="E57" s="91" t="n">
        <f aca="false">SUM(D57-C57)</f>
        <v>15150</v>
      </c>
      <c r="F57" s="202" t="n">
        <v>15040</v>
      </c>
      <c r="G57" s="41" t="n">
        <v>0.8376</v>
      </c>
      <c r="H57" s="93" t="n">
        <f aca="false">SUM(G57*F57)</f>
        <v>12597.504</v>
      </c>
      <c r="I57" s="1" t="n">
        <v>467</v>
      </c>
      <c r="J57" s="29" t="n">
        <v>6471</v>
      </c>
      <c r="K57" s="119" t="s">
        <v>82</v>
      </c>
      <c r="L57" s="117"/>
      <c r="M57" s="117"/>
      <c r="N57" s="117"/>
      <c r="O57" s="117"/>
      <c r="P57" s="117"/>
      <c r="Q57" s="117"/>
      <c r="R57" s="117"/>
      <c r="S57" s="117"/>
    </row>
    <row r="58" customFormat="false" ht="15" hidden="false" customHeight="false" outlineLevel="0" collapsed="false">
      <c r="A58" s="89"/>
      <c r="B58" s="90"/>
      <c r="C58" s="97" t="n">
        <v>0</v>
      </c>
      <c r="D58" s="107"/>
      <c r="E58" s="91" t="n">
        <f aca="false">SUM(D58-C58)</f>
        <v>0</v>
      </c>
      <c r="F58" s="108" t="n">
        <f aca="false">SUM(D58-C58)</f>
        <v>0</v>
      </c>
      <c r="G58" s="41"/>
      <c r="H58" s="93" t="n">
        <f aca="false">SUM(G58*F58)</f>
        <v>0</v>
      </c>
      <c r="I58" s="1"/>
      <c r="J58" s="29"/>
      <c r="K58" s="119"/>
      <c r="L58" s="117"/>
      <c r="M58" s="117"/>
      <c r="N58" s="117"/>
      <c r="O58" s="117"/>
      <c r="P58" s="117"/>
      <c r="Q58" s="117"/>
      <c r="R58" s="117"/>
      <c r="S58" s="117"/>
    </row>
    <row r="59" customFormat="false" ht="15" hidden="false" customHeight="false" outlineLevel="0" collapsed="false">
      <c r="A59" s="89"/>
      <c r="B59" s="90"/>
      <c r="C59" s="97" t="n">
        <f aca="false">SUM(D58)</f>
        <v>0</v>
      </c>
      <c r="D59" s="107"/>
      <c r="E59" s="91" t="n">
        <f aca="false">SUM(D59-C59)</f>
        <v>0</v>
      </c>
      <c r="F59" s="108" t="n">
        <f aca="false">SUM(D59-C59)</f>
        <v>0</v>
      </c>
      <c r="G59" s="41"/>
      <c r="H59" s="93" t="n">
        <f aca="false">SUM(G59*F59)</f>
        <v>0</v>
      </c>
      <c r="I59" s="1"/>
      <c r="J59" s="29"/>
      <c r="K59" s="118"/>
      <c r="L59" s="117"/>
      <c r="M59" s="117"/>
      <c r="N59" s="117"/>
      <c r="O59" s="117"/>
      <c r="P59" s="117"/>
      <c r="Q59" s="117"/>
      <c r="R59" s="117"/>
      <c r="S59" s="117"/>
    </row>
    <row r="60" customFormat="false" ht="15" hidden="false" customHeight="false" outlineLevel="0" collapsed="false">
      <c r="A60" s="89"/>
      <c r="B60" s="90"/>
      <c r="C60" s="97" t="n">
        <v>0</v>
      </c>
      <c r="D60" s="75"/>
      <c r="E60" s="109" t="n">
        <f aca="false">SUM(D60-C60)</f>
        <v>0</v>
      </c>
      <c r="F60" s="132" t="n">
        <v>263692</v>
      </c>
      <c r="G60" s="133"/>
      <c r="H60" s="134" t="n">
        <v>217534</v>
      </c>
      <c r="I60" s="135"/>
      <c r="J60" s="29"/>
      <c r="K60" s="120"/>
      <c r="L60" s="117"/>
      <c r="M60" s="117"/>
      <c r="N60" s="117"/>
      <c r="O60" s="117"/>
      <c r="P60" s="117"/>
      <c r="Q60" s="117"/>
      <c r="R60" s="117"/>
      <c r="S60" s="117"/>
    </row>
    <row r="61" customFormat="false" ht="15" hidden="false" customHeight="false" outlineLevel="0" collapsed="false">
      <c r="L61" s="117"/>
      <c r="M61" s="117"/>
      <c r="N61" s="117"/>
      <c r="O61" s="117"/>
      <c r="P61" s="117"/>
      <c r="Q61" s="117"/>
      <c r="R61" s="117"/>
      <c r="S61" s="117"/>
    </row>
    <row r="62" customFormat="false" ht="15" hidden="false" customHeight="false" outlineLevel="0" collapsed="false">
      <c r="F62" s="145" t="n">
        <f aca="false">F60+F33</f>
        <v>563228</v>
      </c>
      <c r="G62" s="133"/>
      <c r="H62" s="134" t="n">
        <f aca="false">H60+H33</f>
        <v>466465.3288</v>
      </c>
      <c r="L62" s="117"/>
      <c r="M62" s="117"/>
      <c r="N62" s="117"/>
      <c r="O62" s="117"/>
      <c r="P62" s="117"/>
      <c r="Q62" s="117"/>
      <c r="R62" s="117"/>
      <c r="S62" s="117"/>
    </row>
    <row r="63" customFormat="false" ht="15" hidden="false" customHeight="false" outlineLevel="0" collapsed="false">
      <c r="E63" s="117"/>
      <c r="L63" s="117"/>
      <c r="M63" s="117"/>
      <c r="N63" s="117"/>
      <c r="O63" s="117"/>
      <c r="P63" s="117"/>
      <c r="Q63" s="117"/>
      <c r="R63" s="117"/>
      <c r="S63" s="117"/>
    </row>
    <row r="64" customFormat="false" ht="15" hidden="false" customHeight="false" outlineLevel="0" collapsed="false">
      <c r="E64" s="117"/>
      <c r="L64" s="117"/>
      <c r="M64" s="117"/>
      <c r="N64" s="117"/>
      <c r="O64" s="117"/>
      <c r="P64" s="117"/>
      <c r="Q64" s="117"/>
      <c r="R64" s="117"/>
      <c r="S64" s="117"/>
    </row>
    <row r="65" customFormat="false" ht="15" hidden="false" customHeight="false" outlineLevel="0" collapsed="false">
      <c r="E65" s="117"/>
      <c r="L65" s="117"/>
      <c r="M65" s="117"/>
      <c r="N65" s="117"/>
      <c r="O65" s="117"/>
      <c r="P65" s="117"/>
      <c r="Q65" s="117"/>
      <c r="R65" s="117"/>
      <c r="S65" s="117"/>
    </row>
    <row r="66" customFormat="false" ht="15" hidden="false" customHeight="false" outlineLevel="0" collapsed="false">
      <c r="E66" s="117"/>
      <c r="L66" s="117"/>
      <c r="M66" s="117"/>
      <c r="N66" s="117"/>
      <c r="O66" s="117"/>
      <c r="P66" s="117"/>
      <c r="Q66" s="117"/>
      <c r="R66" s="117"/>
      <c r="S66" s="117"/>
    </row>
    <row r="67" customFormat="false" ht="15" hidden="false" customHeight="false" outlineLevel="0" collapsed="false">
      <c r="E67" s="117"/>
      <c r="L67" s="117"/>
      <c r="M67" s="117"/>
      <c r="N67" s="117"/>
      <c r="O67" s="117"/>
      <c r="P67" s="117"/>
      <c r="Q67" s="117"/>
      <c r="R67" s="117"/>
      <c r="S67" s="117"/>
    </row>
    <row r="68" customFormat="false" ht="15" hidden="false" customHeight="false" outlineLevel="0" collapsed="false">
      <c r="E68" s="117"/>
      <c r="L68" s="117"/>
      <c r="M68" s="117"/>
      <c r="N68" s="117"/>
      <c r="O68" s="117"/>
      <c r="P68" s="117"/>
      <c r="Q68" s="117"/>
      <c r="R68" s="117"/>
      <c r="S68" s="117"/>
    </row>
    <row r="69" customFormat="false" ht="15" hidden="false" customHeight="false" outlineLevel="0" collapsed="false">
      <c r="E69" s="117"/>
      <c r="L69" s="117"/>
      <c r="M69" s="117"/>
      <c r="N69" s="117"/>
      <c r="O69" s="117"/>
      <c r="P69" s="117"/>
      <c r="Q69" s="117"/>
      <c r="R69" s="117"/>
      <c r="S69" s="117"/>
    </row>
    <row r="70" customFormat="false" ht="15" hidden="false" customHeight="false" outlineLevel="0" collapsed="false">
      <c r="E70" s="117"/>
      <c r="L70" s="117"/>
      <c r="M70" s="117"/>
      <c r="N70" s="117"/>
      <c r="O70" s="117"/>
      <c r="P70" s="117"/>
      <c r="Q70" s="117"/>
      <c r="R70" s="117"/>
      <c r="S70" s="117"/>
    </row>
    <row r="71" customFormat="false" ht="15" hidden="false" customHeight="false" outlineLevel="0" collapsed="false">
      <c r="E71" s="117"/>
      <c r="L71" s="117"/>
      <c r="M71" s="117"/>
      <c r="N71" s="117"/>
      <c r="O71" s="117"/>
      <c r="P71" s="117"/>
      <c r="Q71" s="117"/>
      <c r="R71" s="117"/>
      <c r="S71" s="117"/>
    </row>
    <row r="72" customFormat="false" ht="15" hidden="false" customHeight="false" outlineLevel="0" collapsed="false">
      <c r="E72" s="117"/>
      <c r="L72" s="117"/>
      <c r="M72" s="117"/>
      <c r="N72" s="117"/>
      <c r="O72" s="117"/>
      <c r="P72" s="117"/>
      <c r="Q72" s="117"/>
      <c r="R72" s="117"/>
      <c r="S72" s="117"/>
    </row>
    <row r="73" customFormat="false" ht="15" hidden="false" customHeight="false" outlineLevel="0" collapsed="false">
      <c r="E73" s="117"/>
      <c r="L73" s="117"/>
      <c r="M73" s="117"/>
      <c r="N73" s="117"/>
      <c r="O73" s="117"/>
      <c r="P73" s="117"/>
      <c r="Q73" s="117"/>
      <c r="R73" s="117"/>
      <c r="S73" s="117"/>
    </row>
    <row r="74" customFormat="false" ht="15" hidden="false" customHeight="false" outlineLevel="0" collapsed="false">
      <c r="E74" s="117"/>
      <c r="L74" s="117"/>
      <c r="M74" s="117"/>
      <c r="N74" s="117"/>
      <c r="O74" s="117"/>
      <c r="P74" s="117"/>
      <c r="Q74" s="117"/>
      <c r="R74" s="117"/>
      <c r="S74" s="117"/>
    </row>
    <row r="75" customFormat="false" ht="15" hidden="false" customHeight="false" outlineLevel="0" collapsed="false">
      <c r="E75" s="117"/>
      <c r="L75" s="117"/>
      <c r="M75" s="117"/>
      <c r="N75" s="117"/>
      <c r="O75" s="117"/>
      <c r="P75" s="117"/>
      <c r="Q75" s="117"/>
      <c r="R75" s="117"/>
      <c r="S75" s="117"/>
    </row>
    <row r="76" customFormat="false" ht="15" hidden="false" customHeight="false" outlineLevel="0" collapsed="false">
      <c r="E76" s="117"/>
      <c r="L76" s="117"/>
      <c r="M76" s="117"/>
      <c r="N76" s="117"/>
      <c r="O76" s="117"/>
      <c r="P76" s="117"/>
      <c r="Q76" s="117"/>
      <c r="R76" s="117"/>
      <c r="S76" s="117"/>
    </row>
    <row r="77" customFormat="false" ht="15" hidden="false" customHeight="false" outlineLevel="0" collapsed="false">
      <c r="E77" s="117"/>
      <c r="L77" s="117"/>
      <c r="M77" s="117"/>
      <c r="N77" s="117"/>
      <c r="O77" s="117"/>
      <c r="P77" s="117"/>
      <c r="Q77" s="117"/>
      <c r="R77" s="117"/>
      <c r="S77" s="117"/>
    </row>
    <row r="78" customFormat="false" ht="15" hidden="false" customHeight="false" outlineLevel="0" collapsed="false">
      <c r="E78" s="117"/>
      <c r="L78" s="117"/>
      <c r="M78" s="117"/>
      <c r="N78" s="117"/>
      <c r="O78" s="117"/>
      <c r="P78" s="117"/>
      <c r="Q78" s="117"/>
      <c r="R78" s="117"/>
      <c r="S78" s="117"/>
    </row>
    <row r="79" customFormat="false" ht="15" hidden="false" customHeight="false" outlineLevel="0" collapsed="false">
      <c r="E79" s="117"/>
      <c r="L79" s="117"/>
      <c r="M79" s="117"/>
      <c r="N79" s="117"/>
      <c r="O79" s="117"/>
      <c r="P79" s="117"/>
      <c r="Q79" s="117"/>
      <c r="R79" s="117"/>
      <c r="S79" s="117"/>
    </row>
    <row r="80" customFormat="false" ht="15" hidden="true" customHeight="false" outlineLevel="0" collapsed="false">
      <c r="E80" s="117"/>
      <c r="L80" s="117"/>
      <c r="M80" s="117"/>
      <c r="N80" s="117"/>
      <c r="O80" s="117"/>
      <c r="P80" s="117"/>
      <c r="Q80" s="117"/>
      <c r="R80" s="117"/>
      <c r="S80" s="117"/>
    </row>
    <row r="81" customFormat="false" ht="15" hidden="true" customHeight="false" outlineLevel="0" collapsed="false">
      <c r="E81" s="117"/>
      <c r="L81" s="117"/>
      <c r="M81" s="117"/>
      <c r="N81" s="117"/>
      <c r="O81" s="117"/>
      <c r="P81" s="117"/>
      <c r="Q81" s="117"/>
      <c r="R81" s="117"/>
      <c r="S81" s="117"/>
    </row>
    <row r="82" customFormat="false" ht="15" hidden="true" customHeight="false" outlineLevel="0" collapsed="false">
      <c r="E82" s="117"/>
      <c r="L82" s="117"/>
      <c r="M82" s="117"/>
      <c r="N82" s="117"/>
      <c r="O82" s="117"/>
      <c r="P82" s="117"/>
      <c r="Q82" s="117"/>
      <c r="R82" s="117"/>
      <c r="S82" s="117"/>
    </row>
    <row r="83" customFormat="false" ht="15" hidden="true" customHeight="false" outlineLevel="0" collapsed="false">
      <c r="E83" s="117"/>
      <c r="L83" s="117"/>
      <c r="M83" s="117"/>
      <c r="N83" s="117"/>
      <c r="O83" s="117"/>
      <c r="P83" s="117"/>
      <c r="Q83" s="117"/>
      <c r="R83" s="117"/>
      <c r="S83" s="117"/>
    </row>
    <row r="84" customFormat="false" ht="15" hidden="true" customHeight="false" outlineLevel="0" collapsed="false">
      <c r="E84" s="117"/>
      <c r="L84" s="117"/>
      <c r="M84" s="117"/>
      <c r="N84" s="117"/>
      <c r="O84" s="117"/>
      <c r="P84" s="117"/>
      <c r="Q84" s="117"/>
      <c r="R84" s="117"/>
      <c r="S84" s="117"/>
    </row>
    <row r="85" customFormat="false" ht="15" hidden="false" customHeight="false" outlineLevel="0" collapsed="false">
      <c r="E85" s="117"/>
      <c r="L85" s="117"/>
      <c r="M85" s="117"/>
      <c r="N85" s="117"/>
      <c r="O85" s="117"/>
      <c r="P85" s="117"/>
      <c r="Q85" s="117"/>
      <c r="R85" s="117"/>
      <c r="S85" s="117"/>
    </row>
    <row r="86" customFormat="false" ht="15" hidden="false" customHeight="false" outlineLevel="0" collapsed="false">
      <c r="E86" s="117"/>
      <c r="L86" s="117"/>
      <c r="M86" s="117"/>
      <c r="N86" s="117"/>
      <c r="O86" s="117"/>
      <c r="P86" s="117"/>
      <c r="Q86" s="117"/>
      <c r="R86" s="117"/>
      <c r="S86" s="117"/>
    </row>
    <row r="87" customFormat="false" ht="15" hidden="false" customHeight="false" outlineLevel="0" collapsed="false">
      <c r="E87" s="117"/>
      <c r="L87" s="117"/>
      <c r="M87" s="117"/>
      <c r="N87" s="117"/>
      <c r="O87" s="117"/>
      <c r="P87" s="117"/>
      <c r="Q87" s="117"/>
      <c r="R87" s="117"/>
      <c r="S87" s="117"/>
    </row>
    <row r="88" customFormat="false" ht="15" hidden="false" customHeight="false" outlineLevel="0" collapsed="false">
      <c r="E88" s="117"/>
    </row>
    <row r="89" customFormat="false" ht="15" hidden="false" customHeight="false" outlineLevel="0" collapsed="false">
      <c r="E89" s="117"/>
    </row>
    <row r="90" customFormat="false" ht="15" hidden="false" customHeight="false" outlineLevel="0" collapsed="false">
      <c r="E90" s="117"/>
    </row>
    <row r="91" customFormat="false" ht="15" hidden="false" customHeight="false" outlineLevel="0" collapsed="false">
      <c r="E91" s="117"/>
    </row>
    <row r="92" customFormat="false" ht="15" hidden="false" customHeight="false" outlineLevel="0" collapsed="false">
      <c r="E92" s="117"/>
    </row>
    <row r="93" customFormat="false" ht="15" hidden="false" customHeight="false" outlineLevel="0" collapsed="false">
      <c r="E93" s="117"/>
    </row>
    <row r="94" customFormat="false" ht="15" hidden="false" customHeight="false" outlineLevel="0" collapsed="false">
      <c r="E94" s="117"/>
    </row>
    <row r="95" customFormat="false" ht="15" hidden="false" customHeight="false" outlineLevel="0" collapsed="false">
      <c r="E95" s="117"/>
    </row>
    <row r="96" customFormat="false" ht="15" hidden="false" customHeight="false" outlineLevel="0" collapsed="false">
      <c r="E96" s="117"/>
    </row>
    <row r="97" customFormat="false" ht="15" hidden="false" customHeight="false" outlineLevel="0" collapsed="false">
      <c r="E97" s="117"/>
    </row>
    <row r="98" customFormat="false" ht="15" hidden="false" customHeight="false" outlineLevel="0" collapsed="false">
      <c r="E98" s="117"/>
    </row>
    <row r="99" customFormat="false" ht="15" hidden="false" customHeight="false" outlineLevel="0" collapsed="false">
      <c r="E99" s="117"/>
    </row>
    <row r="100" customFormat="false" ht="15" hidden="false" customHeight="false" outlineLevel="0" collapsed="false">
      <c r="E100" s="117"/>
    </row>
    <row r="101" customFormat="false" ht="15" hidden="false" customHeight="false" outlineLevel="0" collapsed="false">
      <c r="E101" s="117"/>
    </row>
    <row r="102" customFormat="false" ht="15" hidden="false" customHeight="false" outlineLevel="0" collapsed="false">
      <c r="E102" s="117"/>
    </row>
    <row r="103" customFormat="false" ht="15" hidden="false" customHeight="false" outlineLevel="0" collapsed="false">
      <c r="E103" s="117"/>
    </row>
    <row r="104" customFormat="false" ht="15" hidden="false" customHeight="false" outlineLevel="0" collapsed="false">
      <c r="E104" s="117"/>
    </row>
    <row r="105" customFormat="false" ht="15" hidden="false" customHeight="false" outlineLevel="0" collapsed="false">
      <c r="E105" s="117"/>
    </row>
    <row r="106" customFormat="false" ht="15" hidden="false" customHeight="false" outlineLevel="0" collapsed="false">
      <c r="E106" s="117"/>
    </row>
    <row r="107" customFormat="false" ht="15" hidden="false" customHeight="false" outlineLevel="0" collapsed="false">
      <c r="E107" s="117"/>
    </row>
    <row r="108" customFormat="false" ht="15" hidden="false" customHeight="false" outlineLevel="0" collapsed="false">
      <c r="E108" s="117"/>
    </row>
    <row r="109" customFormat="false" ht="15" hidden="false" customHeight="false" outlineLevel="0" collapsed="false">
      <c r="E109" s="117"/>
    </row>
    <row r="110" customFormat="false" ht="15" hidden="false" customHeight="false" outlineLevel="0" collapsed="false">
      <c r="E110" s="117"/>
    </row>
    <row r="111" customFormat="false" ht="15" hidden="false" customHeight="false" outlineLevel="0" collapsed="false">
      <c r="E111" s="117"/>
    </row>
    <row r="112" customFormat="false" ht="15" hidden="false" customHeight="false" outlineLevel="0" collapsed="false">
      <c r="E112" s="117"/>
    </row>
    <row r="113" customFormat="false" ht="15" hidden="false" customHeight="false" outlineLevel="0" collapsed="false">
      <c r="E113" s="117"/>
    </row>
    <row r="114" customFormat="false" ht="15" hidden="false" customHeight="false" outlineLevel="0" collapsed="false">
      <c r="E114" s="117"/>
    </row>
    <row r="115" customFormat="false" ht="15" hidden="false" customHeight="false" outlineLevel="0" collapsed="false">
      <c r="E115" s="117"/>
    </row>
    <row r="116" customFormat="false" ht="15" hidden="false" customHeight="false" outlineLevel="0" collapsed="false">
      <c r="E116" s="117"/>
    </row>
    <row r="117" customFormat="false" ht="15" hidden="false" customHeight="false" outlineLevel="0" collapsed="false">
      <c r="E117" s="117"/>
    </row>
    <row r="118" customFormat="false" ht="15" hidden="false" customHeight="false" outlineLevel="0" collapsed="false">
      <c r="E118" s="117"/>
    </row>
    <row r="119" customFormat="false" ht="15" hidden="false" customHeight="false" outlineLevel="0" collapsed="false">
      <c r="E119" s="117"/>
    </row>
    <row r="120" customFormat="false" ht="15" hidden="false" customHeight="false" outlineLevel="0" collapsed="false">
      <c r="E120" s="117"/>
    </row>
    <row r="121" customFormat="false" ht="15" hidden="false" customHeight="false" outlineLevel="0" collapsed="false">
      <c r="E121" s="117"/>
    </row>
    <row r="122" customFormat="false" ht="15" hidden="false" customHeight="false" outlineLevel="0" collapsed="false">
      <c r="E122" s="117"/>
    </row>
    <row r="123" customFormat="false" ht="15" hidden="false" customHeight="false" outlineLevel="0" collapsed="false">
      <c r="E123" s="117"/>
    </row>
    <row r="124" customFormat="false" ht="15" hidden="false" customHeight="false" outlineLevel="0" collapsed="false">
      <c r="E124" s="117"/>
    </row>
    <row r="125" customFormat="false" ht="15" hidden="false" customHeight="false" outlineLevel="0" collapsed="false">
      <c r="E125" s="117"/>
    </row>
    <row r="126" customFormat="false" ht="15" hidden="false" customHeight="false" outlineLevel="0" collapsed="false">
      <c r="E126" s="117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V125"/>
  <sheetViews>
    <sheetView showFormulas="false" showGridLines="true" showRowColHeaders="true" showZeros="true" rightToLeft="false" tabSelected="false" showOutlineSymbols="true" defaultGridColor="true" view="normal" topLeftCell="A1" colorId="64" zoomScale="60" zoomScaleNormal="60" zoomScalePageLayoutView="100" workbookViewId="0">
      <selection pane="topLeft" activeCell="K51" activeCellId="0" sqref="K51"/>
    </sheetView>
  </sheetViews>
  <sheetFormatPr defaultColWidth="8.8359375" defaultRowHeight="15" zeroHeight="false" outlineLevelRow="0" outlineLevelCol="0"/>
  <cols>
    <col collapsed="false" customWidth="true" hidden="false" outlineLevel="0" max="1" min="1" style="66" width="13.66"/>
    <col collapsed="false" customWidth="true" hidden="false" outlineLevel="0" max="2" min="2" style="67" width="10.33"/>
    <col collapsed="false" customWidth="true" hidden="false" outlineLevel="0" max="4" min="3" style="68" width="18.17"/>
    <col collapsed="false" customWidth="true" hidden="false" outlineLevel="0" max="6" min="5" style="68" width="14"/>
    <col collapsed="false" customWidth="true" hidden="false" outlineLevel="0" max="7" min="7" style="66" width="13.51"/>
    <col collapsed="false" customWidth="true" hidden="false" outlineLevel="0" max="8" min="8" style="69" width="13.83"/>
    <col collapsed="false" customWidth="true" hidden="false" outlineLevel="0" max="10" min="9" style="70" width="14.33"/>
    <col collapsed="false" customWidth="true" hidden="false" outlineLevel="0" max="11" min="11" style="71" width="16.5"/>
    <col collapsed="false" customWidth="true" hidden="false" outlineLevel="0" max="12" min="12" style="70" width="10.51"/>
    <col collapsed="false" customWidth="true" hidden="false" outlineLevel="0" max="13" min="13" style="70" width="9.51"/>
    <col collapsed="false" customWidth="true" hidden="false" outlineLevel="0" max="14" min="14" style="70" width="15"/>
    <col collapsed="false" customWidth="true" hidden="false" outlineLevel="0" max="15" min="15" style="70" width="14.17"/>
    <col collapsed="false" customWidth="true" hidden="false" outlineLevel="0" max="16" min="16" style="70" width="13.83"/>
    <col collapsed="false" customWidth="true" hidden="false" outlineLevel="0" max="17" min="17" style="70" width="12.66"/>
    <col collapsed="false" customWidth="true" hidden="false" outlineLevel="0" max="18" min="18" style="70" width="12.83"/>
    <col collapsed="false" customWidth="true" hidden="false" outlineLevel="0" max="19" min="19" style="70" width="12.17"/>
  </cols>
  <sheetData>
    <row r="1" customFormat="false" ht="48" hidden="false" customHeight="false" outlineLevel="0" collapsed="false">
      <c r="A1" s="41" t="s">
        <v>25</v>
      </c>
      <c r="B1" s="72" t="s">
        <v>26</v>
      </c>
      <c r="C1" s="73" t="s">
        <v>27</v>
      </c>
      <c r="D1" s="73" t="s">
        <v>28</v>
      </c>
      <c r="E1" s="73" t="s">
        <v>29</v>
      </c>
      <c r="F1" s="73" t="s">
        <v>29</v>
      </c>
      <c r="G1" s="73" t="s">
        <v>30</v>
      </c>
      <c r="H1" s="74" t="s">
        <v>31</v>
      </c>
      <c r="I1" s="75" t="s">
        <v>32</v>
      </c>
      <c r="J1" s="76" t="s">
        <v>3</v>
      </c>
      <c r="L1" s="77" t="s">
        <v>33</v>
      </c>
      <c r="M1" s="78" t="s">
        <v>34</v>
      </c>
      <c r="N1" s="79" t="s">
        <v>27</v>
      </c>
      <c r="O1" s="79" t="s">
        <v>28</v>
      </c>
      <c r="P1" s="79" t="s">
        <v>29</v>
      </c>
      <c r="Q1" s="79" t="s">
        <v>30</v>
      </c>
      <c r="R1" s="80" t="s">
        <v>31</v>
      </c>
      <c r="S1" s="79" t="s">
        <v>35</v>
      </c>
    </row>
    <row r="2" customFormat="false" ht="15" hidden="false" customHeight="false" outlineLevel="0" collapsed="false">
      <c r="A2" s="81"/>
      <c r="B2" s="81" t="s">
        <v>36</v>
      </c>
      <c r="C2" s="82"/>
      <c r="D2" s="82"/>
      <c r="E2" s="82"/>
      <c r="F2" s="82"/>
      <c r="G2" s="83"/>
      <c r="H2" s="84"/>
      <c r="I2" s="85"/>
      <c r="J2" s="86" t="s">
        <v>18</v>
      </c>
      <c r="K2" s="87"/>
      <c r="L2" s="148"/>
      <c r="M2" s="149" t="s">
        <v>37</v>
      </c>
      <c r="N2" s="150"/>
      <c r="O2" s="150"/>
      <c r="P2" s="150"/>
      <c r="Q2" s="151"/>
      <c r="R2" s="152"/>
      <c r="S2" s="153"/>
    </row>
    <row r="3" customFormat="false" ht="15.75" hidden="false" customHeight="false" outlineLevel="0" collapsed="false">
      <c r="A3" s="89" t="n">
        <v>0.420138888888889</v>
      </c>
      <c r="B3" s="154" t="s">
        <v>66</v>
      </c>
      <c r="C3" s="97" t="n">
        <v>49750540</v>
      </c>
      <c r="D3" s="75" t="n">
        <v>49758950</v>
      </c>
      <c r="E3" s="91" t="n">
        <f aca="false">SUM(D3-C3)</f>
        <v>8410</v>
      </c>
      <c r="F3" s="92" t="n">
        <f aca="false">SUM(D3-C3)</f>
        <v>8410</v>
      </c>
      <c r="G3" s="41" t="n">
        <v>0.8296</v>
      </c>
      <c r="H3" s="93" t="n">
        <f aca="false">SUM(G3*F3)</f>
        <v>6976.936</v>
      </c>
      <c r="I3" s="155" t="n">
        <v>237</v>
      </c>
      <c r="J3" s="29" t="n">
        <v>6474</v>
      </c>
      <c r="K3" s="94"/>
      <c r="L3" s="156" t="n">
        <v>0.444444444444444</v>
      </c>
      <c r="M3" s="157" t="s">
        <v>39</v>
      </c>
      <c r="N3" s="158" t="n">
        <v>7623150</v>
      </c>
      <c r="O3" s="159" t="n">
        <v>7623470</v>
      </c>
      <c r="P3" s="158" t="n">
        <f aca="false">SUM(O3-N3)</f>
        <v>320</v>
      </c>
      <c r="Q3" s="160" t="n">
        <v>0.8365</v>
      </c>
      <c r="R3" s="161" t="n">
        <f aca="false">SUM(Q3*P3)</f>
        <v>267.68</v>
      </c>
      <c r="S3" s="162" t="s">
        <v>67</v>
      </c>
      <c r="V3" s="0" t="s">
        <v>41</v>
      </c>
    </row>
    <row r="4" customFormat="false" ht="15.75" hidden="false" customHeight="false" outlineLevel="0" collapsed="false">
      <c r="A4" s="89" t="n">
        <v>0.447916666666667</v>
      </c>
      <c r="B4" s="90" t="s">
        <v>66</v>
      </c>
      <c r="C4" s="97" t="n">
        <f aca="false">SUM(D3)</f>
        <v>49758950</v>
      </c>
      <c r="D4" s="75" t="n">
        <v>49770430</v>
      </c>
      <c r="E4" s="91" t="n">
        <f aca="false">SUM(D4-C4)</f>
        <v>11480</v>
      </c>
      <c r="F4" s="163" t="n">
        <v>11480</v>
      </c>
      <c r="G4" s="41" t="n">
        <v>0.8296</v>
      </c>
      <c r="H4" s="93" t="n">
        <f aca="false">SUM(G4*F4)</f>
        <v>9523.808</v>
      </c>
      <c r="I4" s="155" t="n">
        <v>388</v>
      </c>
      <c r="J4" s="29" t="n">
        <v>6477</v>
      </c>
      <c r="K4" s="94"/>
      <c r="L4" s="156" t="n">
        <v>0.631944444444444</v>
      </c>
      <c r="M4" s="157" t="s">
        <v>39</v>
      </c>
      <c r="N4" s="158" t="n">
        <f aca="false">SUM(O3)</f>
        <v>7623470</v>
      </c>
      <c r="O4" s="159" t="n">
        <v>7623580</v>
      </c>
      <c r="P4" s="158" t="n">
        <f aca="false">SUM(O4-N4)</f>
        <v>110</v>
      </c>
      <c r="Q4" s="160" t="n">
        <v>0.8344</v>
      </c>
      <c r="R4" s="161" t="n">
        <f aca="false">SUM(Q4*P4)</f>
        <v>91.784</v>
      </c>
      <c r="S4" s="162" t="s">
        <v>63</v>
      </c>
    </row>
    <row r="5" customFormat="false" ht="15.75" hidden="false" customHeight="false" outlineLevel="0" collapsed="false">
      <c r="A5" s="89" t="n">
        <v>0.454861111111111</v>
      </c>
      <c r="B5" s="90" t="s">
        <v>66</v>
      </c>
      <c r="C5" s="97" t="n">
        <f aca="false">SUM(D4)</f>
        <v>49770430</v>
      </c>
      <c r="D5" s="75" t="n">
        <v>49781380</v>
      </c>
      <c r="E5" s="91" t="n">
        <f aca="false">SUM(D5-C5)</f>
        <v>10950</v>
      </c>
      <c r="F5" s="163" t="n">
        <v>10950</v>
      </c>
      <c r="G5" s="41" t="n">
        <v>0.8296</v>
      </c>
      <c r="H5" s="93" t="n">
        <f aca="false">SUM(G5*F5)</f>
        <v>9084.12</v>
      </c>
      <c r="I5" s="155" t="n">
        <v>388</v>
      </c>
      <c r="J5" s="29" t="n">
        <v>6479</v>
      </c>
      <c r="K5" s="94"/>
      <c r="L5" s="156" t="n">
        <v>0.649305555555556</v>
      </c>
      <c r="M5" s="157" t="s">
        <v>46</v>
      </c>
      <c r="N5" s="158" t="n">
        <f aca="false">SUM(O4)</f>
        <v>7623580</v>
      </c>
      <c r="O5" s="159" t="n">
        <v>7623720</v>
      </c>
      <c r="P5" s="158" t="n">
        <f aca="false">SUM(O5-N5)</f>
        <v>140</v>
      </c>
      <c r="Q5" s="160" t="n">
        <v>0.8331</v>
      </c>
      <c r="R5" s="161" t="n">
        <f aca="false">SUM(Q5*P5)</f>
        <v>116.634</v>
      </c>
      <c r="S5" s="162" t="s">
        <v>65</v>
      </c>
    </row>
    <row r="6" customFormat="false" ht="15.75" hidden="false" customHeight="false" outlineLevel="0" collapsed="false">
      <c r="A6" s="89" t="n">
        <v>0.461805555555556</v>
      </c>
      <c r="B6" s="90" t="s">
        <v>66</v>
      </c>
      <c r="C6" s="97" t="n">
        <f aca="false">SUM(D5)</f>
        <v>49781380</v>
      </c>
      <c r="D6" s="75" t="n">
        <v>49787300</v>
      </c>
      <c r="E6" s="91" t="n">
        <f aca="false">SUM(D6-C6)</f>
        <v>5920</v>
      </c>
      <c r="F6" s="92" t="n">
        <f aca="false">SUM(D6-C6)</f>
        <v>5920</v>
      </c>
      <c r="G6" s="41" t="n">
        <v>0.8296</v>
      </c>
      <c r="H6" s="93" t="n">
        <f aca="false">SUM(G6*F6)</f>
        <v>4911.232</v>
      </c>
      <c r="I6" s="155" t="n">
        <v>248</v>
      </c>
      <c r="J6" s="29" t="n">
        <v>6481</v>
      </c>
      <c r="K6" s="94"/>
      <c r="L6" s="156" t="n">
        <v>0.871527777777778</v>
      </c>
      <c r="M6" s="157" t="s">
        <v>66</v>
      </c>
      <c r="N6" s="158" t="n">
        <f aca="false">SUM(O5)</f>
        <v>7623720</v>
      </c>
      <c r="O6" s="159" t="n">
        <v>7623800</v>
      </c>
      <c r="P6" s="158" t="n">
        <f aca="false">SUM(O6-N6)</f>
        <v>80</v>
      </c>
      <c r="Q6" s="167" t="n">
        <v>0.8296</v>
      </c>
      <c r="R6" s="161" t="n">
        <f aca="false">SUM(Q6*P6)</f>
        <v>66.368</v>
      </c>
      <c r="S6" s="162" t="s">
        <v>45</v>
      </c>
    </row>
    <row r="7" customFormat="false" ht="15.75" hidden="false" customHeight="false" outlineLevel="0" collapsed="false">
      <c r="A7" s="89" t="n">
        <v>0.479166666666667</v>
      </c>
      <c r="B7" s="90" t="s">
        <v>66</v>
      </c>
      <c r="C7" s="97" t="n">
        <f aca="false">SUM(D6)</f>
        <v>49787300</v>
      </c>
      <c r="D7" s="75" t="n">
        <v>49788600</v>
      </c>
      <c r="E7" s="91" t="n">
        <f aca="false">SUM(D7-C7)</f>
        <v>1300</v>
      </c>
      <c r="F7" s="92" t="n">
        <f aca="false">SUM(D7-C7)</f>
        <v>1300</v>
      </c>
      <c r="G7" s="41" t="n">
        <v>0.8296</v>
      </c>
      <c r="H7" s="93" t="n">
        <f aca="false">SUM(G7*F7)</f>
        <v>1078.48</v>
      </c>
      <c r="I7" s="155" t="n">
        <v>237</v>
      </c>
      <c r="J7" s="29" t="n">
        <v>6482</v>
      </c>
      <c r="K7" s="94"/>
      <c r="L7" s="156" t="n">
        <v>0.888888888888889</v>
      </c>
      <c r="M7" s="157" t="s">
        <v>38</v>
      </c>
      <c r="N7" s="158" t="n">
        <f aca="false">SUM(O6)</f>
        <v>7623800</v>
      </c>
      <c r="O7" s="159" t="n">
        <v>7623890</v>
      </c>
      <c r="P7" s="158" t="n">
        <f aca="false">SUM(O7-N7)</f>
        <v>90</v>
      </c>
      <c r="Q7" s="167" t="n">
        <v>0.8289</v>
      </c>
      <c r="R7" s="161" t="n">
        <f aca="false">SUM(Q7*P7)</f>
        <v>74.601</v>
      </c>
      <c r="S7" s="162" t="s">
        <v>47</v>
      </c>
    </row>
    <row r="8" customFormat="false" ht="15.75" hidden="false" customHeight="false" outlineLevel="0" collapsed="false">
      <c r="A8" s="89" t="n">
        <v>0.538194444444444</v>
      </c>
      <c r="B8" s="90" t="s">
        <v>66</v>
      </c>
      <c r="C8" s="97" t="n">
        <f aca="false">SUM(D7)</f>
        <v>49788600</v>
      </c>
      <c r="D8" s="75" t="n">
        <v>49811020</v>
      </c>
      <c r="E8" s="91" t="n">
        <f aca="false">SUM(D8-C8)</f>
        <v>22420</v>
      </c>
      <c r="F8" s="163" t="n">
        <v>22430</v>
      </c>
      <c r="G8" s="41" t="n">
        <v>0.8296</v>
      </c>
      <c r="H8" s="93" t="n">
        <f aca="false">SUM(G8*F8)</f>
        <v>18607.928</v>
      </c>
      <c r="I8" s="155" t="n">
        <v>388</v>
      </c>
      <c r="J8" s="29" t="n">
        <v>6484</v>
      </c>
      <c r="K8" s="94"/>
      <c r="L8" s="156" t="n">
        <v>0.09375</v>
      </c>
      <c r="M8" s="157" t="s">
        <v>48</v>
      </c>
      <c r="N8" s="158" t="n">
        <f aca="false">SUM(O7)</f>
        <v>7623890</v>
      </c>
      <c r="O8" s="159" t="n">
        <v>7624030</v>
      </c>
      <c r="P8" s="158" t="n">
        <f aca="false">SUM(O8-N8)</f>
        <v>140</v>
      </c>
      <c r="Q8" s="160" t="n">
        <v>0.8298</v>
      </c>
      <c r="R8" s="161" t="n">
        <f aca="false">SUM(Q8*P8)</f>
        <v>116.172</v>
      </c>
      <c r="S8" s="162" t="s">
        <v>64</v>
      </c>
    </row>
    <row r="9" customFormat="false" ht="15.75" hidden="false" customHeight="false" outlineLevel="0" collapsed="false">
      <c r="A9" s="89" t="n">
        <v>0.722222222222222</v>
      </c>
      <c r="B9" s="138" t="s">
        <v>38</v>
      </c>
      <c r="C9" s="97" t="n">
        <f aca="false">SUM(D8)</f>
        <v>49811020</v>
      </c>
      <c r="D9" s="75" t="n">
        <v>49833450</v>
      </c>
      <c r="E9" s="91" t="n">
        <f aca="false">SUM(D9-C9)</f>
        <v>22430</v>
      </c>
      <c r="F9" s="163" t="n">
        <v>22430</v>
      </c>
      <c r="G9" s="41" t="n">
        <v>0.8289</v>
      </c>
      <c r="H9" s="93" t="n">
        <f aca="false">SUM(G9*F9)</f>
        <v>18592.227</v>
      </c>
      <c r="I9" s="164" t="n">
        <v>388</v>
      </c>
      <c r="J9" s="29" t="n">
        <v>6493</v>
      </c>
      <c r="K9" s="94"/>
      <c r="L9" s="170"/>
      <c r="M9" s="104"/>
      <c r="N9" s="99" t="n">
        <f aca="false">SUM(O8)</f>
        <v>7624030</v>
      </c>
      <c r="O9" s="171"/>
      <c r="P9" s="99" t="n">
        <f aca="false">SUM(O9-N9)</f>
        <v>-7624030</v>
      </c>
      <c r="Q9" s="105"/>
      <c r="R9" s="101" t="n">
        <f aca="false">SUM(Q9*P9)</f>
        <v>0</v>
      </c>
      <c r="S9" s="102"/>
    </row>
    <row r="10" customFormat="false" ht="15.75" hidden="false" customHeight="false" outlineLevel="0" collapsed="false">
      <c r="A10" s="89" t="n">
        <v>0.78125</v>
      </c>
      <c r="B10" s="90" t="s">
        <v>38</v>
      </c>
      <c r="C10" s="97" t="n">
        <f aca="false">SUM(D9)</f>
        <v>49833450</v>
      </c>
      <c r="D10" s="75" t="n">
        <v>49855870</v>
      </c>
      <c r="E10" s="91" t="n">
        <f aca="false">SUM(D10-C10)</f>
        <v>22420</v>
      </c>
      <c r="F10" s="163" t="n">
        <v>22430</v>
      </c>
      <c r="G10" s="41" t="n">
        <v>0.8289</v>
      </c>
      <c r="H10" s="93" t="n">
        <f aca="false">SUM(G10*F10)</f>
        <v>18592.227</v>
      </c>
      <c r="I10" s="164" t="n">
        <v>388</v>
      </c>
      <c r="J10" s="29" t="n">
        <v>6496</v>
      </c>
      <c r="K10" s="94"/>
      <c r="L10" s="95"/>
      <c r="M10" s="96"/>
      <c r="N10" s="99" t="n">
        <f aca="false">SUM(O9)</f>
        <v>0</v>
      </c>
      <c r="O10" s="98"/>
      <c r="P10" s="99" t="n">
        <f aca="false">SUM(O10-N10)</f>
        <v>0</v>
      </c>
      <c r="Q10" s="100"/>
      <c r="R10" s="101" t="n">
        <f aca="false">SUM(Q10*P10)</f>
        <v>0</v>
      </c>
      <c r="S10" s="102"/>
    </row>
    <row r="11" customFormat="false" ht="15.75" hidden="false" customHeight="false" outlineLevel="0" collapsed="false">
      <c r="A11" s="89" t="n">
        <v>0.871527777777778</v>
      </c>
      <c r="B11" s="90" t="s">
        <v>38</v>
      </c>
      <c r="C11" s="97" t="n">
        <f aca="false">SUM(D10)</f>
        <v>49855870</v>
      </c>
      <c r="D11" s="75" t="n">
        <v>49867350</v>
      </c>
      <c r="E11" s="91" t="n">
        <f aca="false">SUM(D11-C11)</f>
        <v>11480</v>
      </c>
      <c r="F11" s="163" t="n">
        <v>11480</v>
      </c>
      <c r="G11" s="41" t="n">
        <v>0.8289</v>
      </c>
      <c r="H11" s="93" t="n">
        <f aca="false">SUM(G11*F11)</f>
        <v>9515.772</v>
      </c>
      <c r="I11" s="164" t="n">
        <v>388</v>
      </c>
      <c r="J11" s="29" t="n">
        <v>6498</v>
      </c>
      <c r="K11" s="94"/>
      <c r="L11" s="95"/>
      <c r="M11" s="96"/>
      <c r="N11" s="99" t="n">
        <f aca="false">SUM(O10)</f>
        <v>0</v>
      </c>
      <c r="O11" s="98"/>
      <c r="P11" s="99" t="n">
        <f aca="false">SUM(O11-N11)</f>
        <v>0</v>
      </c>
      <c r="Q11" s="100"/>
      <c r="R11" s="101" t="n">
        <f aca="false">SUM(Q11*P11)</f>
        <v>0</v>
      </c>
      <c r="S11" s="1"/>
    </row>
    <row r="12" customFormat="false" ht="15.75" hidden="false" customHeight="false" outlineLevel="0" collapsed="false">
      <c r="A12" s="89" t="n">
        <v>0.878472222222222</v>
      </c>
      <c r="B12" s="124" t="s">
        <v>44</v>
      </c>
      <c r="C12" s="97" t="n">
        <f aca="false">SUM(D11)</f>
        <v>49867350</v>
      </c>
      <c r="D12" s="75" t="n">
        <v>49878300</v>
      </c>
      <c r="E12" s="91" t="n">
        <f aca="false">SUM(D12-C12)</f>
        <v>10950</v>
      </c>
      <c r="F12" s="163" t="n">
        <v>10950</v>
      </c>
      <c r="G12" s="41" t="n">
        <v>0.8321</v>
      </c>
      <c r="H12" s="93" t="n">
        <f aca="false">SUM(G12*F12)</f>
        <v>9111.495</v>
      </c>
      <c r="I12" s="166" t="n">
        <v>388</v>
      </c>
      <c r="J12" s="29" t="n">
        <v>6499</v>
      </c>
      <c r="K12" s="94"/>
      <c r="L12" s="95"/>
      <c r="M12" s="96"/>
      <c r="N12" s="99" t="n">
        <f aca="false">SUM(O11)</f>
        <v>0</v>
      </c>
      <c r="O12" s="98"/>
      <c r="P12" s="99" t="n">
        <f aca="false">SUM(O12-N12)</f>
        <v>0</v>
      </c>
      <c r="Q12" s="100"/>
      <c r="R12" s="101" t="n">
        <f aca="false">SUM(Q12*P12)</f>
        <v>0</v>
      </c>
      <c r="S12" s="1"/>
    </row>
    <row r="13" customFormat="false" ht="15.75" hidden="false" customHeight="false" outlineLevel="0" collapsed="false">
      <c r="A13" s="89" t="n">
        <v>0.895833333333333</v>
      </c>
      <c r="B13" s="90" t="s">
        <v>44</v>
      </c>
      <c r="C13" s="97" t="n">
        <f aca="false">SUM(D12)</f>
        <v>49878300</v>
      </c>
      <c r="D13" s="75" t="n">
        <v>49895330</v>
      </c>
      <c r="E13" s="91" t="n">
        <f aca="false">SUM(D13-C13)</f>
        <v>17030</v>
      </c>
      <c r="F13" s="128" t="n">
        <v>17019</v>
      </c>
      <c r="G13" s="41" t="n">
        <v>0.8321</v>
      </c>
      <c r="H13" s="93" t="n">
        <f aca="false">SUM(G13*F13)</f>
        <v>14161.5099</v>
      </c>
      <c r="I13" s="166" t="n">
        <v>251</v>
      </c>
      <c r="J13" s="29" t="n">
        <v>6501</v>
      </c>
      <c r="K13" s="94"/>
      <c r="L13" s="95"/>
      <c r="M13" s="96"/>
      <c r="N13" s="99" t="n">
        <f aca="false">SUM(O12)</f>
        <v>0</v>
      </c>
      <c r="O13" s="98"/>
      <c r="P13" s="99" t="n">
        <f aca="false">SUM(O13-N13)</f>
        <v>0</v>
      </c>
      <c r="Q13" s="100"/>
      <c r="R13" s="101" t="n">
        <f aca="false">SUM(Q13*P13)</f>
        <v>0</v>
      </c>
      <c r="S13" s="1"/>
    </row>
    <row r="14" customFormat="false" ht="15.75" hidden="false" customHeight="false" outlineLevel="0" collapsed="false">
      <c r="A14" s="89" t="n">
        <v>0.913194444444444</v>
      </c>
      <c r="B14" s="90" t="s">
        <v>44</v>
      </c>
      <c r="C14" s="97" t="n">
        <f aca="false">SUM(D13)</f>
        <v>49895330</v>
      </c>
      <c r="D14" s="75" t="n">
        <v>49903750</v>
      </c>
      <c r="E14" s="91" t="n">
        <f aca="false">SUM(D14-C14)</f>
        <v>8420</v>
      </c>
      <c r="F14" s="92" t="n">
        <f aca="false">SUM(D14-C14)</f>
        <v>8420</v>
      </c>
      <c r="G14" s="41" t="n">
        <v>0.8321</v>
      </c>
      <c r="H14" s="93" t="n">
        <f aca="false">SUM(G14*F14)</f>
        <v>7006.282</v>
      </c>
      <c r="I14" s="166" t="n">
        <v>237</v>
      </c>
      <c r="J14" s="29" t="n">
        <v>6502</v>
      </c>
      <c r="K14" s="94"/>
      <c r="L14" s="95"/>
      <c r="M14" s="96"/>
      <c r="N14" s="99" t="n">
        <f aca="false">SUM(O13)</f>
        <v>0</v>
      </c>
      <c r="O14" s="98"/>
      <c r="P14" s="99" t="n">
        <f aca="false">SUM(O14-N14)</f>
        <v>0</v>
      </c>
      <c r="Q14" s="100"/>
      <c r="R14" s="101" t="n">
        <f aca="false">SUM(Q14*P14)</f>
        <v>0</v>
      </c>
      <c r="S14" s="1"/>
    </row>
    <row r="15" customFormat="false" ht="15.75" hidden="false" customHeight="false" outlineLevel="0" collapsed="false">
      <c r="A15" s="89" t="n">
        <v>0.0763888888888889</v>
      </c>
      <c r="B15" s="90" t="s">
        <v>44</v>
      </c>
      <c r="C15" s="97" t="n">
        <f aca="false">SUM(D14)</f>
        <v>49903750</v>
      </c>
      <c r="D15" s="75" t="n">
        <v>49926170</v>
      </c>
      <c r="E15" s="91" t="n">
        <f aca="false">SUM(D15-C15)</f>
        <v>22420</v>
      </c>
      <c r="F15" s="163" t="n">
        <v>22430</v>
      </c>
      <c r="G15" s="41" t="n">
        <v>0.8321</v>
      </c>
      <c r="H15" s="93" t="n">
        <f aca="false">SUM(G15*F15)</f>
        <v>18664.003</v>
      </c>
      <c r="I15" s="166" t="n">
        <v>388</v>
      </c>
      <c r="J15" s="29" t="n">
        <v>6508</v>
      </c>
      <c r="K15" s="94"/>
      <c r="L15" s="95"/>
      <c r="M15" s="96"/>
      <c r="N15" s="99" t="n">
        <f aca="false">SUM(O14)</f>
        <v>0</v>
      </c>
      <c r="O15" s="98"/>
      <c r="P15" s="99" t="n">
        <f aca="false">SUM(O15-N15)</f>
        <v>0</v>
      </c>
      <c r="Q15" s="100"/>
      <c r="R15" s="101" t="n">
        <f aca="false">SUM(Q15*P15)</f>
        <v>0</v>
      </c>
      <c r="S15" s="1"/>
    </row>
    <row r="16" customFormat="false" ht="15.75" hidden="false" customHeight="false" outlineLevel="0" collapsed="false">
      <c r="A16" s="89" t="n">
        <v>0.173611111111111</v>
      </c>
      <c r="B16" s="121" t="s">
        <v>39</v>
      </c>
      <c r="C16" s="97" t="n">
        <f aca="false">SUM(D15)</f>
        <v>49926170</v>
      </c>
      <c r="D16" s="75" t="n">
        <v>49948600</v>
      </c>
      <c r="E16" s="91" t="n">
        <f aca="false">SUM(D16-C16)</f>
        <v>22430</v>
      </c>
      <c r="F16" s="163" t="n">
        <v>22430</v>
      </c>
      <c r="G16" s="41" t="n">
        <v>0.8327</v>
      </c>
      <c r="H16" s="93" t="n">
        <f aca="false">SUM(G16*F16)</f>
        <v>18677.461</v>
      </c>
      <c r="I16" s="173" t="n">
        <v>388</v>
      </c>
      <c r="J16" s="29" t="n">
        <v>6510</v>
      </c>
      <c r="K16" s="94"/>
      <c r="L16" s="95"/>
      <c r="M16" s="104"/>
      <c r="N16" s="99" t="n">
        <f aca="false">SUM(O15)</f>
        <v>0</v>
      </c>
      <c r="O16" s="98"/>
      <c r="P16" s="99" t="n">
        <f aca="false">SUM(O16-N16)</f>
        <v>0</v>
      </c>
      <c r="Q16" s="41"/>
      <c r="R16" s="101" t="n">
        <f aca="false">SUM(Q16*P16)</f>
        <v>0</v>
      </c>
      <c r="S16" s="102"/>
    </row>
    <row r="17" customFormat="false" ht="15.75" hidden="false" customHeight="false" outlineLevel="0" collapsed="false">
      <c r="A17" s="89" t="n">
        <v>0.21875</v>
      </c>
      <c r="B17" s="90" t="s">
        <v>39</v>
      </c>
      <c r="C17" s="97" t="n">
        <f aca="false">SUM(D16)</f>
        <v>49948600</v>
      </c>
      <c r="D17" s="75" t="n">
        <v>49965620</v>
      </c>
      <c r="E17" s="91" t="n">
        <f aca="false">SUM(D17-C17)</f>
        <v>17020</v>
      </c>
      <c r="F17" s="128" t="n">
        <v>17019</v>
      </c>
      <c r="G17" s="41" t="n">
        <v>0.8327</v>
      </c>
      <c r="H17" s="93" t="n">
        <f aca="false">SUM(G17*F17)</f>
        <v>14171.7213</v>
      </c>
      <c r="I17" s="173" t="n">
        <v>251</v>
      </c>
      <c r="J17" s="29" t="n">
        <v>6511</v>
      </c>
      <c r="K17" s="94"/>
      <c r="L17" s="88"/>
      <c r="M17" s="88" t="s">
        <v>49</v>
      </c>
      <c r="N17" s="82"/>
      <c r="O17" s="82"/>
      <c r="P17" s="82"/>
      <c r="Q17" s="83"/>
      <c r="R17" s="84"/>
      <c r="S17" s="85"/>
    </row>
    <row r="18" customFormat="false" ht="15.75" hidden="false" customHeight="false" outlineLevel="0" collapsed="false">
      <c r="A18" s="89" t="n">
        <v>0.236111111111111</v>
      </c>
      <c r="B18" s="90" t="s">
        <v>39</v>
      </c>
      <c r="C18" s="97" t="n">
        <f aca="false">SUM(D17)</f>
        <v>49965620</v>
      </c>
      <c r="D18" s="75" t="n">
        <v>49988040</v>
      </c>
      <c r="E18" s="91" t="n">
        <f aca="false">SUM(D18-C18)</f>
        <v>22420</v>
      </c>
      <c r="F18" s="163" t="n">
        <v>22430</v>
      </c>
      <c r="G18" s="41" t="n">
        <v>0.8327</v>
      </c>
      <c r="H18" s="93" t="n">
        <f aca="false">SUM(G18*F18)</f>
        <v>18677.461</v>
      </c>
      <c r="I18" s="173" t="n">
        <v>388</v>
      </c>
      <c r="J18" s="29" t="n">
        <v>6512</v>
      </c>
      <c r="K18" s="94"/>
      <c r="L18" s="95"/>
      <c r="M18" s="104"/>
      <c r="N18" s="129"/>
      <c r="O18" s="98"/>
      <c r="P18" s="108" t="n">
        <f aca="false">SUM(O18-N18)</f>
        <v>0</v>
      </c>
      <c r="Q18" s="41"/>
      <c r="R18" s="93" t="n">
        <f aca="false">SUM(Q18*P18)</f>
        <v>0</v>
      </c>
      <c r="S18" s="102"/>
      <c r="T18" s="0" t="s">
        <v>41</v>
      </c>
    </row>
    <row r="19" customFormat="false" ht="15.75" hidden="false" customHeight="false" outlineLevel="0" collapsed="false">
      <c r="A19" s="89" t="n">
        <v>0.295138888888889</v>
      </c>
      <c r="B19" s="90" t="s">
        <v>38</v>
      </c>
      <c r="C19" s="97" t="n">
        <f aca="false">SUM(D18)</f>
        <v>49988040</v>
      </c>
      <c r="D19" s="75" t="n">
        <v>50005070</v>
      </c>
      <c r="E19" s="91" t="n">
        <f aca="false">SUM(D19-C19)</f>
        <v>17030</v>
      </c>
      <c r="F19" s="128" t="n">
        <v>17019</v>
      </c>
      <c r="G19" s="41" t="n">
        <v>0.8298</v>
      </c>
      <c r="H19" s="93" t="n">
        <f aca="false">SUM(G19*F19)</f>
        <v>14122.3662</v>
      </c>
      <c r="I19" s="164" t="n">
        <v>251</v>
      </c>
      <c r="J19" s="29" t="n">
        <v>6514</v>
      </c>
      <c r="K19" s="94"/>
      <c r="L19" s="95"/>
      <c r="M19" s="104"/>
      <c r="N19" s="97" t="n">
        <f aca="false">SUM(O18)</f>
        <v>0</v>
      </c>
      <c r="O19" s="98"/>
      <c r="P19" s="108" t="n">
        <f aca="false">SUM(O19-N19)</f>
        <v>0</v>
      </c>
      <c r="Q19" s="41"/>
      <c r="R19" s="93" t="n">
        <f aca="false">SUM(Q19*P19)</f>
        <v>0</v>
      </c>
      <c r="S19" s="102"/>
    </row>
    <row r="20" customFormat="false" ht="15.75" hidden="false" customHeight="false" outlineLevel="0" collapsed="false">
      <c r="A20" s="89" t="n">
        <v>0.309027777777778</v>
      </c>
      <c r="B20" s="90" t="s">
        <v>38</v>
      </c>
      <c r="C20" s="97" t="n">
        <f aca="false">SUM(D19)</f>
        <v>50005070</v>
      </c>
      <c r="D20" s="75" t="n">
        <v>50027490</v>
      </c>
      <c r="E20" s="91" t="n">
        <f aca="false">SUM(D20-C20)</f>
        <v>22420</v>
      </c>
      <c r="F20" s="163" t="n">
        <v>22430</v>
      </c>
      <c r="G20" s="41" t="n">
        <v>0.8298</v>
      </c>
      <c r="H20" s="93" t="n">
        <f aca="false">SUM(G20*F20)</f>
        <v>18612.414</v>
      </c>
      <c r="I20" s="164" t="n">
        <v>388</v>
      </c>
      <c r="J20" s="29" t="n">
        <v>6515</v>
      </c>
      <c r="K20" s="94"/>
      <c r="L20" s="95"/>
      <c r="M20" s="104"/>
      <c r="N20" s="97" t="n">
        <f aca="false">SUM(O19)</f>
        <v>0</v>
      </c>
      <c r="O20" s="98"/>
      <c r="P20" s="108" t="n">
        <f aca="false">SUM(O20-N20)</f>
        <v>0</v>
      </c>
      <c r="Q20" s="41"/>
      <c r="R20" s="93" t="n">
        <f aca="false">SUM(Q20*P20)</f>
        <v>0</v>
      </c>
      <c r="S20" s="102"/>
    </row>
    <row r="21" customFormat="false" ht="15" hidden="false" customHeight="false" outlineLevel="0" collapsed="false">
      <c r="A21" s="89"/>
      <c r="B21" s="90"/>
      <c r="C21" s="97" t="n">
        <v>0</v>
      </c>
      <c r="D21" s="75"/>
      <c r="E21" s="91" t="n">
        <f aca="false">SUM(D21-C21)</f>
        <v>0</v>
      </c>
      <c r="F21" s="92" t="n">
        <f aca="false">SUM(D21-C21)</f>
        <v>0</v>
      </c>
      <c r="G21" s="41"/>
      <c r="H21" s="93" t="n">
        <f aca="false">SUM(G21*F21)</f>
        <v>0</v>
      </c>
      <c r="I21" s="1"/>
      <c r="J21" s="29"/>
      <c r="K21" s="94"/>
      <c r="L21" s="95"/>
      <c r="M21" s="104"/>
      <c r="N21" s="97" t="n">
        <f aca="false">SUM(O20)</f>
        <v>0</v>
      </c>
      <c r="O21" s="98"/>
      <c r="P21" s="108" t="n">
        <f aca="false">SUM(O21-N21)</f>
        <v>0</v>
      </c>
      <c r="Q21" s="41"/>
      <c r="R21" s="93" t="n">
        <f aca="false">SUM(Q21*P21)</f>
        <v>0</v>
      </c>
      <c r="S21" s="102"/>
    </row>
    <row r="22" customFormat="false" ht="15" hidden="false" customHeight="false" outlineLevel="0" collapsed="false">
      <c r="A22" s="89"/>
      <c r="B22" s="90"/>
      <c r="C22" s="97" t="n">
        <f aca="false">SUM(D21)</f>
        <v>0</v>
      </c>
      <c r="D22" s="75"/>
      <c r="E22" s="91" t="n">
        <f aca="false">SUM(D22-C22)</f>
        <v>0</v>
      </c>
      <c r="F22" s="108" t="n">
        <f aca="false">SUM(D22-C22)</f>
        <v>0</v>
      </c>
      <c r="G22" s="41"/>
      <c r="H22" s="93" t="n">
        <f aca="false">SUM(G22*F22)</f>
        <v>0</v>
      </c>
      <c r="I22" s="1"/>
      <c r="J22" s="29"/>
      <c r="K22" s="94"/>
      <c r="L22" s="95"/>
      <c r="M22" s="104"/>
      <c r="N22" s="97" t="n">
        <f aca="false">SUM(O21)</f>
        <v>0</v>
      </c>
      <c r="O22" s="98"/>
      <c r="P22" s="108" t="n">
        <f aca="false">SUM(O22-N22)</f>
        <v>0</v>
      </c>
      <c r="Q22" s="41"/>
      <c r="R22" s="93" t="n">
        <f aca="false">SUM(Q22*P22)</f>
        <v>0</v>
      </c>
      <c r="S22" s="102"/>
    </row>
    <row r="23" customFormat="false" ht="15" hidden="false" customHeight="false" outlineLevel="0" collapsed="false">
      <c r="A23" s="89"/>
      <c r="B23" s="90"/>
      <c r="C23" s="97" t="n">
        <f aca="false">SUM(D22)</f>
        <v>0</v>
      </c>
      <c r="D23" s="75"/>
      <c r="E23" s="91" t="n">
        <f aca="false">SUM(D23-C23)</f>
        <v>0</v>
      </c>
      <c r="F23" s="108" t="n">
        <f aca="false">SUM(D23-C23)</f>
        <v>0</v>
      </c>
      <c r="G23" s="41"/>
      <c r="H23" s="93" t="n">
        <f aca="false">SUM(G23*F23)</f>
        <v>0</v>
      </c>
      <c r="I23" s="1"/>
      <c r="J23" s="29"/>
      <c r="K23" s="94"/>
      <c r="L23" s="95"/>
      <c r="M23" s="104"/>
      <c r="N23" s="97" t="n">
        <f aca="false">SUM(O22)</f>
        <v>0</v>
      </c>
      <c r="O23" s="98"/>
      <c r="P23" s="108" t="n">
        <f aca="false">SUM(O23-N23)</f>
        <v>0</v>
      </c>
      <c r="Q23" s="41"/>
      <c r="R23" s="93" t="n">
        <f aca="false">SUM(Q23*P23)</f>
        <v>0</v>
      </c>
      <c r="S23" s="102"/>
    </row>
    <row r="24" customFormat="false" ht="15" hidden="false" customHeight="false" outlineLevel="0" collapsed="false">
      <c r="A24" s="89"/>
      <c r="B24" s="90"/>
      <c r="C24" s="97" t="n">
        <f aca="false">SUM(D23)</f>
        <v>0</v>
      </c>
      <c r="D24" s="75"/>
      <c r="E24" s="91" t="n">
        <f aca="false">SUM(D24-C24)</f>
        <v>0</v>
      </c>
      <c r="F24" s="108" t="n">
        <f aca="false">SUM(D24-C24)</f>
        <v>0</v>
      </c>
      <c r="G24" s="41"/>
      <c r="H24" s="93" t="n">
        <f aca="false">SUM(G24*F24)</f>
        <v>0</v>
      </c>
      <c r="I24" s="1"/>
      <c r="J24" s="29"/>
      <c r="K24" s="94"/>
      <c r="L24" s="95"/>
      <c r="M24" s="104"/>
      <c r="N24" s="97" t="n">
        <f aca="false">SUM(O23)</f>
        <v>0</v>
      </c>
      <c r="O24" s="98"/>
      <c r="P24" s="108" t="n">
        <f aca="false">SUM(O24-N24)</f>
        <v>0</v>
      </c>
      <c r="Q24" s="41"/>
      <c r="R24" s="93" t="n">
        <f aca="false">SUM(Q24*P24)</f>
        <v>0</v>
      </c>
      <c r="S24" s="102"/>
    </row>
    <row r="25" customFormat="false" ht="15" hidden="false" customHeight="false" outlineLevel="0" collapsed="false">
      <c r="A25" s="89"/>
      <c r="B25" s="90"/>
      <c r="C25" s="97" t="n">
        <f aca="false">SUM(D24)</f>
        <v>0</v>
      </c>
      <c r="D25" s="75"/>
      <c r="E25" s="91" t="n">
        <f aca="false">SUM(D25-C25)</f>
        <v>0</v>
      </c>
      <c r="F25" s="130" t="n">
        <f aca="false">SUM(D25-C25)</f>
        <v>0</v>
      </c>
      <c r="G25" s="41"/>
      <c r="H25" s="131" t="n">
        <f aca="false">SUM(G25*F25)</f>
        <v>0</v>
      </c>
      <c r="I25" s="1"/>
      <c r="J25" s="29"/>
      <c r="K25" s="94"/>
      <c r="L25" s="95"/>
      <c r="M25" s="96"/>
      <c r="N25" s="97" t="n">
        <f aca="false">SUM(O24)</f>
        <v>0</v>
      </c>
      <c r="O25" s="98"/>
      <c r="P25" s="108" t="n">
        <f aca="false">SUM(O25-N25)</f>
        <v>0</v>
      </c>
      <c r="Q25" s="100"/>
      <c r="R25" s="93" t="n">
        <f aca="false">SUM(Q25*P25)</f>
        <v>0</v>
      </c>
      <c r="S25" s="1"/>
    </row>
    <row r="26" customFormat="false" ht="15" hidden="false" customHeight="false" outlineLevel="0" collapsed="false">
      <c r="A26" s="89"/>
      <c r="B26" s="90"/>
      <c r="C26" s="97" t="n">
        <f aca="false">SUM(D25)</f>
        <v>0</v>
      </c>
      <c r="D26" s="75"/>
      <c r="E26" s="109" t="n">
        <f aca="false">SUM(D26-C26)</f>
        <v>0</v>
      </c>
      <c r="F26" s="174" t="n">
        <v>276977</v>
      </c>
      <c r="G26" s="133"/>
      <c r="H26" s="175" t="n">
        <v>230087</v>
      </c>
      <c r="I26" s="135"/>
      <c r="J26" s="29"/>
      <c r="K26" s="94"/>
      <c r="L26" s="95"/>
      <c r="M26" s="96"/>
      <c r="N26" s="97" t="n">
        <f aca="false">SUM(O25)</f>
        <v>0</v>
      </c>
      <c r="O26" s="98"/>
      <c r="P26" s="108" t="n">
        <f aca="false">SUM(O26-N26)</f>
        <v>0</v>
      </c>
      <c r="Q26" s="100"/>
      <c r="R26" s="93" t="n">
        <f aca="false">SUM(Q26*P26)</f>
        <v>0</v>
      </c>
      <c r="S26" s="102"/>
    </row>
    <row r="27" customFormat="false" ht="15" hidden="false" customHeight="false" outlineLevel="0" collapsed="false">
      <c r="A27" s="88"/>
      <c r="B27" s="81" t="s">
        <v>49</v>
      </c>
      <c r="C27" s="82"/>
      <c r="D27" s="82"/>
      <c r="E27" s="82"/>
      <c r="F27" s="136"/>
      <c r="G27" s="83"/>
      <c r="H27" s="137"/>
      <c r="I27" s="85"/>
      <c r="J27" s="85"/>
      <c r="L27" s="117"/>
      <c r="M27" s="117"/>
      <c r="N27" s="117"/>
      <c r="O27" s="117"/>
      <c r="P27" s="117"/>
      <c r="Q27" s="117"/>
      <c r="R27" s="117"/>
      <c r="S27" s="117"/>
    </row>
    <row r="28" customFormat="false" ht="15.75" hidden="false" customHeight="false" outlineLevel="0" collapsed="false">
      <c r="A28" s="89" t="n">
        <v>0.40625</v>
      </c>
      <c r="B28" s="143" t="s">
        <v>57</v>
      </c>
      <c r="C28" s="97" t="n">
        <v>2304420</v>
      </c>
      <c r="D28" s="107" t="n">
        <v>2312200</v>
      </c>
      <c r="E28" s="91" t="n">
        <f aca="false">SUM(D28-C28)</f>
        <v>7780</v>
      </c>
      <c r="F28" s="108" t="n">
        <v>7730</v>
      </c>
      <c r="G28" s="41" t="n">
        <v>0.825</v>
      </c>
      <c r="H28" s="93" t="n">
        <f aca="false">SUM(G28*F28)</f>
        <v>6377.25</v>
      </c>
      <c r="I28" s="176" t="n">
        <v>119</v>
      </c>
      <c r="J28" s="181" t="n">
        <v>6473</v>
      </c>
      <c r="K28" s="119" t="s">
        <v>91</v>
      </c>
      <c r="L28" s="117"/>
      <c r="M28" s="117"/>
      <c r="N28" s="117"/>
      <c r="O28" s="117"/>
      <c r="P28" s="117"/>
      <c r="Q28" s="117"/>
      <c r="R28" s="117"/>
      <c r="S28" s="117"/>
    </row>
    <row r="29" customFormat="false" ht="14.25" hidden="false" customHeight="true" outlineLevel="0" collapsed="false">
      <c r="A29" s="89" t="n">
        <v>0.427083333333333</v>
      </c>
      <c r="B29" s="177" t="s">
        <v>90</v>
      </c>
      <c r="C29" s="97" t="n">
        <f aca="false">SUM(D28)</f>
        <v>2312200</v>
      </c>
      <c r="D29" s="107" t="n">
        <v>2323520</v>
      </c>
      <c r="E29" s="91" t="n">
        <f aca="false">SUM(D29-C29)</f>
        <v>11320</v>
      </c>
      <c r="F29" s="108" t="n">
        <v>11266</v>
      </c>
      <c r="G29" s="41" t="n">
        <v>0.8234</v>
      </c>
      <c r="H29" s="93" t="n">
        <f aca="false">SUM(G29*F29)</f>
        <v>9276.4244</v>
      </c>
      <c r="I29" s="178" t="n">
        <v>81</v>
      </c>
      <c r="J29" s="1" t="n">
        <v>6475</v>
      </c>
      <c r="K29" s="118" t="s">
        <v>60</v>
      </c>
      <c r="L29" s="117"/>
      <c r="M29" s="117"/>
      <c r="N29" s="117"/>
      <c r="O29" s="117"/>
      <c r="P29" s="117"/>
      <c r="Q29" s="117"/>
      <c r="R29" s="117"/>
      <c r="S29" s="117"/>
    </row>
    <row r="30" customFormat="false" ht="15" hidden="false" customHeight="true" outlineLevel="0" collapsed="false">
      <c r="A30" s="89" t="n">
        <v>0.4375</v>
      </c>
      <c r="B30" s="179" t="s">
        <v>72</v>
      </c>
      <c r="C30" s="97" t="n">
        <f aca="false">SUM(D29)</f>
        <v>2323520</v>
      </c>
      <c r="D30" s="107" t="n">
        <v>2340640</v>
      </c>
      <c r="E30" s="91" t="n">
        <f aca="false">SUM(D30-C30)</f>
        <v>17120</v>
      </c>
      <c r="F30" s="128" t="n">
        <v>17019</v>
      </c>
      <c r="G30" s="41" t="n">
        <v>0.8231</v>
      </c>
      <c r="H30" s="93" t="n">
        <f aca="false">SUM(G30*F30)</f>
        <v>14008.3389</v>
      </c>
      <c r="I30" s="180" t="n">
        <v>251</v>
      </c>
      <c r="J30" s="1" t="n">
        <v>6476</v>
      </c>
      <c r="K30" s="118" t="s">
        <v>60</v>
      </c>
      <c r="L30" s="117"/>
      <c r="M30" s="117"/>
      <c r="N30" s="117"/>
      <c r="O30" s="117"/>
      <c r="P30" s="117"/>
      <c r="Q30" s="117"/>
      <c r="R30" s="117"/>
      <c r="S30" s="117"/>
    </row>
    <row r="31" customFormat="false" ht="15.75" hidden="false" customHeight="false" outlineLevel="0" collapsed="false">
      <c r="A31" s="89" t="n">
        <v>0.451388888888889</v>
      </c>
      <c r="B31" s="90" t="s">
        <v>90</v>
      </c>
      <c r="C31" s="97" t="n">
        <f aca="false">SUM(D30)</f>
        <v>2340640</v>
      </c>
      <c r="D31" s="107" t="n">
        <v>2346450</v>
      </c>
      <c r="E31" s="91" t="n">
        <f aca="false">SUM(D31-C31)</f>
        <v>5810</v>
      </c>
      <c r="F31" s="108" t="n">
        <v>5772</v>
      </c>
      <c r="G31" s="41" t="n">
        <v>0.8234</v>
      </c>
      <c r="H31" s="93" t="n">
        <f aca="false">SUM(G31*F31)</f>
        <v>4752.6648</v>
      </c>
      <c r="I31" s="178" t="n">
        <v>57</v>
      </c>
      <c r="J31" s="1" t="n">
        <v>6478</v>
      </c>
      <c r="K31" s="118" t="s">
        <v>60</v>
      </c>
      <c r="L31" s="117"/>
      <c r="M31" s="117"/>
      <c r="N31" s="117"/>
      <c r="O31" s="117"/>
      <c r="P31" s="117"/>
      <c r="Q31" s="117"/>
      <c r="R31" s="117"/>
      <c r="S31" s="117"/>
    </row>
    <row r="32" customFormat="false" ht="15.75" hidden="false" customHeight="false" outlineLevel="0" collapsed="false">
      <c r="A32" s="89" t="n">
        <v>0.461805555555556</v>
      </c>
      <c r="B32" s="90" t="s">
        <v>72</v>
      </c>
      <c r="C32" s="97" t="n">
        <f aca="false">SUM(D31)</f>
        <v>2346450</v>
      </c>
      <c r="D32" s="107" t="n">
        <v>2354650</v>
      </c>
      <c r="E32" s="91" t="n">
        <f aca="false">SUM(D32-C32)</f>
        <v>8200</v>
      </c>
      <c r="F32" s="108" t="n">
        <v>8147</v>
      </c>
      <c r="G32" s="41" t="n">
        <v>0.8231</v>
      </c>
      <c r="H32" s="93" t="n">
        <f aca="false">SUM(G32*F32)</f>
        <v>6705.7957</v>
      </c>
      <c r="I32" s="180" t="n">
        <v>382</v>
      </c>
      <c r="J32" s="1" t="n">
        <v>6480</v>
      </c>
      <c r="K32" s="118" t="s">
        <v>60</v>
      </c>
      <c r="L32" s="117"/>
      <c r="M32" s="117"/>
      <c r="N32" s="117"/>
      <c r="O32" s="117"/>
      <c r="P32" s="117"/>
      <c r="Q32" s="117"/>
      <c r="R32" s="117"/>
      <c r="S32" s="117"/>
    </row>
    <row r="33" customFormat="false" ht="15.75" hidden="false" customHeight="false" outlineLevel="0" collapsed="false">
      <c r="A33" s="89" t="n">
        <v>0.493055555555556</v>
      </c>
      <c r="B33" s="90" t="s">
        <v>57</v>
      </c>
      <c r="C33" s="97" t="n">
        <f aca="false">SUM(D32)</f>
        <v>2354650</v>
      </c>
      <c r="D33" s="107" t="n">
        <v>2371760</v>
      </c>
      <c r="E33" s="91" t="n">
        <f aca="false">SUM(D33-C33)</f>
        <v>17110</v>
      </c>
      <c r="F33" s="128" t="n">
        <v>17019</v>
      </c>
      <c r="G33" s="41" t="n">
        <v>0.825</v>
      </c>
      <c r="H33" s="93" t="n">
        <f aca="false">SUM(G33*F33)</f>
        <v>14040.675</v>
      </c>
      <c r="I33" s="176" t="n">
        <v>251</v>
      </c>
      <c r="J33" s="181" t="n">
        <v>6483</v>
      </c>
      <c r="K33" s="119" t="s">
        <v>91</v>
      </c>
      <c r="L33" s="117"/>
      <c r="M33" s="117"/>
      <c r="N33" s="117"/>
      <c r="O33" s="117"/>
      <c r="P33" s="117"/>
      <c r="Q33" s="117"/>
      <c r="R33" s="117"/>
      <c r="S33" s="117"/>
    </row>
    <row r="34" customFormat="false" ht="15.75" hidden="false" customHeight="false" outlineLevel="0" collapsed="false">
      <c r="A34" s="89" t="n">
        <v>0.548611111111111</v>
      </c>
      <c r="B34" s="90" t="s">
        <v>72</v>
      </c>
      <c r="C34" s="97" t="n">
        <f aca="false">SUM(D33)</f>
        <v>2371760</v>
      </c>
      <c r="D34" s="107" t="n">
        <v>2383910</v>
      </c>
      <c r="E34" s="91" t="n">
        <f aca="false">SUM(D34-C34)</f>
        <v>12150</v>
      </c>
      <c r="F34" s="108" t="n">
        <v>12093</v>
      </c>
      <c r="G34" s="41" t="n">
        <v>0.8231</v>
      </c>
      <c r="H34" s="93" t="n">
        <f aca="false">SUM(G34*F34)</f>
        <v>9953.7483</v>
      </c>
      <c r="I34" s="180" t="n">
        <v>119</v>
      </c>
      <c r="J34" s="1" t="n">
        <v>6485</v>
      </c>
      <c r="K34" s="118" t="s">
        <v>96</v>
      </c>
      <c r="L34" s="117"/>
      <c r="M34" s="117"/>
      <c r="N34" s="94"/>
      <c r="O34" s="117"/>
      <c r="P34" s="117"/>
      <c r="Q34" s="117"/>
      <c r="R34" s="117"/>
      <c r="S34" s="117"/>
    </row>
    <row r="35" customFormat="false" ht="15.75" hidden="false" customHeight="false" outlineLevel="0" collapsed="false">
      <c r="A35" s="89" t="n">
        <v>0.5625</v>
      </c>
      <c r="B35" s="90" t="s">
        <v>72</v>
      </c>
      <c r="C35" s="97" t="n">
        <f aca="false">SUM(D34)</f>
        <v>2383910</v>
      </c>
      <c r="D35" s="107" t="n">
        <v>2394760</v>
      </c>
      <c r="E35" s="91" t="n">
        <f aca="false">SUM(D35-C35)</f>
        <v>10850</v>
      </c>
      <c r="F35" s="108" t="n">
        <v>10798</v>
      </c>
      <c r="G35" s="41" t="n">
        <v>0.8231</v>
      </c>
      <c r="H35" s="93" t="n">
        <f aca="false">SUM(G35*F35)</f>
        <v>8887.8338</v>
      </c>
      <c r="I35" s="180" t="n">
        <v>81</v>
      </c>
      <c r="J35" s="29" t="n">
        <v>6486</v>
      </c>
      <c r="K35" s="118" t="s">
        <v>60</v>
      </c>
      <c r="L35" s="117"/>
      <c r="M35" s="117"/>
      <c r="N35" s="94"/>
      <c r="O35" s="117"/>
      <c r="P35" s="117"/>
      <c r="Q35" s="117"/>
      <c r="R35" s="117"/>
      <c r="S35" s="117"/>
    </row>
    <row r="36" customFormat="false" ht="15.75" hidden="false" customHeight="false" outlineLevel="0" collapsed="false">
      <c r="A36" s="89" t="n">
        <v>0.590277777777778</v>
      </c>
      <c r="B36" s="90" t="s">
        <v>72</v>
      </c>
      <c r="C36" s="97" t="n">
        <f aca="false">SUM(D35)</f>
        <v>2394760</v>
      </c>
      <c r="D36" s="107" t="n">
        <v>2400750</v>
      </c>
      <c r="E36" s="91" t="n">
        <f aca="false">SUM(D36-C36)</f>
        <v>5990</v>
      </c>
      <c r="F36" s="108" t="n">
        <v>5926</v>
      </c>
      <c r="G36" s="41" t="n">
        <v>0.8231</v>
      </c>
      <c r="H36" s="93" t="n">
        <f aca="false">SUM(G36*F36)</f>
        <v>4877.6906</v>
      </c>
      <c r="I36" s="180" t="n">
        <v>57</v>
      </c>
      <c r="J36" s="29" t="n">
        <v>6487</v>
      </c>
      <c r="K36" s="118" t="s">
        <v>60</v>
      </c>
      <c r="L36" s="117"/>
      <c r="M36" s="117"/>
      <c r="N36" s="94"/>
      <c r="O36" s="117"/>
      <c r="P36" s="117"/>
      <c r="Q36" s="117"/>
      <c r="R36" s="117"/>
      <c r="S36" s="117"/>
    </row>
    <row r="37" customFormat="false" ht="15" hidden="false" customHeight="true" outlineLevel="0" collapsed="false">
      <c r="A37" s="89" t="n">
        <v>0.597222222222222</v>
      </c>
      <c r="B37" s="90" t="s">
        <v>72</v>
      </c>
      <c r="C37" s="97" t="n">
        <f aca="false">SUM(D36)</f>
        <v>2400750</v>
      </c>
      <c r="D37" s="107" t="n">
        <v>2405900</v>
      </c>
      <c r="E37" s="91" t="n">
        <f aca="false">SUM(D37-C37)</f>
        <v>5150</v>
      </c>
      <c r="F37" s="108" t="n">
        <v>5117</v>
      </c>
      <c r="G37" s="41" t="n">
        <v>0.8231</v>
      </c>
      <c r="H37" s="93" t="n">
        <f aca="false">SUM(G37*F37)</f>
        <v>4211.8027</v>
      </c>
      <c r="I37" s="180" t="n">
        <v>382</v>
      </c>
      <c r="J37" s="29" t="n">
        <v>6488</v>
      </c>
      <c r="K37" s="118" t="s">
        <v>60</v>
      </c>
      <c r="L37" s="117"/>
      <c r="M37" s="117"/>
      <c r="N37" s="94"/>
      <c r="O37" s="117"/>
      <c r="P37" s="117"/>
      <c r="Q37" s="117"/>
      <c r="R37" s="117"/>
      <c r="S37" s="117"/>
    </row>
    <row r="38" customFormat="false" ht="15.75" hidden="false" customHeight="false" outlineLevel="0" collapsed="false">
      <c r="A38" s="89" t="n">
        <v>0.604166666666667</v>
      </c>
      <c r="B38" s="90" t="s">
        <v>57</v>
      </c>
      <c r="C38" s="97" t="n">
        <f aca="false">SUM(D37)</f>
        <v>2405900</v>
      </c>
      <c r="D38" s="107" t="n">
        <v>2411440</v>
      </c>
      <c r="E38" s="91" t="n">
        <f aca="false">SUM(D38-C38)</f>
        <v>5540</v>
      </c>
      <c r="F38" s="108" t="n">
        <v>5500</v>
      </c>
      <c r="G38" s="41" t="n">
        <v>0.825</v>
      </c>
      <c r="H38" s="93" t="n">
        <f aca="false">SUM(G38*F38)</f>
        <v>4537.5</v>
      </c>
      <c r="I38" s="176" t="n">
        <v>467</v>
      </c>
      <c r="J38" s="181" t="n">
        <v>6489</v>
      </c>
      <c r="K38" s="119" t="s">
        <v>91</v>
      </c>
      <c r="L38" s="117"/>
      <c r="M38" s="117"/>
      <c r="N38" s="117"/>
      <c r="O38" s="117"/>
      <c r="P38" s="117"/>
      <c r="Q38" s="117"/>
      <c r="R38" s="117"/>
      <c r="S38" s="117"/>
    </row>
    <row r="39" customFormat="false" ht="15.75" hidden="false" customHeight="false" outlineLevel="0" collapsed="false">
      <c r="A39" s="89" t="n">
        <v>0.635416666666667</v>
      </c>
      <c r="B39" s="90" t="s">
        <v>57</v>
      </c>
      <c r="C39" s="97" t="n">
        <f aca="false">SUM(D38)</f>
        <v>2411440</v>
      </c>
      <c r="D39" s="107" t="n">
        <v>2412470</v>
      </c>
      <c r="E39" s="91" t="n">
        <f aca="false">SUM(D39-C39)</f>
        <v>1030</v>
      </c>
      <c r="F39" s="108" t="n">
        <v>1010</v>
      </c>
      <c r="G39" s="41" t="n">
        <v>0.825</v>
      </c>
      <c r="H39" s="93" t="n">
        <f aca="false">SUM(G39*F39)</f>
        <v>833.25</v>
      </c>
      <c r="I39" s="176" t="n">
        <v>467</v>
      </c>
      <c r="J39" s="181" t="n">
        <v>6490</v>
      </c>
      <c r="K39" s="119" t="s">
        <v>91</v>
      </c>
      <c r="L39" s="117"/>
      <c r="M39" s="117"/>
      <c r="N39" s="117"/>
      <c r="O39" s="117"/>
      <c r="P39" s="117"/>
      <c r="Q39" s="117"/>
      <c r="R39" s="117"/>
      <c r="S39" s="117"/>
    </row>
    <row r="40" customFormat="false" ht="15.75" hidden="false" customHeight="false" outlineLevel="0" collapsed="false">
      <c r="A40" s="89" t="n">
        <v>0.680555555555555</v>
      </c>
      <c r="B40" s="90" t="s">
        <v>72</v>
      </c>
      <c r="C40" s="97" t="n">
        <f aca="false">SUM(D39)</f>
        <v>2412470</v>
      </c>
      <c r="D40" s="107" t="n">
        <v>2422510</v>
      </c>
      <c r="E40" s="91" t="n">
        <f aca="false">SUM(D40-C40)</f>
        <v>10040</v>
      </c>
      <c r="F40" s="128" t="n">
        <v>9986</v>
      </c>
      <c r="G40" s="41" t="n">
        <v>0.8229</v>
      </c>
      <c r="H40" s="93" t="n">
        <f aca="false">SUM(G40*F40)</f>
        <v>8217.4794</v>
      </c>
      <c r="I40" s="180" t="n">
        <v>251</v>
      </c>
      <c r="J40" s="29" t="n">
        <v>6491</v>
      </c>
      <c r="K40" s="118" t="s">
        <v>60</v>
      </c>
      <c r="L40" s="117"/>
      <c r="M40" s="117"/>
      <c r="N40" s="117"/>
      <c r="O40" s="117"/>
      <c r="P40" s="117"/>
      <c r="Q40" s="117"/>
      <c r="R40" s="117"/>
      <c r="S40" s="117"/>
    </row>
    <row r="41" customFormat="false" ht="15.75" hidden="false" customHeight="false" outlineLevel="0" collapsed="false">
      <c r="A41" s="89" t="n">
        <v>0.6875</v>
      </c>
      <c r="B41" s="182" t="s">
        <v>55</v>
      </c>
      <c r="C41" s="97" t="n">
        <f aca="false">SUM(D40)</f>
        <v>2422510</v>
      </c>
      <c r="D41" s="107" t="n">
        <v>2429590</v>
      </c>
      <c r="E41" s="91" t="n">
        <f aca="false">SUM(D41-C41)</f>
        <v>7080</v>
      </c>
      <c r="F41" s="128" t="n">
        <v>7033</v>
      </c>
      <c r="G41" s="41" t="n">
        <v>0.8224</v>
      </c>
      <c r="H41" s="93" t="n">
        <f aca="false">SUM(G41*F41)</f>
        <v>5783.9392</v>
      </c>
      <c r="I41" s="183" t="n">
        <v>251</v>
      </c>
      <c r="J41" s="29" t="n">
        <v>6492</v>
      </c>
      <c r="K41" s="118" t="s">
        <v>60</v>
      </c>
      <c r="L41" s="117"/>
      <c r="M41" s="117"/>
      <c r="N41" s="117"/>
      <c r="O41" s="117"/>
      <c r="P41" s="117"/>
      <c r="Q41" s="117"/>
      <c r="R41" s="117"/>
      <c r="S41" s="117"/>
    </row>
    <row r="42" customFormat="false" ht="15.75" hidden="false" customHeight="false" outlineLevel="0" collapsed="false">
      <c r="A42" s="89" t="n">
        <v>0.732638888888889</v>
      </c>
      <c r="B42" s="90" t="s">
        <v>57</v>
      </c>
      <c r="C42" s="97" t="n">
        <f aca="false">SUM(D41)</f>
        <v>2429590</v>
      </c>
      <c r="D42" s="107" t="n">
        <v>2446700</v>
      </c>
      <c r="E42" s="91" t="n">
        <f aca="false">SUM(D42-C42)</f>
        <v>17110</v>
      </c>
      <c r="F42" s="128" t="n">
        <v>17019</v>
      </c>
      <c r="G42" s="41" t="n">
        <v>0.8242</v>
      </c>
      <c r="H42" s="93" t="n">
        <f aca="false">SUM(G42*F42)</f>
        <v>14027.0598</v>
      </c>
      <c r="I42" s="176" t="n">
        <v>251</v>
      </c>
      <c r="J42" s="181" t="n">
        <v>6494</v>
      </c>
      <c r="K42" s="119" t="s">
        <v>91</v>
      </c>
      <c r="L42" s="117"/>
      <c r="M42" s="117"/>
      <c r="N42" s="117"/>
      <c r="O42" s="117"/>
      <c r="P42" s="117"/>
      <c r="Q42" s="117"/>
      <c r="R42" s="117"/>
      <c r="S42" s="117"/>
    </row>
    <row r="43" customFormat="false" ht="15.75" hidden="false" customHeight="false" outlineLevel="0" collapsed="false">
      <c r="A43" s="89" t="n">
        <v>0.777777777777778</v>
      </c>
      <c r="B43" s="90" t="s">
        <v>55</v>
      </c>
      <c r="C43" s="97" t="n">
        <f aca="false">SUM(D42)</f>
        <v>2446700</v>
      </c>
      <c r="D43" s="107" t="n">
        <v>2463820</v>
      </c>
      <c r="E43" s="91" t="n">
        <f aca="false">SUM(D43-C43)</f>
        <v>17120</v>
      </c>
      <c r="F43" s="128" t="n">
        <v>17019</v>
      </c>
      <c r="G43" s="41" t="n">
        <v>0.8224</v>
      </c>
      <c r="H43" s="93" t="n">
        <f aca="false">SUM(G43*F43)</f>
        <v>13996.4256</v>
      </c>
      <c r="I43" s="183" t="n">
        <v>251</v>
      </c>
      <c r="J43" s="29" t="n">
        <v>6495</v>
      </c>
      <c r="K43" s="118" t="s">
        <v>60</v>
      </c>
      <c r="L43" s="117"/>
      <c r="M43" s="117"/>
      <c r="N43" s="117"/>
      <c r="O43" s="117"/>
      <c r="P43" s="117"/>
      <c r="Q43" s="117"/>
      <c r="R43" s="117"/>
      <c r="S43" s="117"/>
    </row>
    <row r="44" customFormat="false" ht="15.75" hidden="false" customHeight="false" outlineLevel="0" collapsed="false">
      <c r="A44" s="89" t="n">
        <v>0.857638888888889</v>
      </c>
      <c r="B44" s="90" t="s">
        <v>57</v>
      </c>
      <c r="C44" s="97" t="n">
        <f aca="false">SUM(D43)</f>
        <v>2463820</v>
      </c>
      <c r="D44" s="107" t="n">
        <v>2480930</v>
      </c>
      <c r="E44" s="91" t="n">
        <f aca="false">SUM(D44-C44)</f>
        <v>17110</v>
      </c>
      <c r="F44" s="128" t="n">
        <v>17019</v>
      </c>
      <c r="G44" s="41" t="n">
        <v>0.8242</v>
      </c>
      <c r="H44" s="93" t="n">
        <f aca="false">SUM(G44*F44)</f>
        <v>14027.0598</v>
      </c>
      <c r="I44" s="176" t="n">
        <v>251</v>
      </c>
      <c r="J44" s="181" t="n">
        <v>6497</v>
      </c>
      <c r="K44" s="119" t="s">
        <v>91</v>
      </c>
      <c r="L44" s="117"/>
      <c r="M44" s="117"/>
      <c r="N44" s="117"/>
      <c r="O44" s="117"/>
      <c r="P44" s="117"/>
      <c r="Q44" s="117"/>
      <c r="R44" s="117"/>
      <c r="S44" s="117"/>
    </row>
    <row r="45" customFormat="false" ht="15.75" hidden="false" customHeight="false" outlineLevel="0" collapsed="false">
      <c r="A45" s="89" t="n">
        <v>0.885416666666667</v>
      </c>
      <c r="B45" s="90" t="s">
        <v>57</v>
      </c>
      <c r="C45" s="97" t="n">
        <f aca="false">SUM(D44)</f>
        <v>2480930</v>
      </c>
      <c r="D45" s="107" t="n">
        <v>2491020</v>
      </c>
      <c r="E45" s="91" t="n">
        <f aca="false">SUM(D45-C45)</f>
        <v>10090</v>
      </c>
      <c r="F45" s="108" t="n">
        <v>10030</v>
      </c>
      <c r="G45" s="41" t="n">
        <v>0.8242</v>
      </c>
      <c r="H45" s="93" t="n">
        <f aca="false">SUM(G45*F45)</f>
        <v>8266.726</v>
      </c>
      <c r="I45" s="176" t="n">
        <v>467</v>
      </c>
      <c r="J45" s="181" t="n">
        <v>6500</v>
      </c>
      <c r="K45" s="119" t="s">
        <v>91</v>
      </c>
      <c r="L45" s="117"/>
      <c r="M45" s="117"/>
      <c r="N45" s="117"/>
      <c r="O45" s="117"/>
      <c r="P45" s="117"/>
      <c r="Q45" s="117"/>
      <c r="R45" s="117"/>
      <c r="S45" s="117"/>
    </row>
    <row r="46" customFormat="false" ht="15.75" hidden="false" customHeight="false" outlineLevel="0" collapsed="false">
      <c r="A46" s="89" t="n">
        <v>0.916666666666667</v>
      </c>
      <c r="B46" s="90" t="s">
        <v>55</v>
      </c>
      <c r="C46" s="97" t="n">
        <f aca="false">SUM(D45)</f>
        <v>2491020</v>
      </c>
      <c r="D46" s="107" t="n">
        <v>2499310</v>
      </c>
      <c r="E46" s="91" t="n">
        <f aca="false">SUM(D46-C46)</f>
        <v>8290</v>
      </c>
      <c r="F46" s="108" t="n">
        <v>8243</v>
      </c>
      <c r="G46" s="41" t="n">
        <v>0.8224</v>
      </c>
      <c r="H46" s="93" t="n">
        <f aca="false">SUM(G46*F46)</f>
        <v>6779.0432</v>
      </c>
      <c r="I46" s="183" t="n">
        <v>382</v>
      </c>
      <c r="J46" s="29" t="n">
        <v>6503</v>
      </c>
      <c r="K46" s="118" t="s">
        <v>60</v>
      </c>
      <c r="L46" s="117"/>
      <c r="M46" s="117"/>
      <c r="N46" s="117"/>
      <c r="O46" s="117"/>
      <c r="P46" s="117"/>
      <c r="Q46" s="117"/>
      <c r="R46" s="117"/>
      <c r="S46" s="117"/>
    </row>
    <row r="47" customFormat="false" ht="15.75" hidden="false" customHeight="false" outlineLevel="0" collapsed="false">
      <c r="A47" s="89" t="n">
        <v>0.927083333333333</v>
      </c>
      <c r="B47" s="90" t="s">
        <v>55</v>
      </c>
      <c r="C47" s="97" t="n">
        <f aca="false">SUM(D46)</f>
        <v>2499310</v>
      </c>
      <c r="D47" s="107" t="n">
        <v>2506320</v>
      </c>
      <c r="E47" s="91" t="n">
        <f aca="false">SUM(D47-C47)</f>
        <v>7010</v>
      </c>
      <c r="F47" s="108" t="n">
        <v>6969</v>
      </c>
      <c r="G47" s="41" t="n">
        <v>0.8224</v>
      </c>
      <c r="H47" s="93" t="n">
        <f aca="false">SUM(G47*F47)</f>
        <v>5731.3056</v>
      </c>
      <c r="I47" s="183" t="n">
        <v>81</v>
      </c>
      <c r="J47" s="29" t="n">
        <v>6504</v>
      </c>
      <c r="K47" s="118" t="s">
        <v>60</v>
      </c>
      <c r="L47" s="117"/>
      <c r="M47" s="117"/>
      <c r="N47" s="117"/>
      <c r="O47" s="117"/>
      <c r="P47" s="117"/>
      <c r="Q47" s="117"/>
      <c r="R47" s="117"/>
      <c r="S47" s="117"/>
    </row>
    <row r="48" customFormat="false" ht="15.75" hidden="false" customHeight="false" outlineLevel="0" collapsed="false">
      <c r="A48" s="89" t="n">
        <v>0.934027777777778</v>
      </c>
      <c r="B48" s="90" t="s">
        <v>55</v>
      </c>
      <c r="C48" s="97" t="n">
        <f aca="false">SUM(D47)</f>
        <v>2506320</v>
      </c>
      <c r="D48" s="107" t="n">
        <v>2511640</v>
      </c>
      <c r="E48" s="91" t="n">
        <f aca="false">SUM(D48-C48)</f>
        <v>5320</v>
      </c>
      <c r="F48" s="108" t="n">
        <v>5280</v>
      </c>
      <c r="G48" s="41" t="n">
        <v>0.8224</v>
      </c>
      <c r="H48" s="93" t="n">
        <f aca="false">SUM(G48*F48)</f>
        <v>4342.272</v>
      </c>
      <c r="I48" s="183" t="n">
        <v>57</v>
      </c>
      <c r="J48" s="29" t="n">
        <v>6505</v>
      </c>
      <c r="K48" s="118" t="s">
        <v>60</v>
      </c>
      <c r="L48" s="117"/>
      <c r="M48" s="117"/>
      <c r="N48" s="117"/>
      <c r="O48" s="117"/>
      <c r="P48" s="117"/>
      <c r="Q48" s="117"/>
      <c r="R48" s="117"/>
      <c r="S48" s="117"/>
    </row>
    <row r="49" customFormat="false" ht="15.75" hidden="false" customHeight="false" outlineLevel="0" collapsed="false">
      <c r="A49" s="89" t="n">
        <v>0.944444444444444</v>
      </c>
      <c r="B49" s="184" t="s">
        <v>89</v>
      </c>
      <c r="C49" s="97" t="n">
        <f aca="false">SUM(D48)</f>
        <v>2511640</v>
      </c>
      <c r="D49" s="107" t="n">
        <v>2528760</v>
      </c>
      <c r="E49" s="91" t="n">
        <f aca="false">SUM(D49-C49)</f>
        <v>17120</v>
      </c>
      <c r="F49" s="128" t="n">
        <v>17019</v>
      </c>
      <c r="G49" s="41" t="n">
        <v>0.8241</v>
      </c>
      <c r="H49" s="93" t="n">
        <f aca="false">SUM(G49*F49)</f>
        <v>14025.3579</v>
      </c>
      <c r="I49" s="185" t="n">
        <v>251</v>
      </c>
      <c r="J49" s="181" t="n">
        <v>6506</v>
      </c>
      <c r="K49" s="119" t="s">
        <v>91</v>
      </c>
      <c r="L49" s="117"/>
      <c r="M49" s="117"/>
      <c r="N49" s="117"/>
      <c r="O49" s="117"/>
      <c r="P49" s="117"/>
      <c r="Q49" s="117"/>
      <c r="R49" s="117"/>
      <c r="S49" s="117"/>
    </row>
    <row r="50" customFormat="false" ht="15.75" hidden="false" customHeight="false" outlineLevel="0" collapsed="false">
      <c r="A50" s="89" t="n">
        <v>0.0763888888888889</v>
      </c>
      <c r="B50" s="90" t="s">
        <v>55</v>
      </c>
      <c r="C50" s="97" t="n">
        <f aca="false">SUM(D49)</f>
        <v>2528760</v>
      </c>
      <c r="D50" s="107" t="n">
        <v>2534780</v>
      </c>
      <c r="E50" s="91" t="n">
        <f aca="false">SUM(D50-C50)</f>
        <v>6020</v>
      </c>
      <c r="F50" s="108" t="n">
        <v>5982</v>
      </c>
      <c r="G50" s="41" t="n">
        <v>0.8224</v>
      </c>
      <c r="H50" s="93" t="n">
        <f aca="false">SUM(G50*F50)</f>
        <v>4919.5968</v>
      </c>
      <c r="I50" s="183" t="n">
        <v>57</v>
      </c>
      <c r="J50" s="29" t="n">
        <v>6507</v>
      </c>
      <c r="K50" s="118" t="s">
        <v>60</v>
      </c>
      <c r="L50" s="117"/>
      <c r="M50" s="117"/>
      <c r="N50" s="117"/>
      <c r="O50" s="117"/>
      <c r="P50" s="117"/>
      <c r="Q50" s="117"/>
      <c r="R50" s="117"/>
      <c r="S50" s="117"/>
    </row>
    <row r="51" customFormat="false" ht="15.75" hidden="false" customHeight="false" outlineLevel="0" collapsed="false">
      <c r="A51" s="89" t="n">
        <v>0.111111111111111</v>
      </c>
      <c r="B51" s="138" t="s">
        <v>52</v>
      </c>
      <c r="C51" s="97" t="n">
        <f aca="false">SUM(D50)</f>
        <v>2534780</v>
      </c>
      <c r="D51" s="107" t="n">
        <v>2549920</v>
      </c>
      <c r="E51" s="91" t="n">
        <f aca="false">SUM(D51-C51)</f>
        <v>15140</v>
      </c>
      <c r="F51" s="108" t="n">
        <v>15040</v>
      </c>
      <c r="G51" s="41" t="n">
        <v>0.8379</v>
      </c>
      <c r="H51" s="93" t="n">
        <f aca="false">SUM(G51*F51)</f>
        <v>12602.016</v>
      </c>
      <c r="I51" s="164" t="n">
        <v>467</v>
      </c>
      <c r="J51" s="29" t="n">
        <v>6509</v>
      </c>
      <c r="K51" s="119" t="s">
        <v>82</v>
      </c>
      <c r="L51" s="117"/>
      <c r="M51" s="117"/>
      <c r="N51" s="117"/>
      <c r="O51" s="117"/>
      <c r="P51" s="117"/>
      <c r="Q51" s="117"/>
      <c r="R51" s="117"/>
      <c r="S51" s="117"/>
    </row>
    <row r="52" customFormat="false" ht="15.75" hidden="false" customHeight="false" outlineLevel="0" collapsed="false">
      <c r="A52" s="89" t="n">
        <v>0.260416666666667</v>
      </c>
      <c r="B52" s="90" t="s">
        <v>89</v>
      </c>
      <c r="C52" s="97" t="n">
        <f aca="false">SUM(D51)</f>
        <v>2549920</v>
      </c>
      <c r="D52" s="107" t="n">
        <v>2567030</v>
      </c>
      <c r="E52" s="91" t="n">
        <f aca="false">SUM(D52-C52)</f>
        <v>17110</v>
      </c>
      <c r="F52" s="128" t="n">
        <v>17019</v>
      </c>
      <c r="G52" s="41" t="n">
        <v>0.8241</v>
      </c>
      <c r="H52" s="93" t="n">
        <f aca="false">SUM(G52*F52)</f>
        <v>14025.3579</v>
      </c>
      <c r="I52" s="185" t="n">
        <v>251</v>
      </c>
      <c r="J52" s="181" t="n">
        <v>6513</v>
      </c>
      <c r="K52" s="119" t="s">
        <v>91</v>
      </c>
      <c r="L52" s="117"/>
      <c r="M52" s="117"/>
      <c r="N52" s="117"/>
      <c r="O52" s="117"/>
      <c r="P52" s="117"/>
      <c r="Q52" s="117"/>
      <c r="R52" s="117"/>
      <c r="S52" s="117"/>
    </row>
    <row r="53" customFormat="false" ht="15.75" hidden="false" customHeight="false" outlineLevel="0" collapsed="false">
      <c r="A53" s="89" t="n">
        <v>0.336805555555556</v>
      </c>
      <c r="B53" s="90" t="s">
        <v>89</v>
      </c>
      <c r="C53" s="97" t="n">
        <f aca="false">SUM(D52)</f>
        <v>2567030</v>
      </c>
      <c r="D53" s="107" t="n">
        <v>2584150</v>
      </c>
      <c r="E53" s="91" t="n">
        <f aca="false">SUM(D53-C53)</f>
        <v>17120</v>
      </c>
      <c r="F53" s="128" t="n">
        <v>17019</v>
      </c>
      <c r="G53" s="41" t="n">
        <v>0.8241</v>
      </c>
      <c r="H53" s="93" t="n">
        <f aca="false">SUM(G53*F53)</f>
        <v>14025.3579</v>
      </c>
      <c r="I53" s="185" t="n">
        <v>251</v>
      </c>
      <c r="J53" s="181" t="n">
        <v>6516</v>
      </c>
      <c r="K53" s="119" t="s">
        <v>91</v>
      </c>
      <c r="L53" s="117"/>
      <c r="M53" s="117"/>
      <c r="N53" s="117"/>
      <c r="O53" s="117"/>
      <c r="P53" s="117"/>
      <c r="Q53" s="117"/>
      <c r="R53" s="117"/>
      <c r="S53" s="117"/>
    </row>
    <row r="54" customFormat="false" ht="15" hidden="false" customHeight="false" outlineLevel="0" collapsed="false">
      <c r="A54" s="89"/>
      <c r="B54" s="90"/>
      <c r="C54" s="97" t="n">
        <v>0</v>
      </c>
      <c r="D54" s="107"/>
      <c r="E54" s="91" t="n">
        <f aca="false">SUM(D54-C54)</f>
        <v>0</v>
      </c>
      <c r="F54" s="108" t="n">
        <f aca="false">SUM(D54-C54)</f>
        <v>0</v>
      </c>
      <c r="G54" s="41"/>
      <c r="H54" s="93" t="n">
        <f aca="false">SUM(G54*F54)</f>
        <v>0</v>
      </c>
      <c r="I54" s="1"/>
      <c r="J54" s="29"/>
      <c r="K54" s="110"/>
      <c r="L54" s="117"/>
      <c r="M54" s="117"/>
      <c r="N54" s="117"/>
      <c r="O54" s="117"/>
      <c r="P54" s="117"/>
      <c r="Q54" s="117"/>
      <c r="R54" s="117"/>
      <c r="S54" s="117"/>
    </row>
    <row r="55" customFormat="false" ht="15" hidden="false" customHeight="false" outlineLevel="0" collapsed="false">
      <c r="A55" s="89"/>
      <c r="B55" s="90"/>
      <c r="C55" s="97" t="n">
        <f aca="false">SUM(D54)</f>
        <v>0</v>
      </c>
      <c r="D55" s="107"/>
      <c r="E55" s="91" t="n">
        <f aca="false">SUM(D55-C55)</f>
        <v>0</v>
      </c>
      <c r="F55" s="108" t="n">
        <f aca="false">SUM(D55-C55)</f>
        <v>0</v>
      </c>
      <c r="G55" s="41"/>
      <c r="H55" s="93" t="n">
        <f aca="false">SUM(G55*F55)</f>
        <v>0</v>
      </c>
      <c r="I55" s="1"/>
      <c r="J55" s="29"/>
      <c r="K55" s="110"/>
      <c r="L55" s="117"/>
      <c r="M55" s="117"/>
      <c r="N55" s="117"/>
      <c r="O55" s="117"/>
      <c r="P55" s="117"/>
      <c r="Q55" s="117"/>
      <c r="R55" s="117"/>
      <c r="S55" s="117"/>
    </row>
    <row r="56" customFormat="false" ht="15" hidden="false" customHeight="false" outlineLevel="0" collapsed="false">
      <c r="A56" s="89"/>
      <c r="B56" s="90"/>
      <c r="C56" s="97" t="n">
        <f aca="false">SUM(D55)</f>
        <v>0</v>
      </c>
      <c r="D56" s="107"/>
      <c r="E56" s="91" t="n">
        <f aca="false">SUM(D56-C56)</f>
        <v>0</v>
      </c>
      <c r="F56" s="108" t="n">
        <f aca="false">SUM(D56-C56)</f>
        <v>0</v>
      </c>
      <c r="G56" s="41"/>
      <c r="H56" s="93" t="n">
        <f aca="false">SUM(G56*F56)</f>
        <v>0</v>
      </c>
      <c r="I56" s="1"/>
      <c r="J56" s="29"/>
      <c r="K56" s="110"/>
      <c r="L56" s="117"/>
      <c r="M56" s="117"/>
      <c r="N56" s="117"/>
      <c r="O56" s="117"/>
      <c r="P56" s="117"/>
      <c r="Q56" s="117"/>
      <c r="R56" s="117"/>
      <c r="S56" s="117"/>
    </row>
    <row r="57" customFormat="false" ht="15" hidden="false" customHeight="false" outlineLevel="0" collapsed="false">
      <c r="A57" s="89"/>
      <c r="B57" s="90"/>
      <c r="C57" s="97" t="n">
        <f aca="false">SUM(D56)</f>
        <v>0</v>
      </c>
      <c r="D57" s="107"/>
      <c r="E57" s="91" t="n">
        <f aca="false">SUM(D57-C57)</f>
        <v>0</v>
      </c>
      <c r="F57" s="108" t="n">
        <f aca="false">SUM(D57-C57)</f>
        <v>0</v>
      </c>
      <c r="G57" s="41"/>
      <c r="H57" s="93" t="n">
        <f aca="false">SUM(G57*F57)</f>
        <v>0</v>
      </c>
      <c r="I57" s="1"/>
      <c r="J57" s="29"/>
      <c r="K57" s="117"/>
      <c r="L57" s="117"/>
      <c r="M57" s="117"/>
      <c r="N57" s="117"/>
      <c r="O57" s="117"/>
      <c r="P57" s="117"/>
      <c r="Q57" s="117"/>
      <c r="R57" s="117"/>
      <c r="S57" s="117"/>
    </row>
    <row r="58" customFormat="false" ht="15" hidden="false" customHeight="false" outlineLevel="0" collapsed="false">
      <c r="A58" s="89"/>
      <c r="B58" s="90"/>
      <c r="C58" s="97" t="n">
        <f aca="false">SUM(D57)</f>
        <v>0</v>
      </c>
      <c r="D58" s="75"/>
      <c r="E58" s="91" t="n">
        <f aca="false">SUM(D58-C58)</f>
        <v>0</v>
      </c>
      <c r="F58" s="130" t="n">
        <f aca="false">SUM(D58-C58)</f>
        <v>0</v>
      </c>
      <c r="G58" s="41"/>
      <c r="H58" s="131" t="n">
        <f aca="false">SUM(G58*F58)</f>
        <v>0</v>
      </c>
      <c r="I58" s="1"/>
      <c r="J58" s="29"/>
      <c r="K58" s="117"/>
      <c r="L58" s="117"/>
      <c r="M58" s="117"/>
      <c r="N58" s="117"/>
      <c r="O58" s="117"/>
      <c r="P58" s="117"/>
      <c r="Q58" s="117"/>
      <c r="R58" s="117"/>
      <c r="S58" s="117"/>
    </row>
    <row r="59" customFormat="false" ht="15" hidden="false" customHeight="false" outlineLevel="0" collapsed="false">
      <c r="A59" s="89"/>
      <c r="B59" s="90"/>
      <c r="C59" s="97" t="n">
        <f aca="false">SUM(D58)</f>
        <v>0</v>
      </c>
      <c r="D59" s="75"/>
      <c r="E59" s="109" t="n">
        <f aca="false">SUM(D59-C59)</f>
        <v>0</v>
      </c>
      <c r="F59" s="174" t="n">
        <v>278074</v>
      </c>
      <c r="G59" s="133"/>
      <c r="H59" s="175" t="n">
        <v>229232</v>
      </c>
      <c r="I59" s="135"/>
      <c r="J59" s="29"/>
      <c r="K59" s="120"/>
      <c r="L59" s="117"/>
      <c r="M59" s="117"/>
      <c r="N59" s="117"/>
      <c r="O59" s="117"/>
      <c r="P59" s="117"/>
      <c r="Q59" s="117"/>
      <c r="R59" s="117"/>
      <c r="S59" s="117"/>
    </row>
    <row r="60" customFormat="false" ht="15" hidden="false" customHeight="false" outlineLevel="0" collapsed="false">
      <c r="L60" s="117"/>
      <c r="M60" s="117"/>
      <c r="N60" s="117"/>
      <c r="O60" s="117"/>
      <c r="P60" s="117"/>
      <c r="Q60" s="117"/>
      <c r="R60" s="117"/>
      <c r="S60" s="117"/>
    </row>
    <row r="61" customFormat="false" ht="15" hidden="false" customHeight="false" outlineLevel="0" collapsed="false">
      <c r="F61" s="174" t="n">
        <f aca="false">F59+F26</f>
        <v>555051</v>
      </c>
      <c r="G61" s="133"/>
      <c r="H61" s="175" t="n">
        <f aca="false">H59+H26</f>
        <v>459319</v>
      </c>
      <c r="L61" s="117"/>
      <c r="M61" s="117"/>
      <c r="N61" s="117"/>
      <c r="O61" s="117"/>
      <c r="P61" s="117"/>
      <c r="Q61" s="117"/>
      <c r="R61" s="117"/>
      <c r="S61" s="117"/>
    </row>
    <row r="62" customFormat="false" ht="15" hidden="false" customHeight="false" outlineLevel="0" collapsed="false">
      <c r="E62" s="117"/>
      <c r="L62" s="117"/>
      <c r="M62" s="117"/>
      <c r="N62" s="117"/>
      <c r="O62" s="117"/>
      <c r="P62" s="117"/>
      <c r="Q62" s="117"/>
      <c r="R62" s="117"/>
      <c r="S62" s="117"/>
    </row>
    <row r="63" customFormat="false" ht="15" hidden="false" customHeight="false" outlineLevel="0" collapsed="false">
      <c r="E63" s="117"/>
      <c r="L63" s="117"/>
      <c r="M63" s="117"/>
      <c r="N63" s="117"/>
      <c r="O63" s="117"/>
      <c r="P63" s="117"/>
      <c r="Q63" s="117"/>
      <c r="R63" s="117"/>
      <c r="S63" s="117"/>
    </row>
    <row r="64" customFormat="false" ht="15" hidden="false" customHeight="false" outlineLevel="0" collapsed="false">
      <c r="E64" s="117"/>
      <c r="L64" s="117"/>
      <c r="M64" s="117"/>
      <c r="N64" s="117"/>
      <c r="O64" s="117"/>
      <c r="P64" s="117"/>
      <c r="Q64" s="117"/>
      <c r="R64" s="117"/>
      <c r="S64" s="117"/>
    </row>
    <row r="65" customFormat="false" ht="15" hidden="false" customHeight="false" outlineLevel="0" collapsed="false">
      <c r="E65" s="117"/>
      <c r="L65" s="117"/>
      <c r="M65" s="117"/>
      <c r="N65" s="117"/>
      <c r="O65" s="117"/>
      <c r="P65" s="117"/>
      <c r="Q65" s="117"/>
      <c r="R65" s="117"/>
      <c r="S65" s="117"/>
    </row>
    <row r="66" customFormat="false" ht="15" hidden="false" customHeight="false" outlineLevel="0" collapsed="false">
      <c r="E66" s="117"/>
      <c r="L66" s="117"/>
      <c r="M66" s="117"/>
      <c r="N66" s="117"/>
      <c r="O66" s="117"/>
      <c r="P66" s="117"/>
      <c r="Q66" s="117"/>
      <c r="R66" s="117"/>
      <c r="S66" s="117"/>
    </row>
    <row r="67" customFormat="false" ht="15" hidden="false" customHeight="false" outlineLevel="0" collapsed="false">
      <c r="E67" s="117"/>
      <c r="L67" s="117"/>
      <c r="M67" s="117"/>
      <c r="N67" s="117"/>
      <c r="O67" s="117"/>
      <c r="P67" s="117"/>
      <c r="Q67" s="117"/>
      <c r="R67" s="117"/>
      <c r="S67" s="117"/>
    </row>
    <row r="68" customFormat="false" ht="15" hidden="false" customHeight="false" outlineLevel="0" collapsed="false">
      <c r="E68" s="117"/>
      <c r="L68" s="117"/>
      <c r="M68" s="117"/>
      <c r="N68" s="117"/>
      <c r="O68" s="117"/>
      <c r="P68" s="117"/>
      <c r="Q68" s="117"/>
      <c r="R68" s="117"/>
      <c r="S68" s="117"/>
    </row>
    <row r="69" customFormat="false" ht="15" hidden="false" customHeight="false" outlineLevel="0" collapsed="false">
      <c r="E69" s="117"/>
      <c r="L69" s="117"/>
      <c r="M69" s="117"/>
      <c r="N69" s="117"/>
      <c r="O69" s="117"/>
      <c r="P69" s="117"/>
      <c r="Q69" s="117"/>
      <c r="R69" s="117"/>
      <c r="S69" s="117"/>
    </row>
    <row r="70" customFormat="false" ht="15" hidden="false" customHeight="false" outlineLevel="0" collapsed="false">
      <c r="E70" s="117"/>
      <c r="L70" s="117"/>
      <c r="M70" s="117"/>
      <c r="N70" s="117"/>
      <c r="O70" s="117"/>
      <c r="P70" s="117"/>
      <c r="Q70" s="117"/>
      <c r="R70" s="117"/>
      <c r="S70" s="117"/>
    </row>
    <row r="71" customFormat="false" ht="15" hidden="false" customHeight="false" outlineLevel="0" collapsed="false">
      <c r="E71" s="117"/>
      <c r="L71" s="117"/>
      <c r="M71" s="117"/>
      <c r="N71" s="117"/>
      <c r="O71" s="117"/>
      <c r="P71" s="117"/>
      <c r="Q71" s="117"/>
      <c r="R71" s="117"/>
      <c r="S71" s="117"/>
    </row>
    <row r="72" customFormat="false" ht="15" hidden="false" customHeight="false" outlineLevel="0" collapsed="false">
      <c r="E72" s="117"/>
      <c r="L72" s="117"/>
      <c r="M72" s="117"/>
      <c r="N72" s="117"/>
      <c r="O72" s="117"/>
      <c r="P72" s="117"/>
      <c r="Q72" s="117"/>
      <c r="R72" s="117"/>
      <c r="S72" s="117"/>
    </row>
    <row r="73" customFormat="false" ht="15" hidden="false" customHeight="false" outlineLevel="0" collapsed="false">
      <c r="E73" s="117"/>
      <c r="L73" s="117"/>
      <c r="M73" s="117"/>
      <c r="N73" s="117"/>
      <c r="O73" s="117"/>
      <c r="P73" s="117"/>
      <c r="Q73" s="117"/>
      <c r="R73" s="117"/>
      <c r="S73" s="117"/>
    </row>
    <row r="74" customFormat="false" ht="15" hidden="false" customHeight="false" outlineLevel="0" collapsed="false">
      <c r="E74" s="117"/>
      <c r="L74" s="117"/>
      <c r="M74" s="117"/>
      <c r="N74" s="117"/>
      <c r="O74" s="117"/>
      <c r="P74" s="117"/>
      <c r="Q74" s="117"/>
      <c r="R74" s="117"/>
      <c r="S74" s="117"/>
    </row>
    <row r="75" customFormat="false" ht="15" hidden="false" customHeight="false" outlineLevel="0" collapsed="false">
      <c r="E75" s="117"/>
      <c r="L75" s="117"/>
      <c r="M75" s="117"/>
      <c r="N75" s="117"/>
      <c r="O75" s="117"/>
      <c r="P75" s="117"/>
      <c r="Q75" s="117"/>
      <c r="R75" s="117"/>
      <c r="S75" s="117"/>
    </row>
    <row r="76" customFormat="false" ht="15" hidden="false" customHeight="false" outlineLevel="0" collapsed="false">
      <c r="E76" s="117"/>
      <c r="L76" s="117"/>
      <c r="M76" s="117"/>
      <c r="N76" s="117"/>
      <c r="O76" s="117"/>
      <c r="P76" s="117"/>
      <c r="Q76" s="117"/>
      <c r="R76" s="117"/>
      <c r="S76" s="117"/>
    </row>
    <row r="77" customFormat="false" ht="15" hidden="false" customHeight="false" outlineLevel="0" collapsed="false">
      <c r="E77" s="117"/>
      <c r="L77" s="117"/>
      <c r="M77" s="117"/>
      <c r="N77" s="117"/>
      <c r="O77" s="117"/>
      <c r="P77" s="117"/>
      <c r="Q77" s="117"/>
      <c r="R77" s="117"/>
      <c r="S77" s="117"/>
    </row>
    <row r="78" customFormat="false" ht="15" hidden="false" customHeight="false" outlineLevel="0" collapsed="false">
      <c r="E78" s="117"/>
      <c r="L78" s="117"/>
      <c r="M78" s="117"/>
      <c r="N78" s="117"/>
      <c r="O78" s="117"/>
      <c r="P78" s="117"/>
      <c r="Q78" s="117"/>
      <c r="R78" s="117"/>
      <c r="S78" s="117"/>
    </row>
    <row r="79" customFormat="false" ht="15" hidden="true" customHeight="false" outlineLevel="0" collapsed="false">
      <c r="E79" s="117"/>
      <c r="L79" s="117"/>
      <c r="M79" s="117"/>
      <c r="N79" s="117"/>
      <c r="O79" s="117"/>
      <c r="P79" s="117"/>
      <c r="Q79" s="117"/>
      <c r="R79" s="117"/>
      <c r="S79" s="117"/>
    </row>
    <row r="80" customFormat="false" ht="15" hidden="true" customHeight="false" outlineLevel="0" collapsed="false">
      <c r="E80" s="117"/>
      <c r="L80" s="117"/>
      <c r="M80" s="117"/>
      <c r="N80" s="117"/>
      <c r="O80" s="117"/>
      <c r="P80" s="117"/>
      <c r="Q80" s="117"/>
      <c r="R80" s="117"/>
      <c r="S80" s="117"/>
    </row>
    <row r="81" customFormat="false" ht="15" hidden="true" customHeight="false" outlineLevel="0" collapsed="false">
      <c r="E81" s="117"/>
      <c r="L81" s="117"/>
      <c r="M81" s="117"/>
      <c r="N81" s="117"/>
      <c r="O81" s="117"/>
      <c r="P81" s="117"/>
      <c r="Q81" s="117"/>
      <c r="R81" s="117"/>
      <c r="S81" s="117"/>
    </row>
    <row r="82" customFormat="false" ht="15" hidden="true" customHeight="false" outlineLevel="0" collapsed="false">
      <c r="E82" s="117"/>
      <c r="L82" s="117"/>
      <c r="M82" s="117"/>
      <c r="N82" s="117"/>
      <c r="O82" s="117"/>
      <c r="P82" s="117"/>
      <c r="Q82" s="117"/>
      <c r="R82" s="117"/>
      <c r="S82" s="117"/>
    </row>
    <row r="83" customFormat="false" ht="15" hidden="true" customHeight="false" outlineLevel="0" collapsed="false">
      <c r="E83" s="117"/>
      <c r="L83" s="117"/>
      <c r="M83" s="117"/>
      <c r="N83" s="117"/>
      <c r="O83" s="117"/>
      <c r="P83" s="117"/>
      <c r="Q83" s="117"/>
      <c r="R83" s="117"/>
      <c r="S83" s="117"/>
    </row>
    <row r="84" customFormat="false" ht="15" hidden="false" customHeight="false" outlineLevel="0" collapsed="false">
      <c r="E84" s="117"/>
      <c r="L84" s="117"/>
      <c r="M84" s="117"/>
      <c r="N84" s="117"/>
      <c r="O84" s="117"/>
      <c r="P84" s="117"/>
      <c r="Q84" s="117"/>
      <c r="R84" s="117"/>
      <c r="S84" s="117"/>
    </row>
    <row r="85" customFormat="false" ht="15" hidden="false" customHeight="false" outlineLevel="0" collapsed="false">
      <c r="E85" s="117"/>
      <c r="L85" s="117"/>
      <c r="M85" s="117"/>
      <c r="N85" s="117"/>
      <c r="O85" s="117"/>
      <c r="P85" s="117"/>
      <c r="Q85" s="117"/>
      <c r="R85" s="117"/>
      <c r="S85" s="117"/>
    </row>
    <row r="86" customFormat="false" ht="15" hidden="false" customHeight="false" outlineLevel="0" collapsed="false">
      <c r="E86" s="117"/>
      <c r="L86" s="117"/>
      <c r="M86" s="117"/>
      <c r="N86" s="117"/>
      <c r="O86" s="117"/>
      <c r="P86" s="117"/>
      <c r="Q86" s="117"/>
      <c r="R86" s="117"/>
      <c r="S86" s="117"/>
    </row>
    <row r="87" customFormat="false" ht="15" hidden="false" customHeight="false" outlineLevel="0" collapsed="false">
      <c r="E87" s="117"/>
    </row>
    <row r="88" customFormat="false" ht="15" hidden="false" customHeight="false" outlineLevel="0" collapsed="false">
      <c r="E88" s="117"/>
    </row>
    <row r="89" customFormat="false" ht="15" hidden="false" customHeight="false" outlineLevel="0" collapsed="false">
      <c r="E89" s="117"/>
    </row>
    <row r="90" customFormat="false" ht="15" hidden="false" customHeight="false" outlineLevel="0" collapsed="false">
      <c r="E90" s="117"/>
    </row>
    <row r="91" customFormat="false" ht="15" hidden="false" customHeight="false" outlineLevel="0" collapsed="false">
      <c r="E91" s="117"/>
    </row>
    <row r="92" customFormat="false" ht="15" hidden="false" customHeight="false" outlineLevel="0" collapsed="false">
      <c r="E92" s="117"/>
    </row>
    <row r="93" customFormat="false" ht="15" hidden="false" customHeight="false" outlineLevel="0" collapsed="false">
      <c r="E93" s="117"/>
    </row>
    <row r="94" customFormat="false" ht="15" hidden="false" customHeight="false" outlineLevel="0" collapsed="false">
      <c r="E94" s="117"/>
    </row>
    <row r="95" customFormat="false" ht="15" hidden="false" customHeight="false" outlineLevel="0" collapsed="false">
      <c r="E95" s="117"/>
    </row>
    <row r="96" customFormat="false" ht="15" hidden="false" customHeight="false" outlineLevel="0" collapsed="false">
      <c r="E96" s="117"/>
    </row>
    <row r="97" customFormat="false" ht="15" hidden="false" customHeight="false" outlineLevel="0" collapsed="false">
      <c r="E97" s="117"/>
    </row>
    <row r="98" customFormat="false" ht="15" hidden="false" customHeight="false" outlineLevel="0" collapsed="false">
      <c r="E98" s="117"/>
    </row>
    <row r="99" customFormat="false" ht="15" hidden="false" customHeight="false" outlineLevel="0" collapsed="false">
      <c r="E99" s="117"/>
    </row>
    <row r="100" customFormat="false" ht="15" hidden="false" customHeight="false" outlineLevel="0" collapsed="false">
      <c r="E100" s="117"/>
    </row>
    <row r="101" customFormat="false" ht="15" hidden="false" customHeight="false" outlineLevel="0" collapsed="false">
      <c r="E101" s="117"/>
    </row>
    <row r="102" customFormat="false" ht="15" hidden="false" customHeight="false" outlineLevel="0" collapsed="false">
      <c r="E102" s="117"/>
    </row>
    <row r="103" customFormat="false" ht="15" hidden="false" customHeight="false" outlineLevel="0" collapsed="false">
      <c r="E103" s="117"/>
    </row>
    <row r="104" customFormat="false" ht="15" hidden="false" customHeight="false" outlineLevel="0" collapsed="false">
      <c r="E104" s="117"/>
    </row>
    <row r="105" customFormat="false" ht="15" hidden="false" customHeight="false" outlineLevel="0" collapsed="false">
      <c r="E105" s="117"/>
    </row>
    <row r="106" customFormat="false" ht="15" hidden="false" customHeight="false" outlineLevel="0" collapsed="false">
      <c r="E106" s="117"/>
    </row>
    <row r="107" customFormat="false" ht="15" hidden="false" customHeight="false" outlineLevel="0" collapsed="false">
      <c r="E107" s="117"/>
    </row>
    <row r="108" customFormat="false" ht="15" hidden="false" customHeight="false" outlineLevel="0" collapsed="false">
      <c r="E108" s="117"/>
    </row>
    <row r="109" customFormat="false" ht="15" hidden="false" customHeight="false" outlineLevel="0" collapsed="false">
      <c r="E109" s="117"/>
    </row>
    <row r="110" customFormat="false" ht="15" hidden="false" customHeight="false" outlineLevel="0" collapsed="false">
      <c r="E110" s="117"/>
    </row>
    <row r="111" customFormat="false" ht="15" hidden="false" customHeight="false" outlineLevel="0" collapsed="false">
      <c r="E111" s="117"/>
    </row>
    <row r="112" customFormat="false" ht="15" hidden="false" customHeight="false" outlineLevel="0" collapsed="false">
      <c r="E112" s="117"/>
    </row>
    <row r="113" customFormat="false" ht="15" hidden="false" customHeight="false" outlineLevel="0" collapsed="false">
      <c r="E113" s="117"/>
    </row>
    <row r="114" customFormat="false" ht="15" hidden="false" customHeight="false" outlineLevel="0" collapsed="false">
      <c r="E114" s="117"/>
    </row>
    <row r="115" customFormat="false" ht="15" hidden="false" customHeight="false" outlineLevel="0" collapsed="false">
      <c r="E115" s="117"/>
    </row>
    <row r="116" customFormat="false" ht="15" hidden="false" customHeight="false" outlineLevel="0" collapsed="false">
      <c r="E116" s="117"/>
    </row>
    <row r="117" customFormat="false" ht="15" hidden="false" customHeight="false" outlineLevel="0" collapsed="false">
      <c r="E117" s="117"/>
    </row>
    <row r="118" customFormat="false" ht="15" hidden="false" customHeight="false" outlineLevel="0" collapsed="false">
      <c r="E118" s="117"/>
    </row>
    <row r="119" customFormat="false" ht="15" hidden="false" customHeight="false" outlineLevel="0" collapsed="false">
      <c r="E119" s="117"/>
    </row>
    <row r="120" customFormat="false" ht="15" hidden="false" customHeight="false" outlineLevel="0" collapsed="false">
      <c r="E120" s="117"/>
    </row>
    <row r="121" customFormat="false" ht="15" hidden="false" customHeight="false" outlineLevel="0" collapsed="false">
      <c r="E121" s="117"/>
    </row>
    <row r="122" customFormat="false" ht="15" hidden="false" customHeight="false" outlineLevel="0" collapsed="false">
      <c r="E122" s="117"/>
    </row>
    <row r="123" customFormat="false" ht="15" hidden="false" customHeight="false" outlineLevel="0" collapsed="false">
      <c r="E123" s="117"/>
    </row>
    <row r="124" customFormat="false" ht="15" hidden="false" customHeight="false" outlineLevel="0" collapsed="false">
      <c r="E124" s="117"/>
    </row>
    <row r="125" customFormat="false" ht="15" hidden="false" customHeight="false" outlineLevel="0" collapsed="false">
      <c r="E125" s="117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V132"/>
  <sheetViews>
    <sheetView showFormulas="false" showGridLines="true" showRowColHeaders="true" showZeros="true" rightToLeft="false" tabSelected="false" showOutlineSymbols="true" defaultGridColor="true" view="normal" topLeftCell="A28" colorId="64" zoomScale="60" zoomScaleNormal="60" zoomScalePageLayoutView="100" workbookViewId="0">
      <selection pane="topLeft" activeCell="H54" activeCellId="0" sqref="H54"/>
    </sheetView>
  </sheetViews>
  <sheetFormatPr defaultColWidth="8.8359375" defaultRowHeight="15" zeroHeight="false" outlineLevelRow="0" outlineLevelCol="0"/>
  <cols>
    <col collapsed="false" customWidth="true" hidden="false" outlineLevel="0" max="1" min="1" style="66" width="13.66"/>
    <col collapsed="false" customWidth="true" hidden="false" outlineLevel="0" max="2" min="2" style="67" width="10.33"/>
    <col collapsed="false" customWidth="true" hidden="false" outlineLevel="0" max="4" min="3" style="68" width="18.17"/>
    <col collapsed="false" customWidth="true" hidden="false" outlineLevel="0" max="6" min="5" style="68" width="14"/>
    <col collapsed="false" customWidth="true" hidden="false" outlineLevel="0" max="7" min="7" style="66" width="13.51"/>
    <col collapsed="false" customWidth="true" hidden="false" outlineLevel="0" max="8" min="8" style="69" width="13.83"/>
    <col collapsed="false" customWidth="true" hidden="false" outlineLevel="0" max="10" min="9" style="70" width="14.33"/>
    <col collapsed="false" customWidth="true" hidden="false" outlineLevel="0" max="11" min="11" style="71" width="10.51"/>
    <col collapsed="false" customWidth="true" hidden="false" outlineLevel="0" max="12" min="12" style="70" width="12.17"/>
    <col collapsed="false" customWidth="true" hidden="false" outlineLevel="0" max="13" min="13" style="70" width="10.83"/>
    <col collapsed="false" customWidth="true" hidden="false" outlineLevel="0" max="14" min="14" style="70" width="18.5"/>
    <col collapsed="false" customWidth="true" hidden="false" outlineLevel="0" max="15" min="15" style="70" width="17.83"/>
    <col collapsed="false" customWidth="true" hidden="false" outlineLevel="0" max="16" min="16" style="70" width="13.83"/>
    <col collapsed="false" customWidth="true" hidden="false" outlineLevel="0" max="17" min="17" style="70" width="12.66"/>
    <col collapsed="false" customWidth="true" hidden="false" outlineLevel="0" max="18" min="18" style="70" width="12.83"/>
    <col collapsed="false" customWidth="true" hidden="false" outlineLevel="0" max="19" min="19" style="70" width="12.17"/>
  </cols>
  <sheetData>
    <row r="1" customFormat="false" ht="48" hidden="false" customHeight="false" outlineLevel="0" collapsed="false">
      <c r="A1" s="41" t="s">
        <v>25</v>
      </c>
      <c r="B1" s="72" t="s">
        <v>26</v>
      </c>
      <c r="C1" s="73" t="s">
        <v>27</v>
      </c>
      <c r="D1" s="73" t="s">
        <v>28</v>
      </c>
      <c r="E1" s="73" t="s">
        <v>29</v>
      </c>
      <c r="F1" s="73" t="s">
        <v>29</v>
      </c>
      <c r="G1" s="73" t="s">
        <v>30</v>
      </c>
      <c r="H1" s="74" t="s">
        <v>31</v>
      </c>
      <c r="I1" s="75" t="s">
        <v>32</v>
      </c>
      <c r="J1" s="76" t="s">
        <v>3</v>
      </c>
      <c r="L1" s="77" t="s">
        <v>33</v>
      </c>
      <c r="M1" s="78" t="s">
        <v>34</v>
      </c>
      <c r="N1" s="79" t="s">
        <v>27</v>
      </c>
      <c r="O1" s="79" t="s">
        <v>28</v>
      </c>
      <c r="P1" s="79" t="s">
        <v>29</v>
      </c>
      <c r="Q1" s="79" t="s">
        <v>30</v>
      </c>
      <c r="R1" s="80" t="s">
        <v>31</v>
      </c>
      <c r="S1" s="79" t="s">
        <v>35</v>
      </c>
    </row>
    <row r="2" customFormat="false" ht="15" hidden="false" customHeight="false" outlineLevel="0" collapsed="false">
      <c r="A2" s="81" t="n">
        <v>45083</v>
      </c>
      <c r="B2" s="81" t="s">
        <v>36</v>
      </c>
      <c r="C2" s="82"/>
      <c r="D2" s="82"/>
      <c r="E2" s="82"/>
      <c r="F2" s="82"/>
      <c r="G2" s="83"/>
      <c r="H2" s="84"/>
      <c r="I2" s="85"/>
      <c r="J2" s="86"/>
      <c r="K2" s="87"/>
      <c r="L2" s="88"/>
      <c r="M2" s="81" t="s">
        <v>37</v>
      </c>
      <c r="N2" s="82"/>
      <c r="O2" s="82"/>
      <c r="P2" s="82"/>
      <c r="Q2" s="83"/>
      <c r="R2" s="84"/>
      <c r="S2" s="85"/>
    </row>
    <row r="3" customFormat="false" ht="15.75" hidden="false" customHeight="false" outlineLevel="0" collapsed="false">
      <c r="A3" s="89" t="n">
        <v>0.402777777777778</v>
      </c>
      <c r="B3" s="90" t="s">
        <v>54</v>
      </c>
      <c r="C3" s="75" t="n">
        <v>50027490</v>
      </c>
      <c r="D3" s="75" t="n">
        <v>50045740</v>
      </c>
      <c r="E3" s="91" t="n">
        <f aca="false">SUM(D3-C3)</f>
        <v>18250</v>
      </c>
      <c r="F3" s="189" t="n">
        <v>18241</v>
      </c>
      <c r="G3" s="41" t="n">
        <v>0.8307</v>
      </c>
      <c r="H3" s="93" t="n">
        <f aca="false">SUM(G3*F3)</f>
        <v>15152.7987</v>
      </c>
      <c r="I3" s="29" t="n">
        <v>787</v>
      </c>
      <c r="J3" s="29" t="n">
        <v>6517</v>
      </c>
      <c r="K3" s="94" t="s">
        <v>18</v>
      </c>
      <c r="L3" s="95" t="n">
        <v>0.402777777777778</v>
      </c>
      <c r="M3" s="96" t="s">
        <v>39</v>
      </c>
      <c r="N3" s="159" t="n">
        <v>7624030</v>
      </c>
      <c r="O3" s="98" t="n">
        <v>7624220</v>
      </c>
      <c r="P3" s="99" t="n">
        <f aca="false">SUM(O3-N3)</f>
        <v>190</v>
      </c>
      <c r="Q3" s="100" t="n">
        <v>0.8331</v>
      </c>
      <c r="R3" s="101" t="n">
        <f aca="false">SUM(Q3*P3)</f>
        <v>158.289</v>
      </c>
      <c r="S3" s="102" t="s">
        <v>42</v>
      </c>
      <c r="V3" s="0" t="s">
        <v>41</v>
      </c>
    </row>
    <row r="4" customFormat="false" ht="15.75" hidden="false" customHeight="false" outlineLevel="0" collapsed="false">
      <c r="A4" s="89" t="n">
        <v>0.46875</v>
      </c>
      <c r="B4" s="90" t="s">
        <v>54</v>
      </c>
      <c r="C4" s="97" t="n">
        <f aca="false">SUM(D3)</f>
        <v>50045740</v>
      </c>
      <c r="D4" s="75" t="n">
        <v>50064000</v>
      </c>
      <c r="E4" s="91" t="n">
        <f aca="false">SUM(D4-C4)</f>
        <v>18260</v>
      </c>
      <c r="F4" s="189" t="n">
        <v>18241</v>
      </c>
      <c r="G4" s="41" t="n">
        <v>0.8256</v>
      </c>
      <c r="H4" s="93" t="n">
        <f aca="false">SUM(G4*F4)</f>
        <v>15059.7696</v>
      </c>
      <c r="I4" s="29" t="n">
        <v>787</v>
      </c>
      <c r="J4" s="29" t="n">
        <v>6522</v>
      </c>
      <c r="K4" s="94" t="s">
        <v>18</v>
      </c>
      <c r="L4" s="95" t="n">
        <v>0.694444444444444</v>
      </c>
      <c r="M4" s="104" t="s">
        <v>54</v>
      </c>
      <c r="N4" s="99" t="n">
        <f aca="false">SUM(O3)</f>
        <v>7624220</v>
      </c>
      <c r="O4" s="98" t="n">
        <v>7624490</v>
      </c>
      <c r="P4" s="99" t="n">
        <f aca="false">SUM(O4-N4)</f>
        <v>270</v>
      </c>
      <c r="Q4" s="105" t="n">
        <v>0.8256</v>
      </c>
      <c r="R4" s="101" t="n">
        <f aca="false">SUM(Q4*P4)</f>
        <v>222.912</v>
      </c>
      <c r="S4" s="102" t="s">
        <v>43</v>
      </c>
    </row>
    <row r="5" customFormat="false" ht="15.75" hidden="false" customHeight="false" outlineLevel="0" collapsed="false">
      <c r="A5" s="89" t="n">
        <v>0.493055555555556</v>
      </c>
      <c r="B5" s="90" t="s">
        <v>46</v>
      </c>
      <c r="C5" s="97" t="n">
        <f aca="false">SUM(D4)</f>
        <v>50064000</v>
      </c>
      <c r="D5" s="75" t="n">
        <v>50075970</v>
      </c>
      <c r="E5" s="91" t="n">
        <f aca="false">SUM(D5-C5)</f>
        <v>11970</v>
      </c>
      <c r="F5" s="108" t="n">
        <v>11965</v>
      </c>
      <c r="G5" s="41" t="n">
        <v>0.8294</v>
      </c>
      <c r="H5" s="93" t="n">
        <f aca="false">SUM(G5*F5)</f>
        <v>9923.771</v>
      </c>
      <c r="I5" s="29" t="n">
        <v>147</v>
      </c>
      <c r="J5" s="29" t="n">
        <v>6524</v>
      </c>
      <c r="K5" s="94" t="s">
        <v>18</v>
      </c>
      <c r="L5" s="95" t="n">
        <v>0.8125</v>
      </c>
      <c r="M5" s="104" t="s">
        <v>44</v>
      </c>
      <c r="N5" s="99" t="n">
        <f aca="false">SUM(O4)</f>
        <v>7624490</v>
      </c>
      <c r="O5" s="98" t="n">
        <v>7624590</v>
      </c>
      <c r="P5" s="99" t="n">
        <f aca="false">SUM(O5-N5)</f>
        <v>100</v>
      </c>
      <c r="Q5" s="100" t="n">
        <v>0.833</v>
      </c>
      <c r="R5" s="101" t="n">
        <f aca="false">SUM(Q5*P5)</f>
        <v>83.3</v>
      </c>
      <c r="S5" s="102" t="s">
        <v>67</v>
      </c>
    </row>
    <row r="6" customFormat="false" ht="15.75" hidden="false" customHeight="false" outlineLevel="0" collapsed="false">
      <c r="A6" s="89" t="n">
        <v>0.506944444444444</v>
      </c>
      <c r="B6" s="90" t="s">
        <v>46</v>
      </c>
      <c r="C6" s="97" t="n">
        <f aca="false">SUM(D5)</f>
        <v>50075970</v>
      </c>
      <c r="D6" s="75" t="n">
        <v>50089020</v>
      </c>
      <c r="E6" s="91" t="n">
        <f aca="false">SUM(D6-C6)</f>
        <v>13050</v>
      </c>
      <c r="F6" s="108" t="n">
        <v>13049</v>
      </c>
      <c r="G6" s="41" t="n">
        <v>0.8294</v>
      </c>
      <c r="H6" s="93" t="n">
        <f aca="false">SUM(G6*F6)</f>
        <v>10822.8406</v>
      </c>
      <c r="I6" s="29" t="n">
        <v>248</v>
      </c>
      <c r="J6" s="29" t="n">
        <v>6527</v>
      </c>
      <c r="K6" s="94" t="s">
        <v>18</v>
      </c>
      <c r="L6" s="95" t="n">
        <v>0.993055555555555</v>
      </c>
      <c r="M6" s="104" t="s">
        <v>39</v>
      </c>
      <c r="N6" s="99" t="n">
        <f aca="false">SUM(O5)</f>
        <v>7624590</v>
      </c>
      <c r="O6" s="98" t="n">
        <v>7624830</v>
      </c>
      <c r="P6" s="99" t="n">
        <f aca="false">SUM(O6-N6)</f>
        <v>240</v>
      </c>
      <c r="Q6" s="41" t="n">
        <v>0.8338</v>
      </c>
      <c r="R6" s="101" t="n">
        <f aca="false">SUM(Q6*P6)</f>
        <v>200.112</v>
      </c>
      <c r="S6" s="102" t="s">
        <v>45</v>
      </c>
    </row>
    <row r="7" customFormat="false" ht="15.75" hidden="false" customHeight="false" outlineLevel="0" collapsed="false">
      <c r="A7" s="89" t="n">
        <v>0.711805555555555</v>
      </c>
      <c r="B7" s="90" t="s">
        <v>46</v>
      </c>
      <c r="C7" s="97" t="n">
        <f aca="false">SUM(D6)</f>
        <v>50089020</v>
      </c>
      <c r="D7" s="75" t="n">
        <v>50107260</v>
      </c>
      <c r="E7" s="91" t="n">
        <f aca="false">SUM(D7-C7)</f>
        <v>18240</v>
      </c>
      <c r="F7" s="189" t="n">
        <v>18241</v>
      </c>
      <c r="G7" s="41" t="n">
        <v>0.8294</v>
      </c>
      <c r="H7" s="93" t="n">
        <f aca="false">SUM(G7*F7)</f>
        <v>15129.0854</v>
      </c>
      <c r="I7" s="29" t="n">
        <v>787</v>
      </c>
      <c r="J7" s="29" t="n">
        <v>6533</v>
      </c>
      <c r="K7" s="94" t="s">
        <v>18</v>
      </c>
      <c r="L7" s="95" t="n">
        <v>0.0347222222222222</v>
      </c>
      <c r="M7" s="104" t="s">
        <v>44</v>
      </c>
      <c r="N7" s="99" t="n">
        <f aca="false">SUM(O6)</f>
        <v>7624830</v>
      </c>
      <c r="O7" s="98" t="n">
        <v>7625040</v>
      </c>
      <c r="P7" s="99" t="n">
        <f aca="false">SUM(O7-N7)</f>
        <v>210</v>
      </c>
      <c r="Q7" s="41" t="n">
        <v>0.8316</v>
      </c>
      <c r="R7" s="101" t="n">
        <f aca="false">SUM(Q7*P7)</f>
        <v>174.636</v>
      </c>
      <c r="S7" s="102" t="s">
        <v>65</v>
      </c>
    </row>
    <row r="8" customFormat="false" ht="15.75" hidden="false" customHeight="false" outlineLevel="0" collapsed="false">
      <c r="A8" s="89" t="n">
        <v>0.770833333333333</v>
      </c>
      <c r="B8" s="90" t="s">
        <v>54</v>
      </c>
      <c r="C8" s="97" t="n">
        <f aca="false">SUM(D7)</f>
        <v>50107260</v>
      </c>
      <c r="D8" s="75" t="n">
        <v>50125500</v>
      </c>
      <c r="E8" s="91" t="n">
        <f aca="false">SUM(D8-C8)</f>
        <v>18240</v>
      </c>
      <c r="F8" s="189" t="n">
        <v>18241</v>
      </c>
      <c r="G8" s="41" t="n">
        <v>0.8302</v>
      </c>
      <c r="H8" s="93" t="n">
        <f aca="false">SUM(G8*F8)</f>
        <v>15143.6782</v>
      </c>
      <c r="I8" s="29" t="n">
        <v>787</v>
      </c>
      <c r="J8" s="29" t="n">
        <v>6535</v>
      </c>
      <c r="K8" s="94" t="s">
        <v>18</v>
      </c>
      <c r="L8" s="95" t="n">
        <v>0.0555555555555556</v>
      </c>
      <c r="M8" s="96" t="s">
        <v>54</v>
      </c>
      <c r="N8" s="99" t="n">
        <f aca="false">SUM(O7)</f>
        <v>7625040</v>
      </c>
      <c r="O8" s="98" t="n">
        <v>7625310</v>
      </c>
      <c r="P8" s="99" t="n">
        <f aca="false">SUM(O8-N8)</f>
        <v>270</v>
      </c>
      <c r="Q8" s="100" t="n">
        <v>0.8297</v>
      </c>
      <c r="R8" s="101" t="n">
        <f aca="false">SUM(Q8*P8)</f>
        <v>224.019</v>
      </c>
      <c r="S8" s="1" t="s">
        <v>47</v>
      </c>
    </row>
    <row r="9" customFormat="false" ht="15.75" hidden="false" customHeight="false" outlineLevel="0" collapsed="false">
      <c r="A9" s="89" t="n">
        <v>0.881944444444444</v>
      </c>
      <c r="B9" s="90" t="s">
        <v>54</v>
      </c>
      <c r="C9" s="97" t="n">
        <f aca="false">SUM(D8)</f>
        <v>50125500</v>
      </c>
      <c r="D9" s="75" t="n">
        <v>50147930</v>
      </c>
      <c r="E9" s="91" t="n">
        <f aca="false">SUM(D9-C9)</f>
        <v>22430</v>
      </c>
      <c r="F9" s="189" t="n">
        <v>22430</v>
      </c>
      <c r="G9" s="41" t="n">
        <v>0.8297</v>
      </c>
      <c r="H9" s="93" t="n">
        <f aca="false">SUM(G9*F9)</f>
        <v>18610.171</v>
      </c>
      <c r="I9" s="29" t="n">
        <v>388</v>
      </c>
      <c r="J9" s="29" t="n">
        <v>6539</v>
      </c>
      <c r="K9" s="94" t="s">
        <v>18</v>
      </c>
      <c r="L9" s="95" t="n">
        <v>0.125</v>
      </c>
      <c r="M9" s="96" t="s">
        <v>54</v>
      </c>
      <c r="N9" s="99" t="n">
        <f aca="false">SUM(O8)</f>
        <v>7625310</v>
      </c>
      <c r="O9" s="98" t="n">
        <v>7625560</v>
      </c>
      <c r="P9" s="99" t="n">
        <f aca="false">SUM(O9-N9)</f>
        <v>250</v>
      </c>
      <c r="Q9" s="100" t="n">
        <v>0.8297</v>
      </c>
      <c r="R9" s="101" t="n">
        <f aca="false">SUM(Q9*P9)</f>
        <v>207.425</v>
      </c>
      <c r="S9" s="1" t="s">
        <v>53</v>
      </c>
    </row>
    <row r="10" customFormat="false" ht="15.75" hidden="false" customHeight="false" outlineLevel="0" collapsed="false">
      <c r="A10" s="89" t="n">
        <v>0.923611111111111</v>
      </c>
      <c r="B10" s="90" t="s">
        <v>44</v>
      </c>
      <c r="C10" s="97" t="n">
        <f aca="false">SUM(D9)</f>
        <v>50147930</v>
      </c>
      <c r="D10" s="75" t="n">
        <v>50154960</v>
      </c>
      <c r="E10" s="91" t="n">
        <f aca="false">SUM(D10-C10)</f>
        <v>7030</v>
      </c>
      <c r="F10" s="106" t="n">
        <v>7033</v>
      </c>
      <c r="G10" s="41" t="n">
        <v>0.8316</v>
      </c>
      <c r="H10" s="93" t="n">
        <f aca="false">SUM(G10*F10)</f>
        <v>5848.6428</v>
      </c>
      <c r="I10" s="29" t="n">
        <v>251</v>
      </c>
      <c r="J10" s="29" t="n">
        <v>6542</v>
      </c>
      <c r="K10" s="94" t="s">
        <v>18</v>
      </c>
      <c r="L10" s="95"/>
      <c r="M10" s="96"/>
      <c r="N10" s="99" t="n">
        <f aca="false">SUM(O9)</f>
        <v>7625560</v>
      </c>
      <c r="O10" s="98"/>
      <c r="P10" s="99" t="n">
        <f aca="false">SUM(O10-N10)</f>
        <v>-7625560</v>
      </c>
      <c r="Q10" s="100"/>
      <c r="R10" s="101" t="n">
        <f aca="false">SUM(Q10*P10)</f>
        <v>0</v>
      </c>
      <c r="S10" s="102"/>
    </row>
    <row r="11" customFormat="false" ht="15.75" hidden="false" customHeight="false" outlineLevel="0" collapsed="false">
      <c r="A11" s="89" t="n">
        <v>0.944444444444444</v>
      </c>
      <c r="B11" s="90" t="s">
        <v>46</v>
      </c>
      <c r="C11" s="97" t="n">
        <f aca="false">SUM(D10)</f>
        <v>50154960</v>
      </c>
      <c r="D11" s="75" t="n">
        <v>50163540</v>
      </c>
      <c r="E11" s="91" t="n">
        <f aca="false">SUM(D11-C11)</f>
        <v>8580</v>
      </c>
      <c r="F11" s="108" t="n">
        <v>8589</v>
      </c>
      <c r="G11" s="41" t="n">
        <v>0.8299</v>
      </c>
      <c r="H11" s="93" t="n">
        <f aca="false">SUM(G11*F11)</f>
        <v>7128.0111</v>
      </c>
      <c r="I11" s="29" t="n">
        <v>147</v>
      </c>
      <c r="J11" s="29" t="n">
        <v>6545</v>
      </c>
      <c r="K11" s="94" t="s">
        <v>18</v>
      </c>
      <c r="L11" s="95"/>
      <c r="M11" s="96"/>
      <c r="N11" s="99" t="n">
        <f aca="false">SUM(O10)</f>
        <v>0</v>
      </c>
      <c r="O11" s="98"/>
      <c r="P11" s="99" t="n">
        <f aca="false">SUM(O11-N11)</f>
        <v>0</v>
      </c>
      <c r="Q11" s="100"/>
      <c r="R11" s="101" t="n">
        <f aca="false">SUM(Q11*P11)</f>
        <v>0</v>
      </c>
      <c r="S11" s="1"/>
    </row>
    <row r="12" customFormat="false" ht="15.75" hidden="false" customHeight="false" outlineLevel="0" collapsed="false">
      <c r="A12" s="89" t="n">
        <v>0.951388888888889</v>
      </c>
      <c r="B12" s="90" t="s">
        <v>54</v>
      </c>
      <c r="C12" s="97" t="n">
        <f aca="false">SUM(D11)</f>
        <v>50163540</v>
      </c>
      <c r="D12" s="75" t="n">
        <v>50185960</v>
      </c>
      <c r="E12" s="91" t="n">
        <f aca="false">SUM(D12-C12)</f>
        <v>22420</v>
      </c>
      <c r="F12" s="189" t="n">
        <v>22430</v>
      </c>
      <c r="G12" s="41" t="n">
        <v>0.8297</v>
      </c>
      <c r="H12" s="93" t="n">
        <f aca="false">SUM(G12*F12)</f>
        <v>18610.171</v>
      </c>
      <c r="I12" s="29" t="n">
        <v>388</v>
      </c>
      <c r="J12" s="29" t="n">
        <v>6546</v>
      </c>
      <c r="K12" s="94" t="s">
        <v>18</v>
      </c>
      <c r="L12" s="95"/>
      <c r="M12" s="96"/>
      <c r="N12" s="99" t="n">
        <f aca="false">SUM(O11)</f>
        <v>0</v>
      </c>
      <c r="O12" s="98"/>
      <c r="P12" s="99" t="n">
        <f aca="false">SUM(O12-N12)</f>
        <v>0</v>
      </c>
      <c r="Q12" s="100"/>
      <c r="R12" s="101" t="n">
        <f aca="false">SUM(Q12*P12)</f>
        <v>0</v>
      </c>
      <c r="S12" s="1"/>
    </row>
    <row r="13" customFormat="false" ht="15.75" hidden="false" customHeight="false" outlineLevel="0" collapsed="false">
      <c r="A13" s="89" t="n">
        <v>0.159722222222222</v>
      </c>
      <c r="B13" s="90" t="s">
        <v>46</v>
      </c>
      <c r="C13" s="97" t="n">
        <f aca="false">SUM(D12)</f>
        <v>50185960</v>
      </c>
      <c r="D13" s="75" t="n">
        <v>50208390</v>
      </c>
      <c r="E13" s="91" t="n">
        <f aca="false">SUM(D13-C13)</f>
        <v>22430</v>
      </c>
      <c r="F13" s="189" t="n">
        <v>22430</v>
      </c>
      <c r="G13" s="41" t="n">
        <v>0.8332</v>
      </c>
      <c r="H13" s="93" t="n">
        <f aca="false">SUM(G13*F13)</f>
        <v>18688.676</v>
      </c>
      <c r="I13" s="29" t="n">
        <v>388</v>
      </c>
      <c r="J13" s="29" t="n">
        <v>6551</v>
      </c>
      <c r="K13" s="94" t="s">
        <v>18</v>
      </c>
      <c r="L13" s="95"/>
      <c r="M13" s="96"/>
      <c r="N13" s="99" t="n">
        <f aca="false">SUM(O12)</f>
        <v>0</v>
      </c>
      <c r="O13" s="98"/>
      <c r="P13" s="99" t="n">
        <f aca="false">SUM(O13-N13)</f>
        <v>0</v>
      </c>
      <c r="Q13" s="100"/>
      <c r="R13" s="101" t="n">
        <f aca="false">SUM(Q13*P13)</f>
        <v>0</v>
      </c>
      <c r="S13" s="1"/>
    </row>
    <row r="14" customFormat="false" ht="15.75" hidden="false" customHeight="false" outlineLevel="0" collapsed="false">
      <c r="A14" s="89" t="n">
        <v>0.180555555555556</v>
      </c>
      <c r="B14" s="90" t="s">
        <v>46</v>
      </c>
      <c r="C14" s="97" t="n">
        <f aca="false">SUM(D13)</f>
        <v>50208390</v>
      </c>
      <c r="D14" s="75" t="n">
        <v>50225420</v>
      </c>
      <c r="E14" s="91" t="n">
        <f aca="false">SUM(D14-C14)</f>
        <v>17030</v>
      </c>
      <c r="F14" s="106" t="n">
        <v>17019</v>
      </c>
      <c r="G14" s="41" t="n">
        <v>0.8332</v>
      </c>
      <c r="H14" s="93" t="n">
        <f aca="false">SUM(G14*F14)</f>
        <v>14180.2308</v>
      </c>
      <c r="I14" s="29" t="n">
        <v>251</v>
      </c>
      <c r="J14" s="29" t="n">
        <v>6552</v>
      </c>
      <c r="K14" s="94" t="s">
        <v>18</v>
      </c>
      <c r="L14" s="95"/>
      <c r="M14" s="96"/>
      <c r="N14" s="99" t="n">
        <f aca="false">SUM(O13)</f>
        <v>0</v>
      </c>
      <c r="O14" s="98"/>
      <c r="P14" s="99" t="n">
        <f aca="false">SUM(O14-N14)</f>
        <v>0</v>
      </c>
      <c r="Q14" s="100"/>
      <c r="R14" s="101" t="n">
        <f aca="false">SUM(Q14*P14)</f>
        <v>0</v>
      </c>
      <c r="S14" s="1"/>
    </row>
    <row r="15" customFormat="false" ht="15.75" hidden="false" customHeight="false" outlineLevel="0" collapsed="false">
      <c r="A15" s="89" t="n">
        <v>0.225694444444444</v>
      </c>
      <c r="B15" s="90" t="s">
        <v>54</v>
      </c>
      <c r="C15" s="97" t="n">
        <f aca="false">SUM(D14)</f>
        <v>50225420</v>
      </c>
      <c r="D15" s="75" t="n">
        <v>50247850</v>
      </c>
      <c r="E15" s="91" t="n">
        <f aca="false">SUM(D15-C15)</f>
        <v>22430</v>
      </c>
      <c r="F15" s="189" t="n">
        <v>22430</v>
      </c>
      <c r="G15" s="41" t="n">
        <v>0.8326</v>
      </c>
      <c r="H15" s="93" t="n">
        <f aca="false">SUM(G15*F15)</f>
        <v>18675.218</v>
      </c>
      <c r="I15" s="29" t="n">
        <v>388</v>
      </c>
      <c r="J15" s="29" t="n">
        <v>6553</v>
      </c>
      <c r="K15" s="94" t="s">
        <v>18</v>
      </c>
      <c r="L15" s="95"/>
      <c r="M15" s="96"/>
      <c r="N15" s="99" t="n">
        <f aca="false">SUM(O14)</f>
        <v>0</v>
      </c>
      <c r="O15" s="98"/>
      <c r="P15" s="99" t="n">
        <f aca="false">SUM(O15-N15)</f>
        <v>0</v>
      </c>
      <c r="Q15" s="100"/>
      <c r="R15" s="101" t="n">
        <f aca="false">SUM(Q15*P15)</f>
        <v>0</v>
      </c>
      <c r="S15" s="1"/>
    </row>
    <row r="16" customFormat="false" ht="15.75" hidden="false" customHeight="false" outlineLevel="0" collapsed="false">
      <c r="A16" s="89" t="n">
        <v>0.270833333333333</v>
      </c>
      <c r="B16" s="90" t="s">
        <v>39</v>
      </c>
      <c r="C16" s="97" t="n">
        <f aca="false">SUM(D15)</f>
        <v>50247850</v>
      </c>
      <c r="D16" s="75" t="n">
        <v>50264870</v>
      </c>
      <c r="E16" s="91" t="n">
        <f aca="false">SUM(D16-C16)</f>
        <v>17020</v>
      </c>
      <c r="F16" s="106" t="n">
        <v>17019</v>
      </c>
      <c r="G16" s="41" t="n">
        <v>0.8359</v>
      </c>
      <c r="H16" s="93" t="n">
        <f aca="false">SUM(G16*F16)</f>
        <v>14226.1821</v>
      </c>
      <c r="I16" s="29" t="n">
        <v>251</v>
      </c>
      <c r="J16" s="29" t="n">
        <v>6555</v>
      </c>
      <c r="K16" s="94" t="s">
        <v>18</v>
      </c>
      <c r="L16" s="95"/>
      <c r="M16" s="104"/>
      <c r="N16" s="99" t="n">
        <f aca="false">SUM(O15)</f>
        <v>0</v>
      </c>
      <c r="O16" s="98"/>
      <c r="P16" s="99" t="n">
        <f aca="false">SUM(O16-N16)</f>
        <v>0</v>
      </c>
      <c r="Q16" s="41"/>
      <c r="R16" s="101" t="n">
        <f aca="false">SUM(Q16*P16)</f>
        <v>0</v>
      </c>
      <c r="S16" s="102"/>
    </row>
    <row r="17" customFormat="false" ht="15.75" hidden="false" customHeight="false" outlineLevel="0" collapsed="false">
      <c r="A17" s="89" t="n">
        <v>0.291666666666667</v>
      </c>
      <c r="B17" s="90" t="s">
        <v>39</v>
      </c>
      <c r="C17" s="97" t="n">
        <f aca="false">SUM(D16)</f>
        <v>50264870</v>
      </c>
      <c r="D17" s="75" t="n">
        <v>50287300</v>
      </c>
      <c r="E17" s="91" t="n">
        <f aca="false">SUM(D17-C17)</f>
        <v>22430</v>
      </c>
      <c r="F17" s="189" t="n">
        <v>22430</v>
      </c>
      <c r="G17" s="41" t="n">
        <v>0.8359</v>
      </c>
      <c r="H17" s="93" t="n">
        <f aca="false">SUM(G17*F17)</f>
        <v>18749.237</v>
      </c>
      <c r="I17" s="29" t="n">
        <v>388</v>
      </c>
      <c r="J17" s="29" t="n">
        <v>6556</v>
      </c>
      <c r="K17" s="94" t="s">
        <v>18</v>
      </c>
      <c r="L17" s="88"/>
      <c r="M17" s="88" t="s">
        <v>49</v>
      </c>
      <c r="N17" s="82"/>
      <c r="O17" s="82"/>
      <c r="P17" s="82"/>
      <c r="Q17" s="83"/>
      <c r="R17" s="84"/>
      <c r="S17" s="85"/>
    </row>
    <row r="18" customFormat="false" ht="15.75" hidden="false" customHeight="false" outlineLevel="0" collapsed="false">
      <c r="A18" s="89" t="n">
        <v>0.354166666666667</v>
      </c>
      <c r="B18" s="90" t="s">
        <v>39</v>
      </c>
      <c r="C18" s="97" t="n">
        <f aca="false">SUM(D17)</f>
        <v>50287300</v>
      </c>
      <c r="D18" s="75" t="n">
        <v>50298780</v>
      </c>
      <c r="E18" s="91" t="n">
        <f aca="false">SUM(D18-C18)</f>
        <v>11480</v>
      </c>
      <c r="F18" s="189" t="n">
        <v>11480</v>
      </c>
      <c r="G18" s="41" t="n">
        <v>0.8359</v>
      </c>
      <c r="H18" s="93" t="n">
        <f aca="false">SUM(G18*F18)</f>
        <v>9596.132</v>
      </c>
      <c r="I18" s="29" t="n">
        <v>388</v>
      </c>
      <c r="J18" s="29" t="n">
        <v>6558</v>
      </c>
      <c r="K18" s="94" t="s">
        <v>18</v>
      </c>
      <c r="L18" s="95"/>
      <c r="M18" s="104"/>
      <c r="N18" s="129"/>
      <c r="O18" s="98"/>
      <c r="P18" s="108" t="n">
        <f aca="false">SUM(O18-N18)</f>
        <v>0</v>
      </c>
      <c r="Q18" s="41"/>
      <c r="R18" s="93" t="n">
        <f aca="false">SUM(Q18*P18)</f>
        <v>0</v>
      </c>
      <c r="S18" s="102"/>
      <c r="T18" s="0" t="s">
        <v>41</v>
      </c>
    </row>
    <row r="19" customFormat="false" ht="15.75" hidden="false" customHeight="false" outlineLevel="0" collapsed="false">
      <c r="A19" s="89" t="n">
        <v>0.354166666666667</v>
      </c>
      <c r="B19" s="90" t="s">
        <v>39</v>
      </c>
      <c r="C19" s="97" t="n">
        <f aca="false">SUM(D18)</f>
        <v>50298780</v>
      </c>
      <c r="D19" s="75" t="n">
        <v>50309730</v>
      </c>
      <c r="E19" s="91" t="n">
        <f aca="false">SUM(D19-C19)</f>
        <v>10950</v>
      </c>
      <c r="F19" s="189" t="n">
        <v>10950</v>
      </c>
      <c r="G19" s="41" t="n">
        <v>0.8359</v>
      </c>
      <c r="H19" s="93" t="n">
        <f aca="false">SUM(G19*F19)</f>
        <v>9153.105</v>
      </c>
      <c r="I19" s="29" t="n">
        <v>388</v>
      </c>
      <c r="J19" s="29" t="n">
        <v>6559</v>
      </c>
      <c r="K19" s="94" t="s">
        <v>18</v>
      </c>
      <c r="L19" s="95"/>
      <c r="M19" s="104"/>
      <c r="N19" s="97" t="n">
        <f aca="false">SUM(O18)</f>
        <v>0</v>
      </c>
      <c r="O19" s="98"/>
      <c r="P19" s="108" t="n">
        <f aca="false">SUM(O19-N19)</f>
        <v>0</v>
      </c>
      <c r="Q19" s="41"/>
      <c r="R19" s="93" t="n">
        <f aca="false">SUM(Q19*P19)</f>
        <v>0</v>
      </c>
      <c r="S19" s="102"/>
    </row>
    <row r="20" customFormat="false" ht="15" hidden="false" customHeight="false" outlineLevel="0" collapsed="false">
      <c r="A20" s="89"/>
      <c r="B20" s="90"/>
      <c r="C20" s="97"/>
      <c r="D20" s="75"/>
      <c r="E20" s="91" t="n">
        <f aca="false">SUM(D20-C20)</f>
        <v>0</v>
      </c>
      <c r="F20" s="108" t="n">
        <f aca="false">SUM(D20-C20)</f>
        <v>0</v>
      </c>
      <c r="G20" s="41"/>
      <c r="H20" s="93" t="n">
        <f aca="false">SUM(G20*F20)</f>
        <v>0</v>
      </c>
      <c r="I20" s="1"/>
      <c r="J20" s="29"/>
      <c r="K20" s="94" t="s">
        <v>18</v>
      </c>
      <c r="L20" s="95"/>
      <c r="M20" s="104"/>
      <c r="N20" s="97" t="n">
        <f aca="false">SUM(O19)</f>
        <v>0</v>
      </c>
      <c r="O20" s="98"/>
      <c r="P20" s="108" t="n">
        <f aca="false">SUM(O20-N20)</f>
        <v>0</v>
      </c>
      <c r="Q20" s="41"/>
      <c r="R20" s="93" t="n">
        <f aca="false">SUM(Q20*P20)</f>
        <v>0</v>
      </c>
      <c r="S20" s="102"/>
    </row>
    <row r="21" customFormat="false" ht="15" hidden="false" customHeight="false" outlineLevel="0" collapsed="false">
      <c r="A21" s="89"/>
      <c r="B21" s="90"/>
      <c r="C21" s="97" t="n">
        <f aca="false">SUM(D20)</f>
        <v>0</v>
      </c>
      <c r="D21" s="75"/>
      <c r="E21" s="91" t="n">
        <f aca="false">SUM(D21-C21)</f>
        <v>0</v>
      </c>
      <c r="F21" s="108" t="n">
        <f aca="false">SUM(D21-C21)</f>
        <v>0</v>
      </c>
      <c r="G21" s="41"/>
      <c r="H21" s="93" t="n">
        <f aca="false">SUM(G21*F21)</f>
        <v>0</v>
      </c>
      <c r="I21" s="1"/>
      <c r="J21" s="29"/>
      <c r="K21" s="94" t="s">
        <v>18</v>
      </c>
      <c r="L21" s="95"/>
      <c r="M21" s="104"/>
      <c r="N21" s="97" t="n">
        <f aca="false">SUM(O20)</f>
        <v>0</v>
      </c>
      <c r="O21" s="98"/>
      <c r="P21" s="108" t="n">
        <f aca="false">SUM(O21-N21)</f>
        <v>0</v>
      </c>
      <c r="Q21" s="41"/>
      <c r="R21" s="93" t="n">
        <f aca="false">SUM(Q21*P21)</f>
        <v>0</v>
      </c>
      <c r="S21" s="102"/>
    </row>
    <row r="22" customFormat="false" ht="15" hidden="false" customHeight="false" outlineLevel="0" collapsed="false">
      <c r="A22" s="89"/>
      <c r="B22" s="90"/>
      <c r="C22" s="97" t="n">
        <f aca="false">SUM(D21)</f>
        <v>0</v>
      </c>
      <c r="D22" s="75"/>
      <c r="E22" s="91" t="n">
        <f aca="false">SUM(D22-C22)</f>
        <v>0</v>
      </c>
      <c r="F22" s="108" t="n">
        <f aca="false">SUM(D22-C22)</f>
        <v>0</v>
      </c>
      <c r="G22" s="41"/>
      <c r="H22" s="93" t="n">
        <f aca="false">SUM(G22*F22)</f>
        <v>0</v>
      </c>
      <c r="I22" s="1"/>
      <c r="J22" s="29"/>
      <c r="K22" s="94" t="s">
        <v>18</v>
      </c>
      <c r="L22" s="95"/>
      <c r="M22" s="104"/>
      <c r="N22" s="97" t="n">
        <f aca="false">SUM(O21)</f>
        <v>0</v>
      </c>
      <c r="O22" s="98"/>
      <c r="P22" s="108" t="n">
        <f aca="false">SUM(O22-N22)</f>
        <v>0</v>
      </c>
      <c r="Q22" s="41"/>
      <c r="R22" s="93" t="n">
        <f aca="false">SUM(Q22*P22)</f>
        <v>0</v>
      </c>
      <c r="S22" s="102"/>
    </row>
    <row r="23" customFormat="false" ht="15" hidden="false" customHeight="false" outlineLevel="0" collapsed="false">
      <c r="A23" s="89"/>
      <c r="B23" s="90"/>
      <c r="C23" s="97" t="n">
        <f aca="false">SUM(D22)</f>
        <v>0</v>
      </c>
      <c r="D23" s="75"/>
      <c r="E23" s="91" t="n">
        <f aca="false">SUM(D23-C23)</f>
        <v>0</v>
      </c>
      <c r="F23" s="108" t="n">
        <f aca="false">SUM(D23-C23)</f>
        <v>0</v>
      </c>
      <c r="G23" s="41"/>
      <c r="H23" s="93" t="n">
        <f aca="false">SUM(G23*F23)</f>
        <v>0</v>
      </c>
      <c r="I23" s="1"/>
      <c r="J23" s="29"/>
      <c r="K23" s="94" t="s">
        <v>18</v>
      </c>
      <c r="L23" s="95"/>
      <c r="M23" s="104"/>
      <c r="N23" s="97" t="n">
        <f aca="false">SUM(O22)</f>
        <v>0</v>
      </c>
      <c r="O23" s="98"/>
      <c r="P23" s="108" t="n">
        <f aca="false">SUM(O23-N23)</f>
        <v>0</v>
      </c>
      <c r="Q23" s="41"/>
      <c r="R23" s="93" t="n">
        <f aca="false">SUM(Q23*P23)</f>
        <v>0</v>
      </c>
      <c r="S23" s="102"/>
    </row>
    <row r="24" customFormat="false" ht="15" hidden="false" customHeight="false" outlineLevel="0" collapsed="false">
      <c r="A24" s="89"/>
      <c r="B24" s="90"/>
      <c r="C24" s="97" t="n">
        <f aca="false">SUM(D23)</f>
        <v>0</v>
      </c>
      <c r="D24" s="75"/>
      <c r="E24" s="91" t="n">
        <f aca="false">SUM(D24-C24)</f>
        <v>0</v>
      </c>
      <c r="F24" s="108" t="n">
        <f aca="false">SUM(D24-C24)</f>
        <v>0</v>
      </c>
      <c r="G24" s="41"/>
      <c r="H24" s="93" t="n">
        <f aca="false">SUM(G24*F24)</f>
        <v>0</v>
      </c>
      <c r="I24" s="1"/>
      <c r="J24" s="29"/>
      <c r="K24" s="94" t="s">
        <v>18</v>
      </c>
      <c r="L24" s="95"/>
      <c r="M24" s="104"/>
      <c r="N24" s="97" t="n">
        <f aca="false">SUM(O23)</f>
        <v>0</v>
      </c>
      <c r="O24" s="98"/>
      <c r="P24" s="108" t="n">
        <f aca="false">SUM(O24-N24)</f>
        <v>0</v>
      </c>
      <c r="Q24" s="41"/>
      <c r="R24" s="93" t="n">
        <f aca="false">SUM(Q24*P24)</f>
        <v>0</v>
      </c>
      <c r="S24" s="102"/>
    </row>
    <row r="25" customFormat="false" ht="15" hidden="false" customHeight="false" outlineLevel="0" collapsed="false">
      <c r="A25" s="89"/>
      <c r="B25" s="90"/>
      <c r="C25" s="97" t="n">
        <f aca="false">SUM(D24)</f>
        <v>0</v>
      </c>
      <c r="D25" s="75"/>
      <c r="E25" s="91" t="n">
        <f aca="false">SUM(D25-C25)</f>
        <v>0</v>
      </c>
      <c r="F25" s="108" t="n">
        <f aca="false">SUM(D25-C25)</f>
        <v>0</v>
      </c>
      <c r="G25" s="41"/>
      <c r="H25" s="93" t="n">
        <f aca="false">SUM(G25*F25)</f>
        <v>0</v>
      </c>
      <c r="I25" s="1"/>
      <c r="J25" s="29"/>
      <c r="K25" s="94" t="s">
        <v>18</v>
      </c>
      <c r="L25" s="95"/>
      <c r="M25" s="96"/>
      <c r="N25" s="97" t="n">
        <f aca="false">SUM(O24)</f>
        <v>0</v>
      </c>
      <c r="O25" s="98"/>
      <c r="P25" s="108" t="n">
        <f aca="false">SUM(O25-N25)</f>
        <v>0</v>
      </c>
      <c r="Q25" s="100"/>
      <c r="R25" s="93" t="n">
        <f aca="false">SUM(Q25*P25)</f>
        <v>0</v>
      </c>
      <c r="S25" s="1"/>
    </row>
    <row r="26" customFormat="false" ht="15" hidden="false" customHeight="false" outlineLevel="0" collapsed="false">
      <c r="A26" s="89"/>
      <c r="B26" s="90"/>
      <c r="C26" s="97" t="n">
        <f aca="false">SUM(D25)</f>
        <v>0</v>
      </c>
      <c r="D26" s="75"/>
      <c r="E26" s="91" t="n">
        <f aca="false">SUM(D26-C26)</f>
        <v>0</v>
      </c>
      <c r="F26" s="108" t="n">
        <f aca="false">SUM(D26-C26)</f>
        <v>0</v>
      </c>
      <c r="G26" s="41"/>
      <c r="H26" s="93" t="n">
        <f aca="false">SUM(G26*F26)</f>
        <v>0</v>
      </c>
      <c r="I26" s="1"/>
      <c r="J26" s="29"/>
      <c r="K26" s="94" t="s">
        <v>18</v>
      </c>
      <c r="L26" s="95"/>
      <c r="M26" s="96"/>
      <c r="N26" s="97" t="n">
        <f aca="false">SUM(O25)</f>
        <v>0</v>
      </c>
      <c r="O26" s="98"/>
      <c r="P26" s="108" t="n">
        <f aca="false">SUM(O26-N26)</f>
        <v>0</v>
      </c>
      <c r="Q26" s="100"/>
      <c r="R26" s="93" t="n">
        <f aca="false">SUM(Q26*P26)</f>
        <v>0</v>
      </c>
      <c r="S26" s="102"/>
    </row>
    <row r="27" customFormat="false" ht="15" hidden="false" customHeight="false" outlineLevel="0" collapsed="false">
      <c r="A27" s="89"/>
      <c r="B27" s="90"/>
      <c r="C27" s="97" t="n">
        <f aca="false">SUM(D26)</f>
        <v>0</v>
      </c>
      <c r="D27" s="75"/>
      <c r="E27" s="91" t="n">
        <f aca="false">SUM(D27-C27)</f>
        <v>0</v>
      </c>
      <c r="F27" s="108" t="n">
        <f aca="false">SUM(D27-C27)</f>
        <v>0</v>
      </c>
      <c r="G27" s="41"/>
      <c r="H27" s="93" t="n">
        <f aca="false">SUM(G27*F27)</f>
        <v>0</v>
      </c>
      <c r="I27" s="1"/>
      <c r="J27" s="29"/>
      <c r="K27" s="94"/>
      <c r="L27" s="117"/>
      <c r="M27" s="117"/>
      <c r="N27" s="117"/>
      <c r="O27" s="117"/>
      <c r="P27" s="117"/>
      <c r="Q27" s="117"/>
      <c r="R27" s="117"/>
      <c r="S27" s="117"/>
    </row>
    <row r="28" customFormat="false" ht="15" hidden="false" customHeight="false" outlineLevel="0" collapsed="false">
      <c r="A28" s="89"/>
      <c r="B28" s="90"/>
      <c r="C28" s="97" t="n">
        <f aca="false">SUM(D27)</f>
        <v>0</v>
      </c>
      <c r="D28" s="75"/>
      <c r="E28" s="91" t="n">
        <f aca="false">SUM(D28-C28)</f>
        <v>0</v>
      </c>
      <c r="F28" s="108" t="n">
        <f aca="false">SUM(D28-C28)</f>
        <v>0</v>
      </c>
      <c r="G28" s="41"/>
      <c r="H28" s="93" t="n">
        <f aca="false">SUM(G28*F28)</f>
        <v>0</v>
      </c>
      <c r="I28" s="1"/>
      <c r="J28" s="29"/>
      <c r="K28" s="94"/>
      <c r="L28" s="117"/>
      <c r="M28" s="117"/>
      <c r="N28" s="117"/>
      <c r="O28" s="117"/>
      <c r="P28" s="117"/>
      <c r="Q28" s="117"/>
      <c r="R28" s="117"/>
      <c r="S28" s="117"/>
    </row>
    <row r="29" customFormat="false" ht="15" hidden="false" customHeight="false" outlineLevel="0" collapsed="false">
      <c r="A29" s="89"/>
      <c r="B29" s="90"/>
      <c r="C29" s="97" t="n">
        <f aca="false">SUM(D28)</f>
        <v>0</v>
      </c>
      <c r="D29" s="75"/>
      <c r="E29" s="91" t="n">
        <f aca="false">SUM(D29-C29)</f>
        <v>0</v>
      </c>
      <c r="F29" s="108" t="n">
        <f aca="false">SUM(D29-C29)</f>
        <v>0</v>
      </c>
      <c r="G29" s="41"/>
      <c r="H29" s="93" t="n">
        <f aca="false">SUM(G29*F29)</f>
        <v>0</v>
      </c>
      <c r="I29" s="1"/>
      <c r="J29" s="29"/>
      <c r="K29" s="94"/>
      <c r="L29" s="117"/>
      <c r="M29" s="117"/>
      <c r="N29" s="117"/>
      <c r="O29" s="117"/>
      <c r="P29" s="117"/>
      <c r="Q29" s="117"/>
      <c r="R29" s="117"/>
      <c r="S29" s="117"/>
    </row>
    <row r="30" customFormat="false" ht="15" hidden="false" customHeight="false" outlineLevel="0" collapsed="false">
      <c r="A30" s="89"/>
      <c r="B30" s="90"/>
      <c r="C30" s="97" t="n">
        <f aca="false">SUM(D29)</f>
        <v>0</v>
      </c>
      <c r="D30" s="75"/>
      <c r="E30" s="91" t="n">
        <f aca="false">SUM(D30-C30)</f>
        <v>0</v>
      </c>
      <c r="F30" s="108" t="n">
        <f aca="false">SUM(D30-C30)</f>
        <v>0</v>
      </c>
      <c r="G30" s="41"/>
      <c r="H30" s="93" t="n">
        <f aca="false">SUM(G30*F30)</f>
        <v>0</v>
      </c>
      <c r="I30" s="1"/>
      <c r="J30" s="1"/>
      <c r="K30" s="94"/>
      <c r="L30" s="117"/>
      <c r="M30" s="117"/>
      <c r="N30" s="117"/>
      <c r="O30" s="117"/>
      <c r="P30" s="117"/>
      <c r="Q30" s="117"/>
      <c r="R30" s="117"/>
      <c r="S30" s="117"/>
    </row>
    <row r="31" customFormat="false" ht="15" hidden="false" customHeight="false" outlineLevel="0" collapsed="false">
      <c r="A31" s="89"/>
      <c r="B31" s="90"/>
      <c r="C31" s="97" t="n">
        <f aca="false">SUM(D30)</f>
        <v>0</v>
      </c>
      <c r="D31" s="75"/>
      <c r="E31" s="109"/>
      <c r="F31" s="108" t="n">
        <f aca="false">SUM(F3:F30)</f>
        <v>282218</v>
      </c>
      <c r="G31" s="41"/>
      <c r="H31" s="93" t="n">
        <f aca="false">SUM(H3:H30)</f>
        <v>234697.7203</v>
      </c>
      <c r="I31" s="1"/>
      <c r="J31" s="1"/>
      <c r="L31" s="117"/>
      <c r="M31" s="117"/>
      <c r="N31" s="117"/>
      <c r="O31" s="117"/>
      <c r="P31" s="117"/>
      <c r="Q31" s="117"/>
      <c r="R31" s="117"/>
      <c r="S31" s="117"/>
    </row>
    <row r="32" customFormat="false" ht="15" hidden="false" customHeight="false" outlineLevel="0" collapsed="false">
      <c r="A32" s="88"/>
      <c r="B32" s="81" t="s">
        <v>49</v>
      </c>
      <c r="C32" s="82"/>
      <c r="D32" s="82"/>
      <c r="E32" s="82"/>
      <c r="F32" s="82"/>
      <c r="G32" s="83"/>
      <c r="H32" s="84"/>
      <c r="I32" s="85"/>
      <c r="J32" s="85"/>
      <c r="L32" s="117"/>
      <c r="M32" s="117"/>
      <c r="N32" s="117"/>
      <c r="O32" s="117"/>
      <c r="P32" s="117"/>
      <c r="Q32" s="117"/>
      <c r="R32" s="117"/>
      <c r="S32" s="117"/>
    </row>
    <row r="33" customFormat="false" ht="15.75" hidden="false" customHeight="false" outlineLevel="0" collapsed="false">
      <c r="A33" s="89" t="n">
        <v>0.402777777777778</v>
      </c>
      <c r="B33" s="90" t="s">
        <v>55</v>
      </c>
      <c r="C33" s="107" t="n">
        <v>2584150</v>
      </c>
      <c r="D33" s="107" t="n">
        <v>2592610</v>
      </c>
      <c r="E33" s="91" t="n">
        <f aca="false">SUM(D33-C33)</f>
        <v>8460</v>
      </c>
      <c r="F33" s="108" t="n">
        <v>8416</v>
      </c>
      <c r="G33" s="41" t="n">
        <v>0.8236</v>
      </c>
      <c r="H33" s="93" t="n">
        <f aca="false">SUM(G33*F33)</f>
        <v>6931.4176</v>
      </c>
      <c r="I33" s="29" t="n">
        <v>382</v>
      </c>
      <c r="J33" s="1" t="n">
        <v>6518</v>
      </c>
      <c r="K33" s="118" t="s">
        <v>60</v>
      </c>
      <c r="L33" s="117"/>
      <c r="M33" s="117"/>
      <c r="N33" s="117"/>
      <c r="O33" s="117"/>
      <c r="P33" s="117"/>
      <c r="Q33" s="117"/>
      <c r="R33" s="117"/>
      <c r="S33" s="117"/>
    </row>
    <row r="34" customFormat="false" ht="14.25" hidden="false" customHeight="true" outlineLevel="0" collapsed="false">
      <c r="A34" s="89" t="n">
        <v>0.4375</v>
      </c>
      <c r="B34" s="90" t="s">
        <v>61</v>
      </c>
      <c r="C34" s="97" t="n">
        <f aca="false">SUM(D33)</f>
        <v>2592610</v>
      </c>
      <c r="D34" s="107" t="n">
        <v>2603230</v>
      </c>
      <c r="E34" s="91" t="n">
        <f aca="false">SUM(D34-C34)</f>
        <v>10620</v>
      </c>
      <c r="F34" s="108" t="n">
        <v>10560</v>
      </c>
      <c r="G34" s="41" t="n">
        <v>0.8223</v>
      </c>
      <c r="H34" s="93" t="n">
        <f aca="false">SUM(G34*F34)</f>
        <v>8683.488</v>
      </c>
      <c r="I34" s="29" t="n">
        <v>81</v>
      </c>
      <c r="J34" s="1" t="n">
        <v>6519</v>
      </c>
      <c r="K34" s="118" t="s">
        <v>60</v>
      </c>
      <c r="L34" s="117"/>
      <c r="M34" s="117"/>
      <c r="N34" s="117"/>
      <c r="O34" s="117"/>
      <c r="P34" s="117"/>
      <c r="Q34" s="117"/>
      <c r="R34" s="117"/>
      <c r="S34" s="117"/>
    </row>
    <row r="35" customFormat="false" ht="15" hidden="false" customHeight="true" outlineLevel="0" collapsed="false">
      <c r="A35" s="89" t="n">
        <v>0.444444444444444</v>
      </c>
      <c r="B35" s="90" t="s">
        <v>61</v>
      </c>
      <c r="C35" s="97" t="n">
        <f aca="false">SUM(D34)</f>
        <v>2603230</v>
      </c>
      <c r="D35" s="107" t="n">
        <v>2620260</v>
      </c>
      <c r="E35" s="91" t="n">
        <f aca="false">SUM(D35-C35)</f>
        <v>17030</v>
      </c>
      <c r="F35" s="106" t="n">
        <v>17019</v>
      </c>
      <c r="G35" s="41" t="n">
        <v>0.8223</v>
      </c>
      <c r="H35" s="93" t="n">
        <f aca="false">SUM(G35*F35)</f>
        <v>13994.7237</v>
      </c>
      <c r="I35" s="29" t="n">
        <v>251</v>
      </c>
      <c r="J35" s="1" t="n">
        <v>6520</v>
      </c>
      <c r="K35" s="118" t="s">
        <v>60</v>
      </c>
      <c r="L35" s="117"/>
      <c r="M35" s="117"/>
      <c r="N35" s="117"/>
      <c r="O35" s="117"/>
      <c r="P35" s="117"/>
      <c r="Q35" s="117"/>
      <c r="R35" s="117"/>
      <c r="S35" s="117"/>
    </row>
    <row r="36" customFormat="false" ht="15.75" hidden="false" customHeight="false" outlineLevel="0" collapsed="false">
      <c r="A36" s="89" t="n">
        <v>0.465277777777778</v>
      </c>
      <c r="B36" s="90" t="s">
        <v>61</v>
      </c>
      <c r="C36" s="97" t="n">
        <f aca="false">SUM(D35)</f>
        <v>2620260</v>
      </c>
      <c r="D36" s="107" t="n">
        <v>2625510</v>
      </c>
      <c r="E36" s="91" t="n">
        <f aca="false">SUM(D36-C36)</f>
        <v>5250</v>
      </c>
      <c r="F36" s="108" t="n">
        <v>5128</v>
      </c>
      <c r="G36" s="41" t="n">
        <v>0.8223</v>
      </c>
      <c r="H36" s="93" t="n">
        <f aca="false">SUM(G36*F36)</f>
        <v>4216.7544</v>
      </c>
      <c r="I36" s="29" t="n">
        <v>57</v>
      </c>
      <c r="J36" s="1" t="n">
        <v>6521</v>
      </c>
      <c r="K36" s="118" t="s">
        <v>60</v>
      </c>
      <c r="L36" s="117"/>
      <c r="M36" s="117"/>
      <c r="N36" s="117"/>
      <c r="O36" s="117"/>
      <c r="P36" s="117"/>
      <c r="Q36" s="117"/>
      <c r="R36" s="117"/>
      <c r="S36" s="117"/>
    </row>
    <row r="37" customFormat="false" ht="15.75" hidden="false" customHeight="false" outlineLevel="0" collapsed="false">
      <c r="A37" s="89" t="n">
        <v>0.472222222222222</v>
      </c>
      <c r="B37" s="90" t="s">
        <v>89</v>
      </c>
      <c r="C37" s="97" t="n">
        <f aca="false">SUM(D36)</f>
        <v>2625510</v>
      </c>
      <c r="D37" s="107" t="n">
        <v>2635110</v>
      </c>
      <c r="E37" s="91" t="n">
        <f aca="false">SUM(D37-C37)</f>
        <v>9600</v>
      </c>
      <c r="F37" s="108" t="n">
        <v>9540</v>
      </c>
      <c r="G37" s="41" t="n">
        <v>0.8252</v>
      </c>
      <c r="H37" s="93" t="n">
        <f aca="false">SUM(G37*F37)</f>
        <v>7872.408</v>
      </c>
      <c r="I37" s="29" t="n">
        <v>467</v>
      </c>
      <c r="J37" s="1" t="n">
        <v>6523</v>
      </c>
      <c r="K37" s="111" t="s">
        <v>91</v>
      </c>
      <c r="L37" s="117"/>
      <c r="M37" s="203"/>
      <c r="N37" s="117"/>
      <c r="O37" s="117"/>
      <c r="P37" s="117"/>
      <c r="Q37" s="117"/>
      <c r="R37" s="117"/>
      <c r="S37" s="117"/>
    </row>
    <row r="38" customFormat="false" ht="15.75" hidden="false" customHeight="false" outlineLevel="0" collapsed="false">
      <c r="A38" s="89" t="n">
        <v>0.506944444444444</v>
      </c>
      <c r="B38" s="90" t="s">
        <v>61</v>
      </c>
      <c r="C38" s="97" t="n">
        <f aca="false">SUM(D37)</f>
        <v>2635110</v>
      </c>
      <c r="D38" s="107" t="n">
        <v>2645090</v>
      </c>
      <c r="E38" s="91" t="n">
        <f aca="false">SUM(D38-C38)</f>
        <v>9980</v>
      </c>
      <c r="F38" s="106" t="n">
        <v>9986</v>
      </c>
      <c r="G38" s="41" t="n">
        <v>0.8223</v>
      </c>
      <c r="H38" s="93" t="n">
        <f aca="false">SUM(G38*F38)</f>
        <v>8211.4878</v>
      </c>
      <c r="I38" s="29" t="n">
        <v>251</v>
      </c>
      <c r="J38" s="1" t="n">
        <v>6525</v>
      </c>
      <c r="K38" s="118" t="s">
        <v>60</v>
      </c>
      <c r="L38" s="117"/>
      <c r="M38" s="203"/>
      <c r="N38" s="117"/>
      <c r="O38" s="117"/>
      <c r="P38" s="117"/>
      <c r="Q38" s="117"/>
      <c r="R38" s="117"/>
      <c r="S38" s="117"/>
    </row>
    <row r="39" customFormat="false" ht="15.75" hidden="false" customHeight="false" outlineLevel="0" collapsed="false">
      <c r="A39" s="89" t="n">
        <v>0.506944444444444</v>
      </c>
      <c r="B39" s="90" t="s">
        <v>61</v>
      </c>
      <c r="C39" s="97" t="n">
        <f aca="false">SUM(D38)</f>
        <v>2645090</v>
      </c>
      <c r="D39" s="107" t="n">
        <v>2652230</v>
      </c>
      <c r="E39" s="91" t="n">
        <f aca="false">SUM(D39-C39)</f>
        <v>7140</v>
      </c>
      <c r="F39" s="106" t="n">
        <v>7033</v>
      </c>
      <c r="G39" s="41" t="n">
        <v>0.8223</v>
      </c>
      <c r="H39" s="93" t="n">
        <f aca="false">SUM(G39*F39)</f>
        <v>5783.2359</v>
      </c>
      <c r="I39" s="29" t="n">
        <v>251</v>
      </c>
      <c r="J39" s="1" t="n">
        <v>6526</v>
      </c>
      <c r="K39" s="118" t="s">
        <v>60</v>
      </c>
      <c r="L39" s="117"/>
      <c r="M39" s="203"/>
      <c r="N39" s="94"/>
      <c r="O39" s="117"/>
      <c r="P39" s="117"/>
      <c r="Q39" s="117"/>
      <c r="R39" s="117"/>
      <c r="S39" s="117"/>
    </row>
    <row r="40" customFormat="false" ht="15.75" hidden="false" customHeight="false" outlineLevel="0" collapsed="false">
      <c r="A40" s="89" t="n">
        <v>0.597222222222222</v>
      </c>
      <c r="B40" s="90" t="s">
        <v>61</v>
      </c>
      <c r="C40" s="97" t="n">
        <f aca="false">SUM(D39)</f>
        <v>2652230</v>
      </c>
      <c r="D40" s="107" t="n">
        <v>2658700</v>
      </c>
      <c r="E40" s="91" t="n">
        <f aca="false">SUM(D40-C40)</f>
        <v>6470</v>
      </c>
      <c r="F40" s="108" t="n">
        <v>6414</v>
      </c>
      <c r="G40" s="41" t="n">
        <v>0.8223</v>
      </c>
      <c r="H40" s="93" t="n">
        <f aca="false">SUM(G40*F40)</f>
        <v>5274.2322</v>
      </c>
      <c r="I40" s="29" t="n">
        <v>81</v>
      </c>
      <c r="J40" s="29" t="n">
        <v>6528</v>
      </c>
      <c r="K40" s="118" t="s">
        <v>60</v>
      </c>
      <c r="L40" s="117"/>
      <c r="M40" s="117"/>
      <c r="N40" s="94"/>
      <c r="O40" s="117"/>
      <c r="P40" s="117"/>
      <c r="Q40" s="117"/>
      <c r="R40" s="117"/>
      <c r="S40" s="117"/>
    </row>
    <row r="41" customFormat="false" ht="15.75" hidden="false" customHeight="false" outlineLevel="0" collapsed="false">
      <c r="A41" s="89" t="n">
        <v>0.607638888888889</v>
      </c>
      <c r="B41" s="90" t="s">
        <v>61</v>
      </c>
      <c r="C41" s="97" t="n">
        <f aca="false">SUM(D40)</f>
        <v>2658700</v>
      </c>
      <c r="D41" s="107" t="n">
        <v>2667030</v>
      </c>
      <c r="E41" s="91" t="n">
        <f aca="false">SUM(D41-C41)</f>
        <v>8330</v>
      </c>
      <c r="F41" s="108" t="n">
        <v>8289</v>
      </c>
      <c r="G41" s="41" t="n">
        <v>0.8223</v>
      </c>
      <c r="H41" s="93" t="n">
        <f aca="false">SUM(G41*F41)</f>
        <v>6816.0447</v>
      </c>
      <c r="I41" s="29" t="n">
        <v>57</v>
      </c>
      <c r="J41" s="29" t="n">
        <v>6529</v>
      </c>
      <c r="K41" s="118" t="s">
        <v>60</v>
      </c>
      <c r="L41" s="117"/>
      <c r="M41" s="117"/>
      <c r="N41" s="94"/>
      <c r="O41" s="117"/>
      <c r="P41" s="117"/>
      <c r="Q41" s="117"/>
      <c r="R41" s="117"/>
      <c r="S41" s="117"/>
    </row>
    <row r="42" customFormat="false" ht="15" hidden="false" customHeight="true" outlineLevel="0" collapsed="false">
      <c r="A42" s="89" t="n">
        <v>0.625</v>
      </c>
      <c r="B42" s="90" t="s">
        <v>90</v>
      </c>
      <c r="C42" s="97" t="n">
        <f aca="false">SUM(D41)</f>
        <v>2667030</v>
      </c>
      <c r="D42" s="107" t="n">
        <v>2673750</v>
      </c>
      <c r="E42" s="91" t="n">
        <f aca="false">SUM(D42-C42)</f>
        <v>6720</v>
      </c>
      <c r="F42" s="108" t="n">
        <v>6667</v>
      </c>
      <c r="G42" s="41" t="n">
        <v>0.8229</v>
      </c>
      <c r="H42" s="93" t="n">
        <f aca="false">SUM(G42*F42)</f>
        <v>5486.2743</v>
      </c>
      <c r="I42" s="29" t="n">
        <v>382</v>
      </c>
      <c r="J42" s="29" t="n">
        <v>6530</v>
      </c>
      <c r="K42" s="119" t="s">
        <v>56</v>
      </c>
      <c r="L42" s="117"/>
      <c r="M42" s="117"/>
      <c r="N42" s="94"/>
      <c r="O42" s="117"/>
      <c r="P42" s="117"/>
      <c r="Q42" s="117"/>
      <c r="R42" s="117"/>
      <c r="S42" s="117"/>
    </row>
    <row r="43" customFormat="false" ht="15.75" hidden="false" customHeight="false" outlineLevel="0" collapsed="false">
      <c r="A43" s="89" t="n">
        <v>0.638888888888889</v>
      </c>
      <c r="B43" s="90" t="s">
        <v>52</v>
      </c>
      <c r="C43" s="97" t="n">
        <f aca="false">SUM(D42)</f>
        <v>2673750</v>
      </c>
      <c r="D43" s="107" t="n">
        <v>2683360</v>
      </c>
      <c r="E43" s="91" t="n">
        <f aca="false">SUM(D43-C43)</f>
        <v>9610</v>
      </c>
      <c r="F43" s="204" t="n">
        <v>9540</v>
      </c>
      <c r="G43" s="41" t="n">
        <v>0.8375</v>
      </c>
      <c r="H43" s="93" t="n">
        <f aca="false">SUM(G43*F43)</f>
        <v>7989.75</v>
      </c>
      <c r="I43" s="29" t="n">
        <v>467</v>
      </c>
      <c r="J43" s="29" t="n">
        <v>6531</v>
      </c>
      <c r="K43" s="205" t="s">
        <v>83</v>
      </c>
      <c r="L43" s="117"/>
      <c r="M43" s="117"/>
      <c r="N43" s="117"/>
      <c r="O43" s="117"/>
      <c r="P43" s="117"/>
      <c r="Q43" s="117"/>
      <c r="R43" s="117"/>
      <c r="S43" s="117"/>
    </row>
    <row r="44" customFormat="false" ht="15.75" hidden="false" customHeight="false" outlineLevel="0" collapsed="false">
      <c r="A44" s="89" t="n">
        <v>0.638888888888889</v>
      </c>
      <c r="B44" s="90" t="s">
        <v>59</v>
      </c>
      <c r="C44" s="97" t="n">
        <f aca="false">SUM(D43)</f>
        <v>2683360</v>
      </c>
      <c r="D44" s="107" t="n">
        <v>2688880</v>
      </c>
      <c r="E44" s="91" t="n">
        <f aca="false">SUM(D44-C44)</f>
        <v>5520</v>
      </c>
      <c r="F44" s="204" t="n">
        <v>5500</v>
      </c>
      <c r="G44" s="41" t="n">
        <v>0.8375</v>
      </c>
      <c r="H44" s="93" t="n">
        <f aca="false">SUM(G44*F44)</f>
        <v>4606.25</v>
      </c>
      <c r="I44" s="29" t="n">
        <v>467</v>
      </c>
      <c r="J44" s="29" t="n">
        <v>6531</v>
      </c>
      <c r="K44" s="205" t="s">
        <v>83</v>
      </c>
      <c r="L44" s="117"/>
      <c r="M44" s="117"/>
      <c r="N44" s="117"/>
      <c r="O44" s="117"/>
      <c r="P44" s="117"/>
      <c r="Q44" s="117"/>
      <c r="R44" s="117"/>
      <c r="S44" s="117"/>
    </row>
    <row r="45" customFormat="false" ht="15.75" hidden="false" customHeight="false" outlineLevel="0" collapsed="false">
      <c r="A45" s="89" t="n">
        <v>0.659722222222222</v>
      </c>
      <c r="B45" s="90" t="s">
        <v>59</v>
      </c>
      <c r="C45" s="97" t="n">
        <f aca="false">SUM(D44)</f>
        <v>2688880</v>
      </c>
      <c r="D45" s="107" t="n">
        <v>2695980</v>
      </c>
      <c r="E45" s="91" t="n">
        <f aca="false">SUM(D45-C45)</f>
        <v>7100</v>
      </c>
      <c r="F45" s="106" t="n">
        <v>7033</v>
      </c>
      <c r="G45" s="41" t="n">
        <v>0.8315</v>
      </c>
      <c r="H45" s="93" t="n">
        <f aca="false">SUM(G45*F45)</f>
        <v>5847.9395</v>
      </c>
      <c r="I45" s="29" t="n">
        <v>251</v>
      </c>
      <c r="J45" s="29" t="n">
        <v>6532</v>
      </c>
      <c r="K45" s="205" t="s">
        <v>83</v>
      </c>
      <c r="L45" s="117"/>
      <c r="M45" s="117"/>
      <c r="N45" s="117"/>
      <c r="O45" s="117"/>
      <c r="P45" s="117"/>
      <c r="Q45" s="117"/>
      <c r="R45" s="117"/>
      <c r="S45" s="117"/>
    </row>
    <row r="46" customFormat="false" ht="15.75" hidden="false" customHeight="false" outlineLevel="0" collapsed="false">
      <c r="A46" s="89" t="n">
        <v>0.659722222222222</v>
      </c>
      <c r="B46" s="90" t="s">
        <v>62</v>
      </c>
      <c r="C46" s="97" t="n">
        <f aca="false">SUM(D45)</f>
        <v>2695980</v>
      </c>
      <c r="D46" s="107" t="n">
        <v>2706020</v>
      </c>
      <c r="E46" s="91" t="n">
        <f aca="false">SUM(D46-C46)</f>
        <v>10040</v>
      </c>
      <c r="F46" s="106" t="n">
        <v>9986</v>
      </c>
      <c r="G46" s="41" t="n">
        <v>0.8315</v>
      </c>
      <c r="H46" s="93" t="n">
        <f aca="false">SUM(G46*F46)</f>
        <v>8303.359</v>
      </c>
      <c r="I46" s="29" t="n">
        <v>251</v>
      </c>
      <c r="J46" s="29" t="n">
        <v>6532</v>
      </c>
      <c r="K46" s="111" t="s">
        <v>91</v>
      </c>
      <c r="L46" s="117"/>
      <c r="M46" s="117"/>
      <c r="N46" s="117"/>
      <c r="O46" s="117"/>
      <c r="P46" s="117"/>
      <c r="Q46" s="117"/>
      <c r="R46" s="117"/>
      <c r="S46" s="117"/>
    </row>
    <row r="47" customFormat="false" ht="15.75" hidden="false" customHeight="false" outlineLevel="0" collapsed="false">
      <c r="A47" s="89" t="n">
        <v>0.770833333333333</v>
      </c>
      <c r="B47" s="90" t="s">
        <v>90</v>
      </c>
      <c r="C47" s="97" t="n">
        <f aca="false">SUM(D46)</f>
        <v>2706020</v>
      </c>
      <c r="D47" s="107" t="n">
        <v>2723140</v>
      </c>
      <c r="E47" s="91" t="n">
        <f aca="false">SUM(D47-C47)</f>
        <v>17120</v>
      </c>
      <c r="F47" s="106" t="n">
        <v>17019</v>
      </c>
      <c r="G47" s="41" t="n">
        <v>0.8225</v>
      </c>
      <c r="H47" s="93" t="n">
        <f aca="false">SUM(G47*F47)</f>
        <v>13998.1275</v>
      </c>
      <c r="I47" s="1" t="n">
        <v>251</v>
      </c>
      <c r="J47" s="29" t="n">
        <v>6534</v>
      </c>
      <c r="K47" s="119" t="s">
        <v>56</v>
      </c>
      <c r="L47" s="117"/>
      <c r="M47" s="117"/>
      <c r="N47" s="117"/>
      <c r="O47" s="117"/>
      <c r="P47" s="117"/>
      <c r="Q47" s="117"/>
      <c r="R47" s="117"/>
      <c r="S47" s="117"/>
    </row>
    <row r="48" customFormat="false" ht="15.75" hidden="false" customHeight="false" outlineLevel="0" collapsed="false">
      <c r="A48" s="89" t="n">
        <v>0.784722222222222</v>
      </c>
      <c r="B48" s="90" t="s">
        <v>62</v>
      </c>
      <c r="C48" s="97" t="n">
        <f aca="false">SUM(D47)</f>
        <v>2723140</v>
      </c>
      <c r="D48" s="107" t="n">
        <v>2735290</v>
      </c>
      <c r="E48" s="91" t="n">
        <f aca="false">SUM(D48-C48)</f>
        <v>12150</v>
      </c>
      <c r="F48" s="108" t="n">
        <v>12093</v>
      </c>
      <c r="G48" s="41" t="n">
        <v>0.8245</v>
      </c>
      <c r="H48" s="93" t="n">
        <f aca="false">SUM(G48*F48)</f>
        <v>9970.6785</v>
      </c>
      <c r="I48" s="1" t="n">
        <v>119</v>
      </c>
      <c r="J48" s="29" t="n">
        <v>6536</v>
      </c>
      <c r="K48" s="111" t="s">
        <v>91</v>
      </c>
      <c r="L48" s="117"/>
      <c r="M48" s="117"/>
      <c r="N48" s="117"/>
      <c r="O48" s="117"/>
      <c r="P48" s="117"/>
      <c r="Q48" s="117"/>
      <c r="R48" s="117"/>
      <c r="S48" s="117"/>
    </row>
    <row r="49" customFormat="false" ht="15.75" hidden="false" customHeight="false" outlineLevel="0" collapsed="false">
      <c r="A49" s="89" t="n">
        <v>0.798611111111111</v>
      </c>
      <c r="B49" s="90" t="s">
        <v>90</v>
      </c>
      <c r="C49" s="97" t="n">
        <f aca="false">SUM(D48)</f>
        <v>2735290</v>
      </c>
      <c r="D49" s="107" t="n">
        <v>2740580</v>
      </c>
      <c r="E49" s="91" t="n">
        <f aca="false">SUM(D49-C49)</f>
        <v>5290</v>
      </c>
      <c r="F49" s="108" t="n">
        <v>5276</v>
      </c>
      <c r="G49" s="41" t="n">
        <v>0.8225</v>
      </c>
      <c r="H49" s="93" t="n">
        <f aca="false">SUM(G49*F49)</f>
        <v>4339.51</v>
      </c>
      <c r="I49" s="1" t="n">
        <v>81</v>
      </c>
      <c r="J49" s="29" t="n">
        <v>6537</v>
      </c>
      <c r="K49" s="119" t="s">
        <v>56</v>
      </c>
      <c r="L49" s="117"/>
      <c r="M49" s="117"/>
      <c r="N49" s="117"/>
      <c r="O49" s="117"/>
      <c r="P49" s="117"/>
      <c r="Q49" s="117"/>
      <c r="R49" s="117"/>
      <c r="S49" s="117"/>
    </row>
    <row r="50" customFormat="false" ht="15.75" hidden="false" customHeight="false" outlineLevel="0" collapsed="false">
      <c r="A50" s="89" t="n">
        <v>0.8125</v>
      </c>
      <c r="B50" s="90" t="s">
        <v>62</v>
      </c>
      <c r="C50" s="97" t="n">
        <f aca="false">SUM(D49)</f>
        <v>2740580</v>
      </c>
      <c r="D50" s="107" t="n">
        <v>2757710</v>
      </c>
      <c r="E50" s="91" t="n">
        <f aca="false">SUM(D50-C50)</f>
        <v>17130</v>
      </c>
      <c r="F50" s="106" t="n">
        <v>17019</v>
      </c>
      <c r="G50" s="41" t="n">
        <v>0.8245</v>
      </c>
      <c r="H50" s="93" t="n">
        <f aca="false">SUM(G50*F50)</f>
        <v>14032.1655</v>
      </c>
      <c r="I50" s="1" t="n">
        <v>251</v>
      </c>
      <c r="J50" s="29" t="n">
        <v>6538</v>
      </c>
      <c r="K50" s="111" t="s">
        <v>91</v>
      </c>
      <c r="L50" s="117"/>
      <c r="M50" s="117"/>
      <c r="N50" s="117"/>
      <c r="O50" s="117"/>
      <c r="P50" s="117"/>
      <c r="Q50" s="117"/>
      <c r="R50" s="117"/>
      <c r="S50" s="117"/>
    </row>
    <row r="51" customFormat="false" ht="15.75" hidden="false" customHeight="false" outlineLevel="0" collapsed="false">
      <c r="A51" s="89" t="n">
        <v>0.902777777777778</v>
      </c>
      <c r="B51" s="90" t="s">
        <v>90</v>
      </c>
      <c r="C51" s="97" t="n">
        <f aca="false">SUM(D50)</f>
        <v>2757710</v>
      </c>
      <c r="D51" s="107" t="n">
        <v>2763830</v>
      </c>
      <c r="E51" s="91" t="n">
        <f aca="false">SUM(D51-C51)</f>
        <v>6120</v>
      </c>
      <c r="F51" s="108" t="n">
        <v>6070</v>
      </c>
      <c r="G51" s="41" t="n">
        <v>0.8225</v>
      </c>
      <c r="H51" s="93" t="n">
        <f aca="false">SUM(G51*F51)</f>
        <v>4992.575</v>
      </c>
      <c r="I51" s="1" t="n">
        <v>57</v>
      </c>
      <c r="J51" s="29" t="n">
        <v>6540</v>
      </c>
      <c r="K51" s="119" t="s">
        <v>56</v>
      </c>
      <c r="L51" s="117"/>
      <c r="M51" s="117"/>
      <c r="N51" s="117"/>
      <c r="O51" s="117"/>
      <c r="P51" s="117"/>
      <c r="Q51" s="117"/>
      <c r="R51" s="117"/>
      <c r="S51" s="117"/>
    </row>
    <row r="52" customFormat="false" ht="15.75" hidden="false" customHeight="false" outlineLevel="0" collapsed="false">
      <c r="A52" s="89" t="n">
        <v>0.916666666666667</v>
      </c>
      <c r="B52" s="90" t="s">
        <v>62</v>
      </c>
      <c r="C52" s="97" t="n">
        <f aca="false">SUM(D51)</f>
        <v>2763830</v>
      </c>
      <c r="D52" s="107" t="n">
        <v>2773860</v>
      </c>
      <c r="E52" s="91" t="n">
        <f aca="false">SUM(D52-C52)</f>
        <v>10030</v>
      </c>
      <c r="F52" s="106" t="n">
        <v>9986</v>
      </c>
      <c r="G52" s="41" t="n">
        <v>0.8255</v>
      </c>
      <c r="H52" s="93" t="n">
        <f aca="false">SUM(G52*F52)</f>
        <v>8243.443</v>
      </c>
      <c r="I52" s="1" t="n">
        <v>251</v>
      </c>
      <c r="J52" s="29" t="n">
        <v>6541</v>
      </c>
      <c r="K52" s="111" t="s">
        <v>91</v>
      </c>
      <c r="L52" s="117"/>
      <c r="M52" s="117"/>
      <c r="N52" s="117"/>
      <c r="O52" s="117"/>
      <c r="P52" s="117"/>
      <c r="Q52" s="117"/>
      <c r="R52" s="117"/>
      <c r="S52" s="117"/>
    </row>
    <row r="53" customFormat="false" ht="15.75" hidden="false" customHeight="false" outlineLevel="0" collapsed="false">
      <c r="A53" s="89" t="n">
        <v>0.927083333333333</v>
      </c>
      <c r="B53" s="90" t="s">
        <v>62</v>
      </c>
      <c r="C53" s="97" t="n">
        <f aca="false">SUM(D52)</f>
        <v>2773860</v>
      </c>
      <c r="D53" s="107" t="n">
        <v>2779980</v>
      </c>
      <c r="E53" s="91" t="n">
        <f aca="false">SUM(D53-C53)</f>
        <v>6120</v>
      </c>
      <c r="F53" s="108" t="n">
        <v>6089</v>
      </c>
      <c r="G53" s="41" t="n">
        <v>0.8255</v>
      </c>
      <c r="H53" s="93" t="n">
        <f aca="false">SUM(G53*F53)</f>
        <v>5026.4695</v>
      </c>
      <c r="I53" s="1" t="n">
        <v>119</v>
      </c>
      <c r="J53" s="29" t="n">
        <v>6543</v>
      </c>
      <c r="K53" s="111" t="s">
        <v>91</v>
      </c>
      <c r="L53" s="117"/>
      <c r="M53" s="117"/>
      <c r="N53" s="117"/>
      <c r="O53" s="117"/>
      <c r="P53" s="117"/>
      <c r="Q53" s="117"/>
      <c r="R53" s="117"/>
      <c r="S53" s="117"/>
    </row>
    <row r="54" customFormat="false" ht="15.75" hidden="false" customHeight="false" outlineLevel="0" collapsed="false">
      <c r="A54" s="89" t="n">
        <v>0.9375</v>
      </c>
      <c r="B54" s="90" t="s">
        <v>59</v>
      </c>
      <c r="C54" s="97" t="n">
        <f aca="false">SUM(D53)</f>
        <v>2779980</v>
      </c>
      <c r="D54" s="107" t="n">
        <v>2795140</v>
      </c>
      <c r="E54" s="91" t="n">
        <f aca="false">SUM(D54-C54)</f>
        <v>15160</v>
      </c>
      <c r="F54" s="204" t="n">
        <v>15040</v>
      </c>
      <c r="G54" s="41" t="n">
        <v>0.8387</v>
      </c>
      <c r="H54" s="93" t="n">
        <f aca="false">SUM(G54*F54)</f>
        <v>12614.048</v>
      </c>
      <c r="I54" s="1" t="n">
        <v>467</v>
      </c>
      <c r="J54" s="29" t="n">
        <v>6544</v>
      </c>
      <c r="K54" s="205" t="s">
        <v>83</v>
      </c>
      <c r="L54" s="117"/>
      <c r="M54" s="117"/>
      <c r="N54" s="117"/>
      <c r="O54" s="117"/>
      <c r="P54" s="117"/>
      <c r="Q54" s="117"/>
      <c r="R54" s="117"/>
      <c r="S54" s="117"/>
    </row>
    <row r="55" customFormat="false" ht="15.75" hidden="false" customHeight="false" outlineLevel="0" collapsed="false">
      <c r="A55" s="89" t="n">
        <v>0.951388888888889</v>
      </c>
      <c r="B55" s="90" t="s">
        <v>90</v>
      </c>
      <c r="C55" s="97" t="n">
        <f aca="false">SUM(D54)</f>
        <v>2795140</v>
      </c>
      <c r="D55" s="107" t="n">
        <v>2804630</v>
      </c>
      <c r="E55" s="91" t="n">
        <f aca="false">SUM(D55-C55)</f>
        <v>9490</v>
      </c>
      <c r="F55" s="108" t="n">
        <v>9437</v>
      </c>
      <c r="G55" s="41" t="n">
        <v>0.8228</v>
      </c>
      <c r="H55" s="93" t="n">
        <f aca="false">SUM(G55*F55)</f>
        <v>7764.7636</v>
      </c>
      <c r="I55" s="1" t="n">
        <v>382</v>
      </c>
      <c r="J55" s="29" t="n">
        <v>6547</v>
      </c>
      <c r="K55" s="119" t="s">
        <v>56</v>
      </c>
      <c r="L55" s="117"/>
      <c r="M55" s="117"/>
      <c r="N55" s="117"/>
      <c r="O55" s="117"/>
      <c r="P55" s="117"/>
      <c r="Q55" s="117"/>
      <c r="R55" s="117"/>
      <c r="S55" s="117"/>
    </row>
    <row r="56" customFormat="false" ht="15.75" hidden="false" customHeight="false" outlineLevel="0" collapsed="false">
      <c r="A56" s="89" t="n">
        <v>0.0833333333333333</v>
      </c>
      <c r="B56" s="90" t="s">
        <v>90</v>
      </c>
      <c r="C56" s="97" t="n">
        <f aca="false">SUM(D55)</f>
        <v>2804630</v>
      </c>
      <c r="D56" s="107" t="n">
        <v>2812580</v>
      </c>
      <c r="E56" s="91" t="n">
        <f aca="false">SUM(D56-C56)</f>
        <v>7950</v>
      </c>
      <c r="F56" s="108" t="n">
        <v>7898</v>
      </c>
      <c r="G56" s="41" t="n">
        <v>0.8241</v>
      </c>
      <c r="H56" s="93" t="n">
        <f aca="false">SUM(G56*F56)</f>
        <v>6508.7418</v>
      </c>
      <c r="I56" s="1" t="n">
        <v>81</v>
      </c>
      <c r="J56" s="29" t="n">
        <v>6548</v>
      </c>
      <c r="K56" s="119" t="s">
        <v>56</v>
      </c>
      <c r="L56" s="117"/>
      <c r="M56" s="117"/>
      <c r="N56" s="117"/>
      <c r="O56" s="117"/>
      <c r="P56" s="117"/>
      <c r="Q56" s="117"/>
      <c r="R56" s="117"/>
      <c r="S56" s="117"/>
    </row>
    <row r="57" customFormat="false" ht="15.75" hidden="false" customHeight="false" outlineLevel="0" collapsed="false">
      <c r="A57" s="89" t="n">
        <v>0.0902777777777778</v>
      </c>
      <c r="B57" s="90" t="s">
        <v>90</v>
      </c>
      <c r="C57" s="97" t="n">
        <f aca="false">SUM(D56)</f>
        <v>2812580</v>
      </c>
      <c r="D57" s="107" t="n">
        <v>2818580</v>
      </c>
      <c r="E57" s="91" t="n">
        <f aca="false">SUM(D57-C57)</f>
        <v>6000</v>
      </c>
      <c r="F57" s="108" t="n">
        <v>5972</v>
      </c>
      <c r="G57" s="41" t="n">
        <v>0.8241</v>
      </c>
      <c r="H57" s="93" t="n">
        <f aca="false">SUM(G57*F57)</f>
        <v>4921.5252</v>
      </c>
      <c r="I57" s="1" t="n">
        <v>57</v>
      </c>
      <c r="J57" s="29" t="n">
        <v>6549</v>
      </c>
      <c r="K57" s="119" t="s">
        <v>56</v>
      </c>
      <c r="L57" s="117"/>
      <c r="M57" s="117"/>
      <c r="N57" s="117"/>
      <c r="O57" s="117"/>
      <c r="P57" s="117"/>
      <c r="Q57" s="117"/>
      <c r="R57" s="117"/>
      <c r="S57" s="117"/>
    </row>
    <row r="58" customFormat="false" ht="15.75" hidden="false" customHeight="false" outlineLevel="0" collapsed="false">
      <c r="A58" s="89" t="n">
        <v>0.135416666666667</v>
      </c>
      <c r="B58" s="90" t="s">
        <v>89</v>
      </c>
      <c r="C58" s="97" t="n">
        <f aca="false">SUM(D57)</f>
        <v>2818580</v>
      </c>
      <c r="D58" s="107" t="n">
        <v>2835700</v>
      </c>
      <c r="E58" s="91" t="n">
        <f aca="false">SUM(D58-C58)</f>
        <v>17120</v>
      </c>
      <c r="F58" s="106" t="n">
        <v>17019</v>
      </c>
      <c r="G58" s="41" t="n">
        <v>0.8259</v>
      </c>
      <c r="H58" s="93" t="n">
        <f aca="false">SUM(G58*F58)</f>
        <v>14055.9921</v>
      </c>
      <c r="I58" s="1" t="n">
        <v>251</v>
      </c>
      <c r="J58" s="29" t="n">
        <v>6550</v>
      </c>
      <c r="K58" s="111" t="s">
        <v>91</v>
      </c>
      <c r="L58" s="117"/>
      <c r="M58" s="117"/>
      <c r="N58" s="117"/>
      <c r="O58" s="117"/>
      <c r="P58" s="117"/>
      <c r="Q58" s="117"/>
      <c r="R58" s="117"/>
      <c r="S58" s="117"/>
    </row>
    <row r="59" customFormat="false" ht="15.75" hidden="false" customHeight="false" outlineLevel="0" collapsed="false">
      <c r="A59" s="89" t="n">
        <v>0.229166666666667</v>
      </c>
      <c r="B59" s="90" t="s">
        <v>89</v>
      </c>
      <c r="C59" s="97" t="n">
        <f aca="false">SUM(D58)</f>
        <v>2835700</v>
      </c>
      <c r="D59" s="107" t="n">
        <v>2852820</v>
      </c>
      <c r="E59" s="91" t="n">
        <f aca="false">SUM(D59-C59)</f>
        <v>17120</v>
      </c>
      <c r="F59" s="106" t="n">
        <v>17019</v>
      </c>
      <c r="G59" s="41" t="n">
        <v>0.8263</v>
      </c>
      <c r="H59" s="93" t="n">
        <f aca="false">SUM(G59*F59)</f>
        <v>14062.7997</v>
      </c>
      <c r="I59" s="1" t="n">
        <v>251</v>
      </c>
      <c r="J59" s="29" t="n">
        <v>6554</v>
      </c>
      <c r="K59" s="111" t="s">
        <v>91</v>
      </c>
      <c r="L59" s="117"/>
      <c r="M59" s="117"/>
      <c r="N59" s="117"/>
      <c r="O59" s="117"/>
      <c r="P59" s="117"/>
      <c r="Q59" s="117"/>
      <c r="R59" s="117"/>
      <c r="S59" s="117"/>
    </row>
    <row r="60" customFormat="false" ht="15.75" hidden="false" customHeight="false" outlineLevel="0" collapsed="false">
      <c r="A60" s="89" t="n">
        <v>0.3125</v>
      </c>
      <c r="B60" s="90" t="s">
        <v>72</v>
      </c>
      <c r="C60" s="97" t="n">
        <f aca="false">SUM(D59)</f>
        <v>2852820</v>
      </c>
      <c r="D60" s="107" t="n">
        <v>2869940</v>
      </c>
      <c r="E60" s="91" t="n">
        <f aca="false">SUM(D60-C60)</f>
        <v>17120</v>
      </c>
      <c r="F60" s="106" t="n">
        <v>17019</v>
      </c>
      <c r="G60" s="41" t="n">
        <v>0.8275</v>
      </c>
      <c r="H60" s="93" t="n">
        <f aca="false">SUM(G60*F60)</f>
        <v>14083.2225</v>
      </c>
      <c r="I60" s="1" t="n">
        <v>251</v>
      </c>
      <c r="J60" s="29" t="n">
        <v>6557</v>
      </c>
      <c r="K60" s="118" t="s">
        <v>60</v>
      </c>
      <c r="L60" s="117"/>
      <c r="M60" s="117"/>
      <c r="N60" s="117"/>
      <c r="O60" s="117"/>
      <c r="P60" s="117"/>
      <c r="Q60" s="117"/>
      <c r="R60" s="117"/>
      <c r="S60" s="117"/>
    </row>
    <row r="61" customFormat="false" ht="15" hidden="false" customHeight="false" outlineLevel="0" collapsed="false">
      <c r="A61" s="89"/>
      <c r="B61" s="90"/>
      <c r="C61" s="97"/>
      <c r="D61" s="107"/>
      <c r="E61" s="91" t="n">
        <f aca="false">SUM(D61-C61)</f>
        <v>0</v>
      </c>
      <c r="F61" s="108" t="n">
        <f aca="false">SUM(D61-C61)</f>
        <v>0</v>
      </c>
      <c r="G61" s="41"/>
      <c r="H61" s="93" t="n">
        <f aca="false">SUM(G61*F61)</f>
        <v>0</v>
      </c>
      <c r="I61" s="1"/>
      <c r="J61" s="29"/>
      <c r="K61" s="117"/>
      <c r="L61" s="117"/>
      <c r="M61" s="117"/>
      <c r="N61" s="117"/>
      <c r="O61" s="117"/>
      <c r="P61" s="117"/>
      <c r="Q61" s="117"/>
      <c r="R61" s="117"/>
      <c r="S61" s="117"/>
    </row>
    <row r="62" customFormat="false" ht="15" hidden="false" customHeight="false" outlineLevel="0" collapsed="false">
      <c r="A62" s="89"/>
      <c r="B62" s="90"/>
      <c r="C62" s="97" t="n">
        <f aca="false">SUM(D61)</f>
        <v>0</v>
      </c>
      <c r="D62" s="107"/>
      <c r="E62" s="91" t="n">
        <f aca="false">SUM(D62-C62)</f>
        <v>0</v>
      </c>
      <c r="F62" s="108" t="n">
        <f aca="false">SUM(D62-C62)</f>
        <v>0</v>
      </c>
      <c r="G62" s="41"/>
      <c r="H62" s="93" t="n">
        <f aca="false">SUM(G62*F62)</f>
        <v>0</v>
      </c>
      <c r="I62" s="1"/>
      <c r="J62" s="29"/>
      <c r="K62" s="120"/>
      <c r="L62" s="117"/>
      <c r="M62" s="117"/>
      <c r="N62" s="117"/>
      <c r="O62" s="117"/>
      <c r="P62" s="117"/>
      <c r="Q62" s="117"/>
      <c r="R62" s="117"/>
      <c r="S62" s="117"/>
    </row>
    <row r="63" customFormat="false" ht="15" hidden="false" customHeight="false" outlineLevel="0" collapsed="false">
      <c r="A63" s="89"/>
      <c r="B63" s="90"/>
      <c r="C63" s="97" t="n">
        <f aca="false">SUM(D62)</f>
        <v>0</v>
      </c>
      <c r="D63" s="107"/>
      <c r="E63" s="91" t="n">
        <f aca="false">SUM(D63-C63)</f>
        <v>0</v>
      </c>
      <c r="F63" s="108" t="n">
        <f aca="false">SUM(D63-C63)</f>
        <v>0</v>
      </c>
      <c r="G63" s="41"/>
      <c r="H63" s="93" t="n">
        <f aca="false">SUM(G63*F63)</f>
        <v>0</v>
      </c>
      <c r="I63" s="1"/>
      <c r="J63" s="29"/>
      <c r="L63" s="117"/>
      <c r="M63" s="117"/>
      <c r="N63" s="117"/>
      <c r="O63" s="117"/>
      <c r="P63" s="117"/>
      <c r="Q63" s="117"/>
      <c r="R63" s="117"/>
      <c r="S63" s="117"/>
    </row>
    <row r="64" customFormat="false" ht="15" hidden="false" customHeight="false" outlineLevel="0" collapsed="false">
      <c r="A64" s="89"/>
      <c r="B64" s="90"/>
      <c r="C64" s="97" t="n">
        <f aca="false">SUM(D63)</f>
        <v>0</v>
      </c>
      <c r="D64" s="107"/>
      <c r="E64" s="91" t="n">
        <f aca="false">SUM(D64-C64)</f>
        <v>0</v>
      </c>
      <c r="F64" s="108" t="n">
        <f aca="false">SUM(D64-C64)</f>
        <v>0</v>
      </c>
      <c r="G64" s="41"/>
      <c r="H64" s="93" t="n">
        <f aca="false">SUM(G64*F64)</f>
        <v>0</v>
      </c>
      <c r="I64" s="1"/>
      <c r="J64" s="29"/>
      <c r="L64" s="117"/>
      <c r="M64" s="117"/>
      <c r="N64" s="117"/>
      <c r="O64" s="117"/>
      <c r="P64" s="117"/>
      <c r="Q64" s="117"/>
      <c r="R64" s="117"/>
      <c r="S64" s="117"/>
    </row>
    <row r="65" customFormat="false" ht="15" hidden="false" customHeight="false" outlineLevel="0" collapsed="false">
      <c r="A65" s="89"/>
      <c r="B65" s="90"/>
      <c r="C65" s="97" t="n">
        <f aca="false">SUM(D64)</f>
        <v>0</v>
      </c>
      <c r="D65" s="75"/>
      <c r="E65" s="91" t="n">
        <f aca="false">SUM(D65-C65)</f>
        <v>0</v>
      </c>
      <c r="F65" s="108" t="n">
        <f aca="false">SUM(D65-C65)</f>
        <v>0</v>
      </c>
      <c r="G65" s="41"/>
      <c r="H65" s="93" t="n">
        <f aca="false">SUM(G65*F65)</f>
        <v>0</v>
      </c>
      <c r="I65" s="1"/>
      <c r="J65" s="29"/>
      <c r="L65" s="117"/>
      <c r="M65" s="117"/>
      <c r="N65" s="117"/>
      <c r="O65" s="117"/>
      <c r="P65" s="117"/>
      <c r="Q65" s="117"/>
      <c r="R65" s="117"/>
      <c r="S65" s="117"/>
    </row>
    <row r="66" customFormat="false" ht="15" hidden="false" customHeight="false" outlineLevel="0" collapsed="false">
      <c r="A66" s="89"/>
      <c r="B66" s="90"/>
      <c r="C66" s="97" t="n">
        <f aca="false">SUM(D65)</f>
        <v>0</v>
      </c>
      <c r="D66" s="75"/>
      <c r="E66" s="91" t="n">
        <f aca="false">SUM(D66-C66)</f>
        <v>0</v>
      </c>
      <c r="F66" s="108" t="n">
        <f aca="false">SUM(F33:F65)</f>
        <v>284067</v>
      </c>
      <c r="G66" s="41"/>
      <c r="H66" s="93" t="n">
        <f aca="false">SUM(H33:H65)</f>
        <v>234631.427</v>
      </c>
      <c r="I66" s="1"/>
      <c r="J66" s="29"/>
      <c r="L66" s="117"/>
      <c r="M66" s="117"/>
      <c r="N66" s="117"/>
      <c r="O66" s="117"/>
      <c r="P66" s="117"/>
      <c r="Q66" s="117"/>
      <c r="R66" s="117"/>
      <c r="S66" s="117"/>
    </row>
    <row r="67" customFormat="false" ht="15" hidden="false" customHeight="false" outlineLevel="0" collapsed="false">
      <c r="L67" s="117"/>
      <c r="M67" s="117"/>
      <c r="N67" s="117"/>
      <c r="O67" s="117"/>
      <c r="P67" s="117"/>
      <c r="Q67" s="117"/>
      <c r="R67" s="117"/>
      <c r="S67" s="117"/>
    </row>
    <row r="68" customFormat="false" ht="15" hidden="false" customHeight="false" outlineLevel="0" collapsed="false">
      <c r="F68" s="97" t="n">
        <f aca="false">SUM(F31+F66)</f>
        <v>566285</v>
      </c>
      <c r="G68" s="41"/>
      <c r="H68" s="93" t="n">
        <f aca="false">SUM(H3:H66)</f>
        <v>938658.2946</v>
      </c>
      <c r="L68" s="117"/>
      <c r="M68" s="117"/>
      <c r="N68" s="117"/>
      <c r="O68" s="117"/>
      <c r="P68" s="117"/>
      <c r="Q68" s="117"/>
      <c r="R68" s="117"/>
      <c r="S68" s="117"/>
    </row>
    <row r="69" customFormat="false" ht="15" hidden="false" customHeight="false" outlineLevel="0" collapsed="false">
      <c r="E69" s="117"/>
      <c r="L69" s="117"/>
      <c r="M69" s="117"/>
      <c r="N69" s="117"/>
      <c r="O69" s="117"/>
      <c r="P69" s="117"/>
      <c r="Q69" s="117"/>
      <c r="R69" s="117"/>
      <c r="S69" s="117"/>
    </row>
    <row r="70" customFormat="false" ht="15" hidden="false" customHeight="false" outlineLevel="0" collapsed="false">
      <c r="E70" s="117"/>
      <c r="L70" s="117"/>
      <c r="M70" s="117"/>
      <c r="N70" s="117"/>
      <c r="O70" s="117"/>
      <c r="P70" s="117"/>
      <c r="Q70" s="117"/>
      <c r="R70" s="117"/>
      <c r="S70" s="117"/>
    </row>
    <row r="71" customFormat="false" ht="15" hidden="false" customHeight="false" outlineLevel="0" collapsed="false">
      <c r="E71" s="117"/>
      <c r="L71" s="117"/>
      <c r="M71" s="117"/>
      <c r="N71" s="117"/>
      <c r="O71" s="117"/>
      <c r="P71" s="117"/>
      <c r="Q71" s="117"/>
      <c r="R71" s="117"/>
      <c r="S71" s="117"/>
    </row>
    <row r="72" customFormat="false" ht="15" hidden="false" customHeight="false" outlineLevel="0" collapsed="false">
      <c r="E72" s="117"/>
      <c r="L72" s="117"/>
      <c r="M72" s="117"/>
      <c r="N72" s="117"/>
      <c r="O72" s="117"/>
      <c r="P72" s="117"/>
      <c r="Q72" s="117"/>
      <c r="R72" s="117"/>
      <c r="S72" s="117"/>
    </row>
    <row r="73" customFormat="false" ht="15" hidden="false" customHeight="false" outlineLevel="0" collapsed="false">
      <c r="E73" s="117"/>
      <c r="L73" s="117"/>
      <c r="M73" s="117"/>
      <c r="N73" s="117"/>
      <c r="O73" s="117"/>
      <c r="P73" s="117"/>
      <c r="Q73" s="117"/>
      <c r="R73" s="117"/>
      <c r="S73" s="117"/>
    </row>
    <row r="74" customFormat="false" ht="15" hidden="false" customHeight="false" outlineLevel="0" collapsed="false">
      <c r="E74" s="117"/>
      <c r="L74" s="117"/>
      <c r="M74" s="117"/>
      <c r="N74" s="117"/>
      <c r="O74" s="117"/>
      <c r="P74" s="117"/>
      <c r="Q74" s="117"/>
      <c r="R74" s="117"/>
      <c r="S74" s="117"/>
    </row>
    <row r="75" customFormat="false" ht="15" hidden="false" customHeight="false" outlineLevel="0" collapsed="false">
      <c r="E75" s="117"/>
      <c r="L75" s="117"/>
      <c r="M75" s="117"/>
      <c r="N75" s="117"/>
      <c r="O75" s="117"/>
      <c r="P75" s="117"/>
      <c r="Q75" s="117"/>
      <c r="R75" s="117"/>
      <c r="S75" s="117"/>
    </row>
    <row r="76" customFormat="false" ht="15" hidden="false" customHeight="false" outlineLevel="0" collapsed="false">
      <c r="E76" s="117"/>
      <c r="L76" s="117"/>
      <c r="M76" s="117"/>
      <c r="N76" s="117"/>
      <c r="O76" s="117"/>
      <c r="P76" s="117"/>
      <c r="Q76" s="117"/>
      <c r="R76" s="117"/>
      <c r="S76" s="117"/>
    </row>
    <row r="77" customFormat="false" ht="15" hidden="false" customHeight="false" outlineLevel="0" collapsed="false">
      <c r="E77" s="117"/>
      <c r="L77" s="117"/>
      <c r="M77" s="117"/>
      <c r="N77" s="117"/>
      <c r="O77" s="117"/>
      <c r="P77" s="117"/>
      <c r="Q77" s="117"/>
      <c r="R77" s="117"/>
      <c r="S77" s="117"/>
    </row>
    <row r="78" customFormat="false" ht="15" hidden="false" customHeight="false" outlineLevel="0" collapsed="false">
      <c r="E78" s="117"/>
      <c r="L78" s="117"/>
      <c r="M78" s="117"/>
      <c r="N78" s="117"/>
      <c r="O78" s="117"/>
      <c r="P78" s="117"/>
      <c r="Q78" s="117"/>
      <c r="R78" s="117"/>
      <c r="S78" s="117"/>
    </row>
    <row r="79" customFormat="false" ht="15" hidden="false" customHeight="false" outlineLevel="0" collapsed="false">
      <c r="E79" s="117"/>
      <c r="L79" s="117"/>
      <c r="M79" s="117"/>
      <c r="N79" s="117"/>
      <c r="O79" s="117"/>
      <c r="P79" s="117"/>
      <c r="Q79" s="117"/>
      <c r="R79" s="117"/>
      <c r="S79" s="117"/>
    </row>
    <row r="80" customFormat="false" ht="15" hidden="false" customHeight="false" outlineLevel="0" collapsed="false">
      <c r="E80" s="117"/>
      <c r="L80" s="117"/>
      <c r="M80" s="117"/>
      <c r="N80" s="117"/>
      <c r="O80" s="117"/>
      <c r="P80" s="117"/>
      <c r="Q80" s="117"/>
      <c r="R80" s="117"/>
      <c r="S80" s="117"/>
    </row>
    <row r="81" customFormat="false" ht="15" hidden="false" customHeight="false" outlineLevel="0" collapsed="false">
      <c r="E81" s="117"/>
      <c r="L81" s="117"/>
      <c r="M81" s="117"/>
      <c r="N81" s="117"/>
      <c r="O81" s="117"/>
      <c r="P81" s="117"/>
      <c r="Q81" s="117"/>
      <c r="R81" s="117"/>
      <c r="S81" s="117"/>
    </row>
    <row r="82" customFormat="false" ht="15" hidden="true" customHeight="false" outlineLevel="0" collapsed="false">
      <c r="E82" s="117"/>
      <c r="L82" s="117"/>
      <c r="M82" s="117"/>
      <c r="N82" s="117"/>
      <c r="O82" s="117"/>
      <c r="P82" s="117"/>
      <c r="Q82" s="117"/>
      <c r="R82" s="117"/>
      <c r="S82" s="117"/>
    </row>
    <row r="83" customFormat="false" ht="15" hidden="true" customHeight="false" outlineLevel="0" collapsed="false">
      <c r="E83" s="117"/>
      <c r="L83" s="117"/>
      <c r="M83" s="117"/>
      <c r="N83" s="117"/>
      <c r="O83" s="117"/>
      <c r="P83" s="117"/>
      <c r="Q83" s="117"/>
      <c r="R83" s="117"/>
      <c r="S83" s="117"/>
    </row>
    <row r="84" customFormat="false" ht="15" hidden="true" customHeight="false" outlineLevel="0" collapsed="false">
      <c r="E84" s="117"/>
      <c r="L84" s="117"/>
      <c r="M84" s="117"/>
      <c r="N84" s="117"/>
      <c r="O84" s="117"/>
      <c r="P84" s="117"/>
      <c r="Q84" s="117"/>
      <c r="R84" s="117"/>
      <c r="S84" s="117"/>
    </row>
    <row r="85" customFormat="false" ht="15" hidden="true" customHeight="false" outlineLevel="0" collapsed="false">
      <c r="E85" s="117"/>
      <c r="L85" s="117"/>
      <c r="M85" s="117"/>
      <c r="N85" s="117"/>
      <c r="O85" s="117"/>
      <c r="P85" s="117"/>
      <c r="Q85" s="117"/>
      <c r="R85" s="117"/>
      <c r="S85" s="117"/>
    </row>
    <row r="86" customFormat="false" ht="15" hidden="true" customHeight="false" outlineLevel="0" collapsed="false">
      <c r="E86" s="117"/>
      <c r="L86" s="117"/>
      <c r="M86" s="117"/>
      <c r="N86" s="117"/>
      <c r="O86" s="117"/>
      <c r="P86" s="117"/>
      <c r="Q86" s="117"/>
      <c r="R86" s="117"/>
      <c r="S86" s="117"/>
    </row>
    <row r="87" customFormat="false" ht="15" hidden="false" customHeight="false" outlineLevel="0" collapsed="false">
      <c r="E87" s="117"/>
      <c r="L87" s="117"/>
      <c r="M87" s="117"/>
      <c r="N87" s="117"/>
      <c r="O87" s="117"/>
      <c r="P87" s="117"/>
      <c r="Q87" s="117"/>
      <c r="R87" s="117"/>
      <c r="S87" s="117"/>
    </row>
    <row r="88" customFormat="false" ht="15" hidden="false" customHeight="false" outlineLevel="0" collapsed="false">
      <c r="E88" s="117"/>
      <c r="L88" s="117"/>
      <c r="M88" s="117"/>
      <c r="N88" s="117"/>
      <c r="O88" s="117"/>
      <c r="P88" s="117"/>
      <c r="Q88" s="117"/>
      <c r="R88" s="117"/>
      <c r="S88" s="117"/>
    </row>
    <row r="89" customFormat="false" ht="15" hidden="false" customHeight="false" outlineLevel="0" collapsed="false">
      <c r="E89" s="117"/>
      <c r="L89" s="117"/>
      <c r="M89" s="117"/>
      <c r="N89" s="117"/>
      <c r="O89" s="117"/>
      <c r="P89" s="117"/>
      <c r="Q89" s="117"/>
      <c r="R89" s="117"/>
      <c r="S89" s="117"/>
    </row>
    <row r="90" customFormat="false" ht="15" hidden="false" customHeight="false" outlineLevel="0" collapsed="false">
      <c r="E90" s="117"/>
    </row>
    <row r="91" customFormat="false" ht="15" hidden="false" customHeight="false" outlineLevel="0" collapsed="false">
      <c r="E91" s="117"/>
    </row>
    <row r="92" customFormat="false" ht="15" hidden="false" customHeight="false" outlineLevel="0" collapsed="false">
      <c r="E92" s="117"/>
    </row>
    <row r="93" customFormat="false" ht="15" hidden="false" customHeight="false" outlineLevel="0" collapsed="false">
      <c r="E93" s="117"/>
    </row>
    <row r="94" customFormat="false" ht="15" hidden="false" customHeight="false" outlineLevel="0" collapsed="false">
      <c r="E94" s="117"/>
    </row>
    <row r="95" customFormat="false" ht="15" hidden="false" customHeight="false" outlineLevel="0" collapsed="false">
      <c r="E95" s="117"/>
    </row>
    <row r="96" customFormat="false" ht="15" hidden="false" customHeight="false" outlineLevel="0" collapsed="false">
      <c r="E96" s="117"/>
    </row>
    <row r="97" customFormat="false" ht="15" hidden="false" customHeight="false" outlineLevel="0" collapsed="false">
      <c r="E97" s="117"/>
    </row>
    <row r="98" customFormat="false" ht="15" hidden="false" customHeight="false" outlineLevel="0" collapsed="false">
      <c r="E98" s="117"/>
    </row>
    <row r="99" customFormat="false" ht="15" hidden="false" customHeight="false" outlineLevel="0" collapsed="false">
      <c r="E99" s="117"/>
    </row>
    <row r="100" customFormat="false" ht="15" hidden="false" customHeight="false" outlineLevel="0" collapsed="false">
      <c r="E100" s="117"/>
    </row>
    <row r="101" customFormat="false" ht="15" hidden="false" customHeight="false" outlineLevel="0" collapsed="false">
      <c r="E101" s="117"/>
    </row>
    <row r="102" customFormat="false" ht="15" hidden="false" customHeight="false" outlineLevel="0" collapsed="false">
      <c r="E102" s="117"/>
    </row>
    <row r="103" customFormat="false" ht="15" hidden="false" customHeight="false" outlineLevel="0" collapsed="false">
      <c r="E103" s="117"/>
    </row>
    <row r="104" customFormat="false" ht="15" hidden="false" customHeight="false" outlineLevel="0" collapsed="false">
      <c r="E104" s="117"/>
    </row>
    <row r="105" customFormat="false" ht="15" hidden="false" customHeight="false" outlineLevel="0" collapsed="false">
      <c r="E105" s="117"/>
    </row>
    <row r="106" customFormat="false" ht="15" hidden="false" customHeight="false" outlineLevel="0" collapsed="false">
      <c r="E106" s="117"/>
    </row>
    <row r="107" customFormat="false" ht="15" hidden="false" customHeight="false" outlineLevel="0" collapsed="false">
      <c r="E107" s="117"/>
    </row>
    <row r="108" customFormat="false" ht="15" hidden="false" customHeight="false" outlineLevel="0" collapsed="false">
      <c r="E108" s="117"/>
    </row>
    <row r="109" customFormat="false" ht="15" hidden="false" customHeight="false" outlineLevel="0" collapsed="false">
      <c r="E109" s="117"/>
    </row>
    <row r="110" customFormat="false" ht="15" hidden="false" customHeight="false" outlineLevel="0" collapsed="false">
      <c r="E110" s="117"/>
    </row>
    <row r="111" customFormat="false" ht="15" hidden="false" customHeight="false" outlineLevel="0" collapsed="false">
      <c r="E111" s="117"/>
    </row>
    <row r="112" customFormat="false" ht="15" hidden="false" customHeight="false" outlineLevel="0" collapsed="false">
      <c r="E112" s="117"/>
    </row>
    <row r="113" customFormat="false" ht="15" hidden="false" customHeight="false" outlineLevel="0" collapsed="false">
      <c r="E113" s="117"/>
    </row>
    <row r="114" customFormat="false" ht="15" hidden="false" customHeight="false" outlineLevel="0" collapsed="false">
      <c r="E114" s="117"/>
    </row>
    <row r="115" customFormat="false" ht="15" hidden="false" customHeight="false" outlineLevel="0" collapsed="false">
      <c r="E115" s="117"/>
    </row>
    <row r="116" customFormat="false" ht="15" hidden="false" customHeight="false" outlineLevel="0" collapsed="false">
      <c r="E116" s="117"/>
    </row>
    <row r="117" customFormat="false" ht="15" hidden="false" customHeight="false" outlineLevel="0" collapsed="false">
      <c r="E117" s="117"/>
    </row>
    <row r="118" customFormat="false" ht="15" hidden="false" customHeight="false" outlineLevel="0" collapsed="false">
      <c r="E118" s="117"/>
    </row>
    <row r="119" customFormat="false" ht="15" hidden="false" customHeight="false" outlineLevel="0" collapsed="false">
      <c r="E119" s="117"/>
    </row>
    <row r="120" customFormat="false" ht="15" hidden="false" customHeight="false" outlineLevel="0" collapsed="false">
      <c r="E120" s="117"/>
    </row>
    <row r="121" customFormat="false" ht="15" hidden="false" customHeight="false" outlineLevel="0" collapsed="false">
      <c r="E121" s="117"/>
    </row>
    <row r="122" customFormat="false" ht="15" hidden="false" customHeight="false" outlineLevel="0" collapsed="false">
      <c r="E122" s="117"/>
    </row>
    <row r="123" customFormat="false" ht="15" hidden="false" customHeight="false" outlineLevel="0" collapsed="false">
      <c r="E123" s="117"/>
    </row>
    <row r="124" customFormat="false" ht="15" hidden="false" customHeight="false" outlineLevel="0" collapsed="false">
      <c r="E124" s="117"/>
    </row>
    <row r="125" customFormat="false" ht="15" hidden="false" customHeight="false" outlineLevel="0" collapsed="false">
      <c r="E125" s="117"/>
    </row>
    <row r="126" customFormat="false" ht="15" hidden="false" customHeight="false" outlineLevel="0" collapsed="false">
      <c r="E126" s="117"/>
    </row>
    <row r="127" customFormat="false" ht="15" hidden="false" customHeight="false" outlineLevel="0" collapsed="false">
      <c r="E127" s="117"/>
    </row>
    <row r="128" customFormat="false" ht="15" hidden="false" customHeight="false" outlineLevel="0" collapsed="false">
      <c r="E128" s="117"/>
    </row>
    <row r="129" customFormat="false" ht="15" hidden="false" customHeight="false" outlineLevel="0" collapsed="false">
      <c r="E129" s="117"/>
    </row>
    <row r="130" customFormat="false" ht="15" hidden="false" customHeight="false" outlineLevel="0" collapsed="false">
      <c r="E130" s="117"/>
    </row>
    <row r="131" customFormat="false" ht="15" hidden="false" customHeight="false" outlineLevel="0" collapsed="false">
      <c r="E131" s="117"/>
    </row>
    <row r="132" customFormat="false" ht="15" hidden="false" customHeight="false" outlineLevel="0" collapsed="false">
      <c r="E132" s="117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V136"/>
  <sheetViews>
    <sheetView showFormulas="false" showGridLines="true" showRowColHeaders="true" showZeros="true" rightToLeft="false" tabSelected="false" showOutlineSymbols="true" defaultGridColor="true" view="normal" topLeftCell="A25" colorId="64" zoomScale="60" zoomScaleNormal="60" zoomScalePageLayoutView="100" workbookViewId="0">
      <selection pane="topLeft" activeCell="K48" activeCellId="0" sqref="K48"/>
    </sheetView>
  </sheetViews>
  <sheetFormatPr defaultColWidth="8.8359375" defaultRowHeight="15" zeroHeight="false" outlineLevelRow="0" outlineLevelCol="0"/>
  <cols>
    <col collapsed="false" customWidth="true" hidden="false" outlineLevel="0" max="1" min="1" style="66" width="13.66"/>
    <col collapsed="false" customWidth="true" hidden="false" outlineLevel="0" max="2" min="2" style="67" width="10.33"/>
    <col collapsed="false" customWidth="true" hidden="false" outlineLevel="0" max="4" min="3" style="68" width="18.17"/>
    <col collapsed="false" customWidth="true" hidden="false" outlineLevel="0" max="6" min="5" style="68" width="14"/>
    <col collapsed="false" customWidth="true" hidden="false" outlineLevel="0" max="7" min="7" style="66" width="13.51"/>
    <col collapsed="false" customWidth="true" hidden="false" outlineLevel="0" max="8" min="8" style="69" width="13.83"/>
    <col collapsed="false" customWidth="true" hidden="false" outlineLevel="0" max="10" min="9" style="70" width="14.33"/>
    <col collapsed="false" customWidth="true" hidden="false" outlineLevel="0" max="11" min="11" style="71" width="9.66"/>
    <col collapsed="false" customWidth="true" hidden="false" outlineLevel="0" max="12" min="12" style="70" width="12.17"/>
    <col collapsed="false" customWidth="true" hidden="false" outlineLevel="0" max="13" min="13" style="70" width="12.51"/>
    <col collapsed="false" customWidth="true" hidden="false" outlineLevel="0" max="14" min="14" style="70" width="18.5"/>
    <col collapsed="false" customWidth="true" hidden="false" outlineLevel="0" max="15" min="15" style="70" width="17.83"/>
    <col collapsed="false" customWidth="true" hidden="false" outlineLevel="0" max="16" min="16" style="70" width="13.83"/>
    <col collapsed="false" customWidth="true" hidden="false" outlineLevel="0" max="17" min="17" style="70" width="12.66"/>
    <col collapsed="false" customWidth="true" hidden="false" outlineLevel="0" max="18" min="18" style="70" width="12.83"/>
    <col collapsed="false" customWidth="true" hidden="false" outlineLevel="0" max="19" min="19" style="70" width="12.17"/>
  </cols>
  <sheetData>
    <row r="1" customFormat="false" ht="48" hidden="false" customHeight="false" outlineLevel="0" collapsed="false">
      <c r="A1" s="41" t="s">
        <v>25</v>
      </c>
      <c r="B1" s="72" t="s">
        <v>26</v>
      </c>
      <c r="C1" s="73" t="s">
        <v>27</v>
      </c>
      <c r="D1" s="73" t="s">
        <v>28</v>
      </c>
      <c r="E1" s="73" t="s">
        <v>29</v>
      </c>
      <c r="F1" s="73" t="s">
        <v>29</v>
      </c>
      <c r="G1" s="73" t="s">
        <v>30</v>
      </c>
      <c r="H1" s="74" t="s">
        <v>31</v>
      </c>
      <c r="I1" s="75" t="s">
        <v>32</v>
      </c>
      <c r="J1" s="76" t="s">
        <v>3</v>
      </c>
      <c r="L1" s="77" t="s">
        <v>33</v>
      </c>
      <c r="M1" s="78" t="s">
        <v>34</v>
      </c>
      <c r="N1" s="79" t="s">
        <v>27</v>
      </c>
      <c r="O1" s="79" t="s">
        <v>28</v>
      </c>
      <c r="P1" s="79" t="s">
        <v>29</v>
      </c>
      <c r="Q1" s="79" t="s">
        <v>30</v>
      </c>
      <c r="R1" s="80" t="s">
        <v>31</v>
      </c>
      <c r="S1" s="79" t="s">
        <v>35</v>
      </c>
    </row>
    <row r="2" customFormat="false" ht="15" hidden="false" customHeight="false" outlineLevel="0" collapsed="false">
      <c r="A2" s="81"/>
      <c r="B2" s="81" t="s">
        <v>36</v>
      </c>
      <c r="C2" s="82"/>
      <c r="D2" s="82"/>
      <c r="E2" s="82"/>
      <c r="F2" s="82"/>
      <c r="G2" s="83"/>
      <c r="H2" s="84"/>
      <c r="I2" s="85"/>
      <c r="J2" s="86" t="s">
        <v>18</v>
      </c>
      <c r="K2" s="87"/>
      <c r="L2" s="88"/>
      <c r="M2" s="81" t="s">
        <v>37</v>
      </c>
      <c r="N2" s="82"/>
      <c r="O2" s="82"/>
      <c r="P2" s="82"/>
      <c r="Q2" s="83"/>
      <c r="R2" s="84"/>
      <c r="S2" s="85"/>
    </row>
    <row r="3" customFormat="false" ht="15.75" hidden="false" customHeight="false" outlineLevel="0" collapsed="false">
      <c r="A3" s="89" t="n">
        <v>0.447916666666667</v>
      </c>
      <c r="B3" s="138" t="s">
        <v>48</v>
      </c>
      <c r="C3" s="75" t="n">
        <v>50309730</v>
      </c>
      <c r="D3" s="75" t="n">
        <v>50320120</v>
      </c>
      <c r="E3" s="91" t="n">
        <f aca="false">SUM(D3-C3)</f>
        <v>10390</v>
      </c>
      <c r="F3" s="108" t="n">
        <f aca="false">SUM(D3-C3)</f>
        <v>10390</v>
      </c>
      <c r="G3" s="41" t="n">
        <v>0.8385</v>
      </c>
      <c r="H3" s="139" t="n">
        <f aca="false">SUM(G3*F3)</f>
        <v>8712.015</v>
      </c>
      <c r="I3" s="29" t="n">
        <v>147</v>
      </c>
      <c r="J3" s="29" t="n">
        <v>6563</v>
      </c>
      <c r="K3" s="94"/>
      <c r="L3" s="95" t="n">
        <v>0.524305555555556</v>
      </c>
      <c r="M3" s="96" t="s">
        <v>54</v>
      </c>
      <c r="N3" s="98" t="n">
        <v>7625560</v>
      </c>
      <c r="O3" s="98" t="n">
        <v>7625850</v>
      </c>
      <c r="P3" s="99" t="n">
        <f aca="false">SUM(O3-N3)</f>
        <v>290</v>
      </c>
      <c r="Q3" s="100" t="n">
        <v>0.8323</v>
      </c>
      <c r="R3" s="101" t="n">
        <f aca="false">SUM(Q3*P3)</f>
        <v>241.367</v>
      </c>
      <c r="S3" s="102" t="s">
        <v>63</v>
      </c>
      <c r="V3" s="0" t="s">
        <v>41</v>
      </c>
    </row>
    <row r="4" customFormat="false" ht="15.75" hidden="false" customHeight="false" outlineLevel="0" collapsed="false">
      <c r="A4" s="89" t="n">
        <v>0.458333333333333</v>
      </c>
      <c r="B4" s="90" t="s">
        <v>48</v>
      </c>
      <c r="C4" s="97" t="n">
        <f aca="false">SUM(D3)</f>
        <v>50320120</v>
      </c>
      <c r="D4" s="75" t="n">
        <v>50328090</v>
      </c>
      <c r="E4" s="91" t="n">
        <f aca="false">SUM(D4-C4)</f>
        <v>7970</v>
      </c>
      <c r="F4" s="108" t="n">
        <f aca="false">SUM(D4-C4)</f>
        <v>7970</v>
      </c>
      <c r="G4" s="41" t="n">
        <v>0.8385</v>
      </c>
      <c r="H4" s="139" t="n">
        <f aca="false">SUM(G4*F4)</f>
        <v>6682.845</v>
      </c>
      <c r="I4" s="29" t="n">
        <v>248</v>
      </c>
      <c r="J4" s="29" t="n">
        <v>6564</v>
      </c>
      <c r="K4" s="94"/>
      <c r="L4" s="95" t="n">
        <v>0.611111111111111</v>
      </c>
      <c r="M4" s="104" t="s">
        <v>48</v>
      </c>
      <c r="N4" s="99" t="n">
        <f aca="false">SUM(O3)</f>
        <v>7625850</v>
      </c>
      <c r="O4" s="98" t="n">
        <v>7625990</v>
      </c>
      <c r="P4" s="99" t="n">
        <f aca="false">SUM(O4-N4)</f>
        <v>140</v>
      </c>
      <c r="Q4" s="105" t="n">
        <v>0.8348</v>
      </c>
      <c r="R4" s="101" t="n">
        <f aca="false">SUM(Q4*P4)</f>
        <v>116.872</v>
      </c>
      <c r="S4" s="102" t="s">
        <v>42</v>
      </c>
    </row>
    <row r="5" customFormat="false" ht="15.75" hidden="false" customHeight="false" outlineLevel="0" collapsed="false">
      <c r="A5" s="89" t="n">
        <v>0.46875</v>
      </c>
      <c r="B5" s="90" t="s">
        <v>48</v>
      </c>
      <c r="C5" s="97" t="n">
        <f aca="false">SUM(D4)</f>
        <v>50328090</v>
      </c>
      <c r="D5" s="75" t="n">
        <v>50350510</v>
      </c>
      <c r="E5" s="91" t="n">
        <f aca="false">SUM(D5-C5)</f>
        <v>22420</v>
      </c>
      <c r="F5" s="122" t="n">
        <v>22430</v>
      </c>
      <c r="G5" s="41" t="n">
        <v>0.8385</v>
      </c>
      <c r="H5" s="139" t="n">
        <f aca="false">SUM(G5*F5)</f>
        <v>18807.555</v>
      </c>
      <c r="I5" s="29" t="n">
        <v>388</v>
      </c>
      <c r="J5" s="29" t="n">
        <v>6566</v>
      </c>
      <c r="K5" s="94"/>
      <c r="L5" s="95" t="n">
        <v>0.743055555555555</v>
      </c>
      <c r="M5" s="104" t="s">
        <v>38</v>
      </c>
      <c r="N5" s="99" t="n">
        <f aca="false">SUM(O4)</f>
        <v>7625990</v>
      </c>
      <c r="O5" s="98" t="n">
        <v>7626190</v>
      </c>
      <c r="P5" s="99" t="n">
        <f aca="false">SUM(O5-N5)</f>
        <v>200</v>
      </c>
      <c r="Q5" s="100" t="n">
        <v>0.8369</v>
      </c>
      <c r="R5" s="101" t="n">
        <f aca="false">SUM(Q5*P5)</f>
        <v>167.38</v>
      </c>
      <c r="S5" s="102" t="s">
        <v>97</v>
      </c>
    </row>
    <row r="6" customFormat="false" ht="15.75" hidden="false" customHeight="false" outlineLevel="0" collapsed="false">
      <c r="A6" s="89" t="n">
        <v>0.690972222222222</v>
      </c>
      <c r="B6" s="90" t="s">
        <v>48</v>
      </c>
      <c r="C6" s="97" t="n">
        <f aca="false">SUM(D5)</f>
        <v>50350510</v>
      </c>
      <c r="D6" s="75" t="n">
        <v>50372930</v>
      </c>
      <c r="E6" s="91" t="n">
        <f aca="false">SUM(D6-C6)</f>
        <v>22420</v>
      </c>
      <c r="F6" s="122" t="n">
        <v>22430</v>
      </c>
      <c r="G6" s="41" t="n">
        <v>0.841</v>
      </c>
      <c r="H6" s="139" t="n">
        <f aca="false">SUM(G6*F6)</f>
        <v>18863.63</v>
      </c>
      <c r="I6" s="29" t="n">
        <v>388</v>
      </c>
      <c r="J6" s="29" t="n">
        <v>6573</v>
      </c>
      <c r="K6" s="94"/>
      <c r="L6" s="95" t="n">
        <v>0.756944444444444</v>
      </c>
      <c r="M6" s="104" t="s">
        <v>39</v>
      </c>
      <c r="N6" s="99" t="n">
        <f aca="false">SUM(O5)</f>
        <v>7626190</v>
      </c>
      <c r="O6" s="98" t="n">
        <v>7626450</v>
      </c>
      <c r="P6" s="99" t="n">
        <f aca="false">SUM(O6-N6)</f>
        <v>260</v>
      </c>
      <c r="Q6" s="41" t="n">
        <v>0.8436</v>
      </c>
      <c r="R6" s="101" t="n">
        <f aca="false">SUM(Q6*P6)</f>
        <v>219.336</v>
      </c>
      <c r="S6" s="102" t="s">
        <v>43</v>
      </c>
    </row>
    <row r="7" customFormat="false" ht="15.75" hidden="false" customHeight="false" outlineLevel="0" collapsed="false">
      <c r="A7" s="89" t="n">
        <v>0.746527777777778</v>
      </c>
      <c r="B7" s="90" t="s">
        <v>48</v>
      </c>
      <c r="C7" s="97" t="n">
        <f aca="false">SUM(D6)</f>
        <v>50372930</v>
      </c>
      <c r="D7" s="75" t="n">
        <v>50384410</v>
      </c>
      <c r="E7" s="91" t="n">
        <f aca="false">SUM(D7-C7)</f>
        <v>11480</v>
      </c>
      <c r="F7" s="122" t="n">
        <v>11480</v>
      </c>
      <c r="G7" s="41" t="n">
        <v>0.841</v>
      </c>
      <c r="H7" s="139" t="n">
        <f aca="false">SUM(G7*F7)</f>
        <v>9654.68</v>
      </c>
      <c r="I7" s="29" t="n">
        <v>388</v>
      </c>
      <c r="J7" s="29" t="n">
        <v>6575</v>
      </c>
      <c r="K7" s="94"/>
      <c r="L7" s="95" t="n">
        <v>0.854166666666667</v>
      </c>
      <c r="M7" s="104" t="s">
        <v>54</v>
      </c>
      <c r="N7" s="99" t="n">
        <f aca="false">SUM(O6)</f>
        <v>7626450</v>
      </c>
      <c r="O7" s="98" t="n">
        <v>7626630</v>
      </c>
      <c r="P7" s="99" t="n">
        <f aca="false">SUM(O7-N7)</f>
        <v>180</v>
      </c>
      <c r="Q7" s="41" t="n">
        <v>0.8353</v>
      </c>
      <c r="R7" s="101" t="n">
        <f aca="false">SUM(Q7*P7)</f>
        <v>150.354</v>
      </c>
      <c r="S7" s="102" t="s">
        <v>98</v>
      </c>
    </row>
    <row r="8" customFormat="false" ht="15.75" hidden="false" customHeight="false" outlineLevel="0" collapsed="false">
      <c r="A8" s="89" t="n">
        <v>0.746527777777778</v>
      </c>
      <c r="B8" s="90" t="s">
        <v>54</v>
      </c>
      <c r="C8" s="97" t="n">
        <f aca="false">SUM(D7)</f>
        <v>50384410</v>
      </c>
      <c r="D8" s="75" t="n">
        <v>50395360</v>
      </c>
      <c r="E8" s="91" t="n">
        <f aca="false">SUM(D8-C8)</f>
        <v>10950</v>
      </c>
      <c r="F8" s="122" t="n">
        <v>10950</v>
      </c>
      <c r="G8" s="41" t="n">
        <v>0.8358</v>
      </c>
      <c r="H8" s="93" t="n">
        <f aca="false">SUM(G8*F8)</f>
        <v>9152.01</v>
      </c>
      <c r="I8" s="29" t="n">
        <v>388</v>
      </c>
      <c r="J8" s="29" t="n">
        <v>6575</v>
      </c>
      <c r="K8" s="94"/>
      <c r="L8" s="95" t="n">
        <v>0.895833333333333</v>
      </c>
      <c r="M8" s="96" t="s">
        <v>48</v>
      </c>
      <c r="N8" s="99" t="n">
        <f aca="false">SUM(O7)</f>
        <v>7626630</v>
      </c>
      <c r="O8" s="98" t="n">
        <v>7626840</v>
      </c>
      <c r="P8" s="99" t="n">
        <f aca="false">SUM(O8-N8)</f>
        <v>210</v>
      </c>
      <c r="Q8" s="100" t="n">
        <v>0.8385</v>
      </c>
      <c r="R8" s="101" t="n">
        <f aca="false">SUM(Q8*P8)</f>
        <v>176.085</v>
      </c>
      <c r="S8" s="1" t="s">
        <v>67</v>
      </c>
    </row>
    <row r="9" customFormat="false" ht="15.75" hidden="false" customHeight="false" outlineLevel="0" collapsed="false">
      <c r="A9" s="89" t="n">
        <v>0.8125</v>
      </c>
      <c r="B9" s="90" t="s">
        <v>54</v>
      </c>
      <c r="C9" s="97" t="n">
        <f aca="false">SUM(D8)</f>
        <v>50395360</v>
      </c>
      <c r="D9" s="75" t="n">
        <v>50417790</v>
      </c>
      <c r="E9" s="91" t="n">
        <f aca="false">SUM(D9-C9)</f>
        <v>22430</v>
      </c>
      <c r="F9" s="122" t="n">
        <v>22430</v>
      </c>
      <c r="G9" s="41" t="n">
        <v>0.8375</v>
      </c>
      <c r="H9" s="93" t="n">
        <f aca="false">SUM(G9*F9)</f>
        <v>18785.125</v>
      </c>
      <c r="I9" s="29" t="n">
        <v>388</v>
      </c>
      <c r="J9" s="29" t="n">
        <v>6579</v>
      </c>
      <c r="K9" s="94"/>
      <c r="L9" s="95" t="n">
        <v>0.944444444444444</v>
      </c>
      <c r="M9" s="96" t="s">
        <v>48</v>
      </c>
      <c r="N9" s="99" t="n">
        <f aca="false">SUM(O8)</f>
        <v>7626840</v>
      </c>
      <c r="O9" s="98" t="n">
        <v>7627030</v>
      </c>
      <c r="P9" s="99" t="n">
        <f aca="false">SUM(O9-N9)</f>
        <v>190</v>
      </c>
      <c r="Q9" s="100" t="n">
        <v>0.8358</v>
      </c>
      <c r="R9" s="101" t="n">
        <f aca="false">SUM(Q9*P9)</f>
        <v>158.802</v>
      </c>
      <c r="S9" s="1" t="s">
        <v>64</v>
      </c>
    </row>
    <row r="10" customFormat="false" ht="15.75" hidden="false" customHeight="false" outlineLevel="0" collapsed="false">
      <c r="A10" s="89" t="n">
        <v>0.909722222222222</v>
      </c>
      <c r="B10" s="121" t="s">
        <v>39</v>
      </c>
      <c r="C10" s="97" t="n">
        <f aca="false">SUM(D9)</f>
        <v>50417790</v>
      </c>
      <c r="D10" s="75" t="n">
        <v>50426710</v>
      </c>
      <c r="E10" s="91" t="n">
        <f aca="false">SUM(D10-C10)</f>
        <v>8920</v>
      </c>
      <c r="F10" s="108" t="n">
        <f aca="false">SUM(D10-C10)</f>
        <v>8920</v>
      </c>
      <c r="G10" s="41" t="n">
        <v>0.8398</v>
      </c>
      <c r="H10" s="93" t="n">
        <f aca="false">SUM(G10*F10)</f>
        <v>7491.016</v>
      </c>
      <c r="I10" s="29" t="n">
        <v>147</v>
      </c>
      <c r="J10" s="29" t="n">
        <v>6581</v>
      </c>
      <c r="K10" s="94"/>
      <c r="L10" s="95"/>
      <c r="M10" s="96"/>
      <c r="N10" s="99" t="n">
        <v>0</v>
      </c>
      <c r="O10" s="98"/>
      <c r="P10" s="99" t="n">
        <f aca="false">SUM(O10-N10)</f>
        <v>0</v>
      </c>
      <c r="Q10" s="100"/>
      <c r="R10" s="101" t="n">
        <f aca="false">SUM(Q10*P10)</f>
        <v>0</v>
      </c>
      <c r="S10" s="102"/>
    </row>
    <row r="11" customFormat="false" ht="15.75" hidden="false" customHeight="false" outlineLevel="0" collapsed="false">
      <c r="A11" s="89" t="n">
        <v>0.954861111111111</v>
      </c>
      <c r="B11" s="90" t="s">
        <v>39</v>
      </c>
      <c r="C11" s="97" t="n">
        <f aca="false">SUM(D10)</f>
        <v>50426710</v>
      </c>
      <c r="D11" s="75" t="n">
        <v>50449140</v>
      </c>
      <c r="E11" s="91" t="n">
        <f aca="false">SUM(D11-C11)</f>
        <v>22430</v>
      </c>
      <c r="F11" s="122" t="n">
        <v>22430</v>
      </c>
      <c r="G11" s="41" t="n">
        <v>0.8398</v>
      </c>
      <c r="H11" s="93" t="n">
        <f aca="false">SUM(G11*F11)</f>
        <v>18836.714</v>
      </c>
      <c r="I11" s="29" t="n">
        <v>388</v>
      </c>
      <c r="J11" s="29" t="n">
        <v>6586</v>
      </c>
      <c r="K11" s="94"/>
      <c r="L11" s="95"/>
      <c r="M11" s="96"/>
      <c r="N11" s="99" t="n">
        <f aca="false">SUM(O10)</f>
        <v>0</v>
      </c>
      <c r="O11" s="98"/>
      <c r="P11" s="99" t="n">
        <f aca="false">SUM(O11-N11)</f>
        <v>0</v>
      </c>
      <c r="Q11" s="100"/>
      <c r="R11" s="101" t="n">
        <f aca="false">SUM(Q11*P11)</f>
        <v>0</v>
      </c>
      <c r="S11" s="1"/>
    </row>
    <row r="12" customFormat="false" ht="15.75" hidden="false" customHeight="false" outlineLevel="0" collapsed="false">
      <c r="A12" s="89" t="n">
        <v>0.996527777777778</v>
      </c>
      <c r="B12" s="90" t="s">
        <v>39</v>
      </c>
      <c r="C12" s="97" t="n">
        <f aca="false">SUM(D11)</f>
        <v>50449140</v>
      </c>
      <c r="D12" s="75" t="n">
        <v>50466170</v>
      </c>
      <c r="E12" s="91" t="n">
        <f aca="false">SUM(D12-C12)</f>
        <v>17030</v>
      </c>
      <c r="F12" s="128" t="n">
        <v>17019</v>
      </c>
      <c r="G12" s="41" t="n">
        <v>0.8398</v>
      </c>
      <c r="H12" s="93" t="n">
        <f aca="false">SUM(G12*F12)</f>
        <v>14292.5562</v>
      </c>
      <c r="I12" s="29" t="n">
        <v>251</v>
      </c>
      <c r="J12" s="29" t="n">
        <v>6587</v>
      </c>
      <c r="K12" s="94"/>
      <c r="L12" s="95"/>
      <c r="M12" s="96"/>
      <c r="N12" s="99" t="n">
        <f aca="false">SUM(O11)</f>
        <v>0</v>
      </c>
      <c r="O12" s="98"/>
      <c r="P12" s="99" t="n">
        <f aca="false">SUM(O12-N12)</f>
        <v>0</v>
      </c>
      <c r="Q12" s="100"/>
      <c r="R12" s="101" t="n">
        <f aca="false">SUM(Q12*P12)</f>
        <v>0</v>
      </c>
      <c r="S12" s="1"/>
    </row>
    <row r="13" customFormat="false" ht="15.75" hidden="false" customHeight="false" outlineLevel="0" collapsed="false">
      <c r="A13" s="89" t="n">
        <v>0.0416666666666667</v>
      </c>
      <c r="B13" s="90" t="s">
        <v>46</v>
      </c>
      <c r="C13" s="97" t="n">
        <f aca="false">SUM(D12)</f>
        <v>50466170</v>
      </c>
      <c r="D13" s="75" t="n">
        <v>50477630</v>
      </c>
      <c r="E13" s="91" t="n">
        <f aca="false">SUM(D13-C13)</f>
        <v>11460</v>
      </c>
      <c r="F13" s="122" t="n">
        <v>11480</v>
      </c>
      <c r="G13" s="41" t="n">
        <v>0.8405</v>
      </c>
      <c r="H13" s="93" t="n">
        <f aca="false">SUM(G13*F13)</f>
        <v>9648.94</v>
      </c>
      <c r="I13" s="29" t="n">
        <v>388</v>
      </c>
      <c r="J13" s="29" t="n">
        <v>6588</v>
      </c>
      <c r="K13" s="94"/>
      <c r="L13" s="95"/>
      <c r="M13" s="96"/>
      <c r="N13" s="99" t="n">
        <f aca="false">SUM(O12)</f>
        <v>0</v>
      </c>
      <c r="O13" s="98"/>
      <c r="P13" s="99" t="n">
        <f aca="false">SUM(O13-N13)</f>
        <v>0</v>
      </c>
      <c r="Q13" s="100"/>
      <c r="R13" s="101" t="n">
        <f aca="false">SUM(Q13*P13)</f>
        <v>0</v>
      </c>
      <c r="S13" s="1"/>
    </row>
    <row r="14" customFormat="false" ht="15.75" hidden="false" customHeight="false" outlineLevel="0" collapsed="false">
      <c r="A14" s="89" t="n">
        <v>0.0763888888888889</v>
      </c>
      <c r="B14" s="90" t="s">
        <v>46</v>
      </c>
      <c r="C14" s="97" t="n">
        <f aca="false">SUM(D13)</f>
        <v>50477630</v>
      </c>
      <c r="D14" s="75" t="n">
        <v>50500050</v>
      </c>
      <c r="E14" s="91" t="n">
        <f aca="false">SUM(D14-C14)</f>
        <v>22420</v>
      </c>
      <c r="F14" s="122" t="n">
        <v>22430</v>
      </c>
      <c r="G14" s="41" t="n">
        <v>0.8405</v>
      </c>
      <c r="H14" s="93" t="n">
        <f aca="false">SUM(G14*F14)</f>
        <v>18852.415</v>
      </c>
      <c r="I14" s="29" t="n">
        <v>388</v>
      </c>
      <c r="J14" s="29" t="n">
        <v>6591</v>
      </c>
      <c r="K14" s="94"/>
      <c r="L14" s="95"/>
      <c r="M14" s="96"/>
      <c r="N14" s="99" t="n">
        <f aca="false">SUM(O13)</f>
        <v>0</v>
      </c>
      <c r="O14" s="98"/>
      <c r="P14" s="99" t="n">
        <f aca="false">SUM(O14-N14)</f>
        <v>0</v>
      </c>
      <c r="Q14" s="100"/>
      <c r="R14" s="101" t="n">
        <f aca="false">SUM(Q14*P14)</f>
        <v>0</v>
      </c>
      <c r="S14" s="1"/>
    </row>
    <row r="15" customFormat="false" ht="15.75" hidden="false" customHeight="false" outlineLevel="0" collapsed="false">
      <c r="A15" s="89" t="n">
        <v>0.246527777777778</v>
      </c>
      <c r="B15" s="182" t="s">
        <v>38</v>
      </c>
      <c r="C15" s="97" t="n">
        <f aca="false">SUM(D14)</f>
        <v>50500050</v>
      </c>
      <c r="D15" s="75" t="n">
        <v>50522470</v>
      </c>
      <c r="E15" s="91" t="n">
        <f aca="false">SUM(D15-C15)</f>
        <v>22420</v>
      </c>
      <c r="F15" s="122" t="n">
        <v>22430</v>
      </c>
      <c r="G15" s="41" t="n">
        <v>0.8425</v>
      </c>
      <c r="H15" s="206" t="n">
        <f aca="false">SUM(G15*F15)</f>
        <v>18897.275</v>
      </c>
      <c r="I15" s="29" t="n">
        <v>388</v>
      </c>
      <c r="J15" s="29" t="n">
        <v>6594</v>
      </c>
      <c r="K15" s="94"/>
      <c r="L15" s="95"/>
      <c r="M15" s="96"/>
      <c r="N15" s="99" t="n">
        <f aca="false">SUM(O14)</f>
        <v>0</v>
      </c>
      <c r="O15" s="98"/>
      <c r="P15" s="99" t="n">
        <f aca="false">SUM(O15-N15)</f>
        <v>0</v>
      </c>
      <c r="Q15" s="100"/>
      <c r="R15" s="101" t="n">
        <f aca="false">SUM(Q15*P15)</f>
        <v>0</v>
      </c>
      <c r="S15" s="1"/>
    </row>
    <row r="16" customFormat="false" ht="15.75" hidden="false" customHeight="false" outlineLevel="0" collapsed="false">
      <c r="A16" s="89" t="n">
        <v>0.260416666666667</v>
      </c>
      <c r="B16" s="90" t="s">
        <v>38</v>
      </c>
      <c r="C16" s="97" t="n">
        <f aca="false">SUM(D15)</f>
        <v>50522470</v>
      </c>
      <c r="D16" s="75" t="n">
        <v>50539500</v>
      </c>
      <c r="E16" s="91" t="n">
        <f aca="false">SUM(D16-C16)</f>
        <v>17030</v>
      </c>
      <c r="F16" s="128" t="n">
        <v>17019</v>
      </c>
      <c r="G16" s="41" t="n">
        <v>0.8425</v>
      </c>
      <c r="H16" s="206" t="n">
        <f aca="false">SUM(G16*F16)</f>
        <v>14338.5075</v>
      </c>
      <c r="I16" s="29" t="n">
        <v>251</v>
      </c>
      <c r="J16" s="29" t="n">
        <v>6595</v>
      </c>
      <c r="K16" s="94"/>
      <c r="L16" s="95"/>
      <c r="M16" s="104"/>
      <c r="N16" s="99" t="n">
        <f aca="false">SUM(O15)</f>
        <v>0</v>
      </c>
      <c r="O16" s="98"/>
      <c r="P16" s="99" t="n">
        <f aca="false">SUM(O16-N16)</f>
        <v>0</v>
      </c>
      <c r="Q16" s="41"/>
      <c r="R16" s="101" t="n">
        <f aca="false">SUM(Q16*P16)</f>
        <v>0</v>
      </c>
      <c r="S16" s="102"/>
    </row>
    <row r="17" customFormat="false" ht="15.75" hidden="false" customHeight="false" outlineLevel="0" collapsed="false">
      <c r="A17" s="89" t="n">
        <v>0.309027777777778</v>
      </c>
      <c r="B17" s="90" t="s">
        <v>38</v>
      </c>
      <c r="C17" s="97" t="n">
        <f aca="false">SUM(D16)</f>
        <v>50539500</v>
      </c>
      <c r="D17" s="75" t="n">
        <v>50550980</v>
      </c>
      <c r="E17" s="91" t="n">
        <f aca="false">SUM(D17-C17)</f>
        <v>11480</v>
      </c>
      <c r="F17" s="122" t="n">
        <v>11480</v>
      </c>
      <c r="G17" s="41" t="n">
        <v>0.8425</v>
      </c>
      <c r="H17" s="206" t="n">
        <f aca="false">SUM(G17*F17)</f>
        <v>9671.9</v>
      </c>
      <c r="I17" s="29" t="n">
        <v>388</v>
      </c>
      <c r="J17" s="29" t="n">
        <v>6597</v>
      </c>
      <c r="K17" s="94"/>
      <c r="L17" s="88"/>
      <c r="M17" s="88" t="s">
        <v>49</v>
      </c>
      <c r="N17" s="82"/>
      <c r="O17" s="82"/>
      <c r="P17" s="82"/>
      <c r="Q17" s="83"/>
      <c r="R17" s="84"/>
      <c r="S17" s="85"/>
    </row>
    <row r="18" customFormat="false" ht="15.75" hidden="false" customHeight="false" outlineLevel="0" collapsed="false">
      <c r="A18" s="89" t="n">
        <v>0.309027777777778</v>
      </c>
      <c r="B18" s="90" t="s">
        <v>48</v>
      </c>
      <c r="C18" s="97" t="n">
        <f aca="false">SUM(D17)</f>
        <v>50550980</v>
      </c>
      <c r="D18" s="75" t="n">
        <v>50561920</v>
      </c>
      <c r="E18" s="91" t="n">
        <f aca="false">SUM(D18-C18)</f>
        <v>10940</v>
      </c>
      <c r="F18" s="122" t="n">
        <v>10950</v>
      </c>
      <c r="G18" s="41" t="n">
        <v>0.84</v>
      </c>
      <c r="H18" s="139" t="n">
        <f aca="false">SUM(G18*F18)</f>
        <v>9198</v>
      </c>
      <c r="I18" s="29" t="n">
        <v>388</v>
      </c>
      <c r="J18" s="29" t="n">
        <v>6597</v>
      </c>
      <c r="K18" s="94"/>
      <c r="L18" s="95" t="n">
        <v>0.496527777777778</v>
      </c>
      <c r="M18" s="104" t="s">
        <v>62</v>
      </c>
      <c r="N18" s="129" t="n">
        <f aca="false">D44</f>
        <v>2913660</v>
      </c>
      <c r="O18" s="98" t="n">
        <v>2913730</v>
      </c>
      <c r="P18" s="108" t="n">
        <f aca="false">SUM(O18-N18)</f>
        <v>70</v>
      </c>
      <c r="Q18" s="41" t="n">
        <v>0.8291</v>
      </c>
      <c r="R18" s="93" t="n">
        <f aca="false">SUM(Q18*P18)</f>
        <v>58.037</v>
      </c>
      <c r="S18" s="102" t="s">
        <v>69</v>
      </c>
      <c r="T18" s="0" t="s">
        <v>41</v>
      </c>
    </row>
    <row r="19" customFormat="false" ht="15" hidden="false" customHeight="false" outlineLevel="0" collapsed="false">
      <c r="A19" s="89"/>
      <c r="B19" s="90"/>
      <c r="C19" s="97" t="n">
        <v>0</v>
      </c>
      <c r="D19" s="75"/>
      <c r="E19" s="91"/>
      <c r="F19" s="128"/>
      <c r="G19" s="41"/>
      <c r="H19" s="139"/>
      <c r="I19" s="29"/>
      <c r="J19" s="29"/>
      <c r="K19" s="94"/>
      <c r="L19" s="95"/>
      <c r="M19" s="104"/>
      <c r="N19" s="97" t="n">
        <v>0</v>
      </c>
      <c r="O19" s="98"/>
      <c r="P19" s="108" t="n">
        <f aca="false">SUM(O19-N19)</f>
        <v>0</v>
      </c>
      <c r="Q19" s="41"/>
      <c r="R19" s="93" t="n">
        <f aca="false">SUM(Q19*P19)</f>
        <v>0</v>
      </c>
      <c r="S19" s="102"/>
    </row>
    <row r="20" customFormat="false" ht="15" hidden="false" customHeight="false" outlineLevel="0" collapsed="false">
      <c r="A20" s="89"/>
      <c r="B20" s="90"/>
      <c r="C20" s="97" t="n">
        <v>0</v>
      </c>
      <c r="D20" s="75"/>
      <c r="E20" s="91" t="n">
        <f aca="false">SUM(D20-C20)</f>
        <v>0</v>
      </c>
      <c r="F20" s="108" t="n">
        <f aca="false">SUM(D20-C20)</f>
        <v>0</v>
      </c>
      <c r="G20" s="41"/>
      <c r="H20" s="93"/>
      <c r="I20" s="1"/>
      <c r="J20" s="29"/>
      <c r="K20" s="94"/>
      <c r="L20" s="95"/>
      <c r="M20" s="104"/>
      <c r="N20" s="97" t="n">
        <f aca="false">SUM(O19)</f>
        <v>0</v>
      </c>
      <c r="O20" s="98"/>
      <c r="P20" s="108" t="n">
        <f aca="false">SUM(O20-N20)</f>
        <v>0</v>
      </c>
      <c r="Q20" s="41"/>
      <c r="R20" s="93" t="n">
        <f aca="false">SUM(Q20*P20)</f>
        <v>0</v>
      </c>
      <c r="S20" s="102"/>
    </row>
    <row r="21" customFormat="false" ht="15" hidden="false" customHeight="false" outlineLevel="0" collapsed="false">
      <c r="A21" s="89"/>
      <c r="B21" s="90"/>
      <c r="C21" s="97" t="n">
        <v>0</v>
      </c>
      <c r="D21" s="75"/>
      <c r="E21" s="91" t="n">
        <f aca="false">SUM(D21-C21)</f>
        <v>0</v>
      </c>
      <c r="F21" s="108" t="n">
        <f aca="false">SUM(D21-C21)</f>
        <v>0</v>
      </c>
      <c r="G21" s="41"/>
      <c r="H21" s="93"/>
      <c r="I21" s="1"/>
      <c r="J21" s="29"/>
      <c r="K21" s="94"/>
      <c r="L21" s="95"/>
      <c r="M21" s="104"/>
      <c r="N21" s="97" t="n">
        <f aca="false">SUM(O20)</f>
        <v>0</v>
      </c>
      <c r="O21" s="98"/>
      <c r="P21" s="108" t="n">
        <f aca="false">SUM(O21-N21)</f>
        <v>0</v>
      </c>
      <c r="Q21" s="41"/>
      <c r="R21" s="93" t="n">
        <f aca="false">SUM(Q21*P21)</f>
        <v>0</v>
      </c>
      <c r="S21" s="102"/>
    </row>
    <row r="22" customFormat="false" ht="15" hidden="false" customHeight="false" outlineLevel="0" collapsed="false">
      <c r="A22" s="89"/>
      <c r="B22" s="90"/>
      <c r="C22" s="97" t="n">
        <f aca="false">SUM(D21)</f>
        <v>0</v>
      </c>
      <c r="D22" s="75"/>
      <c r="E22" s="91" t="n">
        <f aca="false">SUM(D22-C22)</f>
        <v>0</v>
      </c>
      <c r="F22" s="108" t="n">
        <f aca="false">SUM(D22-C22)</f>
        <v>0</v>
      </c>
      <c r="G22" s="41"/>
      <c r="H22" s="93" t="n">
        <f aca="false">SUM(G22*F22)</f>
        <v>0</v>
      </c>
      <c r="I22" s="1"/>
      <c r="J22" s="29"/>
      <c r="K22" s="94"/>
      <c r="L22" s="95"/>
      <c r="M22" s="104"/>
      <c r="N22" s="97" t="n">
        <f aca="false">SUM(O21)</f>
        <v>0</v>
      </c>
      <c r="O22" s="98"/>
      <c r="P22" s="108" t="n">
        <f aca="false">SUM(O22-N22)</f>
        <v>0</v>
      </c>
      <c r="Q22" s="41"/>
      <c r="R22" s="93" t="n">
        <f aca="false">SUM(Q22*P22)</f>
        <v>0</v>
      </c>
      <c r="S22" s="102"/>
    </row>
    <row r="23" customFormat="false" ht="15" hidden="false" customHeight="false" outlineLevel="0" collapsed="false">
      <c r="A23" s="89"/>
      <c r="B23" s="90"/>
      <c r="C23" s="97" t="n">
        <f aca="false">SUM(D22)</f>
        <v>0</v>
      </c>
      <c r="D23" s="75"/>
      <c r="E23" s="91" t="n">
        <f aca="false">SUM(D23-C23)</f>
        <v>0</v>
      </c>
      <c r="F23" s="108" t="n">
        <f aca="false">SUM(D23-C23)</f>
        <v>0</v>
      </c>
      <c r="G23" s="41"/>
      <c r="H23" s="93" t="n">
        <f aca="false">SUM(G23*F23)</f>
        <v>0</v>
      </c>
      <c r="I23" s="1"/>
      <c r="J23" s="29"/>
      <c r="K23" s="94"/>
      <c r="L23" s="95"/>
      <c r="M23" s="104"/>
      <c r="N23" s="97" t="n">
        <f aca="false">SUM(O22)</f>
        <v>0</v>
      </c>
      <c r="O23" s="98"/>
      <c r="P23" s="108" t="n">
        <f aca="false">SUM(O23-N23)</f>
        <v>0</v>
      </c>
      <c r="Q23" s="41"/>
      <c r="R23" s="93" t="n">
        <f aca="false">SUM(Q23*P23)</f>
        <v>0</v>
      </c>
      <c r="S23" s="102"/>
    </row>
    <row r="24" customFormat="false" ht="15" hidden="false" customHeight="false" outlineLevel="0" collapsed="false">
      <c r="A24" s="89"/>
      <c r="B24" s="90"/>
      <c r="C24" s="97" t="n">
        <f aca="false">SUM(D23)</f>
        <v>0</v>
      </c>
      <c r="D24" s="75"/>
      <c r="E24" s="91" t="n">
        <f aca="false">SUM(D24-C24)</f>
        <v>0</v>
      </c>
      <c r="F24" s="108" t="n">
        <f aca="false">SUM(D24-C24)</f>
        <v>0</v>
      </c>
      <c r="G24" s="41"/>
      <c r="H24" s="93" t="n">
        <f aca="false">SUM(G24*F24)</f>
        <v>0</v>
      </c>
      <c r="I24" s="1"/>
      <c r="J24" s="29"/>
      <c r="K24" s="94"/>
      <c r="L24" s="95"/>
      <c r="M24" s="104"/>
      <c r="N24" s="97" t="n">
        <f aca="false">SUM(O23)</f>
        <v>0</v>
      </c>
      <c r="O24" s="98"/>
      <c r="P24" s="108" t="n">
        <f aca="false">SUM(O24-N24)</f>
        <v>0</v>
      </c>
      <c r="Q24" s="41"/>
      <c r="R24" s="93" t="n">
        <f aca="false">SUM(Q24*P24)</f>
        <v>0</v>
      </c>
      <c r="S24" s="102"/>
    </row>
    <row r="25" customFormat="false" ht="14.25" hidden="false" customHeight="true" outlineLevel="0" collapsed="false">
      <c r="A25" s="89"/>
      <c r="B25" s="90"/>
      <c r="C25" s="97" t="n">
        <f aca="false">SUM(D24)</f>
        <v>0</v>
      </c>
      <c r="D25" s="75"/>
      <c r="E25" s="91" t="n">
        <f aca="false">SUM(D25-C25)</f>
        <v>0</v>
      </c>
      <c r="F25" s="108" t="n">
        <f aca="false">SUM(D25-C25)</f>
        <v>0</v>
      </c>
      <c r="G25" s="41"/>
      <c r="H25" s="93" t="n">
        <f aca="false">SUM(G25*F25)</f>
        <v>0</v>
      </c>
      <c r="I25" s="1"/>
      <c r="J25" s="29"/>
      <c r="K25" s="94"/>
      <c r="L25" s="95"/>
      <c r="M25" s="96"/>
      <c r="N25" s="97" t="n">
        <f aca="false">SUM(O24)</f>
        <v>0</v>
      </c>
      <c r="O25" s="98"/>
      <c r="P25" s="108" t="n">
        <f aca="false">SUM(O25-N25)</f>
        <v>0</v>
      </c>
      <c r="Q25" s="100"/>
      <c r="R25" s="93" t="n">
        <f aca="false">SUM(Q25*P25)</f>
        <v>0</v>
      </c>
      <c r="S25" s="1"/>
    </row>
    <row r="26" customFormat="false" ht="15" hidden="true" customHeight="false" outlineLevel="0" collapsed="false">
      <c r="A26" s="89"/>
      <c r="B26" s="90"/>
      <c r="C26" s="97" t="n">
        <f aca="false">SUM(D25)</f>
        <v>0</v>
      </c>
      <c r="D26" s="75"/>
      <c r="E26" s="91" t="n">
        <f aca="false">SUM(D26-C26)</f>
        <v>0</v>
      </c>
      <c r="F26" s="108" t="n">
        <f aca="false">SUM(D26-C26)</f>
        <v>0</v>
      </c>
      <c r="G26" s="41"/>
      <c r="H26" s="93" t="n">
        <f aca="false">SUM(G26*F26)</f>
        <v>0</v>
      </c>
      <c r="I26" s="1"/>
      <c r="J26" s="29"/>
      <c r="K26" s="94"/>
      <c r="L26" s="95"/>
      <c r="M26" s="96"/>
      <c r="N26" s="97" t="n">
        <f aca="false">SUM(O25)</f>
        <v>0</v>
      </c>
      <c r="O26" s="98"/>
      <c r="P26" s="108" t="n">
        <f aca="false">SUM(O26-N26)</f>
        <v>0</v>
      </c>
      <c r="Q26" s="100"/>
      <c r="R26" s="93" t="n">
        <f aca="false">SUM(Q26*P26)</f>
        <v>0</v>
      </c>
      <c r="S26" s="102"/>
    </row>
    <row r="27" customFormat="false" ht="15" hidden="true" customHeight="false" outlineLevel="0" collapsed="false">
      <c r="A27" s="89"/>
      <c r="B27" s="90"/>
      <c r="C27" s="97" t="n">
        <f aca="false">SUM(D26)</f>
        <v>0</v>
      </c>
      <c r="D27" s="75"/>
      <c r="E27" s="91" t="n">
        <f aca="false">SUM(D27-C27)</f>
        <v>0</v>
      </c>
      <c r="F27" s="108" t="n">
        <f aca="false">SUM(D27-C27)</f>
        <v>0</v>
      </c>
      <c r="G27" s="41"/>
      <c r="H27" s="93" t="n">
        <f aca="false">SUM(G27*F27)</f>
        <v>0</v>
      </c>
      <c r="I27" s="1"/>
      <c r="J27" s="29"/>
      <c r="K27" s="94"/>
      <c r="L27" s="95"/>
      <c r="M27" s="96"/>
      <c r="N27" s="97" t="n">
        <f aca="false">SUM(O26)</f>
        <v>0</v>
      </c>
      <c r="O27" s="98"/>
      <c r="P27" s="108" t="n">
        <f aca="false">SUM(O27-N27)</f>
        <v>0</v>
      </c>
      <c r="Q27" s="100"/>
      <c r="R27" s="93" t="n">
        <f aca="false">SUM(Q27*P27)</f>
        <v>0</v>
      </c>
      <c r="S27" s="1"/>
    </row>
    <row r="28" customFormat="false" ht="15" hidden="true" customHeight="false" outlineLevel="0" collapsed="false">
      <c r="A28" s="89"/>
      <c r="B28" s="90"/>
      <c r="C28" s="97" t="n">
        <f aca="false">SUM(D27)</f>
        <v>0</v>
      </c>
      <c r="D28" s="75"/>
      <c r="E28" s="91" t="n">
        <f aca="false">SUM(D28-C28)</f>
        <v>0</v>
      </c>
      <c r="F28" s="108" t="n">
        <f aca="false">SUM(D28-C28)</f>
        <v>0</v>
      </c>
      <c r="G28" s="41"/>
      <c r="H28" s="93" t="n">
        <f aca="false">SUM(G28*F28)</f>
        <v>0</v>
      </c>
      <c r="I28" s="1"/>
      <c r="J28" s="29"/>
      <c r="K28" s="94"/>
      <c r="L28" s="95"/>
      <c r="M28" s="96"/>
      <c r="N28" s="97" t="n">
        <f aca="false">SUM(O27)</f>
        <v>0</v>
      </c>
      <c r="O28" s="98"/>
      <c r="P28" s="108" t="n">
        <f aca="false">SUM(O28-N28)</f>
        <v>0</v>
      </c>
      <c r="Q28" s="100"/>
      <c r="R28" s="93" t="n">
        <f aca="false">SUM(Q28*P28)</f>
        <v>0</v>
      </c>
      <c r="S28" s="1"/>
    </row>
    <row r="29" customFormat="false" ht="15" hidden="true" customHeight="false" outlineLevel="0" collapsed="false">
      <c r="A29" s="89"/>
      <c r="B29" s="90"/>
      <c r="C29" s="97" t="n">
        <f aca="false">SUM(D28)</f>
        <v>0</v>
      </c>
      <c r="D29" s="75"/>
      <c r="E29" s="91" t="n">
        <f aca="false">SUM(D29-C29)</f>
        <v>0</v>
      </c>
      <c r="F29" s="108" t="n">
        <f aca="false">SUM(D29-C29)</f>
        <v>0</v>
      </c>
      <c r="G29" s="41"/>
      <c r="H29" s="93" t="n">
        <f aca="false">SUM(G29*F29)</f>
        <v>0</v>
      </c>
      <c r="I29" s="1"/>
      <c r="J29" s="29"/>
      <c r="K29" s="94"/>
      <c r="L29" s="95"/>
      <c r="M29" s="96"/>
      <c r="N29" s="97" t="n">
        <f aca="false">SUM(O28)</f>
        <v>0</v>
      </c>
      <c r="O29" s="98"/>
      <c r="P29" s="108" t="n">
        <f aca="false">SUM(O29-N29)</f>
        <v>0</v>
      </c>
      <c r="Q29" s="100"/>
      <c r="R29" s="93" t="n">
        <f aca="false">SUM(Q29*P29)</f>
        <v>0</v>
      </c>
      <c r="S29" s="1"/>
    </row>
    <row r="30" customFormat="false" ht="15" hidden="true" customHeight="false" outlineLevel="0" collapsed="false">
      <c r="A30" s="89"/>
      <c r="B30" s="90"/>
      <c r="C30" s="97" t="n">
        <f aca="false">SUM(D29)</f>
        <v>0</v>
      </c>
      <c r="D30" s="75"/>
      <c r="E30" s="91" t="n">
        <f aca="false">SUM(D30-C30)</f>
        <v>0</v>
      </c>
      <c r="F30" s="108" t="n">
        <f aca="false">SUM(D30-C30)</f>
        <v>0</v>
      </c>
      <c r="G30" s="41"/>
      <c r="H30" s="93" t="n">
        <f aca="false">SUM(G30*F30)</f>
        <v>0</v>
      </c>
      <c r="I30" s="1"/>
      <c r="J30" s="29"/>
      <c r="K30" s="110"/>
      <c r="L30" s="95"/>
      <c r="M30" s="96"/>
      <c r="N30" s="97" t="n">
        <f aca="false">SUM(O29)</f>
        <v>0</v>
      </c>
      <c r="O30" s="98"/>
      <c r="P30" s="108" t="n">
        <f aca="false">SUM(O30-N30)</f>
        <v>0</v>
      </c>
      <c r="Q30" s="100"/>
      <c r="R30" s="93" t="n">
        <f aca="false">SUM(Q30*P30)</f>
        <v>0</v>
      </c>
      <c r="S30" s="1"/>
    </row>
    <row r="31" customFormat="false" ht="15" hidden="true" customHeight="false" outlineLevel="0" collapsed="false">
      <c r="A31" s="89"/>
      <c r="B31" s="90"/>
      <c r="C31" s="97" t="n">
        <f aca="false">SUM(D30)</f>
        <v>0</v>
      </c>
      <c r="D31" s="75"/>
      <c r="E31" s="91" t="n">
        <f aca="false">SUM(D31-C31)</f>
        <v>0</v>
      </c>
      <c r="F31" s="108" t="n">
        <f aca="false">SUM(D31-C31)</f>
        <v>0</v>
      </c>
      <c r="G31" s="41"/>
      <c r="H31" s="93" t="n">
        <f aca="false">SUM(G31*F31)</f>
        <v>0</v>
      </c>
      <c r="I31" s="1"/>
      <c r="J31" s="29"/>
      <c r="K31" s="94"/>
      <c r="L31" s="95"/>
      <c r="M31" s="96"/>
      <c r="N31" s="97" t="n">
        <f aca="false">SUM(O30)</f>
        <v>0</v>
      </c>
      <c r="O31" s="98"/>
      <c r="P31" s="108" t="n">
        <f aca="false">SUM(O31-N31)</f>
        <v>0</v>
      </c>
      <c r="Q31" s="100"/>
      <c r="R31" s="93" t="n">
        <f aca="false">SUM(Q31*P31)</f>
        <v>0</v>
      </c>
      <c r="S31" s="1"/>
    </row>
    <row r="32" customFormat="false" ht="15" hidden="true" customHeight="false" outlineLevel="0" collapsed="false">
      <c r="A32" s="89"/>
      <c r="B32" s="90"/>
      <c r="C32" s="97" t="n">
        <f aca="false">SUM(D31)</f>
        <v>0</v>
      </c>
      <c r="D32" s="75"/>
      <c r="E32" s="91" t="n">
        <f aca="false">SUM(D32-C32)</f>
        <v>0</v>
      </c>
      <c r="F32" s="108" t="n">
        <f aca="false">SUM(D32-C32)</f>
        <v>0</v>
      </c>
      <c r="G32" s="41"/>
      <c r="H32" s="93" t="n">
        <f aca="false">SUM(G32*F32)</f>
        <v>0</v>
      </c>
      <c r="I32" s="1"/>
      <c r="J32" s="29"/>
      <c r="K32" s="94"/>
      <c r="L32" s="112"/>
      <c r="M32" s="113"/>
      <c r="N32" s="113"/>
      <c r="O32" s="114"/>
      <c r="P32" s="115"/>
      <c r="Q32" s="116"/>
      <c r="R32" s="62"/>
      <c r="S32" s="62"/>
    </row>
    <row r="33" customFormat="false" ht="15" hidden="true" customHeight="false" outlineLevel="0" collapsed="false">
      <c r="A33" s="89"/>
      <c r="B33" s="90"/>
      <c r="C33" s="97" t="n">
        <f aca="false">SUM(D32)</f>
        <v>0</v>
      </c>
      <c r="D33" s="75"/>
      <c r="E33" s="91" t="n">
        <f aca="false">SUM(D33-C33)</f>
        <v>0</v>
      </c>
      <c r="F33" s="108" t="n">
        <f aca="false">SUM(D33-C33)</f>
        <v>0</v>
      </c>
      <c r="G33" s="41"/>
      <c r="H33" s="93" t="n">
        <f aca="false">SUM(G33*F33)</f>
        <v>0</v>
      </c>
      <c r="I33" s="1"/>
      <c r="J33" s="29"/>
      <c r="K33" s="94"/>
      <c r="L33" s="117"/>
      <c r="M33" s="117"/>
      <c r="N33" s="117"/>
      <c r="O33" s="117"/>
      <c r="P33" s="117"/>
      <c r="Q33" s="117"/>
      <c r="R33" s="117"/>
      <c r="S33" s="117"/>
    </row>
    <row r="34" customFormat="false" ht="15" hidden="true" customHeight="false" outlineLevel="0" collapsed="false">
      <c r="A34" s="89"/>
      <c r="B34" s="90"/>
      <c r="C34" s="97" t="n">
        <f aca="false">SUM(D33)</f>
        <v>0</v>
      </c>
      <c r="D34" s="75"/>
      <c r="E34" s="91" t="n">
        <f aca="false">SUM(D34-C34)</f>
        <v>0</v>
      </c>
      <c r="F34" s="108" t="n">
        <f aca="false">SUM(D34-C34)</f>
        <v>0</v>
      </c>
      <c r="G34" s="41"/>
      <c r="H34" s="93" t="n">
        <f aca="false">SUM(G34*F34)</f>
        <v>0</v>
      </c>
      <c r="I34" s="1"/>
      <c r="J34" s="29"/>
      <c r="K34" s="94"/>
      <c r="L34" s="117"/>
      <c r="M34" s="117"/>
      <c r="N34" s="117"/>
      <c r="O34" s="117"/>
      <c r="P34" s="117"/>
      <c r="Q34" s="117"/>
      <c r="R34" s="117"/>
      <c r="S34" s="117"/>
    </row>
    <row r="35" customFormat="false" ht="15" hidden="true" customHeight="false" outlineLevel="0" collapsed="false">
      <c r="A35" s="89"/>
      <c r="B35" s="90"/>
      <c r="C35" s="97" t="n">
        <f aca="false">SUM(D34)</f>
        <v>0</v>
      </c>
      <c r="D35" s="75"/>
      <c r="E35" s="91" t="n">
        <f aca="false">SUM(D35-C35)</f>
        <v>0</v>
      </c>
      <c r="F35" s="108" t="n">
        <f aca="false">SUM(D35-C35)</f>
        <v>0</v>
      </c>
      <c r="G35" s="41"/>
      <c r="H35" s="93" t="n">
        <f aca="false">SUM(G35*F35)</f>
        <v>0</v>
      </c>
      <c r="I35" s="1"/>
      <c r="J35" s="29"/>
      <c r="K35" s="94"/>
      <c r="L35" s="117"/>
      <c r="M35" s="117"/>
      <c r="N35" s="117"/>
      <c r="O35" s="117"/>
      <c r="P35" s="117"/>
      <c r="Q35" s="117"/>
      <c r="R35" s="117"/>
      <c r="S35" s="117"/>
    </row>
    <row r="36" customFormat="false" ht="15" hidden="true" customHeight="false" outlineLevel="0" collapsed="false">
      <c r="A36" s="89"/>
      <c r="B36" s="90"/>
      <c r="C36" s="97" t="n">
        <f aca="false">SUM(D35)</f>
        <v>0</v>
      </c>
      <c r="D36" s="75"/>
      <c r="E36" s="91" t="n">
        <f aca="false">SUM(D36-C36)</f>
        <v>0</v>
      </c>
      <c r="F36" s="108" t="n">
        <f aca="false">SUM(D36-C36)</f>
        <v>0</v>
      </c>
      <c r="G36" s="41"/>
      <c r="H36" s="93" t="n">
        <f aca="false">SUM(G36*F36)</f>
        <v>0</v>
      </c>
      <c r="I36" s="1"/>
      <c r="J36" s="29"/>
      <c r="K36" s="94"/>
      <c r="L36" s="117"/>
      <c r="M36" s="117"/>
      <c r="N36" s="117"/>
      <c r="O36" s="117"/>
      <c r="P36" s="117"/>
      <c r="Q36" s="117"/>
      <c r="R36" s="117"/>
      <c r="S36" s="117"/>
    </row>
    <row r="37" customFormat="false" ht="15" hidden="false" customHeight="false" outlineLevel="0" collapsed="false">
      <c r="A37" s="89"/>
      <c r="B37" s="90"/>
      <c r="C37" s="97" t="n">
        <f aca="false">SUM(D36)</f>
        <v>0</v>
      </c>
      <c r="D37" s="75"/>
      <c r="E37" s="91" t="n">
        <f aca="false">SUM(D37-C37)</f>
        <v>0</v>
      </c>
      <c r="F37" s="130" t="n">
        <f aca="false">SUM(D37-C37)</f>
        <v>0</v>
      </c>
      <c r="G37" s="41"/>
      <c r="H37" s="131" t="n">
        <f aca="false">SUM(G37*F37)</f>
        <v>0</v>
      </c>
      <c r="I37" s="1"/>
      <c r="J37" s="1"/>
      <c r="K37" s="94"/>
      <c r="L37" s="117"/>
      <c r="M37" s="117"/>
      <c r="N37" s="117"/>
      <c r="O37" s="117"/>
      <c r="P37" s="117"/>
      <c r="Q37" s="117"/>
      <c r="R37" s="117"/>
      <c r="S37" s="117"/>
    </row>
    <row r="38" customFormat="false" ht="15" hidden="false" customHeight="false" outlineLevel="0" collapsed="false">
      <c r="A38" s="89"/>
      <c r="B38" s="90"/>
      <c r="C38" s="97" t="n">
        <f aca="false">SUM(D37)</f>
        <v>0</v>
      </c>
      <c r="D38" s="75"/>
      <c r="E38" s="109"/>
      <c r="F38" s="132" t="n">
        <f aca="false">SUM(F3:F37)</f>
        <v>252238</v>
      </c>
      <c r="G38" s="133"/>
      <c r="H38" s="134" t="n">
        <f aca="false">SUM(H3:H37)</f>
        <v>211885.1837</v>
      </c>
      <c r="I38" s="135"/>
      <c r="J38" s="1"/>
      <c r="L38" s="117"/>
      <c r="M38" s="117"/>
      <c r="N38" s="117"/>
      <c r="O38" s="117"/>
      <c r="P38" s="117"/>
      <c r="Q38" s="117"/>
      <c r="R38" s="117"/>
      <c r="S38" s="117"/>
    </row>
    <row r="39" customFormat="false" ht="15" hidden="false" customHeight="false" outlineLevel="0" collapsed="false">
      <c r="A39" s="88"/>
      <c r="B39" s="81" t="s">
        <v>49</v>
      </c>
      <c r="C39" s="82"/>
      <c r="D39" s="82"/>
      <c r="E39" s="82"/>
      <c r="F39" s="136"/>
      <c r="G39" s="83"/>
      <c r="H39" s="137"/>
      <c r="I39" s="85"/>
      <c r="J39" s="85"/>
      <c r="L39" s="117"/>
      <c r="M39" s="117"/>
      <c r="N39" s="117"/>
      <c r="O39" s="117"/>
      <c r="P39" s="117"/>
      <c r="Q39" s="117"/>
      <c r="R39" s="117"/>
      <c r="S39" s="117"/>
    </row>
    <row r="40" customFormat="false" ht="15.75" hidden="false" customHeight="false" outlineLevel="0" collapsed="false">
      <c r="A40" s="89" t="n">
        <v>0.434027777777778</v>
      </c>
      <c r="B40" s="121" t="s">
        <v>72</v>
      </c>
      <c r="C40" s="107" t="n">
        <v>2869940</v>
      </c>
      <c r="D40" s="107" t="n">
        <v>2878370</v>
      </c>
      <c r="E40" s="91" t="n">
        <f aca="false">SUM(D40-C40)</f>
        <v>8430</v>
      </c>
      <c r="F40" s="108" t="n">
        <v>8390</v>
      </c>
      <c r="G40" s="41" t="n">
        <v>0.833</v>
      </c>
      <c r="H40" s="123" t="n">
        <f aca="false">SUM(G40*F40)</f>
        <v>6988.87</v>
      </c>
      <c r="I40" s="29" t="n">
        <v>382</v>
      </c>
      <c r="J40" s="29" t="n">
        <v>6560</v>
      </c>
      <c r="K40" s="118" t="s">
        <v>60</v>
      </c>
      <c r="L40" s="117"/>
      <c r="M40" s="117"/>
      <c r="N40" s="117"/>
      <c r="O40" s="117"/>
      <c r="P40" s="117"/>
      <c r="Q40" s="117"/>
      <c r="R40" s="117"/>
      <c r="S40" s="117"/>
    </row>
    <row r="41" customFormat="false" ht="14.25" hidden="false" customHeight="true" outlineLevel="0" collapsed="false">
      <c r="A41" s="89" t="n">
        <v>0.440972222222222</v>
      </c>
      <c r="B41" s="90" t="s">
        <v>72</v>
      </c>
      <c r="C41" s="97" t="n">
        <f aca="false">SUM(D40)</f>
        <v>2878370</v>
      </c>
      <c r="D41" s="107" t="n">
        <v>2884450</v>
      </c>
      <c r="E41" s="91" t="n">
        <f aca="false">SUM(D41-C41)</f>
        <v>6080</v>
      </c>
      <c r="F41" s="108" t="n">
        <v>6034</v>
      </c>
      <c r="G41" s="41" t="n">
        <v>0.833</v>
      </c>
      <c r="H41" s="123" t="n">
        <f aca="false">SUM(G41*F41)</f>
        <v>5026.322</v>
      </c>
      <c r="I41" s="29" t="n">
        <v>81</v>
      </c>
      <c r="J41" s="29" t="n">
        <v>6561</v>
      </c>
      <c r="K41" s="118" t="s">
        <v>60</v>
      </c>
      <c r="L41" s="117"/>
      <c r="M41" s="117"/>
      <c r="N41" s="117"/>
      <c r="O41" s="117"/>
      <c r="P41" s="117"/>
      <c r="Q41" s="117"/>
      <c r="R41" s="117"/>
      <c r="S41" s="117"/>
    </row>
    <row r="42" customFormat="false" ht="15" hidden="false" customHeight="true" outlineLevel="0" collapsed="false">
      <c r="A42" s="89" t="n">
        <v>0.451388888888889</v>
      </c>
      <c r="B42" s="90" t="s">
        <v>72</v>
      </c>
      <c r="C42" s="97" t="n">
        <f aca="false">SUM(D41)</f>
        <v>2884450</v>
      </c>
      <c r="D42" s="107" t="n">
        <v>2890350</v>
      </c>
      <c r="E42" s="91" t="n">
        <f aca="false">SUM(D42-C42)</f>
        <v>5900</v>
      </c>
      <c r="F42" s="108" t="n">
        <v>5855</v>
      </c>
      <c r="G42" s="41" t="n">
        <v>0.833</v>
      </c>
      <c r="H42" s="123" t="n">
        <f aca="false">SUM(G42*F42)</f>
        <v>4877.215</v>
      </c>
      <c r="I42" s="29" t="n">
        <v>57</v>
      </c>
      <c r="J42" s="29" t="n">
        <v>6562</v>
      </c>
      <c r="K42" s="118" t="s">
        <v>60</v>
      </c>
      <c r="L42" s="117"/>
      <c r="M42" s="117"/>
      <c r="N42" s="117"/>
      <c r="O42" s="117"/>
      <c r="P42" s="117"/>
      <c r="Q42" s="117"/>
      <c r="R42" s="117"/>
      <c r="S42" s="117"/>
    </row>
    <row r="43" customFormat="false" ht="15.75" hidden="false" customHeight="false" outlineLevel="0" collapsed="false">
      <c r="A43" s="89" t="n">
        <v>0.461805555555556</v>
      </c>
      <c r="B43" s="138" t="s">
        <v>62</v>
      </c>
      <c r="C43" s="97" t="n">
        <f aca="false">SUM(D42)</f>
        <v>2890350</v>
      </c>
      <c r="D43" s="107" t="n">
        <v>2907450</v>
      </c>
      <c r="E43" s="91" t="n">
        <f aca="false">SUM(D43-C43)</f>
        <v>17100</v>
      </c>
      <c r="F43" s="128" t="n">
        <v>17019</v>
      </c>
      <c r="G43" s="41" t="n">
        <v>0.8325</v>
      </c>
      <c r="H43" s="139" t="n">
        <f aca="false">SUM(G43*F43)</f>
        <v>14168.3175</v>
      </c>
      <c r="I43" s="29" t="n">
        <v>251</v>
      </c>
      <c r="J43" s="29" t="n">
        <v>6565</v>
      </c>
      <c r="K43" s="111" t="s">
        <v>91</v>
      </c>
      <c r="L43" s="117"/>
      <c r="M43" s="117"/>
      <c r="N43" s="117"/>
      <c r="O43" s="117"/>
      <c r="P43" s="117"/>
      <c r="Q43" s="117"/>
      <c r="R43" s="117"/>
      <c r="S43" s="117"/>
    </row>
    <row r="44" customFormat="false" ht="15.75" hidden="false" customHeight="false" outlineLevel="0" collapsed="false">
      <c r="A44" s="89" t="n">
        <v>0.475694444444444</v>
      </c>
      <c r="B44" s="90" t="s">
        <v>62</v>
      </c>
      <c r="C44" s="97" t="n">
        <f aca="false">SUM(D43)</f>
        <v>2907450</v>
      </c>
      <c r="D44" s="107" t="n">
        <v>2913660</v>
      </c>
      <c r="E44" s="91" t="n">
        <f aca="false">SUM(D44-C44)</f>
        <v>6210</v>
      </c>
      <c r="F44" s="108" t="n">
        <v>6168</v>
      </c>
      <c r="G44" s="41" t="n">
        <v>0.8325</v>
      </c>
      <c r="H44" s="139" t="n">
        <f aca="false">SUM(G44*F44)</f>
        <v>5134.86</v>
      </c>
      <c r="I44" s="29" t="n">
        <v>119</v>
      </c>
      <c r="J44" s="29" t="n">
        <v>6567</v>
      </c>
      <c r="K44" s="111" t="s">
        <v>91</v>
      </c>
      <c r="L44" s="117"/>
      <c r="M44" s="117"/>
      <c r="N44" s="117"/>
      <c r="O44" s="117"/>
      <c r="P44" s="117"/>
      <c r="Q44" s="117"/>
      <c r="R44" s="117"/>
      <c r="S44" s="117"/>
    </row>
    <row r="45" customFormat="false" ht="15.75" hidden="false" customHeight="false" outlineLevel="0" collapsed="false">
      <c r="A45" s="89" t="n">
        <v>0.590277777777778</v>
      </c>
      <c r="B45" s="90" t="s">
        <v>72</v>
      </c>
      <c r="C45" s="97" t="n">
        <f aca="false">O18</f>
        <v>2913730</v>
      </c>
      <c r="D45" s="107" t="n">
        <v>2917990</v>
      </c>
      <c r="E45" s="91" t="n">
        <f aca="false">SUM(D45-C45)</f>
        <v>4260</v>
      </c>
      <c r="F45" s="108" t="n">
        <v>4229</v>
      </c>
      <c r="G45" s="41" t="n">
        <v>0.8323</v>
      </c>
      <c r="H45" s="123" t="n">
        <f aca="false">SUM(G45*F45)</f>
        <v>3519.7967</v>
      </c>
      <c r="I45" s="29" t="n">
        <v>382</v>
      </c>
      <c r="J45" s="29" t="n">
        <v>6568</v>
      </c>
      <c r="K45" s="118" t="s">
        <v>60</v>
      </c>
      <c r="L45" s="117"/>
      <c r="M45" s="117"/>
      <c r="N45" s="117"/>
      <c r="O45" s="117"/>
      <c r="P45" s="117"/>
      <c r="Q45" s="117"/>
      <c r="R45" s="117"/>
      <c r="S45" s="117"/>
    </row>
    <row r="46" customFormat="false" ht="15.75" hidden="false" customHeight="false" outlineLevel="0" collapsed="false">
      <c r="A46" s="89" t="n">
        <v>0.597222222222222</v>
      </c>
      <c r="B46" s="90" t="s">
        <v>72</v>
      </c>
      <c r="C46" s="97" t="n">
        <f aca="false">SUM(D45)</f>
        <v>2917990</v>
      </c>
      <c r="D46" s="107" t="n">
        <v>2927690</v>
      </c>
      <c r="E46" s="91" t="n">
        <f aca="false">SUM(D46-C46)</f>
        <v>9700</v>
      </c>
      <c r="F46" s="108" t="n">
        <v>9651</v>
      </c>
      <c r="G46" s="41" t="n">
        <v>0.8323</v>
      </c>
      <c r="H46" s="123" t="n">
        <f aca="false">SUM(G46*F46)</f>
        <v>8032.5273</v>
      </c>
      <c r="I46" s="29" t="n">
        <v>81</v>
      </c>
      <c r="J46" s="29" t="n">
        <v>6569</v>
      </c>
      <c r="K46" s="118" t="s">
        <v>60</v>
      </c>
      <c r="L46" s="117"/>
      <c r="M46" s="117"/>
      <c r="N46" s="94"/>
      <c r="O46" s="117"/>
      <c r="P46" s="117"/>
      <c r="Q46" s="117"/>
      <c r="R46" s="117"/>
      <c r="S46" s="117"/>
    </row>
    <row r="47" customFormat="false" ht="15.75" hidden="false" customHeight="false" outlineLevel="0" collapsed="false">
      <c r="A47" s="89" t="n">
        <v>0.604166666666667</v>
      </c>
      <c r="B47" s="90" t="s">
        <v>72</v>
      </c>
      <c r="C47" s="97" t="n">
        <f aca="false">SUM(D46)</f>
        <v>2927690</v>
      </c>
      <c r="D47" s="107" t="n">
        <v>2933640</v>
      </c>
      <c r="E47" s="91" t="n">
        <f aca="false">SUM(D47-C47)</f>
        <v>5950</v>
      </c>
      <c r="F47" s="108" t="n">
        <v>5908</v>
      </c>
      <c r="G47" s="41" t="n">
        <v>0.8323</v>
      </c>
      <c r="H47" s="123" t="n">
        <f aca="false">SUM(G47*F47)</f>
        <v>4917.2284</v>
      </c>
      <c r="I47" s="29" t="n">
        <v>57</v>
      </c>
      <c r="J47" s="29" t="n">
        <v>6570</v>
      </c>
      <c r="K47" s="118" t="s">
        <v>60</v>
      </c>
      <c r="L47" s="117"/>
      <c r="M47" s="117"/>
      <c r="N47" s="94"/>
      <c r="O47" s="117"/>
      <c r="P47" s="117"/>
      <c r="Q47" s="117"/>
      <c r="R47" s="117"/>
      <c r="S47" s="117"/>
    </row>
    <row r="48" customFormat="false" ht="15.75" hidden="false" customHeight="false" outlineLevel="0" collapsed="false">
      <c r="A48" s="89" t="n">
        <v>0.659722222222222</v>
      </c>
      <c r="B48" s="90" t="s">
        <v>59</v>
      </c>
      <c r="C48" s="97" t="n">
        <f aca="false">SUM(D47)</f>
        <v>2933640</v>
      </c>
      <c r="D48" s="107" t="n">
        <v>2948810</v>
      </c>
      <c r="E48" s="91" t="n">
        <f aca="false">SUM(D48-C48)</f>
        <v>15170</v>
      </c>
      <c r="F48" s="141" t="n">
        <v>15040</v>
      </c>
      <c r="G48" s="41" t="n">
        <v>0.8425</v>
      </c>
      <c r="H48" s="93" t="n">
        <f aca="false">SUM(G48*F48)</f>
        <v>12671.2</v>
      </c>
      <c r="I48" s="29" t="n">
        <v>467</v>
      </c>
      <c r="J48" s="29" t="n">
        <v>6571</v>
      </c>
      <c r="K48" s="119" t="s">
        <v>99</v>
      </c>
      <c r="L48" s="117" t="s">
        <v>100</v>
      </c>
      <c r="M48" s="117"/>
      <c r="N48" s="94"/>
      <c r="O48" s="117"/>
      <c r="P48" s="117"/>
      <c r="Q48" s="117"/>
      <c r="R48" s="117"/>
      <c r="S48" s="117"/>
    </row>
    <row r="49" customFormat="false" ht="15" hidden="false" customHeight="true" outlineLevel="0" collapsed="false">
      <c r="A49" s="89" t="n">
        <v>0.680555555555555</v>
      </c>
      <c r="B49" s="90" t="s">
        <v>59</v>
      </c>
      <c r="C49" s="97" t="n">
        <f aca="false">SUM(D48)</f>
        <v>2948810</v>
      </c>
      <c r="D49" s="107" t="n">
        <v>2955880</v>
      </c>
      <c r="E49" s="91" t="n">
        <f aca="false">SUM(D49-C49)</f>
        <v>7070</v>
      </c>
      <c r="F49" s="128" t="n">
        <v>7033</v>
      </c>
      <c r="G49" s="41" t="n">
        <v>0.8425</v>
      </c>
      <c r="H49" s="93" t="n">
        <f aca="false">SUM(G49*F49)</f>
        <v>5925.3025</v>
      </c>
      <c r="I49" s="29" t="n">
        <v>251</v>
      </c>
      <c r="J49" s="29" t="n">
        <v>6572</v>
      </c>
      <c r="K49" s="119" t="s">
        <v>99</v>
      </c>
      <c r="L49" s="117"/>
      <c r="M49" s="117"/>
      <c r="N49" s="94"/>
      <c r="O49" s="117"/>
      <c r="P49" s="117"/>
      <c r="Q49" s="117"/>
      <c r="R49" s="117"/>
      <c r="S49" s="117"/>
    </row>
    <row r="50" customFormat="false" ht="15.75" hidden="false" customHeight="false" outlineLevel="0" collapsed="false">
      <c r="A50" s="89" t="n">
        <v>0.680555555555555</v>
      </c>
      <c r="B50" s="90" t="s">
        <v>62</v>
      </c>
      <c r="C50" s="97" t="n">
        <f aca="false">SUM(D49)</f>
        <v>2955880</v>
      </c>
      <c r="D50" s="107" t="n">
        <v>2965920</v>
      </c>
      <c r="E50" s="91" t="n">
        <f aca="false">SUM(D50-C50)</f>
        <v>10040</v>
      </c>
      <c r="F50" s="128" t="n">
        <v>9986</v>
      </c>
      <c r="G50" s="41" t="n">
        <v>0.8333</v>
      </c>
      <c r="H50" s="139" t="n">
        <f aca="false">SUM(G50*F50)</f>
        <v>8321.3338</v>
      </c>
      <c r="I50" s="29" t="n">
        <v>251</v>
      </c>
      <c r="J50" s="29" t="n">
        <v>6572</v>
      </c>
      <c r="K50" s="111" t="s">
        <v>91</v>
      </c>
      <c r="L50" s="117"/>
      <c r="M50" s="117"/>
      <c r="N50" s="117"/>
      <c r="O50" s="117"/>
      <c r="P50" s="117"/>
      <c r="Q50" s="117"/>
      <c r="R50" s="117"/>
      <c r="S50" s="117"/>
    </row>
    <row r="51" customFormat="false" ht="15.75" hidden="false" customHeight="false" outlineLevel="0" collapsed="false">
      <c r="A51" s="89" t="n">
        <v>0.722222222222222</v>
      </c>
      <c r="B51" s="90" t="s">
        <v>61</v>
      </c>
      <c r="C51" s="97" t="n">
        <f aca="false">SUM(D50)</f>
        <v>2965920</v>
      </c>
      <c r="D51" s="107" t="n">
        <v>2975950</v>
      </c>
      <c r="E51" s="91" t="n">
        <f aca="false">SUM(D51-C51)</f>
        <v>10030</v>
      </c>
      <c r="F51" s="128" t="n">
        <v>9986</v>
      </c>
      <c r="G51" s="41" t="n">
        <v>0.8336</v>
      </c>
      <c r="H51" s="93" t="n">
        <f aca="false">SUM(G51*F51)</f>
        <v>8324.3296</v>
      </c>
      <c r="I51" s="29" t="n">
        <v>251</v>
      </c>
      <c r="J51" s="29" t="n">
        <v>6574</v>
      </c>
      <c r="K51" s="118" t="s">
        <v>60</v>
      </c>
      <c r="L51" s="117"/>
      <c r="M51" s="117"/>
      <c r="N51" s="117"/>
      <c r="O51" s="117"/>
      <c r="P51" s="117"/>
      <c r="Q51" s="117"/>
      <c r="R51" s="117"/>
      <c r="S51" s="117"/>
    </row>
    <row r="52" customFormat="false" ht="15.75" hidden="false" customHeight="false" outlineLevel="0" collapsed="false">
      <c r="A52" s="89" t="n">
        <v>0.756944444444444</v>
      </c>
      <c r="B52" s="90" t="s">
        <v>61</v>
      </c>
      <c r="C52" s="97" t="n">
        <f aca="false">SUM(D51)</f>
        <v>2975950</v>
      </c>
      <c r="D52" s="107" t="n">
        <v>2985990</v>
      </c>
      <c r="E52" s="91" t="n">
        <f aca="false">SUM(D52-C52)</f>
        <v>10040</v>
      </c>
      <c r="F52" s="128" t="n">
        <v>9986</v>
      </c>
      <c r="G52" s="41" t="n">
        <v>0.8336</v>
      </c>
      <c r="H52" s="93" t="n">
        <f aca="false">SUM(G52*F52)</f>
        <v>8324.3296</v>
      </c>
      <c r="I52" s="29" t="n">
        <v>251</v>
      </c>
      <c r="J52" s="29" t="n">
        <v>6576</v>
      </c>
      <c r="K52" s="118" t="s">
        <v>60</v>
      </c>
      <c r="L52" s="117"/>
      <c r="M52" s="117"/>
      <c r="N52" s="117"/>
      <c r="O52" s="117"/>
      <c r="P52" s="117"/>
      <c r="Q52" s="117"/>
      <c r="R52" s="117"/>
      <c r="S52" s="117"/>
    </row>
    <row r="53" customFormat="false" ht="15.75" hidden="false" customHeight="false" outlineLevel="0" collapsed="false">
      <c r="A53" s="89" t="n">
        <v>0.756944444444444</v>
      </c>
      <c r="B53" s="182" t="s">
        <v>90</v>
      </c>
      <c r="C53" s="97" t="n">
        <f aca="false">SUM(D52)</f>
        <v>2985990</v>
      </c>
      <c r="D53" s="107" t="n">
        <v>2993070</v>
      </c>
      <c r="E53" s="91" t="n">
        <f aca="false">SUM(D53-C53)</f>
        <v>7080</v>
      </c>
      <c r="F53" s="128" t="n">
        <v>7033</v>
      </c>
      <c r="G53" s="41" t="n">
        <v>0.8336</v>
      </c>
      <c r="H53" s="93" t="n">
        <f aca="false">SUM(G53*F53)</f>
        <v>5862.7088</v>
      </c>
      <c r="I53" s="29" t="n">
        <v>251</v>
      </c>
      <c r="J53" s="29" t="n">
        <v>6576</v>
      </c>
      <c r="K53" s="118" t="s">
        <v>60</v>
      </c>
      <c r="L53" s="117"/>
      <c r="M53" s="117"/>
      <c r="N53" s="117"/>
      <c r="O53" s="117"/>
      <c r="P53" s="117"/>
      <c r="Q53" s="117"/>
      <c r="R53" s="117"/>
      <c r="S53" s="117"/>
    </row>
    <row r="54" customFormat="false" ht="15.75" hidden="false" customHeight="false" outlineLevel="0" collapsed="false">
      <c r="A54" s="89" t="n">
        <v>0.791666666666667</v>
      </c>
      <c r="B54" s="90" t="s">
        <v>90</v>
      </c>
      <c r="C54" s="97" t="n">
        <f aca="false">SUM(D53)</f>
        <v>2993070</v>
      </c>
      <c r="D54" s="107" t="n">
        <v>3000190</v>
      </c>
      <c r="E54" s="91" t="n">
        <f aca="false">SUM(D54-C54)</f>
        <v>7120</v>
      </c>
      <c r="F54" s="108" t="n">
        <v>7070</v>
      </c>
      <c r="G54" s="41" t="n">
        <v>0.8336</v>
      </c>
      <c r="H54" s="93" t="n">
        <f aca="false">SUM(G54*F54)</f>
        <v>5893.552</v>
      </c>
      <c r="I54" s="1" t="n">
        <v>81</v>
      </c>
      <c r="J54" s="29" t="n">
        <v>6577</v>
      </c>
      <c r="K54" s="118" t="s">
        <v>60</v>
      </c>
      <c r="L54" s="117"/>
      <c r="M54" s="117"/>
      <c r="N54" s="117"/>
      <c r="O54" s="117"/>
      <c r="P54" s="117"/>
      <c r="Q54" s="117"/>
      <c r="R54" s="117"/>
      <c r="S54" s="117"/>
    </row>
    <row r="55" customFormat="false" ht="15.75" hidden="false" customHeight="false" outlineLevel="0" collapsed="false">
      <c r="A55" s="89" t="n">
        <v>0.809027777777778</v>
      </c>
      <c r="B55" s="124" t="s">
        <v>89</v>
      </c>
      <c r="C55" s="97" t="n">
        <f aca="false">SUM(D54)</f>
        <v>3000190</v>
      </c>
      <c r="D55" s="107" t="n">
        <v>3017310</v>
      </c>
      <c r="E55" s="91" t="n">
        <f aca="false">SUM(D55-C55)</f>
        <v>17120</v>
      </c>
      <c r="F55" s="128" t="n">
        <v>17019</v>
      </c>
      <c r="G55" s="41" t="n">
        <v>0.8346</v>
      </c>
      <c r="H55" s="125" t="n">
        <f aca="false">SUM(G55*F55)</f>
        <v>14204.0574</v>
      </c>
      <c r="I55" s="1" t="n">
        <v>251</v>
      </c>
      <c r="J55" s="29" t="n">
        <v>6578</v>
      </c>
      <c r="K55" s="111" t="s">
        <v>91</v>
      </c>
      <c r="L55" s="117"/>
      <c r="M55" s="117"/>
      <c r="N55" s="117"/>
      <c r="O55" s="117"/>
      <c r="P55" s="117"/>
      <c r="Q55" s="117"/>
      <c r="R55" s="117"/>
      <c r="S55" s="117"/>
    </row>
    <row r="56" customFormat="false" ht="15.75" hidden="false" customHeight="false" outlineLevel="0" collapsed="false">
      <c r="A56" s="89" t="n">
        <v>0.902777777777778</v>
      </c>
      <c r="B56" s="90" t="s">
        <v>90</v>
      </c>
      <c r="C56" s="97" t="n">
        <f aca="false">SUM(D55)</f>
        <v>3017310</v>
      </c>
      <c r="D56" s="107" t="n">
        <v>3023420</v>
      </c>
      <c r="E56" s="91" t="n">
        <f aca="false">SUM(D56-C56)</f>
        <v>6110</v>
      </c>
      <c r="F56" s="108" t="n">
        <v>6078</v>
      </c>
      <c r="G56" s="41" t="n">
        <v>0.8336</v>
      </c>
      <c r="H56" s="93" t="n">
        <f aca="false">SUM(G56*F56)</f>
        <v>5066.6208</v>
      </c>
      <c r="I56" s="1" t="n">
        <v>57</v>
      </c>
      <c r="J56" s="29" t="n">
        <v>6580</v>
      </c>
      <c r="K56" s="118" t="s">
        <v>60</v>
      </c>
      <c r="L56" s="117"/>
      <c r="M56" s="117"/>
      <c r="N56" s="117"/>
      <c r="O56" s="117"/>
      <c r="P56" s="117"/>
      <c r="Q56" s="117"/>
      <c r="R56" s="117"/>
      <c r="S56" s="117"/>
    </row>
    <row r="57" customFormat="false" ht="15.75" hidden="false" customHeight="false" outlineLevel="0" collapsed="false">
      <c r="A57" s="89" t="n">
        <v>0.913194444444444</v>
      </c>
      <c r="B57" s="90" t="s">
        <v>89</v>
      </c>
      <c r="C57" s="97" t="n">
        <f aca="false">SUM(D56)</f>
        <v>3023420</v>
      </c>
      <c r="D57" s="107" t="n">
        <v>3034980</v>
      </c>
      <c r="E57" s="91" t="n">
        <f aca="false">SUM(D57-C57)</f>
        <v>11560</v>
      </c>
      <c r="F57" s="108" t="n">
        <v>11502</v>
      </c>
      <c r="G57" s="41" t="n">
        <v>0.834</v>
      </c>
      <c r="H57" s="125" t="n">
        <f aca="false">SUM(G57*F57)</f>
        <v>9592.668</v>
      </c>
      <c r="I57" s="1" t="n">
        <v>119</v>
      </c>
      <c r="J57" s="29" t="n">
        <v>6582</v>
      </c>
      <c r="K57" s="111" t="s">
        <v>91</v>
      </c>
      <c r="L57" s="117"/>
      <c r="M57" s="117"/>
      <c r="N57" s="117"/>
      <c r="O57" s="117"/>
      <c r="P57" s="117"/>
      <c r="Q57" s="117"/>
      <c r="R57" s="117"/>
      <c r="S57" s="117"/>
    </row>
    <row r="58" customFormat="false" ht="15.75" hidden="false" customHeight="false" outlineLevel="0" collapsed="false">
      <c r="A58" s="89" t="n">
        <v>0.927083333333333</v>
      </c>
      <c r="B58" s="90" t="s">
        <v>90</v>
      </c>
      <c r="C58" s="97" t="n">
        <f aca="false">SUM(D57)</f>
        <v>3034980</v>
      </c>
      <c r="D58" s="107" t="n">
        <v>3043450</v>
      </c>
      <c r="E58" s="91" t="n">
        <f aca="false">SUM(D58-C58)</f>
        <v>8470</v>
      </c>
      <c r="F58" s="108" t="n">
        <v>8419</v>
      </c>
      <c r="G58" s="41" t="n">
        <v>0.8336</v>
      </c>
      <c r="H58" s="93" t="n">
        <f aca="false">SUM(G58*F58)</f>
        <v>7018.0784</v>
      </c>
      <c r="I58" s="1" t="n">
        <v>382</v>
      </c>
      <c r="J58" s="29" t="n">
        <v>6583</v>
      </c>
      <c r="K58" s="118" t="s">
        <v>60</v>
      </c>
      <c r="L58" s="117"/>
      <c r="M58" s="117"/>
      <c r="N58" s="117"/>
      <c r="O58" s="117"/>
      <c r="P58" s="117"/>
      <c r="Q58" s="117"/>
      <c r="R58" s="117"/>
      <c r="S58" s="117"/>
    </row>
    <row r="59" customFormat="false" ht="15.75" hidden="false" customHeight="false" outlineLevel="0" collapsed="false">
      <c r="A59" s="89" t="n">
        <v>0.940972222222222</v>
      </c>
      <c r="B59" s="90" t="s">
        <v>72</v>
      </c>
      <c r="C59" s="97" t="n">
        <f aca="false">SUM(D58)</f>
        <v>3043450</v>
      </c>
      <c r="D59" s="107" t="n">
        <v>3053500</v>
      </c>
      <c r="E59" s="91" t="n">
        <f aca="false">SUM(D59-C59)</f>
        <v>10050</v>
      </c>
      <c r="F59" s="128" t="n">
        <v>9986</v>
      </c>
      <c r="G59" s="41" t="n">
        <v>0.8328</v>
      </c>
      <c r="H59" s="123" t="n">
        <f aca="false">SUM(G59*F59)</f>
        <v>8316.3408</v>
      </c>
      <c r="I59" s="1" t="n">
        <v>251</v>
      </c>
      <c r="J59" s="29" t="n">
        <v>6584</v>
      </c>
      <c r="K59" s="118" t="s">
        <v>60</v>
      </c>
      <c r="L59" s="117"/>
      <c r="M59" s="117"/>
      <c r="N59" s="117"/>
      <c r="O59" s="117"/>
      <c r="P59" s="117"/>
      <c r="Q59" s="117"/>
      <c r="R59" s="117"/>
      <c r="S59" s="117"/>
    </row>
    <row r="60" customFormat="false" ht="15.75" hidden="false" customHeight="false" outlineLevel="0" collapsed="false">
      <c r="A60" s="89" t="n">
        <v>0.940972222222222</v>
      </c>
      <c r="B60" s="90" t="s">
        <v>72</v>
      </c>
      <c r="C60" s="97" t="n">
        <f aca="false">SUM(D59)</f>
        <v>3053500</v>
      </c>
      <c r="D60" s="107" t="n">
        <v>3060570</v>
      </c>
      <c r="E60" s="91" t="n">
        <f aca="false">SUM(D60-C60)</f>
        <v>7070</v>
      </c>
      <c r="F60" s="128" t="n">
        <v>7033</v>
      </c>
      <c r="G60" s="41" t="n">
        <v>0.8328</v>
      </c>
      <c r="H60" s="123" t="n">
        <f aca="false">SUM(G60*F60)</f>
        <v>5857.0824</v>
      </c>
      <c r="I60" s="1" t="n">
        <v>251</v>
      </c>
      <c r="J60" s="29" t="n">
        <v>6585</v>
      </c>
      <c r="K60" s="118" t="s">
        <v>60</v>
      </c>
      <c r="L60" s="117"/>
      <c r="M60" s="117"/>
      <c r="N60" s="117"/>
      <c r="O60" s="117"/>
      <c r="P60" s="117"/>
      <c r="Q60" s="117"/>
      <c r="R60" s="117"/>
      <c r="S60" s="117"/>
    </row>
    <row r="61" customFormat="false" ht="15.75" hidden="false" customHeight="false" outlineLevel="0" collapsed="false">
      <c r="A61" s="89" t="n">
        <v>0.0520833333333333</v>
      </c>
      <c r="B61" s="90" t="s">
        <v>89</v>
      </c>
      <c r="C61" s="97" t="n">
        <f aca="false">SUM(D60)</f>
        <v>3060570</v>
      </c>
      <c r="D61" s="107" t="n">
        <v>3077570</v>
      </c>
      <c r="E61" s="91" t="n">
        <f aca="false">SUM(D61-C61)</f>
        <v>17000</v>
      </c>
      <c r="F61" s="128" t="n">
        <v>17019</v>
      </c>
      <c r="G61" s="41" t="n">
        <v>0.834</v>
      </c>
      <c r="H61" s="125" t="n">
        <f aca="false">SUM(G61*F61)</f>
        <v>14193.846</v>
      </c>
      <c r="I61" s="1" t="n">
        <v>251</v>
      </c>
      <c r="J61" s="29" t="n">
        <v>6589</v>
      </c>
      <c r="K61" s="111" t="s">
        <v>91</v>
      </c>
      <c r="L61" s="117"/>
      <c r="M61" s="117"/>
      <c r="N61" s="117"/>
      <c r="O61" s="117"/>
      <c r="P61" s="117"/>
      <c r="Q61" s="117"/>
      <c r="R61" s="117"/>
      <c r="S61" s="117"/>
    </row>
    <row r="62" customFormat="false" ht="15.75" hidden="false" customHeight="false" outlineLevel="0" collapsed="false">
      <c r="A62" s="89" t="n">
        <v>0.0729166666666667</v>
      </c>
      <c r="B62" s="90" t="s">
        <v>72</v>
      </c>
      <c r="C62" s="97" t="n">
        <f aca="false">SUM(D61)</f>
        <v>3077570</v>
      </c>
      <c r="D62" s="107" t="n">
        <v>3083460</v>
      </c>
      <c r="E62" s="91" t="n">
        <f aca="false">SUM(D62-C62)</f>
        <v>5890</v>
      </c>
      <c r="F62" s="108" t="n">
        <v>5738</v>
      </c>
      <c r="G62" s="41" t="n">
        <v>0.833</v>
      </c>
      <c r="H62" s="123" t="n">
        <f aca="false">SUM(G62*F62)</f>
        <v>4779.754</v>
      </c>
      <c r="I62" s="1" t="n">
        <v>57</v>
      </c>
      <c r="J62" s="29" t="n">
        <v>6590</v>
      </c>
      <c r="K62" s="118" t="s">
        <v>60</v>
      </c>
      <c r="L62" s="117"/>
      <c r="M62" s="117"/>
      <c r="N62" s="117"/>
      <c r="O62" s="117"/>
      <c r="P62" s="117"/>
      <c r="Q62" s="117"/>
      <c r="R62" s="117"/>
      <c r="S62" s="117"/>
    </row>
    <row r="63" customFormat="false" ht="15.75" hidden="false" customHeight="false" outlineLevel="0" collapsed="false">
      <c r="A63" s="89" t="n">
        <v>0.0798611111111111</v>
      </c>
      <c r="B63" s="90" t="s">
        <v>72</v>
      </c>
      <c r="C63" s="97" t="n">
        <f aca="false">SUM(D62)</f>
        <v>3083460</v>
      </c>
      <c r="D63" s="107" t="n">
        <v>3091760</v>
      </c>
      <c r="E63" s="91" t="n">
        <f aca="false">SUM(D63-C63)</f>
        <v>8300</v>
      </c>
      <c r="F63" s="108" t="n">
        <v>8354</v>
      </c>
      <c r="G63" s="41" t="n">
        <v>0.833</v>
      </c>
      <c r="H63" s="123" t="n">
        <f aca="false">SUM(G63*F63)</f>
        <v>6958.882</v>
      </c>
      <c r="I63" s="1" t="n">
        <v>81</v>
      </c>
      <c r="J63" s="29" t="n">
        <v>6592</v>
      </c>
      <c r="K63" s="118" t="s">
        <v>60</v>
      </c>
      <c r="L63" s="117"/>
      <c r="M63" s="117"/>
      <c r="N63" s="117"/>
      <c r="O63" s="117"/>
      <c r="P63" s="117"/>
      <c r="Q63" s="117"/>
      <c r="R63" s="117"/>
      <c r="S63" s="117"/>
    </row>
    <row r="64" customFormat="false" ht="15.75" hidden="false" customHeight="false" outlineLevel="0" collapsed="false">
      <c r="A64" s="89" t="n">
        <v>0.201388888888889</v>
      </c>
      <c r="B64" s="90" t="s">
        <v>89</v>
      </c>
      <c r="C64" s="97" t="n">
        <f aca="false">SUM(D63)</f>
        <v>3091760</v>
      </c>
      <c r="D64" s="107" t="n">
        <v>3101850</v>
      </c>
      <c r="E64" s="91" t="n">
        <f aca="false">SUM(D64-C64)</f>
        <v>10090</v>
      </c>
      <c r="F64" s="128" t="n">
        <v>9986</v>
      </c>
      <c r="G64" s="41" t="n">
        <v>0.8355</v>
      </c>
      <c r="H64" s="125" t="n">
        <f aca="false">SUM(G64*F64)</f>
        <v>8343.303</v>
      </c>
      <c r="I64" s="1" t="n">
        <v>251</v>
      </c>
      <c r="J64" s="29" t="n">
        <v>6593</v>
      </c>
      <c r="K64" s="111" t="s">
        <v>91</v>
      </c>
      <c r="L64" s="117"/>
      <c r="M64" s="117"/>
      <c r="N64" s="117"/>
      <c r="O64" s="117"/>
      <c r="P64" s="117"/>
      <c r="Q64" s="117"/>
      <c r="R64" s="117"/>
      <c r="S64" s="117"/>
    </row>
    <row r="65" customFormat="false" ht="15.75" hidden="false" customHeight="false" outlineLevel="0" collapsed="false">
      <c r="A65" s="89" t="n">
        <v>0.201388888888889</v>
      </c>
      <c r="B65" s="90" t="s">
        <v>62</v>
      </c>
      <c r="C65" s="97" t="n">
        <f aca="false">SUM(D64)</f>
        <v>3101850</v>
      </c>
      <c r="D65" s="107" t="n">
        <v>3108970</v>
      </c>
      <c r="E65" s="91" t="n">
        <f aca="false">SUM(D65-C65)</f>
        <v>7120</v>
      </c>
      <c r="F65" s="128" t="n">
        <v>7033</v>
      </c>
      <c r="G65" s="41" t="n">
        <v>0.8335</v>
      </c>
      <c r="H65" s="139" t="n">
        <f aca="false">SUM(G65*F65)</f>
        <v>5862.0055</v>
      </c>
      <c r="I65" s="1" t="n">
        <v>251</v>
      </c>
      <c r="J65" s="29" t="n">
        <v>6593</v>
      </c>
      <c r="K65" s="111" t="s">
        <v>91</v>
      </c>
      <c r="L65" s="117"/>
      <c r="M65" s="117"/>
      <c r="N65" s="117"/>
      <c r="O65" s="117"/>
      <c r="P65" s="117"/>
      <c r="Q65" s="117"/>
      <c r="R65" s="117"/>
      <c r="S65" s="117"/>
    </row>
    <row r="66" customFormat="false" ht="15.75" hidden="false" customHeight="false" outlineLevel="0" collapsed="false">
      <c r="A66" s="89" t="n">
        <v>0.305555555555555</v>
      </c>
      <c r="B66" s="90" t="s">
        <v>62</v>
      </c>
      <c r="C66" s="97" t="n">
        <f aca="false">SUM(D65)</f>
        <v>3108970</v>
      </c>
      <c r="D66" s="107" t="n">
        <v>3126080</v>
      </c>
      <c r="E66" s="91" t="n">
        <f aca="false">SUM(D66-C66)</f>
        <v>17110</v>
      </c>
      <c r="F66" s="128" t="n">
        <v>17019</v>
      </c>
      <c r="G66" s="41" t="n">
        <v>0.8342</v>
      </c>
      <c r="H66" s="139" t="n">
        <f aca="false">SUM(G66*F66)</f>
        <v>14197.2498</v>
      </c>
      <c r="I66" s="1" t="n">
        <v>251</v>
      </c>
      <c r="J66" s="29" t="n">
        <v>6596</v>
      </c>
      <c r="K66" s="111" t="s">
        <v>91</v>
      </c>
      <c r="L66" s="117"/>
      <c r="M66" s="117"/>
      <c r="N66" s="117"/>
      <c r="O66" s="117"/>
      <c r="P66" s="117"/>
      <c r="Q66" s="117"/>
      <c r="R66" s="117"/>
      <c r="S66" s="117"/>
    </row>
    <row r="67" customFormat="false" ht="15" hidden="false" customHeight="false" outlineLevel="0" collapsed="false">
      <c r="A67" s="89"/>
      <c r="B67" s="90"/>
      <c r="C67" s="97" t="n">
        <v>0</v>
      </c>
      <c r="D67" s="107"/>
      <c r="E67" s="91" t="n">
        <f aca="false">SUM(D67-C67)</f>
        <v>0</v>
      </c>
      <c r="F67" s="130" t="n">
        <f aca="false">SUM(D67-C67)</f>
        <v>0</v>
      </c>
      <c r="G67" s="41"/>
      <c r="H67" s="131" t="n">
        <f aca="false">SUM(G67*F67)</f>
        <v>0</v>
      </c>
      <c r="I67" s="1"/>
      <c r="J67" s="29"/>
      <c r="K67" s="111"/>
      <c r="L67" s="117"/>
      <c r="M67" s="117"/>
      <c r="N67" s="117"/>
      <c r="O67" s="117"/>
      <c r="P67" s="117"/>
      <c r="Q67" s="117"/>
      <c r="R67" s="117"/>
      <c r="S67" s="117"/>
    </row>
    <row r="68" customFormat="false" ht="15" hidden="false" customHeight="false" outlineLevel="0" collapsed="false">
      <c r="A68" s="89"/>
      <c r="B68" s="90"/>
      <c r="C68" s="97" t="n">
        <f aca="false">SUM(D67)</f>
        <v>0</v>
      </c>
      <c r="D68" s="107"/>
      <c r="E68" s="91" t="n">
        <f aca="false">SUM(D68-C68)</f>
        <v>0</v>
      </c>
      <c r="F68" s="130" t="n">
        <f aca="false">SUM(D68-C68)</f>
        <v>0</v>
      </c>
      <c r="G68" s="41"/>
      <c r="H68" s="131" t="n">
        <f aca="false">SUM(G68*F68)</f>
        <v>0</v>
      </c>
      <c r="I68" s="1"/>
      <c r="J68" s="29"/>
      <c r="K68" s="111"/>
      <c r="L68" s="117"/>
      <c r="M68" s="117"/>
      <c r="N68" s="117"/>
      <c r="O68" s="117"/>
      <c r="P68" s="117"/>
      <c r="Q68" s="117"/>
      <c r="R68" s="117"/>
      <c r="S68" s="117"/>
    </row>
    <row r="69" customFormat="false" ht="15" hidden="false" customHeight="false" outlineLevel="0" collapsed="false">
      <c r="A69" s="89"/>
      <c r="B69" s="90"/>
      <c r="C69" s="97" t="n">
        <f aca="false">SUM(D68)</f>
        <v>0</v>
      </c>
      <c r="D69" s="107"/>
      <c r="E69" s="91" t="n">
        <f aca="false">SUM(D69-C69)</f>
        <v>0</v>
      </c>
      <c r="F69" s="130" t="n">
        <f aca="false">SUM(D69-C69)</f>
        <v>0</v>
      </c>
      <c r="G69" s="41"/>
      <c r="H69" s="131" t="n">
        <f aca="false">SUM(G69*F69)</f>
        <v>0</v>
      </c>
      <c r="I69" s="1"/>
      <c r="J69" s="29"/>
      <c r="K69" s="117"/>
      <c r="L69" s="117"/>
      <c r="M69" s="117"/>
      <c r="N69" s="117"/>
      <c r="O69" s="117"/>
      <c r="P69" s="117"/>
      <c r="Q69" s="117"/>
      <c r="R69" s="117"/>
      <c r="S69" s="117"/>
    </row>
    <row r="70" customFormat="false" ht="15" hidden="false" customHeight="false" outlineLevel="0" collapsed="false">
      <c r="A70" s="89"/>
      <c r="B70" s="90"/>
      <c r="C70" s="97" t="n">
        <f aca="false">SUM(D69)</f>
        <v>0</v>
      </c>
      <c r="D70" s="75"/>
      <c r="E70" s="109" t="n">
        <f aca="false">SUM(D70-C70)</f>
        <v>0</v>
      </c>
      <c r="F70" s="132" t="n">
        <f aca="false">SUM(F40:F69)</f>
        <v>254574</v>
      </c>
      <c r="G70" s="133"/>
      <c r="H70" s="134" t="n">
        <f aca="false">SUM(H40:H69)</f>
        <v>212377.7813</v>
      </c>
      <c r="I70" s="135"/>
      <c r="J70" s="29"/>
      <c r="K70" s="120"/>
      <c r="L70" s="117"/>
      <c r="M70" s="117"/>
      <c r="N70" s="117"/>
      <c r="O70" s="117"/>
      <c r="P70" s="117"/>
      <c r="Q70" s="117"/>
      <c r="R70" s="117"/>
      <c r="S70" s="117"/>
    </row>
    <row r="71" customFormat="false" ht="15" hidden="false" customHeight="false" outlineLevel="0" collapsed="false">
      <c r="L71" s="117"/>
      <c r="M71" s="117"/>
      <c r="N71" s="117"/>
      <c r="O71" s="117"/>
      <c r="P71" s="117"/>
      <c r="Q71" s="117"/>
      <c r="R71" s="117"/>
      <c r="S71" s="117"/>
    </row>
    <row r="72" customFormat="false" ht="15" hidden="false" customHeight="false" outlineLevel="0" collapsed="false">
      <c r="F72" s="145" t="n">
        <f aca="false">F70+F38</f>
        <v>506812</v>
      </c>
      <c r="G72" s="133"/>
      <c r="H72" s="134" t="n">
        <f aca="false">H70+H38</f>
        <v>424262.965</v>
      </c>
      <c r="L72" s="117"/>
      <c r="M72" s="117"/>
      <c r="N72" s="117"/>
      <c r="O72" s="117"/>
      <c r="P72" s="117"/>
      <c r="Q72" s="117"/>
      <c r="R72" s="117"/>
      <c r="S72" s="117"/>
    </row>
    <row r="73" customFormat="false" ht="15" hidden="false" customHeight="false" outlineLevel="0" collapsed="false">
      <c r="E73" s="117"/>
      <c r="L73" s="117"/>
      <c r="M73" s="117"/>
      <c r="N73" s="117"/>
      <c r="O73" s="117"/>
      <c r="P73" s="117"/>
      <c r="Q73" s="117"/>
      <c r="R73" s="117"/>
      <c r="S73" s="117"/>
    </row>
    <row r="74" customFormat="false" ht="15" hidden="false" customHeight="false" outlineLevel="0" collapsed="false">
      <c r="E74" s="117"/>
      <c r="L74" s="117"/>
      <c r="M74" s="117"/>
      <c r="N74" s="117"/>
      <c r="O74" s="117"/>
      <c r="P74" s="117"/>
      <c r="Q74" s="117"/>
      <c r="R74" s="117"/>
      <c r="S74" s="117"/>
    </row>
    <row r="75" customFormat="false" ht="15" hidden="false" customHeight="false" outlineLevel="0" collapsed="false">
      <c r="E75" s="117"/>
      <c r="L75" s="117"/>
      <c r="M75" s="117"/>
      <c r="N75" s="117"/>
      <c r="O75" s="117"/>
      <c r="P75" s="117"/>
      <c r="Q75" s="117"/>
      <c r="R75" s="117"/>
      <c r="S75" s="117"/>
    </row>
    <row r="76" customFormat="false" ht="15" hidden="false" customHeight="false" outlineLevel="0" collapsed="false">
      <c r="E76" s="117"/>
      <c r="L76" s="117"/>
      <c r="M76" s="117"/>
      <c r="N76" s="117"/>
      <c r="O76" s="117"/>
      <c r="P76" s="117"/>
      <c r="Q76" s="117"/>
      <c r="R76" s="117"/>
      <c r="S76" s="117"/>
    </row>
    <row r="77" customFormat="false" ht="15" hidden="false" customHeight="false" outlineLevel="0" collapsed="false">
      <c r="E77" s="117"/>
      <c r="L77" s="117"/>
      <c r="M77" s="117"/>
      <c r="N77" s="117"/>
      <c r="O77" s="117"/>
      <c r="P77" s="117"/>
      <c r="Q77" s="117"/>
      <c r="R77" s="117"/>
      <c r="S77" s="117"/>
    </row>
    <row r="78" customFormat="false" ht="15" hidden="false" customHeight="false" outlineLevel="0" collapsed="false">
      <c r="E78" s="117"/>
      <c r="L78" s="117"/>
      <c r="M78" s="117"/>
      <c r="N78" s="117"/>
      <c r="O78" s="117"/>
      <c r="P78" s="117"/>
      <c r="Q78" s="117"/>
      <c r="R78" s="117"/>
      <c r="S78" s="117"/>
    </row>
    <row r="79" customFormat="false" ht="15" hidden="false" customHeight="false" outlineLevel="0" collapsed="false">
      <c r="E79" s="117"/>
      <c r="L79" s="117"/>
      <c r="M79" s="117"/>
      <c r="N79" s="117"/>
      <c r="O79" s="117"/>
      <c r="P79" s="117"/>
      <c r="Q79" s="117"/>
      <c r="R79" s="117"/>
      <c r="S79" s="117"/>
    </row>
    <row r="80" customFormat="false" ht="15" hidden="false" customHeight="false" outlineLevel="0" collapsed="false">
      <c r="E80" s="117"/>
      <c r="L80" s="117"/>
      <c r="M80" s="117"/>
      <c r="N80" s="117"/>
      <c r="O80" s="117"/>
      <c r="P80" s="117"/>
      <c r="Q80" s="117"/>
      <c r="R80" s="117"/>
      <c r="S80" s="117"/>
    </row>
    <row r="81" customFormat="false" ht="15" hidden="false" customHeight="false" outlineLevel="0" collapsed="false">
      <c r="E81" s="117"/>
      <c r="L81" s="117"/>
      <c r="M81" s="117"/>
      <c r="N81" s="117"/>
      <c r="O81" s="117"/>
      <c r="P81" s="117"/>
      <c r="Q81" s="117"/>
      <c r="R81" s="117"/>
      <c r="S81" s="117"/>
    </row>
    <row r="82" customFormat="false" ht="15" hidden="false" customHeight="false" outlineLevel="0" collapsed="false">
      <c r="E82" s="117"/>
      <c r="L82" s="117"/>
      <c r="M82" s="117"/>
      <c r="N82" s="117"/>
      <c r="O82" s="117"/>
      <c r="P82" s="117"/>
      <c r="Q82" s="117"/>
      <c r="R82" s="117"/>
      <c r="S82" s="117"/>
    </row>
    <row r="83" customFormat="false" ht="15" hidden="false" customHeight="false" outlineLevel="0" collapsed="false">
      <c r="E83" s="117"/>
      <c r="L83" s="117"/>
      <c r="M83" s="117"/>
      <c r="N83" s="117"/>
      <c r="O83" s="117"/>
      <c r="P83" s="117"/>
      <c r="Q83" s="117"/>
      <c r="R83" s="117"/>
      <c r="S83" s="117"/>
    </row>
    <row r="84" customFormat="false" ht="15" hidden="false" customHeight="false" outlineLevel="0" collapsed="false">
      <c r="E84" s="117"/>
      <c r="L84" s="117"/>
      <c r="M84" s="117"/>
      <c r="N84" s="117"/>
      <c r="O84" s="117"/>
      <c r="P84" s="117"/>
      <c r="Q84" s="117"/>
      <c r="R84" s="117"/>
      <c r="S84" s="117"/>
    </row>
    <row r="85" customFormat="false" ht="15" hidden="false" customHeight="false" outlineLevel="0" collapsed="false">
      <c r="E85" s="117"/>
      <c r="L85" s="117"/>
      <c r="M85" s="117"/>
      <c r="N85" s="117"/>
      <c r="O85" s="117"/>
      <c r="P85" s="117"/>
      <c r="Q85" s="117"/>
      <c r="R85" s="117"/>
      <c r="S85" s="117"/>
    </row>
    <row r="86" customFormat="false" ht="15" hidden="false" customHeight="false" outlineLevel="0" collapsed="false">
      <c r="E86" s="117"/>
      <c r="L86" s="117"/>
      <c r="M86" s="117"/>
      <c r="N86" s="117"/>
      <c r="O86" s="117"/>
      <c r="P86" s="117"/>
      <c r="Q86" s="117"/>
      <c r="R86" s="117"/>
      <c r="S86" s="117"/>
    </row>
    <row r="87" customFormat="false" ht="15" hidden="false" customHeight="false" outlineLevel="0" collapsed="false">
      <c r="E87" s="117"/>
      <c r="L87" s="117"/>
      <c r="M87" s="117"/>
      <c r="N87" s="117"/>
      <c r="O87" s="117"/>
      <c r="P87" s="117"/>
      <c r="Q87" s="117"/>
      <c r="R87" s="117"/>
      <c r="S87" s="117"/>
    </row>
    <row r="88" customFormat="false" ht="15" hidden="false" customHeight="false" outlineLevel="0" collapsed="false">
      <c r="E88" s="117"/>
      <c r="L88" s="117"/>
      <c r="M88" s="117"/>
      <c r="N88" s="117"/>
      <c r="O88" s="117"/>
      <c r="P88" s="117"/>
      <c r="Q88" s="117"/>
      <c r="R88" s="117"/>
      <c r="S88" s="117"/>
    </row>
    <row r="89" customFormat="false" ht="15" hidden="false" customHeight="false" outlineLevel="0" collapsed="false">
      <c r="E89" s="117"/>
      <c r="L89" s="117"/>
      <c r="M89" s="117"/>
      <c r="N89" s="117"/>
      <c r="O89" s="117"/>
      <c r="P89" s="117"/>
      <c r="Q89" s="117"/>
      <c r="R89" s="117"/>
      <c r="S89" s="117"/>
    </row>
    <row r="90" customFormat="false" ht="15" hidden="true" customHeight="false" outlineLevel="0" collapsed="false">
      <c r="E90" s="117"/>
      <c r="L90" s="117"/>
      <c r="M90" s="117"/>
      <c r="N90" s="117"/>
      <c r="O90" s="117"/>
      <c r="P90" s="117"/>
      <c r="Q90" s="117"/>
      <c r="R90" s="117"/>
      <c r="S90" s="117"/>
    </row>
    <row r="91" customFormat="false" ht="15" hidden="true" customHeight="false" outlineLevel="0" collapsed="false">
      <c r="E91" s="117"/>
      <c r="L91" s="117"/>
      <c r="M91" s="117"/>
      <c r="N91" s="117"/>
      <c r="O91" s="117"/>
      <c r="P91" s="117"/>
      <c r="Q91" s="117"/>
      <c r="R91" s="117"/>
      <c r="S91" s="117"/>
    </row>
    <row r="92" customFormat="false" ht="15" hidden="true" customHeight="false" outlineLevel="0" collapsed="false">
      <c r="E92" s="117"/>
      <c r="L92" s="117"/>
      <c r="M92" s="117"/>
      <c r="N92" s="117"/>
      <c r="O92" s="117"/>
      <c r="P92" s="117"/>
      <c r="Q92" s="117"/>
      <c r="R92" s="117"/>
      <c r="S92" s="117"/>
    </row>
    <row r="93" customFormat="false" ht="15" hidden="true" customHeight="false" outlineLevel="0" collapsed="false">
      <c r="E93" s="117"/>
      <c r="L93" s="117"/>
      <c r="M93" s="117"/>
      <c r="N93" s="117"/>
      <c r="O93" s="117"/>
      <c r="P93" s="117"/>
      <c r="Q93" s="117"/>
      <c r="R93" s="117"/>
      <c r="S93" s="117"/>
    </row>
    <row r="94" customFormat="false" ht="15" hidden="true" customHeight="false" outlineLevel="0" collapsed="false">
      <c r="E94" s="117"/>
      <c r="L94" s="117"/>
      <c r="M94" s="117"/>
      <c r="N94" s="117"/>
      <c r="O94" s="117"/>
      <c r="P94" s="117"/>
      <c r="Q94" s="117"/>
      <c r="R94" s="117"/>
      <c r="S94" s="117"/>
    </row>
    <row r="95" customFormat="false" ht="15" hidden="false" customHeight="false" outlineLevel="0" collapsed="false">
      <c r="E95" s="117"/>
      <c r="L95" s="117"/>
      <c r="M95" s="117"/>
      <c r="N95" s="117"/>
      <c r="O95" s="117"/>
      <c r="P95" s="117"/>
      <c r="Q95" s="117"/>
      <c r="R95" s="117"/>
      <c r="S95" s="117"/>
    </row>
    <row r="96" customFormat="false" ht="15" hidden="false" customHeight="false" outlineLevel="0" collapsed="false">
      <c r="E96" s="117"/>
      <c r="L96" s="117"/>
      <c r="M96" s="117"/>
      <c r="N96" s="117"/>
      <c r="O96" s="117"/>
      <c r="P96" s="117"/>
      <c r="Q96" s="117"/>
      <c r="R96" s="117"/>
      <c r="S96" s="117"/>
    </row>
    <row r="97" customFormat="false" ht="15" hidden="false" customHeight="false" outlineLevel="0" collapsed="false">
      <c r="E97" s="117"/>
      <c r="L97" s="117"/>
      <c r="M97" s="117"/>
      <c r="N97" s="117"/>
      <c r="O97" s="117"/>
      <c r="P97" s="117"/>
      <c r="Q97" s="117"/>
      <c r="R97" s="117"/>
      <c r="S97" s="117"/>
    </row>
    <row r="98" customFormat="false" ht="15" hidden="false" customHeight="false" outlineLevel="0" collapsed="false">
      <c r="E98" s="117"/>
    </row>
    <row r="99" customFormat="false" ht="15" hidden="false" customHeight="false" outlineLevel="0" collapsed="false">
      <c r="E99" s="117"/>
    </row>
    <row r="100" customFormat="false" ht="15" hidden="false" customHeight="false" outlineLevel="0" collapsed="false">
      <c r="E100" s="117"/>
    </row>
    <row r="101" customFormat="false" ht="15" hidden="false" customHeight="false" outlineLevel="0" collapsed="false">
      <c r="E101" s="117"/>
    </row>
    <row r="102" customFormat="false" ht="15" hidden="false" customHeight="false" outlineLevel="0" collapsed="false">
      <c r="E102" s="117"/>
    </row>
    <row r="103" customFormat="false" ht="15" hidden="false" customHeight="false" outlineLevel="0" collapsed="false">
      <c r="E103" s="117"/>
    </row>
    <row r="104" customFormat="false" ht="15" hidden="false" customHeight="false" outlineLevel="0" collapsed="false">
      <c r="E104" s="117"/>
    </row>
    <row r="105" customFormat="false" ht="15" hidden="false" customHeight="false" outlineLevel="0" collapsed="false">
      <c r="E105" s="117"/>
    </row>
    <row r="106" customFormat="false" ht="15" hidden="false" customHeight="false" outlineLevel="0" collapsed="false">
      <c r="E106" s="117"/>
    </row>
    <row r="107" customFormat="false" ht="15" hidden="false" customHeight="false" outlineLevel="0" collapsed="false">
      <c r="E107" s="117"/>
    </row>
    <row r="108" customFormat="false" ht="15" hidden="false" customHeight="false" outlineLevel="0" collapsed="false">
      <c r="E108" s="117"/>
    </row>
    <row r="109" customFormat="false" ht="15" hidden="false" customHeight="false" outlineLevel="0" collapsed="false">
      <c r="E109" s="117"/>
    </row>
    <row r="110" customFormat="false" ht="15" hidden="false" customHeight="false" outlineLevel="0" collapsed="false">
      <c r="E110" s="117"/>
    </row>
    <row r="111" customFormat="false" ht="15" hidden="false" customHeight="false" outlineLevel="0" collapsed="false">
      <c r="E111" s="117"/>
    </row>
    <row r="112" customFormat="false" ht="15" hidden="false" customHeight="false" outlineLevel="0" collapsed="false">
      <c r="E112" s="117"/>
    </row>
    <row r="113" customFormat="false" ht="15" hidden="false" customHeight="false" outlineLevel="0" collapsed="false">
      <c r="E113" s="117"/>
    </row>
    <row r="114" customFormat="false" ht="15" hidden="false" customHeight="false" outlineLevel="0" collapsed="false">
      <c r="E114" s="117"/>
    </row>
    <row r="115" customFormat="false" ht="15" hidden="false" customHeight="false" outlineLevel="0" collapsed="false">
      <c r="E115" s="117"/>
    </row>
    <row r="116" customFormat="false" ht="15" hidden="false" customHeight="false" outlineLevel="0" collapsed="false">
      <c r="E116" s="117"/>
    </row>
    <row r="117" customFormat="false" ht="15" hidden="false" customHeight="false" outlineLevel="0" collapsed="false">
      <c r="E117" s="117"/>
    </row>
    <row r="118" customFormat="false" ht="15" hidden="false" customHeight="false" outlineLevel="0" collapsed="false">
      <c r="E118" s="117"/>
    </row>
    <row r="119" customFormat="false" ht="15" hidden="false" customHeight="false" outlineLevel="0" collapsed="false">
      <c r="E119" s="117"/>
    </row>
    <row r="120" customFormat="false" ht="15" hidden="false" customHeight="false" outlineLevel="0" collapsed="false">
      <c r="E120" s="117"/>
    </row>
    <row r="121" customFormat="false" ht="15" hidden="false" customHeight="false" outlineLevel="0" collapsed="false">
      <c r="E121" s="117"/>
    </row>
    <row r="122" customFormat="false" ht="15" hidden="false" customHeight="false" outlineLevel="0" collapsed="false">
      <c r="E122" s="117"/>
    </row>
    <row r="123" customFormat="false" ht="15" hidden="false" customHeight="false" outlineLevel="0" collapsed="false">
      <c r="E123" s="117"/>
    </row>
    <row r="124" customFormat="false" ht="15" hidden="false" customHeight="false" outlineLevel="0" collapsed="false">
      <c r="E124" s="117"/>
    </row>
    <row r="125" customFormat="false" ht="15" hidden="false" customHeight="false" outlineLevel="0" collapsed="false">
      <c r="E125" s="117"/>
    </row>
    <row r="126" customFormat="false" ht="15" hidden="false" customHeight="false" outlineLevel="0" collapsed="false">
      <c r="E126" s="117"/>
    </row>
    <row r="127" customFormat="false" ht="15" hidden="false" customHeight="false" outlineLevel="0" collapsed="false">
      <c r="E127" s="117"/>
    </row>
    <row r="128" customFormat="false" ht="15" hidden="false" customHeight="false" outlineLevel="0" collapsed="false">
      <c r="E128" s="117"/>
    </row>
    <row r="129" customFormat="false" ht="15" hidden="false" customHeight="false" outlineLevel="0" collapsed="false">
      <c r="E129" s="117"/>
    </row>
    <row r="130" customFormat="false" ht="15" hidden="false" customHeight="false" outlineLevel="0" collapsed="false">
      <c r="E130" s="117"/>
    </row>
    <row r="131" customFormat="false" ht="15" hidden="false" customHeight="false" outlineLevel="0" collapsed="false">
      <c r="E131" s="117"/>
    </row>
    <row r="132" customFormat="false" ht="15" hidden="false" customHeight="false" outlineLevel="0" collapsed="false">
      <c r="E132" s="117"/>
    </row>
    <row r="133" customFormat="false" ht="15" hidden="false" customHeight="false" outlineLevel="0" collapsed="false">
      <c r="E133" s="117"/>
    </row>
    <row r="134" customFormat="false" ht="15" hidden="false" customHeight="false" outlineLevel="0" collapsed="false">
      <c r="E134" s="117"/>
    </row>
    <row r="135" customFormat="false" ht="15" hidden="false" customHeight="false" outlineLevel="0" collapsed="false">
      <c r="E135" s="117"/>
    </row>
    <row r="136" customFormat="false" ht="15" hidden="false" customHeight="false" outlineLevel="0" collapsed="false">
      <c r="E136" s="117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V138"/>
  <sheetViews>
    <sheetView showFormulas="false" showGridLines="true" showRowColHeaders="true" showZeros="true" rightToLeft="false" tabSelected="false" showOutlineSymbols="true" defaultGridColor="true" view="normal" topLeftCell="A19" colorId="64" zoomScale="60" zoomScaleNormal="60" zoomScalePageLayoutView="100" workbookViewId="0">
      <selection pane="topLeft" activeCell="K62" activeCellId="0" sqref="K62"/>
    </sheetView>
  </sheetViews>
  <sheetFormatPr defaultColWidth="8.8359375" defaultRowHeight="15" zeroHeight="false" outlineLevelRow="0" outlineLevelCol="0"/>
  <cols>
    <col collapsed="false" customWidth="true" hidden="false" outlineLevel="0" max="1" min="1" style="66" width="13.66"/>
    <col collapsed="false" customWidth="true" hidden="false" outlineLevel="0" max="2" min="2" style="67" width="10.33"/>
    <col collapsed="false" customWidth="true" hidden="false" outlineLevel="0" max="4" min="3" style="68" width="18.17"/>
    <col collapsed="false" customWidth="true" hidden="false" outlineLevel="0" max="6" min="5" style="68" width="14"/>
    <col collapsed="false" customWidth="true" hidden="false" outlineLevel="0" max="7" min="7" style="66" width="13.51"/>
    <col collapsed="false" customWidth="true" hidden="false" outlineLevel="0" max="8" min="8" style="69" width="13.83"/>
    <col collapsed="false" customWidth="true" hidden="false" outlineLevel="0" max="10" min="9" style="70" width="14.33"/>
    <col collapsed="false" customWidth="true" hidden="false" outlineLevel="0" max="11" min="11" style="71" width="11.51"/>
    <col collapsed="false" customWidth="true" hidden="false" outlineLevel="0" max="12" min="12" style="70" width="12.17"/>
    <col collapsed="false" customWidth="true" hidden="false" outlineLevel="0" max="13" min="13" style="70" width="10.33"/>
    <col collapsed="false" customWidth="true" hidden="false" outlineLevel="0" max="15" min="14" style="70" width="15.33"/>
    <col collapsed="false" customWidth="true" hidden="false" outlineLevel="0" max="16" min="16" style="70" width="13.83"/>
    <col collapsed="false" customWidth="true" hidden="false" outlineLevel="0" max="17" min="17" style="70" width="12.66"/>
    <col collapsed="false" customWidth="true" hidden="false" outlineLevel="0" max="18" min="18" style="70" width="12.83"/>
    <col collapsed="false" customWidth="true" hidden="false" outlineLevel="0" max="19" min="19" style="70" width="12.17"/>
  </cols>
  <sheetData>
    <row r="1" customFormat="false" ht="48" hidden="false" customHeight="false" outlineLevel="0" collapsed="false">
      <c r="A1" s="41" t="s">
        <v>25</v>
      </c>
      <c r="B1" s="72" t="s">
        <v>26</v>
      </c>
      <c r="C1" s="73" t="s">
        <v>27</v>
      </c>
      <c r="D1" s="73" t="s">
        <v>28</v>
      </c>
      <c r="E1" s="73" t="s">
        <v>29</v>
      </c>
      <c r="F1" s="73" t="s">
        <v>29</v>
      </c>
      <c r="G1" s="73" t="s">
        <v>30</v>
      </c>
      <c r="H1" s="74" t="s">
        <v>31</v>
      </c>
      <c r="I1" s="75" t="s">
        <v>32</v>
      </c>
      <c r="J1" s="76" t="s">
        <v>3</v>
      </c>
      <c r="L1" s="77" t="s">
        <v>33</v>
      </c>
      <c r="M1" s="78" t="s">
        <v>34</v>
      </c>
      <c r="N1" s="79" t="s">
        <v>27</v>
      </c>
      <c r="O1" s="79" t="s">
        <v>28</v>
      </c>
      <c r="P1" s="79" t="s">
        <v>29</v>
      </c>
      <c r="Q1" s="79" t="s">
        <v>30</v>
      </c>
      <c r="R1" s="80" t="s">
        <v>31</v>
      </c>
      <c r="S1" s="79" t="s">
        <v>35</v>
      </c>
    </row>
    <row r="2" customFormat="false" ht="15" hidden="false" customHeight="false" outlineLevel="0" collapsed="false">
      <c r="A2" s="88" t="n">
        <v>45088</v>
      </c>
      <c r="B2" s="88" t="s">
        <v>36</v>
      </c>
      <c r="C2" s="82"/>
      <c r="D2" s="82"/>
      <c r="E2" s="82"/>
      <c r="F2" s="82"/>
      <c r="G2" s="83"/>
      <c r="H2" s="84"/>
      <c r="I2" s="85"/>
      <c r="J2" s="86" t="s">
        <v>18</v>
      </c>
      <c r="K2" s="87"/>
      <c r="L2" s="88"/>
      <c r="M2" s="88" t="s">
        <v>37</v>
      </c>
      <c r="N2" s="82"/>
      <c r="O2" s="82"/>
      <c r="P2" s="82"/>
      <c r="Q2" s="83"/>
      <c r="R2" s="84"/>
      <c r="S2" s="85"/>
    </row>
    <row r="3" customFormat="false" ht="15.75" hidden="false" customHeight="false" outlineLevel="0" collapsed="false">
      <c r="A3" s="89" t="n">
        <v>0.399305555555556</v>
      </c>
      <c r="B3" s="90" t="s">
        <v>48</v>
      </c>
      <c r="C3" s="97" t="n">
        <v>50561920</v>
      </c>
      <c r="D3" s="75" t="n">
        <v>50578950</v>
      </c>
      <c r="E3" s="91" t="n">
        <f aca="false">SUM(D3-C3)</f>
        <v>17030</v>
      </c>
      <c r="F3" s="128" t="n">
        <v>17019</v>
      </c>
      <c r="G3" s="41" t="n">
        <v>0.84</v>
      </c>
      <c r="H3" s="93" t="n">
        <f aca="false">SUM(G3*F3)</f>
        <v>14295.96</v>
      </c>
      <c r="I3" s="29" t="s">
        <v>77</v>
      </c>
      <c r="J3" s="1" t="n">
        <v>6598</v>
      </c>
      <c r="K3" s="94"/>
      <c r="L3" s="95" t="n">
        <v>0.413194444444444</v>
      </c>
      <c r="M3" s="96" t="s">
        <v>46</v>
      </c>
      <c r="N3" s="97" t="n">
        <v>7627030</v>
      </c>
      <c r="O3" s="98" t="n">
        <v>7627380</v>
      </c>
      <c r="P3" s="99" t="n">
        <f aca="false">SUM(O3-N3)</f>
        <v>350</v>
      </c>
      <c r="Q3" s="100" t="n">
        <v>0.841</v>
      </c>
      <c r="R3" s="101" t="n">
        <f aca="false">SUM(Q3*P3)</f>
        <v>294.35</v>
      </c>
      <c r="S3" s="102" t="s">
        <v>53</v>
      </c>
      <c r="V3" s="0" t="s">
        <v>41</v>
      </c>
    </row>
    <row r="4" customFormat="false" ht="15.75" hidden="false" customHeight="false" outlineLevel="0" collapsed="false">
      <c r="A4" s="89" t="n">
        <v>0.440972222222222</v>
      </c>
      <c r="B4" s="90" t="s">
        <v>48</v>
      </c>
      <c r="C4" s="97" t="n">
        <f aca="false">SUM(D3)</f>
        <v>50578950</v>
      </c>
      <c r="D4" s="75" t="n">
        <v>50589350</v>
      </c>
      <c r="E4" s="91" t="n">
        <f aca="false">SUM(D4-C4)</f>
        <v>10400</v>
      </c>
      <c r="F4" s="92" t="n">
        <f aca="false">SUM(D4-C4)</f>
        <v>10400</v>
      </c>
      <c r="G4" s="41" t="n">
        <v>0.84</v>
      </c>
      <c r="H4" s="93" t="n">
        <f aca="false">SUM(G4*F4)</f>
        <v>8736</v>
      </c>
      <c r="I4" s="29" t="s">
        <v>101</v>
      </c>
      <c r="J4" s="1" t="n">
        <v>6602</v>
      </c>
      <c r="K4" s="94"/>
      <c r="L4" s="95" t="n">
        <v>0.472222222222222</v>
      </c>
      <c r="M4" s="104" t="s">
        <v>46</v>
      </c>
      <c r="N4" s="99" t="n">
        <f aca="false">SUM(O3)</f>
        <v>7627380</v>
      </c>
      <c r="O4" s="98" t="n">
        <v>7627540</v>
      </c>
      <c r="P4" s="99" t="n">
        <f aca="false">SUM(O4-N4)</f>
        <v>160</v>
      </c>
      <c r="Q4" s="100" t="n">
        <v>0.841</v>
      </c>
      <c r="R4" s="101" t="n">
        <f aca="false">SUM(Q4*P4)</f>
        <v>134.56</v>
      </c>
      <c r="S4" s="102" t="s">
        <v>40</v>
      </c>
    </row>
    <row r="5" customFormat="false" ht="15.75" hidden="false" customHeight="false" outlineLevel="0" collapsed="false">
      <c r="A5" s="89" t="n">
        <v>0.447916666666667</v>
      </c>
      <c r="B5" s="90" t="s">
        <v>48</v>
      </c>
      <c r="C5" s="97" t="n">
        <f aca="false">SUM(D4)</f>
        <v>50589350</v>
      </c>
      <c r="D5" s="75" t="n">
        <v>50597530</v>
      </c>
      <c r="E5" s="91" t="n">
        <f aca="false">SUM(D5-C5)</f>
        <v>8180</v>
      </c>
      <c r="F5" s="92" t="n">
        <f aca="false">SUM(D5-C5)</f>
        <v>8180</v>
      </c>
      <c r="G5" s="41" t="n">
        <v>0.84</v>
      </c>
      <c r="H5" s="93" t="n">
        <f aca="false">SUM(G5*F5)</f>
        <v>6871.2</v>
      </c>
      <c r="I5" s="29" t="s">
        <v>73</v>
      </c>
      <c r="J5" s="1" t="n">
        <v>6603</v>
      </c>
      <c r="K5" s="94"/>
      <c r="L5" s="95" t="n">
        <v>0.506944444444444</v>
      </c>
      <c r="M5" s="104" t="s">
        <v>48</v>
      </c>
      <c r="N5" s="99" t="n">
        <f aca="false">SUM(O4)</f>
        <v>7627540</v>
      </c>
      <c r="O5" s="98" t="n">
        <v>7627850</v>
      </c>
      <c r="P5" s="99" t="n">
        <f aca="false">SUM(O5-N5)</f>
        <v>310</v>
      </c>
      <c r="Q5" s="41" t="n">
        <v>0.84</v>
      </c>
      <c r="R5" s="101" t="n">
        <f aca="false">SUM(Q5*P5)</f>
        <v>260.4</v>
      </c>
      <c r="S5" s="102" t="s">
        <v>65</v>
      </c>
    </row>
    <row r="6" customFormat="false" ht="15.75" hidden="false" customHeight="false" outlineLevel="0" collapsed="false">
      <c r="A6" s="89" t="n">
        <v>0.493055555555556</v>
      </c>
      <c r="B6" s="90" t="s">
        <v>48</v>
      </c>
      <c r="C6" s="97" t="n">
        <f aca="false">SUM(D5)</f>
        <v>50597530</v>
      </c>
      <c r="D6" s="75" t="n">
        <v>50614550</v>
      </c>
      <c r="E6" s="91" t="n">
        <f aca="false">SUM(D6-C6)</f>
        <v>17020</v>
      </c>
      <c r="F6" s="128" t="n">
        <v>17019</v>
      </c>
      <c r="G6" s="41" t="n">
        <v>0.84</v>
      </c>
      <c r="H6" s="93" t="n">
        <f aca="false">SUM(G6*F6)</f>
        <v>14295.96</v>
      </c>
      <c r="I6" s="29" t="s">
        <v>77</v>
      </c>
      <c r="J6" s="1" t="n">
        <v>6607</v>
      </c>
      <c r="K6" s="94"/>
      <c r="L6" s="95" t="n">
        <v>0.538194444444444</v>
      </c>
      <c r="M6" s="104" t="s">
        <v>38</v>
      </c>
      <c r="N6" s="99" t="n">
        <f aca="false">SUM(O5)</f>
        <v>7627850</v>
      </c>
      <c r="O6" s="98" t="n">
        <v>7628080</v>
      </c>
      <c r="P6" s="99" t="n">
        <f aca="false">SUM(O6-N6)</f>
        <v>230</v>
      </c>
      <c r="Q6" s="41" t="n">
        <v>0.8398</v>
      </c>
      <c r="R6" s="93" t="n">
        <f aca="false">SUM(Q6*P6)</f>
        <v>193.154</v>
      </c>
      <c r="S6" s="102" t="s">
        <v>63</v>
      </c>
    </row>
    <row r="7" customFormat="false" ht="15.75" hidden="false" customHeight="false" outlineLevel="0" collapsed="false">
      <c r="A7" s="89" t="n">
        <v>0.520833333333333</v>
      </c>
      <c r="B7" s="90" t="s">
        <v>44</v>
      </c>
      <c r="C7" s="97" t="n">
        <f aca="false">SUM(D6)</f>
        <v>50614550</v>
      </c>
      <c r="D7" s="75" t="n">
        <v>50626030</v>
      </c>
      <c r="E7" s="91" t="n">
        <f aca="false">SUM(D7-C7)</f>
        <v>11480</v>
      </c>
      <c r="F7" s="189" t="n">
        <v>11480</v>
      </c>
      <c r="G7" s="41" t="n">
        <v>0.8416</v>
      </c>
      <c r="H7" s="84" t="n">
        <f aca="false">SUM(G7*F7)</f>
        <v>9661.568</v>
      </c>
      <c r="I7" s="29" t="s">
        <v>102</v>
      </c>
      <c r="J7" s="1" t="n">
        <v>6608</v>
      </c>
      <c r="K7" s="94"/>
      <c r="L7" s="95" t="n">
        <v>0.743055555555555</v>
      </c>
      <c r="M7" s="104" t="s">
        <v>44</v>
      </c>
      <c r="N7" s="99" t="n">
        <f aca="false">SUM(O6)</f>
        <v>7628080</v>
      </c>
      <c r="O7" s="98" t="n">
        <v>7628140</v>
      </c>
      <c r="P7" s="99" t="n">
        <f aca="false">SUM(O7-N7)</f>
        <v>60</v>
      </c>
      <c r="Q7" s="41" t="n">
        <v>0.8416</v>
      </c>
      <c r="R7" s="93" t="n">
        <f aca="false">SUM(Q7*P7)</f>
        <v>50.496</v>
      </c>
      <c r="S7" s="102" t="s">
        <v>42</v>
      </c>
    </row>
    <row r="8" customFormat="false" ht="15.75" hidden="false" customHeight="false" outlineLevel="0" collapsed="false">
      <c r="A8" s="89" t="n">
        <v>0.520833333333333</v>
      </c>
      <c r="B8" s="90" t="s">
        <v>44</v>
      </c>
      <c r="C8" s="97" t="n">
        <f aca="false">SUM(D7)</f>
        <v>50626030</v>
      </c>
      <c r="D8" s="75" t="n">
        <v>50636990</v>
      </c>
      <c r="E8" s="91" t="n">
        <f aca="false">SUM(D8-C8)</f>
        <v>10960</v>
      </c>
      <c r="F8" s="189" t="n">
        <v>10950</v>
      </c>
      <c r="G8" s="41" t="n">
        <v>0.8416</v>
      </c>
      <c r="H8" s="84" t="n">
        <f aca="false">SUM(G8*F8)</f>
        <v>9215.52</v>
      </c>
      <c r="I8" s="29" t="s">
        <v>102</v>
      </c>
      <c r="J8" s="1" t="n">
        <v>6609</v>
      </c>
      <c r="K8" s="94"/>
      <c r="L8" s="95" t="n">
        <v>0.788194444444444</v>
      </c>
      <c r="M8" s="96" t="s">
        <v>38</v>
      </c>
      <c r="N8" s="99" t="n">
        <f aca="false">SUM(O7)</f>
        <v>7628140</v>
      </c>
      <c r="O8" s="98" t="n">
        <v>7628290</v>
      </c>
      <c r="P8" s="99" t="n">
        <f aca="false">SUM(O8-N8)</f>
        <v>150</v>
      </c>
      <c r="Q8" s="41" t="n">
        <v>0.838</v>
      </c>
      <c r="R8" s="93" t="n">
        <f aca="false">SUM(Q8*P8)</f>
        <v>125.7</v>
      </c>
      <c r="S8" s="1" t="s">
        <v>103</v>
      </c>
    </row>
    <row r="9" customFormat="false" ht="15.75" hidden="false" customHeight="false" outlineLevel="0" collapsed="false">
      <c r="A9" s="89" t="n">
        <v>0.607638888888889</v>
      </c>
      <c r="B9" s="90" t="s">
        <v>44</v>
      </c>
      <c r="C9" s="97" t="n">
        <f aca="false">SUM(D8)</f>
        <v>50636990</v>
      </c>
      <c r="D9" s="75" t="n">
        <v>50659410</v>
      </c>
      <c r="E9" s="91" t="n">
        <f aca="false">SUM(D9-C9)</f>
        <v>22420</v>
      </c>
      <c r="F9" s="189" t="n">
        <v>22430</v>
      </c>
      <c r="G9" s="41" t="n">
        <v>0.8416</v>
      </c>
      <c r="H9" s="84" t="n">
        <f aca="false">SUM(G9*F9)</f>
        <v>18877.088</v>
      </c>
      <c r="I9" s="29" t="s">
        <v>102</v>
      </c>
      <c r="J9" s="1" t="n">
        <v>6613</v>
      </c>
      <c r="K9" s="94"/>
      <c r="L9" s="95" t="n">
        <v>0.875</v>
      </c>
      <c r="M9" s="96" t="s">
        <v>39</v>
      </c>
      <c r="N9" s="99" t="n">
        <f aca="false">SUM(O8)</f>
        <v>7628290</v>
      </c>
      <c r="O9" s="98" t="n">
        <v>7628520</v>
      </c>
      <c r="P9" s="99" t="n">
        <f aca="false">SUM(O9-N9)</f>
        <v>230</v>
      </c>
      <c r="Q9" s="100" t="n">
        <v>0.8335</v>
      </c>
      <c r="R9" s="101" t="n">
        <f aca="false">SUM(Q9*P9)</f>
        <v>191.705</v>
      </c>
      <c r="S9" s="1" t="s">
        <v>45</v>
      </c>
    </row>
    <row r="10" customFormat="false" ht="15.75" hidden="false" customHeight="false" outlineLevel="0" collapsed="false">
      <c r="A10" s="89" t="n">
        <v>0.708333333333333</v>
      </c>
      <c r="B10" s="90" t="s">
        <v>44</v>
      </c>
      <c r="C10" s="97" t="n">
        <f aca="false">SUM(D9)</f>
        <v>50659410</v>
      </c>
      <c r="D10" s="75" t="n">
        <v>50670880</v>
      </c>
      <c r="E10" s="91" t="n">
        <f aca="false">SUM(D10-C10)</f>
        <v>11470</v>
      </c>
      <c r="F10" s="189" t="n">
        <v>11480</v>
      </c>
      <c r="G10" s="41" t="n">
        <v>0.8416</v>
      </c>
      <c r="H10" s="84" t="n">
        <f aca="false">SUM(G10*F10)</f>
        <v>9661.568</v>
      </c>
      <c r="I10" s="29" t="s">
        <v>102</v>
      </c>
      <c r="J10" s="1" t="n">
        <v>6614</v>
      </c>
      <c r="K10" s="94"/>
      <c r="L10" s="95" t="n">
        <v>0.895833333333333</v>
      </c>
      <c r="M10" s="96" t="s">
        <v>44</v>
      </c>
      <c r="N10" s="99" t="n">
        <f aca="false">SUM(O9)</f>
        <v>7628520</v>
      </c>
      <c r="O10" s="98" t="n">
        <v>7628690</v>
      </c>
      <c r="P10" s="99" t="n">
        <f aca="false">SUM(O10-N10)</f>
        <v>170</v>
      </c>
      <c r="Q10" s="41" t="n">
        <v>0.8378</v>
      </c>
      <c r="R10" s="93" t="n">
        <f aca="false">SUM(Q10*P10)</f>
        <v>142.426</v>
      </c>
      <c r="S10" s="102" t="s">
        <v>97</v>
      </c>
    </row>
    <row r="11" customFormat="false" ht="15.75" hidden="false" customHeight="false" outlineLevel="0" collapsed="false">
      <c r="A11" s="89" t="n">
        <v>0.708333333333333</v>
      </c>
      <c r="B11" s="90" t="s">
        <v>38</v>
      </c>
      <c r="C11" s="97" t="n">
        <f aca="false">SUM(D10)</f>
        <v>50670880</v>
      </c>
      <c r="D11" s="75" t="n">
        <v>50681830</v>
      </c>
      <c r="E11" s="91" t="n">
        <f aca="false">SUM(D11-C11)</f>
        <v>10950</v>
      </c>
      <c r="F11" s="189" t="n">
        <v>10950</v>
      </c>
      <c r="G11" s="41" t="n">
        <v>0.838</v>
      </c>
      <c r="H11" s="125" t="n">
        <f aca="false">SUM(G11*F11)</f>
        <v>9176.1</v>
      </c>
      <c r="I11" s="29" t="s">
        <v>102</v>
      </c>
      <c r="J11" s="1" t="n">
        <v>6614</v>
      </c>
      <c r="K11" s="94"/>
      <c r="L11" s="95" t="n">
        <v>0.947916666666667</v>
      </c>
      <c r="M11" s="96" t="s">
        <v>38</v>
      </c>
      <c r="N11" s="99" t="n">
        <f aca="false">SUM(O10)</f>
        <v>7628690</v>
      </c>
      <c r="O11" s="98" t="n">
        <v>7628950</v>
      </c>
      <c r="P11" s="99" t="n">
        <f aca="false">SUM(O11-N11)</f>
        <v>260</v>
      </c>
      <c r="Q11" s="41" t="n">
        <v>0.835</v>
      </c>
      <c r="R11" s="93" t="n">
        <f aca="false">SUM(Q11*P11)</f>
        <v>217.1</v>
      </c>
      <c r="S11" s="1" t="s">
        <v>43</v>
      </c>
    </row>
    <row r="12" customFormat="false" ht="15.75" hidden="false" customHeight="false" outlineLevel="0" collapsed="false">
      <c r="A12" s="89" t="n">
        <v>0.774305555555555</v>
      </c>
      <c r="B12" s="90" t="s">
        <v>38</v>
      </c>
      <c r="C12" s="97" t="n">
        <f aca="false">SUM(D11)</f>
        <v>50681830</v>
      </c>
      <c r="D12" s="75" t="n">
        <v>50704250</v>
      </c>
      <c r="E12" s="91" t="n">
        <f aca="false">SUM(D12-C12)</f>
        <v>22420</v>
      </c>
      <c r="F12" s="189" t="n">
        <v>22430</v>
      </c>
      <c r="G12" s="41" t="n">
        <v>0.838</v>
      </c>
      <c r="H12" s="125" t="n">
        <f aca="false">SUM(G12*F12)</f>
        <v>18796.34</v>
      </c>
      <c r="I12" s="29" t="s">
        <v>102</v>
      </c>
      <c r="J12" s="1" t="n">
        <v>6616</v>
      </c>
      <c r="K12" s="94"/>
      <c r="L12" s="95" t="n">
        <v>0.1875</v>
      </c>
      <c r="M12" s="96" t="s">
        <v>44</v>
      </c>
      <c r="N12" s="99" t="n">
        <f aca="false">SUM(O11)</f>
        <v>7628950</v>
      </c>
      <c r="O12" s="98" t="n">
        <v>7629180</v>
      </c>
      <c r="P12" s="99" t="n">
        <f aca="false">SUM(O12-N12)</f>
        <v>230</v>
      </c>
      <c r="Q12" s="41" t="n">
        <v>0.8351</v>
      </c>
      <c r="R12" s="93" t="n">
        <f aca="false">SUM(Q12*P12)</f>
        <v>192.073</v>
      </c>
      <c r="S12" s="1" t="s">
        <v>64</v>
      </c>
    </row>
    <row r="13" customFormat="false" ht="15.75" hidden="false" customHeight="false" outlineLevel="0" collapsed="false">
      <c r="A13" s="89" t="n">
        <v>0.833333333333333</v>
      </c>
      <c r="B13" s="90" t="s">
        <v>44</v>
      </c>
      <c r="C13" s="97" t="n">
        <f aca="false">SUM(D12)</f>
        <v>50704250</v>
      </c>
      <c r="D13" s="75" t="n">
        <v>50726680</v>
      </c>
      <c r="E13" s="91" t="n">
        <f aca="false">SUM(D13-C13)</f>
        <v>22430</v>
      </c>
      <c r="F13" s="189" t="n">
        <v>22430</v>
      </c>
      <c r="G13" s="41" t="n">
        <v>0.8378</v>
      </c>
      <c r="H13" s="84" t="n">
        <f aca="false">SUM(G13*F13)</f>
        <v>18791.854</v>
      </c>
      <c r="I13" s="29" t="s">
        <v>102</v>
      </c>
      <c r="J13" s="1" t="n">
        <v>6620</v>
      </c>
      <c r="K13" s="94"/>
      <c r="L13" s="95"/>
      <c r="M13" s="96"/>
      <c r="N13" s="99" t="n">
        <f aca="false">SUM(O12)</f>
        <v>7629180</v>
      </c>
      <c r="O13" s="98"/>
      <c r="P13" s="99" t="n">
        <f aca="false">SUM(O13-N13)</f>
        <v>-7629180</v>
      </c>
      <c r="Q13" s="100"/>
      <c r="R13" s="101" t="n">
        <f aca="false">SUM(Q13*P13)</f>
        <v>0</v>
      </c>
      <c r="S13" s="1"/>
    </row>
    <row r="14" customFormat="false" ht="15.75" hidden="false" customHeight="false" outlineLevel="0" collapsed="false">
      <c r="A14" s="89" t="n">
        <v>0.927083333333333</v>
      </c>
      <c r="B14" s="90" t="s">
        <v>38</v>
      </c>
      <c r="C14" s="97" t="n">
        <f aca="false">SUM(D13)</f>
        <v>50726680</v>
      </c>
      <c r="D14" s="75" t="n">
        <v>50736720</v>
      </c>
      <c r="E14" s="91" t="n">
        <f aca="false">SUM(D14-C14)</f>
        <v>10040</v>
      </c>
      <c r="F14" s="92" t="n">
        <f aca="false">SUM(D14-C14)</f>
        <v>10040</v>
      </c>
      <c r="G14" s="41" t="n">
        <v>0.835</v>
      </c>
      <c r="H14" s="125" t="n">
        <f aca="false">SUM(G14*F14)</f>
        <v>8383.4</v>
      </c>
      <c r="I14" s="29" t="s">
        <v>101</v>
      </c>
      <c r="J14" s="1" t="n">
        <v>6623</v>
      </c>
      <c r="K14" s="94"/>
      <c r="L14" s="95"/>
      <c r="M14" s="96"/>
      <c r="N14" s="99" t="n">
        <f aca="false">SUM(O13)</f>
        <v>0</v>
      </c>
      <c r="O14" s="98"/>
      <c r="P14" s="99" t="n">
        <f aca="false">SUM(O14-N14)</f>
        <v>0</v>
      </c>
      <c r="Q14" s="100"/>
      <c r="R14" s="101" t="n">
        <f aca="false">SUM(Q14*P14)</f>
        <v>0</v>
      </c>
      <c r="S14" s="1"/>
    </row>
    <row r="15" customFormat="false" ht="15.75" hidden="false" customHeight="false" outlineLevel="0" collapsed="false">
      <c r="A15" s="89" t="n">
        <v>0.9375</v>
      </c>
      <c r="B15" s="90" t="s">
        <v>38</v>
      </c>
      <c r="C15" s="97" t="n">
        <f aca="false">SUM(D14)</f>
        <v>50736720</v>
      </c>
      <c r="D15" s="75" t="n">
        <v>50753750</v>
      </c>
      <c r="E15" s="91" t="n">
        <f aca="false">SUM(D15-C15)</f>
        <v>17030</v>
      </c>
      <c r="F15" s="128" t="n">
        <v>17019</v>
      </c>
      <c r="G15" s="41" t="n">
        <v>0.835</v>
      </c>
      <c r="H15" s="125" t="n">
        <f aca="false">SUM(G15*F15)</f>
        <v>14210.865</v>
      </c>
      <c r="I15" s="29" t="s">
        <v>77</v>
      </c>
      <c r="J15" s="1" t="n">
        <v>6624</v>
      </c>
      <c r="K15" s="94"/>
      <c r="L15" s="95"/>
      <c r="M15" s="96"/>
      <c r="N15" s="99" t="n">
        <f aca="false">SUM(O14)</f>
        <v>0</v>
      </c>
      <c r="O15" s="98"/>
      <c r="P15" s="99" t="n">
        <f aca="false">SUM(O15-N15)</f>
        <v>0</v>
      </c>
      <c r="Q15" s="100"/>
      <c r="R15" s="101" t="n">
        <f aca="false">SUM(Q15*P15)</f>
        <v>0</v>
      </c>
      <c r="S15" s="1"/>
    </row>
    <row r="16" customFormat="false" ht="15.75" hidden="false" customHeight="false" outlineLevel="0" collapsed="false">
      <c r="A16" s="89" t="n">
        <v>0.947916666666667</v>
      </c>
      <c r="B16" s="90" t="s">
        <v>38</v>
      </c>
      <c r="C16" s="97" t="n">
        <f aca="false">SUM(D15)</f>
        <v>50753750</v>
      </c>
      <c r="D16" s="75" t="n">
        <v>50776170</v>
      </c>
      <c r="E16" s="91" t="n">
        <f aca="false">SUM(D16-C16)</f>
        <v>22420</v>
      </c>
      <c r="F16" s="189" t="n">
        <v>22430</v>
      </c>
      <c r="G16" s="41" t="n">
        <v>0.835</v>
      </c>
      <c r="H16" s="125" t="n">
        <f aca="false">SUM(G16*F16)</f>
        <v>18729.05</v>
      </c>
      <c r="I16" s="29" t="s">
        <v>102</v>
      </c>
      <c r="J16" s="1" t="n">
        <v>6626</v>
      </c>
      <c r="K16" s="94"/>
      <c r="L16" s="95"/>
      <c r="M16" s="104"/>
      <c r="N16" s="99" t="n">
        <f aca="false">SUM(O15)</f>
        <v>0</v>
      </c>
      <c r="O16" s="98"/>
      <c r="P16" s="99" t="n">
        <f aca="false">SUM(O16-N16)</f>
        <v>0</v>
      </c>
      <c r="Q16" s="41"/>
      <c r="R16" s="101" t="n">
        <f aca="false">SUM(Q16*P16)</f>
        <v>0</v>
      </c>
      <c r="S16" s="102"/>
    </row>
    <row r="17" customFormat="false" ht="15.75" hidden="false" customHeight="false" outlineLevel="0" collapsed="false">
      <c r="A17" s="89" t="n">
        <v>0.15625</v>
      </c>
      <c r="B17" s="90" t="s">
        <v>44</v>
      </c>
      <c r="C17" s="97" t="n">
        <f aca="false">SUM(D16)</f>
        <v>50776170</v>
      </c>
      <c r="D17" s="75" t="n">
        <v>50793200</v>
      </c>
      <c r="E17" s="91" t="n">
        <f aca="false">SUM(D17-C17)</f>
        <v>17030</v>
      </c>
      <c r="F17" s="128" t="n">
        <v>17019</v>
      </c>
      <c r="G17" s="41" t="n">
        <v>0.8351</v>
      </c>
      <c r="H17" s="84" t="n">
        <f aca="false">SUM(G17*F17)</f>
        <v>14212.5669</v>
      </c>
      <c r="I17" s="29" t="s">
        <v>77</v>
      </c>
      <c r="J17" s="1" t="n">
        <v>6631</v>
      </c>
      <c r="K17" s="94"/>
      <c r="L17" s="88"/>
      <c r="M17" s="88" t="s">
        <v>49</v>
      </c>
      <c r="N17" s="82"/>
      <c r="O17" s="82"/>
      <c r="P17" s="82"/>
      <c r="Q17" s="83"/>
      <c r="R17" s="84"/>
      <c r="S17" s="85"/>
    </row>
    <row r="18" customFormat="false" ht="15.75" hidden="false" customHeight="false" outlineLevel="0" collapsed="false">
      <c r="A18" s="89" t="n">
        <v>0.180555555555556</v>
      </c>
      <c r="B18" s="90" t="s">
        <v>44</v>
      </c>
      <c r="C18" s="97" t="n">
        <f aca="false">SUM(D17)</f>
        <v>50793200</v>
      </c>
      <c r="D18" s="75" t="n">
        <v>50815620</v>
      </c>
      <c r="E18" s="91" t="n">
        <f aca="false">SUM(D18-C18)</f>
        <v>22420</v>
      </c>
      <c r="F18" s="189" t="n">
        <v>22430</v>
      </c>
      <c r="G18" s="41" t="n">
        <v>0.8351</v>
      </c>
      <c r="H18" s="84" t="n">
        <f aca="false">SUM(G18*F18)</f>
        <v>18731.293</v>
      </c>
      <c r="I18" s="29" t="s">
        <v>102</v>
      </c>
      <c r="J18" s="29" t="n">
        <v>6632</v>
      </c>
      <c r="K18" s="94"/>
      <c r="L18" s="95"/>
      <c r="M18" s="104"/>
      <c r="N18" s="129"/>
      <c r="O18" s="98"/>
      <c r="P18" s="108" t="n">
        <f aca="false">SUM(O18-N18)</f>
        <v>0</v>
      </c>
      <c r="Q18" s="41"/>
      <c r="R18" s="93" t="n">
        <f aca="false">SUM(Q18*P18)</f>
        <v>0</v>
      </c>
      <c r="S18" s="102"/>
      <c r="T18" s="0" t="s">
        <v>41</v>
      </c>
    </row>
    <row r="19" customFormat="false" ht="15.75" hidden="false" customHeight="false" outlineLevel="0" collapsed="false">
      <c r="A19" s="89" t="n">
        <v>0.246527777777778</v>
      </c>
      <c r="B19" s="90" t="s">
        <v>38</v>
      </c>
      <c r="C19" s="97" t="n">
        <f aca="false">SUM(D18)</f>
        <v>50815620</v>
      </c>
      <c r="D19" s="75" t="n">
        <v>50838040</v>
      </c>
      <c r="E19" s="91" t="n">
        <f aca="false">SUM(D19-C19)</f>
        <v>22420</v>
      </c>
      <c r="F19" s="189" t="n">
        <v>22430</v>
      </c>
      <c r="G19" s="41" t="n">
        <v>0.835</v>
      </c>
      <c r="H19" s="125" t="n">
        <f aca="false">SUM(G19*F19)</f>
        <v>18729.05</v>
      </c>
      <c r="I19" s="29" t="s">
        <v>102</v>
      </c>
      <c r="J19" s="1" t="n">
        <v>6634</v>
      </c>
      <c r="K19" s="94"/>
      <c r="L19" s="95"/>
      <c r="M19" s="104"/>
      <c r="N19" s="97" t="n">
        <f aca="false">SUM(O18)</f>
        <v>0</v>
      </c>
      <c r="O19" s="98"/>
      <c r="P19" s="108" t="n">
        <f aca="false">SUM(O19-N19)</f>
        <v>0</v>
      </c>
      <c r="Q19" s="41"/>
      <c r="R19" s="93" t="n">
        <f aca="false">SUM(Q19*P19)</f>
        <v>0</v>
      </c>
      <c r="S19" s="102"/>
    </row>
    <row r="20" customFormat="false" ht="15.75" hidden="false" customHeight="false" outlineLevel="0" collapsed="false">
      <c r="A20" s="89" t="n">
        <v>0.260416666666667</v>
      </c>
      <c r="B20" s="90" t="s">
        <v>38</v>
      </c>
      <c r="C20" s="97" t="n">
        <f aca="false">SUM(D19)</f>
        <v>50838040</v>
      </c>
      <c r="D20" s="75" t="n">
        <v>50855060</v>
      </c>
      <c r="E20" s="91" t="n">
        <f aca="false">SUM(D20-C20)</f>
        <v>17020</v>
      </c>
      <c r="F20" s="128" t="n">
        <v>17019</v>
      </c>
      <c r="G20" s="41" t="n">
        <v>0.835</v>
      </c>
      <c r="H20" s="125" t="n">
        <f aca="false">SUM(G20*F20)</f>
        <v>14210.865</v>
      </c>
      <c r="I20" s="29" t="s">
        <v>77</v>
      </c>
      <c r="J20" s="1" t="n">
        <v>6635</v>
      </c>
      <c r="K20" s="94"/>
      <c r="L20" s="95"/>
      <c r="M20" s="104"/>
      <c r="N20" s="97" t="n">
        <f aca="false">SUM(O19)</f>
        <v>0</v>
      </c>
      <c r="O20" s="98"/>
      <c r="P20" s="108" t="n">
        <f aca="false">SUM(O20-N20)</f>
        <v>0</v>
      </c>
      <c r="Q20" s="41"/>
      <c r="R20" s="93" t="n">
        <f aca="false">SUM(Q20*P20)</f>
        <v>0</v>
      </c>
      <c r="S20" s="102"/>
    </row>
    <row r="21" customFormat="false" ht="15.75" hidden="false" customHeight="false" outlineLevel="0" collapsed="false">
      <c r="A21" s="89" t="n">
        <v>0.305555555555555</v>
      </c>
      <c r="B21" s="90" t="s">
        <v>48</v>
      </c>
      <c r="C21" s="97" t="n">
        <f aca="false">SUM(D20)</f>
        <v>50855060</v>
      </c>
      <c r="D21" s="75" t="n">
        <v>50877480</v>
      </c>
      <c r="E21" s="91" t="n">
        <f aca="false">SUM(D21-C21)</f>
        <v>22420</v>
      </c>
      <c r="F21" s="189" t="n">
        <v>22430</v>
      </c>
      <c r="G21" s="41" t="n">
        <v>0.837</v>
      </c>
      <c r="H21" s="93" t="n">
        <f aca="false">SUM(G21*F21)</f>
        <v>18773.91</v>
      </c>
      <c r="I21" s="29" t="s">
        <v>102</v>
      </c>
      <c r="J21" s="1" t="n">
        <v>6636</v>
      </c>
      <c r="K21" s="94"/>
      <c r="L21" s="95"/>
      <c r="M21" s="104"/>
      <c r="N21" s="97" t="n">
        <f aca="false">SUM(O20)</f>
        <v>0</v>
      </c>
      <c r="O21" s="98"/>
      <c r="P21" s="108" t="n">
        <f aca="false">SUM(O21-N21)</f>
        <v>0</v>
      </c>
      <c r="Q21" s="41"/>
      <c r="R21" s="93" t="n">
        <f aca="false">SUM(Q21*P21)</f>
        <v>0</v>
      </c>
      <c r="S21" s="102"/>
    </row>
    <row r="22" customFormat="false" ht="15" hidden="false" customHeight="false" outlineLevel="0" collapsed="false">
      <c r="A22" s="89"/>
      <c r="B22" s="90"/>
      <c r="C22" s="97" t="n">
        <v>0</v>
      </c>
      <c r="D22" s="75"/>
      <c r="E22" s="91" t="n">
        <f aca="false">SUM(D22-C22)</f>
        <v>0</v>
      </c>
      <c r="F22" s="92" t="n">
        <f aca="false">SUM(D22-C22)</f>
        <v>0</v>
      </c>
      <c r="G22" s="41"/>
      <c r="H22" s="93" t="n">
        <f aca="false">SUM(G22*F22)</f>
        <v>0</v>
      </c>
      <c r="I22" s="1"/>
      <c r="J22" s="29"/>
      <c r="K22" s="94"/>
      <c r="L22" s="95"/>
      <c r="M22" s="104"/>
      <c r="N22" s="97" t="n">
        <f aca="false">SUM(O21)</f>
        <v>0</v>
      </c>
      <c r="O22" s="98"/>
      <c r="P22" s="108" t="n">
        <f aca="false">SUM(O22-N22)</f>
        <v>0</v>
      </c>
      <c r="Q22" s="41"/>
      <c r="R22" s="93" t="n">
        <f aca="false">SUM(Q22*P22)</f>
        <v>0</v>
      </c>
      <c r="S22" s="102"/>
    </row>
    <row r="23" customFormat="false" ht="15" hidden="true" customHeight="false" outlineLevel="0" collapsed="false">
      <c r="A23" s="89"/>
      <c r="B23" s="90"/>
      <c r="C23" s="97" t="n">
        <f aca="false">SUM(D22)</f>
        <v>0</v>
      </c>
      <c r="D23" s="75"/>
      <c r="E23" s="91" t="n">
        <f aca="false">SUM(D23-C23)</f>
        <v>0</v>
      </c>
      <c r="F23" s="92" t="n">
        <f aca="false">SUM(D23-C23)</f>
        <v>0</v>
      </c>
      <c r="G23" s="41"/>
      <c r="H23" s="93" t="n">
        <f aca="false">SUM(G23*F23)</f>
        <v>0</v>
      </c>
      <c r="I23" s="1"/>
      <c r="J23" s="29"/>
      <c r="K23" s="94"/>
      <c r="L23" s="95"/>
      <c r="M23" s="104"/>
      <c r="N23" s="97" t="n">
        <f aca="false">SUM(O22)</f>
        <v>0</v>
      </c>
      <c r="O23" s="98"/>
      <c r="P23" s="108" t="n">
        <f aca="false">SUM(O23-N23)</f>
        <v>0</v>
      </c>
      <c r="Q23" s="41"/>
      <c r="R23" s="93" t="n">
        <f aca="false">SUM(Q23*P23)</f>
        <v>0</v>
      </c>
      <c r="S23" s="102"/>
    </row>
    <row r="24" customFormat="false" ht="15" hidden="true" customHeight="false" outlineLevel="0" collapsed="false">
      <c r="A24" s="89"/>
      <c r="B24" s="90"/>
      <c r="C24" s="97" t="n">
        <f aca="false">SUM(D23)</f>
        <v>0</v>
      </c>
      <c r="D24" s="75"/>
      <c r="E24" s="91" t="n">
        <f aca="false">SUM(D24-C24)</f>
        <v>0</v>
      </c>
      <c r="F24" s="92" t="n">
        <f aca="false">SUM(D24-C24)</f>
        <v>0</v>
      </c>
      <c r="G24" s="41"/>
      <c r="H24" s="93" t="n">
        <f aca="false">SUM(G24*F24)</f>
        <v>0</v>
      </c>
      <c r="I24" s="1"/>
      <c r="J24" s="29"/>
      <c r="K24" s="94"/>
      <c r="L24" s="95"/>
      <c r="M24" s="104"/>
      <c r="N24" s="97" t="n">
        <f aca="false">SUM(O23)</f>
        <v>0</v>
      </c>
      <c r="O24" s="98"/>
      <c r="P24" s="108" t="n">
        <f aca="false">SUM(O24-N24)</f>
        <v>0</v>
      </c>
      <c r="Q24" s="41"/>
      <c r="R24" s="93" t="n">
        <f aca="false">SUM(Q24*P24)</f>
        <v>0</v>
      </c>
      <c r="S24" s="102"/>
    </row>
    <row r="25" customFormat="false" ht="15" hidden="true" customHeight="false" outlineLevel="0" collapsed="false">
      <c r="A25" s="89"/>
      <c r="B25" s="90"/>
      <c r="C25" s="97" t="n">
        <f aca="false">SUM(D24)</f>
        <v>0</v>
      </c>
      <c r="D25" s="75"/>
      <c r="E25" s="91" t="n">
        <f aca="false">SUM(D25-C25)</f>
        <v>0</v>
      </c>
      <c r="F25" s="108" t="n">
        <f aca="false">SUM(D25-C25)</f>
        <v>0</v>
      </c>
      <c r="G25" s="41"/>
      <c r="H25" s="93" t="n">
        <f aca="false">SUM(G25*F25)</f>
        <v>0</v>
      </c>
      <c r="I25" s="1"/>
      <c r="J25" s="29"/>
      <c r="K25" s="94"/>
      <c r="L25" s="95"/>
      <c r="M25" s="96"/>
      <c r="N25" s="97" t="n">
        <f aca="false">SUM(O24)</f>
        <v>0</v>
      </c>
      <c r="O25" s="98"/>
      <c r="P25" s="108" t="n">
        <f aca="false">SUM(O25-N25)</f>
        <v>0</v>
      </c>
      <c r="Q25" s="100"/>
      <c r="R25" s="93" t="n">
        <f aca="false">SUM(Q25*P25)</f>
        <v>0</v>
      </c>
      <c r="S25" s="1"/>
    </row>
    <row r="26" customFormat="false" ht="15" hidden="true" customHeight="false" outlineLevel="0" collapsed="false">
      <c r="A26" s="89"/>
      <c r="B26" s="90"/>
      <c r="C26" s="97" t="n">
        <f aca="false">SUM(D25)</f>
        <v>0</v>
      </c>
      <c r="D26" s="75"/>
      <c r="E26" s="91" t="n">
        <f aca="false">SUM(D26-C26)</f>
        <v>0</v>
      </c>
      <c r="F26" s="108" t="n">
        <f aca="false">SUM(D26-C26)</f>
        <v>0</v>
      </c>
      <c r="G26" s="41"/>
      <c r="H26" s="93" t="n">
        <f aca="false">SUM(G26*F26)</f>
        <v>0</v>
      </c>
      <c r="I26" s="1"/>
      <c r="J26" s="29"/>
      <c r="K26" s="94"/>
      <c r="L26" s="95"/>
      <c r="M26" s="96"/>
      <c r="N26" s="97" t="n">
        <f aca="false">SUM(O25)</f>
        <v>0</v>
      </c>
      <c r="O26" s="98"/>
      <c r="P26" s="108" t="n">
        <f aca="false">SUM(O26-N26)</f>
        <v>0</v>
      </c>
      <c r="Q26" s="100"/>
      <c r="R26" s="93" t="n">
        <f aca="false">SUM(Q26*P26)</f>
        <v>0</v>
      </c>
      <c r="S26" s="102"/>
    </row>
    <row r="27" customFormat="false" ht="15" hidden="true" customHeight="false" outlineLevel="0" collapsed="false">
      <c r="A27" s="89"/>
      <c r="B27" s="90"/>
      <c r="C27" s="97" t="n">
        <f aca="false">SUM(D26)</f>
        <v>0</v>
      </c>
      <c r="D27" s="75"/>
      <c r="E27" s="91" t="n">
        <f aca="false">SUM(D27-C27)</f>
        <v>0</v>
      </c>
      <c r="F27" s="108" t="n">
        <f aca="false">SUM(D27-C27)</f>
        <v>0</v>
      </c>
      <c r="G27" s="41"/>
      <c r="H27" s="93" t="n">
        <f aca="false">SUM(G27*F27)</f>
        <v>0</v>
      </c>
      <c r="I27" s="1"/>
      <c r="J27" s="29"/>
      <c r="K27" s="94"/>
      <c r="L27" s="95"/>
      <c r="M27" s="96"/>
      <c r="N27" s="97" t="n">
        <f aca="false">SUM(O26)</f>
        <v>0</v>
      </c>
      <c r="O27" s="98"/>
      <c r="P27" s="108" t="n">
        <f aca="false">SUM(O27-N27)</f>
        <v>0</v>
      </c>
      <c r="Q27" s="100"/>
      <c r="R27" s="93" t="n">
        <f aca="false">SUM(Q27*P27)</f>
        <v>0</v>
      </c>
      <c r="S27" s="1"/>
    </row>
    <row r="28" customFormat="false" ht="15" hidden="true" customHeight="false" outlineLevel="0" collapsed="false">
      <c r="A28" s="89"/>
      <c r="B28" s="90"/>
      <c r="C28" s="97" t="n">
        <f aca="false">SUM(D27)</f>
        <v>0</v>
      </c>
      <c r="D28" s="75"/>
      <c r="E28" s="91" t="n">
        <f aca="false">SUM(D28-C28)</f>
        <v>0</v>
      </c>
      <c r="F28" s="108" t="n">
        <f aca="false">SUM(D28-C28)</f>
        <v>0</v>
      </c>
      <c r="G28" s="41"/>
      <c r="H28" s="93" t="n">
        <f aca="false">SUM(G28*F28)</f>
        <v>0</v>
      </c>
      <c r="I28" s="1"/>
      <c r="J28" s="29"/>
      <c r="K28" s="94"/>
      <c r="L28" s="95"/>
      <c r="M28" s="96"/>
      <c r="N28" s="97" t="n">
        <f aca="false">SUM(O27)</f>
        <v>0</v>
      </c>
      <c r="O28" s="98"/>
      <c r="P28" s="108" t="n">
        <f aca="false">SUM(O28-N28)</f>
        <v>0</v>
      </c>
      <c r="Q28" s="100"/>
      <c r="R28" s="93" t="n">
        <f aca="false">SUM(Q28*P28)</f>
        <v>0</v>
      </c>
      <c r="S28" s="1"/>
    </row>
    <row r="29" customFormat="false" ht="15" hidden="true" customHeight="false" outlineLevel="0" collapsed="false">
      <c r="A29" s="89"/>
      <c r="B29" s="90"/>
      <c r="C29" s="97" t="n">
        <f aca="false">SUM(D28)</f>
        <v>0</v>
      </c>
      <c r="D29" s="75"/>
      <c r="E29" s="91" t="n">
        <f aca="false">SUM(D29-C29)</f>
        <v>0</v>
      </c>
      <c r="F29" s="108" t="n">
        <f aca="false">SUM(D29-C29)</f>
        <v>0</v>
      </c>
      <c r="G29" s="41"/>
      <c r="H29" s="93" t="n">
        <f aca="false">SUM(G29*F29)</f>
        <v>0</v>
      </c>
      <c r="I29" s="1"/>
      <c r="J29" s="29"/>
      <c r="K29" s="94"/>
      <c r="L29" s="95"/>
      <c r="M29" s="96"/>
      <c r="N29" s="97" t="n">
        <f aca="false">SUM(O28)</f>
        <v>0</v>
      </c>
      <c r="O29" s="98"/>
      <c r="P29" s="108" t="n">
        <f aca="false">SUM(O29-N29)</f>
        <v>0</v>
      </c>
      <c r="Q29" s="100"/>
      <c r="R29" s="93" t="n">
        <f aca="false">SUM(Q29*P29)</f>
        <v>0</v>
      </c>
      <c r="S29" s="1"/>
    </row>
    <row r="30" customFormat="false" ht="15" hidden="true" customHeight="false" outlineLevel="0" collapsed="false">
      <c r="A30" s="89"/>
      <c r="B30" s="90"/>
      <c r="C30" s="97" t="n">
        <f aca="false">SUM(D29)</f>
        <v>0</v>
      </c>
      <c r="D30" s="75"/>
      <c r="E30" s="91" t="n">
        <f aca="false">SUM(D30-C30)</f>
        <v>0</v>
      </c>
      <c r="F30" s="108" t="n">
        <f aca="false">SUM(D30-C30)</f>
        <v>0</v>
      </c>
      <c r="G30" s="41"/>
      <c r="H30" s="93" t="n">
        <f aca="false">SUM(G30*F30)</f>
        <v>0</v>
      </c>
      <c r="I30" s="1"/>
      <c r="J30" s="29"/>
      <c r="K30" s="110"/>
      <c r="L30" s="95"/>
      <c r="M30" s="96"/>
      <c r="N30" s="97" t="n">
        <f aca="false">SUM(O29)</f>
        <v>0</v>
      </c>
      <c r="O30" s="98"/>
      <c r="P30" s="108" t="n">
        <f aca="false">SUM(O30-N30)</f>
        <v>0</v>
      </c>
      <c r="Q30" s="100"/>
      <c r="R30" s="93" t="n">
        <f aca="false">SUM(Q30*P30)</f>
        <v>0</v>
      </c>
      <c r="S30" s="1"/>
    </row>
    <row r="31" customFormat="false" ht="15" hidden="true" customHeight="false" outlineLevel="0" collapsed="false">
      <c r="A31" s="89"/>
      <c r="B31" s="90"/>
      <c r="C31" s="97" t="n">
        <f aca="false">SUM(D30)</f>
        <v>0</v>
      </c>
      <c r="D31" s="75"/>
      <c r="E31" s="91" t="n">
        <f aca="false">SUM(D31-C31)</f>
        <v>0</v>
      </c>
      <c r="F31" s="108" t="n">
        <f aca="false">SUM(D31-C31)</f>
        <v>0</v>
      </c>
      <c r="G31" s="41"/>
      <c r="H31" s="93" t="n">
        <f aca="false">SUM(G31*F31)</f>
        <v>0</v>
      </c>
      <c r="I31" s="1"/>
      <c r="J31" s="29"/>
      <c r="K31" s="94"/>
      <c r="L31" s="95"/>
      <c r="M31" s="96"/>
      <c r="N31" s="97" t="n">
        <f aca="false">SUM(O30)</f>
        <v>0</v>
      </c>
      <c r="O31" s="98"/>
      <c r="P31" s="108" t="n">
        <f aca="false">SUM(O31-N31)</f>
        <v>0</v>
      </c>
      <c r="Q31" s="100"/>
      <c r="R31" s="93" t="n">
        <f aca="false">SUM(Q31*P31)</f>
        <v>0</v>
      </c>
      <c r="S31" s="1"/>
    </row>
    <row r="32" customFormat="false" ht="15" hidden="true" customHeight="false" outlineLevel="0" collapsed="false">
      <c r="A32" s="89"/>
      <c r="B32" s="90"/>
      <c r="C32" s="97" t="n">
        <f aca="false">SUM(D31)</f>
        <v>0</v>
      </c>
      <c r="D32" s="75"/>
      <c r="E32" s="91" t="n">
        <f aca="false">SUM(D32-C32)</f>
        <v>0</v>
      </c>
      <c r="F32" s="108" t="n">
        <f aca="false">SUM(D32-C32)</f>
        <v>0</v>
      </c>
      <c r="G32" s="41"/>
      <c r="H32" s="93" t="n">
        <f aca="false">SUM(G32*F32)</f>
        <v>0</v>
      </c>
      <c r="I32" s="1"/>
      <c r="J32" s="29"/>
      <c r="K32" s="94"/>
      <c r="L32" s="112"/>
      <c r="M32" s="113"/>
      <c r="N32" s="113"/>
      <c r="O32" s="114"/>
      <c r="P32" s="115"/>
      <c r="Q32" s="116"/>
      <c r="R32" s="62"/>
      <c r="S32" s="62"/>
    </row>
    <row r="33" customFormat="false" ht="15" hidden="true" customHeight="false" outlineLevel="0" collapsed="false">
      <c r="A33" s="89"/>
      <c r="B33" s="90"/>
      <c r="C33" s="97" t="n">
        <f aca="false">SUM(D32)</f>
        <v>0</v>
      </c>
      <c r="D33" s="75"/>
      <c r="E33" s="91" t="n">
        <f aca="false">SUM(D33-C33)</f>
        <v>0</v>
      </c>
      <c r="F33" s="108" t="n">
        <f aca="false">SUM(D33-C33)</f>
        <v>0</v>
      </c>
      <c r="G33" s="41"/>
      <c r="H33" s="93" t="n">
        <f aca="false">SUM(G33*F33)</f>
        <v>0</v>
      </c>
      <c r="I33" s="1"/>
      <c r="J33" s="29"/>
      <c r="K33" s="94"/>
      <c r="L33" s="117"/>
      <c r="M33" s="117"/>
      <c r="N33" s="117"/>
      <c r="O33" s="117"/>
      <c r="P33" s="117"/>
      <c r="Q33" s="117"/>
      <c r="R33" s="117"/>
      <c r="S33" s="117"/>
    </row>
    <row r="34" customFormat="false" ht="15" hidden="true" customHeight="false" outlineLevel="0" collapsed="false">
      <c r="A34" s="89"/>
      <c r="B34" s="90"/>
      <c r="C34" s="97" t="n">
        <f aca="false">SUM(D33)</f>
        <v>0</v>
      </c>
      <c r="D34" s="75"/>
      <c r="E34" s="91" t="n">
        <f aca="false">SUM(D34-C34)</f>
        <v>0</v>
      </c>
      <c r="F34" s="108" t="n">
        <f aca="false">SUM(D34-C34)</f>
        <v>0</v>
      </c>
      <c r="G34" s="41"/>
      <c r="H34" s="93" t="n">
        <f aca="false">SUM(G34*F34)</f>
        <v>0</v>
      </c>
      <c r="I34" s="1"/>
      <c r="J34" s="29"/>
      <c r="K34" s="94"/>
      <c r="L34" s="117"/>
      <c r="M34" s="117"/>
      <c r="N34" s="117"/>
      <c r="O34" s="117"/>
      <c r="P34" s="117"/>
      <c r="Q34" s="117"/>
      <c r="R34" s="117"/>
      <c r="S34" s="117"/>
    </row>
    <row r="35" customFormat="false" ht="15" hidden="true" customHeight="false" outlineLevel="0" collapsed="false">
      <c r="A35" s="89"/>
      <c r="B35" s="90"/>
      <c r="C35" s="97" t="n">
        <f aca="false">SUM(D34)</f>
        <v>0</v>
      </c>
      <c r="D35" s="75"/>
      <c r="E35" s="91" t="n">
        <f aca="false">SUM(D35-C35)</f>
        <v>0</v>
      </c>
      <c r="F35" s="108" t="n">
        <f aca="false">SUM(D35-C35)</f>
        <v>0</v>
      </c>
      <c r="G35" s="41"/>
      <c r="H35" s="93" t="n">
        <f aca="false">SUM(G35*F35)</f>
        <v>0</v>
      </c>
      <c r="I35" s="1"/>
      <c r="J35" s="29"/>
      <c r="K35" s="94"/>
      <c r="L35" s="117"/>
      <c r="M35" s="117"/>
      <c r="N35" s="117"/>
      <c r="O35" s="117"/>
      <c r="P35" s="117"/>
      <c r="Q35" s="117"/>
      <c r="R35" s="117"/>
      <c r="S35" s="117"/>
    </row>
    <row r="36" customFormat="false" ht="15" hidden="true" customHeight="false" outlineLevel="0" collapsed="false">
      <c r="A36" s="89"/>
      <c r="B36" s="90"/>
      <c r="C36" s="97" t="n">
        <f aca="false">SUM(D35)</f>
        <v>0</v>
      </c>
      <c r="D36" s="75"/>
      <c r="E36" s="91" t="n">
        <f aca="false">SUM(D36-C36)</f>
        <v>0</v>
      </c>
      <c r="F36" s="108" t="n">
        <f aca="false">SUM(D36-C36)</f>
        <v>0</v>
      </c>
      <c r="G36" s="41"/>
      <c r="H36" s="93" t="n">
        <f aca="false">SUM(G36*F36)</f>
        <v>0</v>
      </c>
      <c r="I36" s="1"/>
      <c r="J36" s="29"/>
      <c r="K36" s="94"/>
      <c r="L36" s="117"/>
      <c r="M36" s="117"/>
      <c r="N36" s="117"/>
      <c r="O36" s="117"/>
      <c r="P36" s="117"/>
      <c r="Q36" s="117"/>
      <c r="R36" s="117"/>
      <c r="S36" s="117"/>
    </row>
    <row r="37" customFormat="false" ht="15" hidden="true" customHeight="false" outlineLevel="0" collapsed="false">
      <c r="A37" s="89"/>
      <c r="B37" s="90"/>
      <c r="C37" s="97" t="n">
        <f aca="false">SUM(D36)</f>
        <v>0</v>
      </c>
      <c r="D37" s="75"/>
      <c r="E37" s="91" t="n">
        <f aca="false">SUM(D37-C37)</f>
        <v>0</v>
      </c>
      <c r="F37" s="130" t="n">
        <f aca="false">SUM(D37-C37)</f>
        <v>0</v>
      </c>
      <c r="G37" s="41"/>
      <c r="H37" s="131" t="n">
        <f aca="false">SUM(G37*F37)</f>
        <v>0</v>
      </c>
      <c r="I37" s="1"/>
      <c r="J37" s="1"/>
      <c r="K37" s="94"/>
      <c r="L37" s="117"/>
      <c r="M37" s="117"/>
      <c r="N37" s="117"/>
      <c r="O37" s="117"/>
      <c r="P37" s="117"/>
      <c r="Q37" s="117"/>
      <c r="R37" s="117"/>
      <c r="S37" s="117"/>
    </row>
    <row r="38" customFormat="false" ht="15" hidden="false" customHeight="false" outlineLevel="0" collapsed="false">
      <c r="A38" s="89"/>
      <c r="B38" s="90"/>
      <c r="C38" s="97"/>
      <c r="D38" s="75"/>
      <c r="E38" s="109"/>
      <c r="F38" s="132" t="n">
        <f aca="false">SUM(F3:F37)</f>
        <v>315585</v>
      </c>
      <c r="G38" s="133"/>
      <c r="H38" s="134" t="n">
        <f aca="false">SUM(H3:H37)</f>
        <v>264360.1579</v>
      </c>
      <c r="I38" s="135"/>
      <c r="J38" s="1"/>
      <c r="L38" s="117"/>
      <c r="M38" s="117"/>
      <c r="N38" s="117"/>
      <c r="O38" s="117"/>
      <c r="P38" s="117"/>
      <c r="Q38" s="117"/>
      <c r="R38" s="117"/>
      <c r="S38" s="117"/>
    </row>
    <row r="39" customFormat="false" ht="15" hidden="false" customHeight="false" outlineLevel="0" collapsed="false">
      <c r="A39" s="88"/>
      <c r="B39" s="88" t="s">
        <v>49</v>
      </c>
      <c r="C39" s="82"/>
      <c r="D39" s="82"/>
      <c r="E39" s="82"/>
      <c r="F39" s="136"/>
      <c r="G39" s="83"/>
      <c r="H39" s="137"/>
      <c r="I39" s="85"/>
      <c r="J39" s="86" t="s">
        <v>79</v>
      </c>
      <c r="L39" s="117"/>
      <c r="M39" s="117"/>
      <c r="N39" s="117"/>
      <c r="O39" s="117"/>
      <c r="P39" s="117"/>
      <c r="Q39" s="117"/>
      <c r="R39" s="117"/>
      <c r="S39" s="117"/>
    </row>
    <row r="40" customFormat="false" ht="15.75" hidden="false" customHeight="false" outlineLevel="0" collapsed="false">
      <c r="A40" s="89" t="n">
        <v>0.420138888888889</v>
      </c>
      <c r="B40" s="90" t="s">
        <v>62</v>
      </c>
      <c r="C40" s="97" t="n">
        <v>3126080</v>
      </c>
      <c r="D40" s="107" t="n">
        <v>3133930</v>
      </c>
      <c r="E40" s="91" t="n">
        <f aca="false">SUM(D40-C40)</f>
        <v>7850</v>
      </c>
      <c r="F40" s="108" t="n">
        <v>7807</v>
      </c>
      <c r="G40" s="41" t="n">
        <v>0.8325</v>
      </c>
      <c r="H40" s="93" t="n">
        <f aca="false">SUM(G40*F40)</f>
        <v>6499.3275</v>
      </c>
      <c r="I40" s="29" t="s">
        <v>85</v>
      </c>
      <c r="J40" s="1" t="n">
        <v>6599</v>
      </c>
      <c r="K40" s="119" t="s">
        <v>84</v>
      </c>
      <c r="L40" s="117"/>
      <c r="M40" s="117"/>
      <c r="N40" s="117"/>
      <c r="O40" s="117"/>
      <c r="P40" s="117"/>
      <c r="Q40" s="117"/>
      <c r="R40" s="117"/>
      <c r="S40" s="117"/>
    </row>
    <row r="41" customFormat="false" ht="14.25" hidden="false" customHeight="true" outlineLevel="0" collapsed="false">
      <c r="A41" s="89" t="n">
        <v>0.430555555555556</v>
      </c>
      <c r="B41" s="90" t="s">
        <v>72</v>
      </c>
      <c r="C41" s="97" t="n">
        <f aca="false">SUM(D40)</f>
        <v>3133930</v>
      </c>
      <c r="D41" s="107" t="n">
        <v>3141730</v>
      </c>
      <c r="E41" s="91" t="n">
        <f aca="false">SUM(D41-C41)</f>
        <v>7800</v>
      </c>
      <c r="F41" s="108" t="n">
        <v>7761</v>
      </c>
      <c r="G41" s="41" t="n">
        <v>0.8323</v>
      </c>
      <c r="H41" s="84" t="n">
        <f aca="false">SUM(G41*F41)</f>
        <v>6459.4803</v>
      </c>
      <c r="I41" s="29" t="s">
        <v>86</v>
      </c>
      <c r="J41" s="1" t="n">
        <v>6600</v>
      </c>
      <c r="K41" s="119"/>
      <c r="L41" s="117"/>
      <c r="M41" s="117"/>
      <c r="N41" s="117"/>
      <c r="O41" s="117"/>
      <c r="P41" s="117"/>
      <c r="Q41" s="117"/>
      <c r="R41" s="117"/>
      <c r="S41" s="117"/>
    </row>
    <row r="42" customFormat="false" ht="15" hidden="false" customHeight="true" outlineLevel="0" collapsed="false">
      <c r="A42" s="89" t="n">
        <v>0.440972222222222</v>
      </c>
      <c r="B42" s="90" t="s">
        <v>72</v>
      </c>
      <c r="C42" s="97" t="n">
        <f aca="false">SUM(D41)</f>
        <v>3141730</v>
      </c>
      <c r="D42" s="107" t="n">
        <v>3147540</v>
      </c>
      <c r="E42" s="91" t="n">
        <f aca="false">SUM(D42-C42)</f>
        <v>5810</v>
      </c>
      <c r="F42" s="108" t="n">
        <v>5763</v>
      </c>
      <c r="G42" s="41" t="n">
        <v>0.8323</v>
      </c>
      <c r="H42" s="84" t="n">
        <f aca="false">SUM(G42*F42)</f>
        <v>4796.5449</v>
      </c>
      <c r="I42" s="29" t="s">
        <v>87</v>
      </c>
      <c r="J42" s="1" t="n">
        <v>6601</v>
      </c>
      <c r="K42" s="118"/>
      <c r="L42" s="117"/>
      <c r="M42" s="117"/>
      <c r="N42" s="117"/>
      <c r="O42" s="117"/>
      <c r="P42" s="117"/>
      <c r="Q42" s="117"/>
      <c r="R42" s="117"/>
      <c r="S42" s="117"/>
    </row>
    <row r="43" customFormat="false" ht="15.75" hidden="false" customHeight="false" outlineLevel="0" collapsed="false">
      <c r="A43" s="89" t="n">
        <v>0.451388888888889</v>
      </c>
      <c r="B43" s="90" t="s">
        <v>62</v>
      </c>
      <c r="C43" s="97" t="n">
        <f aca="false">SUM(D42)</f>
        <v>3147540</v>
      </c>
      <c r="D43" s="107" t="n">
        <v>3164640</v>
      </c>
      <c r="E43" s="91" t="n">
        <f aca="false">SUM(D43-C43)</f>
        <v>17100</v>
      </c>
      <c r="F43" s="128" t="n">
        <v>17019</v>
      </c>
      <c r="G43" s="41" t="n">
        <v>0.8325</v>
      </c>
      <c r="H43" s="93" t="n">
        <f aca="false">SUM(G43*F43)</f>
        <v>14168.3175</v>
      </c>
      <c r="I43" s="29" t="s">
        <v>77</v>
      </c>
      <c r="J43" s="1" t="n">
        <v>6604</v>
      </c>
      <c r="K43" s="119" t="s">
        <v>84</v>
      </c>
      <c r="L43" s="117"/>
      <c r="M43" s="117"/>
      <c r="N43" s="117"/>
      <c r="O43" s="117"/>
      <c r="P43" s="117"/>
      <c r="Q43" s="117"/>
      <c r="R43" s="117"/>
      <c r="S43" s="117"/>
    </row>
    <row r="44" customFormat="false" ht="15.75" hidden="false" customHeight="false" outlineLevel="0" collapsed="false">
      <c r="A44" s="89" t="n">
        <v>0.465277777777778</v>
      </c>
      <c r="B44" s="90" t="s">
        <v>72</v>
      </c>
      <c r="C44" s="97" t="n">
        <f aca="false">SUM(D43)</f>
        <v>3164640</v>
      </c>
      <c r="D44" s="107" t="n">
        <v>3187170</v>
      </c>
      <c r="E44" s="91" t="n">
        <f aca="false">SUM(D44-C44)</f>
        <v>22530</v>
      </c>
      <c r="F44" s="189" t="n">
        <v>22430</v>
      </c>
      <c r="G44" s="41" t="n">
        <v>0.8323</v>
      </c>
      <c r="H44" s="84" t="n">
        <f aca="false">SUM(G44*F44)</f>
        <v>18668.489</v>
      </c>
      <c r="I44" s="29" t="s">
        <v>102</v>
      </c>
      <c r="J44" s="1" t="n">
        <v>6605</v>
      </c>
      <c r="K44" s="118"/>
      <c r="L44" s="117"/>
      <c r="M44" s="117"/>
      <c r="N44" s="117"/>
      <c r="O44" s="117"/>
      <c r="P44" s="117"/>
      <c r="Q44" s="117"/>
      <c r="R44" s="117"/>
      <c r="S44" s="117"/>
    </row>
    <row r="45" customFormat="false" ht="15.75" hidden="false" customHeight="false" outlineLevel="0" collapsed="false">
      <c r="A45" s="89" t="n">
        <v>0.482638888888889</v>
      </c>
      <c r="B45" s="90" t="s">
        <v>90</v>
      </c>
      <c r="C45" s="97" t="n">
        <f aca="false">SUM(D44)</f>
        <v>3187170</v>
      </c>
      <c r="D45" s="107" t="n">
        <v>3193910</v>
      </c>
      <c r="E45" s="91" t="n">
        <f aca="false">SUM(D45-C45)</f>
        <v>6740</v>
      </c>
      <c r="F45" s="108" t="n">
        <v>6673</v>
      </c>
      <c r="G45" s="41" t="n">
        <v>0.8331</v>
      </c>
      <c r="H45" s="125" t="n">
        <f aca="false">SUM(G45*F45)</f>
        <v>5559.2763</v>
      </c>
      <c r="I45" s="29" t="s">
        <v>88</v>
      </c>
      <c r="J45" s="1" t="n">
        <v>6606</v>
      </c>
      <c r="K45" s="119"/>
      <c r="L45" s="117"/>
      <c r="M45" s="117"/>
      <c r="N45" s="117"/>
      <c r="O45" s="117"/>
      <c r="P45" s="117"/>
      <c r="Q45" s="117"/>
      <c r="R45" s="117"/>
      <c r="S45" s="117"/>
    </row>
    <row r="46" customFormat="false" ht="15.75" hidden="false" customHeight="false" outlineLevel="0" collapsed="false">
      <c r="A46" s="89" t="n">
        <v>0.548611111111111</v>
      </c>
      <c r="B46" s="90" t="s">
        <v>89</v>
      </c>
      <c r="C46" s="97" t="n">
        <f aca="false">SUM(D45)</f>
        <v>3193910</v>
      </c>
      <c r="D46" s="107" t="n">
        <v>3211020</v>
      </c>
      <c r="E46" s="91" t="n">
        <f aca="false">SUM(D46-C46)</f>
        <v>17110</v>
      </c>
      <c r="F46" s="128" t="n">
        <v>17019</v>
      </c>
      <c r="G46" s="41" t="n">
        <v>0.8312</v>
      </c>
      <c r="H46" s="196" t="n">
        <f aca="false">SUM(G46*F46)</f>
        <v>14146.1928</v>
      </c>
      <c r="I46" s="29" t="s">
        <v>77</v>
      </c>
      <c r="J46" s="1" t="n">
        <v>6610</v>
      </c>
      <c r="K46" s="119" t="s">
        <v>84</v>
      </c>
      <c r="L46" s="117"/>
      <c r="M46" s="117"/>
      <c r="N46" s="94"/>
      <c r="O46" s="117"/>
      <c r="P46" s="117"/>
      <c r="Q46" s="117"/>
      <c r="R46" s="117"/>
      <c r="S46" s="117"/>
    </row>
    <row r="47" customFormat="false" ht="15.75" hidden="false" customHeight="false" outlineLevel="0" collapsed="false">
      <c r="A47" s="89" t="n">
        <v>0.597222222222222</v>
      </c>
      <c r="B47" s="90" t="s">
        <v>61</v>
      </c>
      <c r="C47" s="97" t="n">
        <f aca="false">SUM(D46)</f>
        <v>3211020</v>
      </c>
      <c r="D47" s="107" t="n">
        <v>3216690</v>
      </c>
      <c r="E47" s="91" t="n">
        <f aca="false">SUM(D47-C47)</f>
        <v>5670</v>
      </c>
      <c r="F47" s="108" t="n">
        <v>5625</v>
      </c>
      <c r="G47" s="41" t="n">
        <v>0.8314</v>
      </c>
      <c r="H47" s="123" t="n">
        <f aca="false">SUM(G47*F47)</f>
        <v>4676.625</v>
      </c>
      <c r="I47" s="29" t="s">
        <v>88</v>
      </c>
      <c r="J47" s="1" t="n">
        <v>6611</v>
      </c>
      <c r="K47" s="119"/>
      <c r="L47" s="117"/>
      <c r="M47" s="117"/>
      <c r="N47" s="94"/>
      <c r="O47" s="117"/>
      <c r="P47" s="117"/>
      <c r="Q47" s="117"/>
      <c r="R47" s="117"/>
      <c r="S47" s="117"/>
    </row>
    <row r="48" customFormat="false" ht="15.75" hidden="false" customHeight="false" outlineLevel="0" collapsed="false">
      <c r="A48" s="89" t="n">
        <v>0.604166666666667</v>
      </c>
      <c r="B48" s="90" t="s">
        <v>61</v>
      </c>
      <c r="C48" s="97" t="n">
        <f aca="false">SUM(D47)</f>
        <v>3216690</v>
      </c>
      <c r="D48" s="107" t="n">
        <v>3227860</v>
      </c>
      <c r="E48" s="91" t="n">
        <f aca="false">SUM(D48-C48)</f>
        <v>11170</v>
      </c>
      <c r="F48" s="108" t="n">
        <v>11116</v>
      </c>
      <c r="G48" s="41" t="n">
        <v>0.8314</v>
      </c>
      <c r="H48" s="123" t="n">
        <f aca="false">SUM(G48*F48)</f>
        <v>9241.8424</v>
      </c>
      <c r="I48" s="29" t="s">
        <v>87</v>
      </c>
      <c r="J48" s="1" t="n">
        <v>6612</v>
      </c>
      <c r="K48" s="118"/>
      <c r="L48" s="117"/>
      <c r="M48" s="117"/>
      <c r="N48" s="94"/>
      <c r="O48" s="117"/>
      <c r="P48" s="117"/>
      <c r="Q48" s="117"/>
      <c r="R48" s="117"/>
      <c r="S48" s="117"/>
    </row>
    <row r="49" customFormat="false" ht="15" hidden="false" customHeight="true" outlineLevel="0" collapsed="false">
      <c r="A49" s="89" t="n">
        <v>0.75</v>
      </c>
      <c r="B49" s="90" t="s">
        <v>61</v>
      </c>
      <c r="C49" s="97" t="n">
        <f aca="false">SUM(D48)</f>
        <v>3227860</v>
      </c>
      <c r="D49" s="107" t="n">
        <v>3237900</v>
      </c>
      <c r="E49" s="91" t="n">
        <f aca="false">SUM(D49-C49)</f>
        <v>10040</v>
      </c>
      <c r="F49" s="128" t="n">
        <v>9986</v>
      </c>
      <c r="G49" s="41" t="n">
        <v>0.8314</v>
      </c>
      <c r="H49" s="123" t="n">
        <f aca="false">SUM(G49*F49)</f>
        <v>8302.3604</v>
      </c>
      <c r="I49" s="29" t="s">
        <v>77</v>
      </c>
      <c r="J49" s="1" t="n">
        <v>6615</v>
      </c>
      <c r="K49" s="118"/>
      <c r="L49" s="117"/>
      <c r="M49" s="117"/>
      <c r="N49" s="94"/>
      <c r="O49" s="117"/>
      <c r="P49" s="117"/>
      <c r="Q49" s="117"/>
      <c r="R49" s="117"/>
      <c r="S49" s="117"/>
    </row>
    <row r="50" customFormat="false" ht="15.75" hidden="false" customHeight="false" outlineLevel="0" collapsed="false">
      <c r="A50" s="89" t="n">
        <v>0.78125</v>
      </c>
      <c r="B50" s="90" t="s">
        <v>61</v>
      </c>
      <c r="C50" s="97" t="n">
        <f aca="false">SUM(D49)</f>
        <v>3237900</v>
      </c>
      <c r="D50" s="107" t="n">
        <v>3255010</v>
      </c>
      <c r="E50" s="91" t="n">
        <f aca="false">SUM(D50-C50)</f>
        <v>17110</v>
      </c>
      <c r="F50" s="128" t="n">
        <v>17019</v>
      </c>
      <c r="G50" s="41" t="n">
        <v>0.8314</v>
      </c>
      <c r="H50" s="123" t="n">
        <f aca="false">SUM(G50*F50)</f>
        <v>14149.5966</v>
      </c>
      <c r="I50" s="29" t="s">
        <v>77</v>
      </c>
      <c r="J50" s="1" t="n">
        <v>6617</v>
      </c>
      <c r="K50" s="119"/>
      <c r="L50" s="117"/>
      <c r="M50" s="117"/>
      <c r="N50" s="117"/>
      <c r="O50" s="117"/>
      <c r="P50" s="117"/>
      <c r="Q50" s="117"/>
      <c r="R50" s="117"/>
      <c r="S50" s="117"/>
    </row>
    <row r="51" customFormat="false" ht="15.75" hidden="false" customHeight="false" outlineLevel="0" collapsed="false">
      <c r="A51" s="89" t="n">
        <v>0.802083333333333</v>
      </c>
      <c r="B51" s="90" t="s">
        <v>61</v>
      </c>
      <c r="C51" s="97" t="n">
        <f aca="false">SUM(D50)</f>
        <v>3255010</v>
      </c>
      <c r="D51" s="107" t="n">
        <v>3264900</v>
      </c>
      <c r="E51" s="91" t="n">
        <f aca="false">SUM(D51-C51)</f>
        <v>9890</v>
      </c>
      <c r="F51" s="108" t="n">
        <v>9841</v>
      </c>
      <c r="G51" s="41" t="n">
        <v>0.8314</v>
      </c>
      <c r="H51" s="123" t="n">
        <f aca="false">SUM(G51*F51)</f>
        <v>8181.8074</v>
      </c>
      <c r="I51" s="29" t="s">
        <v>86</v>
      </c>
      <c r="J51" s="1" t="n">
        <v>6618</v>
      </c>
      <c r="K51" s="119"/>
      <c r="L51" s="117"/>
      <c r="M51" s="117"/>
      <c r="N51" s="117"/>
      <c r="O51" s="117"/>
      <c r="P51" s="117"/>
      <c r="Q51" s="117"/>
      <c r="R51" s="117"/>
      <c r="S51" s="117"/>
    </row>
    <row r="52" customFormat="false" ht="15.75" hidden="false" customHeight="false" outlineLevel="0" collapsed="false">
      <c r="A52" s="89" t="n">
        <v>0.822916666666667</v>
      </c>
      <c r="B52" s="90" t="s">
        <v>89</v>
      </c>
      <c r="C52" s="97" t="n">
        <f aca="false">SUM(D51)</f>
        <v>3264900</v>
      </c>
      <c r="D52" s="107" t="n">
        <v>3282020</v>
      </c>
      <c r="E52" s="91" t="n">
        <f aca="false">SUM(D52-C52)</f>
        <v>17120</v>
      </c>
      <c r="F52" s="128" t="n">
        <v>17019</v>
      </c>
      <c r="G52" s="41" t="n">
        <v>0.829</v>
      </c>
      <c r="H52" s="196" t="n">
        <f aca="false">SUM(G52*F52)</f>
        <v>14108.751</v>
      </c>
      <c r="I52" s="29" t="s">
        <v>77</v>
      </c>
      <c r="J52" s="1" t="n">
        <v>6619</v>
      </c>
      <c r="K52" s="119" t="s">
        <v>84</v>
      </c>
      <c r="L52" s="117"/>
      <c r="M52" s="117"/>
      <c r="N52" s="117"/>
      <c r="O52" s="117"/>
      <c r="P52" s="117"/>
      <c r="Q52" s="117"/>
      <c r="R52" s="117"/>
      <c r="S52" s="117"/>
    </row>
    <row r="53" customFormat="false" ht="15.75" hidden="false" customHeight="false" outlineLevel="0" collapsed="false">
      <c r="A53" s="89" t="n">
        <v>0.902777777777778</v>
      </c>
      <c r="B53" s="90" t="s">
        <v>72</v>
      </c>
      <c r="C53" s="97" t="n">
        <f aca="false">SUM(D52)</f>
        <v>3282020</v>
      </c>
      <c r="D53" s="107" t="n">
        <v>3284550</v>
      </c>
      <c r="E53" s="91" t="n">
        <f aca="false">SUM(D53-C53)</f>
        <v>2530</v>
      </c>
      <c r="F53" s="108" t="n">
        <v>2492</v>
      </c>
      <c r="G53" s="41" t="n">
        <v>0.83</v>
      </c>
      <c r="H53" s="84" t="n">
        <f aca="false">SUM(G53*F53)</f>
        <v>2068.36</v>
      </c>
      <c r="I53" s="29" t="s">
        <v>86</v>
      </c>
      <c r="J53" s="1" t="n">
        <v>6621</v>
      </c>
      <c r="K53" s="118"/>
      <c r="L53" s="117"/>
      <c r="M53" s="117"/>
      <c r="N53" s="117"/>
      <c r="O53" s="117"/>
      <c r="P53" s="117"/>
      <c r="Q53" s="117"/>
      <c r="R53" s="117"/>
      <c r="S53" s="117"/>
    </row>
    <row r="54" customFormat="false" ht="15.75" hidden="false" customHeight="false" outlineLevel="0" collapsed="false">
      <c r="A54" s="89" t="n">
        <v>0.913194444444444</v>
      </c>
      <c r="B54" s="90" t="s">
        <v>72</v>
      </c>
      <c r="C54" s="97" t="n">
        <f aca="false">SUM(D53)</f>
        <v>3284550</v>
      </c>
      <c r="D54" s="107" t="n">
        <v>3290870</v>
      </c>
      <c r="E54" s="91" t="n">
        <f aca="false">SUM(D54-C54)</f>
        <v>6320</v>
      </c>
      <c r="F54" s="108" t="n">
        <v>6285</v>
      </c>
      <c r="G54" s="41" t="n">
        <v>0.83</v>
      </c>
      <c r="H54" s="84" t="n">
        <f aca="false">SUM(G54*F54)</f>
        <v>5216.55</v>
      </c>
      <c r="I54" s="1" t="s">
        <v>88</v>
      </c>
      <c r="J54" s="1" t="n">
        <v>6622</v>
      </c>
      <c r="K54" s="110"/>
      <c r="L54" s="117"/>
      <c r="M54" s="117"/>
      <c r="N54" s="117"/>
      <c r="O54" s="117"/>
      <c r="P54" s="117"/>
      <c r="Q54" s="117"/>
      <c r="R54" s="117"/>
      <c r="S54" s="117"/>
    </row>
    <row r="55" customFormat="false" ht="15.75" hidden="false" customHeight="false" outlineLevel="0" collapsed="false">
      <c r="A55" s="89" t="n">
        <v>0.940972222222222</v>
      </c>
      <c r="B55" s="90" t="s">
        <v>72</v>
      </c>
      <c r="C55" s="97" t="n">
        <f aca="false">SUM(D54)</f>
        <v>3290870</v>
      </c>
      <c r="D55" s="107" t="n">
        <v>3297840</v>
      </c>
      <c r="E55" s="91" t="n">
        <f aca="false">SUM(D55-C55)</f>
        <v>6970</v>
      </c>
      <c r="F55" s="108" t="n">
        <v>6920</v>
      </c>
      <c r="G55" s="41" t="n">
        <v>0.83</v>
      </c>
      <c r="H55" s="84" t="n">
        <f aca="false">SUM(G55*F55)</f>
        <v>5743.6</v>
      </c>
      <c r="I55" s="1" t="s">
        <v>87</v>
      </c>
      <c r="J55" s="1" t="n">
        <v>6625</v>
      </c>
      <c r="K55" s="110"/>
      <c r="L55" s="117"/>
      <c r="M55" s="117"/>
      <c r="N55" s="117"/>
      <c r="O55" s="117"/>
      <c r="P55" s="117"/>
      <c r="Q55" s="117"/>
      <c r="R55" s="117"/>
      <c r="S55" s="117"/>
    </row>
    <row r="56" customFormat="false" ht="15.75" hidden="false" customHeight="false" outlineLevel="0" collapsed="false">
      <c r="A56" s="89" t="n">
        <v>0.954861111111111</v>
      </c>
      <c r="B56" s="90" t="s">
        <v>89</v>
      </c>
      <c r="C56" s="97" t="n">
        <f aca="false">SUM(D55)</f>
        <v>3297840</v>
      </c>
      <c r="D56" s="107" t="n">
        <v>3308740</v>
      </c>
      <c r="E56" s="91" t="n">
        <f aca="false">SUM(D56-C56)</f>
        <v>10900</v>
      </c>
      <c r="F56" s="108" t="n">
        <v>10850</v>
      </c>
      <c r="G56" s="41" t="n">
        <v>0.829</v>
      </c>
      <c r="H56" s="196" t="n">
        <f aca="false">SUM(G56*F56)</f>
        <v>8994.65</v>
      </c>
      <c r="I56" s="29" t="s">
        <v>85</v>
      </c>
      <c r="J56" s="1" t="n">
        <v>6627</v>
      </c>
      <c r="K56" s="119" t="s">
        <v>84</v>
      </c>
      <c r="L56" s="117"/>
      <c r="M56" s="117"/>
      <c r="N56" s="117"/>
      <c r="O56" s="117"/>
      <c r="P56" s="117"/>
      <c r="Q56" s="117"/>
      <c r="R56" s="117"/>
      <c r="S56" s="117"/>
    </row>
    <row r="57" customFormat="false" ht="15.75" hidden="false" customHeight="false" outlineLevel="0" collapsed="false">
      <c r="A57" s="89" t="n">
        <v>0.09375</v>
      </c>
      <c r="B57" s="90" t="s">
        <v>72</v>
      </c>
      <c r="C57" s="97" t="n">
        <f aca="false">SUM(D56)</f>
        <v>3308740</v>
      </c>
      <c r="D57" s="107" t="n">
        <v>3317030</v>
      </c>
      <c r="E57" s="91" t="n">
        <f aca="false">SUM(D57-C57)</f>
        <v>8290</v>
      </c>
      <c r="F57" s="108" t="n">
        <v>8244</v>
      </c>
      <c r="G57" s="41" t="n">
        <v>0.83</v>
      </c>
      <c r="H57" s="84" t="n">
        <f aca="false">SUM(G57*F57)</f>
        <v>6842.52</v>
      </c>
      <c r="I57" s="1" t="s">
        <v>87</v>
      </c>
      <c r="J57" s="1" t="n">
        <v>6628</v>
      </c>
      <c r="K57" s="110"/>
      <c r="L57" s="117"/>
      <c r="M57" s="117"/>
      <c r="N57" s="117"/>
      <c r="O57" s="117"/>
      <c r="P57" s="117"/>
      <c r="Q57" s="117"/>
      <c r="R57" s="117"/>
      <c r="S57" s="117"/>
    </row>
    <row r="58" customFormat="false" ht="15.75" hidden="false" customHeight="false" outlineLevel="0" collapsed="false">
      <c r="A58" s="89" t="n">
        <v>0.104166666666667</v>
      </c>
      <c r="B58" s="90" t="s">
        <v>72</v>
      </c>
      <c r="C58" s="97" t="n">
        <f aca="false">SUM(D57)</f>
        <v>3317030</v>
      </c>
      <c r="D58" s="107" t="n">
        <v>3323700</v>
      </c>
      <c r="E58" s="91" t="n">
        <f aca="false">SUM(D58-C58)</f>
        <v>6670</v>
      </c>
      <c r="F58" s="108" t="n">
        <v>6639</v>
      </c>
      <c r="G58" s="41" t="n">
        <v>0.83</v>
      </c>
      <c r="H58" s="84" t="n">
        <f aca="false">SUM(G58*F58)</f>
        <v>5510.37</v>
      </c>
      <c r="I58" s="1" t="s">
        <v>88</v>
      </c>
      <c r="J58" s="1" t="n">
        <v>6629</v>
      </c>
      <c r="K58" s="119"/>
      <c r="L58" s="117"/>
      <c r="M58" s="117"/>
      <c r="N58" s="94"/>
      <c r="O58" s="117"/>
      <c r="P58" s="117"/>
      <c r="Q58" s="117"/>
      <c r="R58" s="117"/>
      <c r="S58" s="117"/>
    </row>
    <row r="59" customFormat="false" ht="15.75" hidden="false" customHeight="false" outlineLevel="0" collapsed="false">
      <c r="A59" s="89" t="n">
        <v>0.111111111111111</v>
      </c>
      <c r="B59" s="90" t="s">
        <v>89</v>
      </c>
      <c r="C59" s="97" t="n">
        <f aca="false">SUM(D58)</f>
        <v>3323700</v>
      </c>
      <c r="D59" s="107" t="n">
        <v>3340810</v>
      </c>
      <c r="E59" s="91" t="n">
        <f aca="false">SUM(D59-C59)</f>
        <v>17110</v>
      </c>
      <c r="F59" s="128" t="n">
        <v>17019</v>
      </c>
      <c r="G59" s="41" t="n">
        <v>0.829</v>
      </c>
      <c r="H59" s="196" t="n">
        <f aca="false">SUM(G59*F59)</f>
        <v>14108.751</v>
      </c>
      <c r="I59" s="29" t="s">
        <v>77</v>
      </c>
      <c r="J59" s="1" t="n">
        <v>6630</v>
      </c>
      <c r="K59" s="119" t="s">
        <v>84</v>
      </c>
      <c r="L59" s="117"/>
      <c r="M59" s="117"/>
      <c r="N59" s="94"/>
      <c r="O59" s="117"/>
      <c r="P59" s="117"/>
      <c r="Q59" s="117"/>
      <c r="R59" s="117"/>
      <c r="S59" s="117"/>
    </row>
    <row r="60" customFormat="false" ht="15" hidden="false" customHeight="true" outlineLevel="0" collapsed="false">
      <c r="A60" s="89" t="n">
        <v>0.201388888888889</v>
      </c>
      <c r="B60" s="90" t="s">
        <v>62</v>
      </c>
      <c r="C60" s="97" t="n">
        <f aca="false">SUM(D59)</f>
        <v>3340810</v>
      </c>
      <c r="D60" s="107" t="n">
        <v>3357920</v>
      </c>
      <c r="E60" s="91" t="n">
        <f aca="false">SUM(D60-C60)</f>
        <v>17110</v>
      </c>
      <c r="F60" s="128" t="n">
        <v>17019</v>
      </c>
      <c r="G60" s="41" t="n">
        <v>0.8302</v>
      </c>
      <c r="H60" s="93" t="n">
        <f aca="false">SUM(G60*F60)</f>
        <v>14129.1738</v>
      </c>
      <c r="I60" s="29" t="s">
        <v>77</v>
      </c>
      <c r="J60" s="1" t="n">
        <v>6633</v>
      </c>
      <c r="K60" s="119" t="s">
        <v>84</v>
      </c>
      <c r="L60" s="117"/>
      <c r="M60" s="117"/>
      <c r="N60" s="94"/>
      <c r="O60" s="117"/>
      <c r="P60" s="117"/>
      <c r="Q60" s="117"/>
      <c r="R60" s="117"/>
      <c r="S60" s="117"/>
    </row>
    <row r="61" customFormat="false" ht="15.75" hidden="false" customHeight="false" outlineLevel="0" collapsed="false">
      <c r="A61" s="89" t="n">
        <v>0.305555555555555</v>
      </c>
      <c r="B61" s="90" t="s">
        <v>62</v>
      </c>
      <c r="C61" s="97" t="n">
        <f aca="false">SUM(D60)</f>
        <v>3357920</v>
      </c>
      <c r="D61" s="107" t="n">
        <v>3375030</v>
      </c>
      <c r="E61" s="91" t="n">
        <f aca="false">SUM(D61-C61)</f>
        <v>17110</v>
      </c>
      <c r="F61" s="128" t="n">
        <v>17019</v>
      </c>
      <c r="G61" s="41" t="n">
        <v>0.8302</v>
      </c>
      <c r="H61" s="93" t="n">
        <f aca="false">SUM(G61*F61)</f>
        <v>14129.1738</v>
      </c>
      <c r="I61" s="29" t="s">
        <v>77</v>
      </c>
      <c r="J61" s="1" t="n">
        <v>6637</v>
      </c>
      <c r="K61" s="119" t="s">
        <v>84</v>
      </c>
      <c r="L61" s="117"/>
      <c r="M61" s="117"/>
      <c r="N61" s="117"/>
      <c r="O61" s="117"/>
      <c r="P61" s="117"/>
      <c r="Q61" s="117"/>
      <c r="R61" s="117"/>
      <c r="S61" s="117"/>
    </row>
    <row r="62" customFormat="false" ht="15.75" hidden="false" customHeight="false" outlineLevel="0" collapsed="false">
      <c r="A62" s="89" t="n">
        <v>0.350694444444444</v>
      </c>
      <c r="B62" s="90" t="s">
        <v>55</v>
      </c>
      <c r="C62" s="97" t="n">
        <f aca="false">SUM(D61)</f>
        <v>3375030</v>
      </c>
      <c r="D62" s="107" t="n">
        <v>3392140</v>
      </c>
      <c r="E62" s="91" t="n">
        <f aca="false">SUM(D62-C62)</f>
        <v>17110</v>
      </c>
      <c r="F62" s="128" t="n">
        <v>17019</v>
      </c>
      <c r="G62" s="41" t="n">
        <v>0.832</v>
      </c>
      <c r="H62" s="144" t="n">
        <f aca="false">SUM(G62*F62)</f>
        <v>14159.808</v>
      </c>
      <c r="I62" s="29" t="s">
        <v>77</v>
      </c>
      <c r="J62" s="1" t="n">
        <v>6638</v>
      </c>
      <c r="K62" s="118" t="s">
        <v>70</v>
      </c>
      <c r="L62" s="117"/>
      <c r="M62" s="117"/>
      <c r="N62" s="117"/>
      <c r="O62" s="117"/>
      <c r="P62" s="117"/>
      <c r="Q62" s="117"/>
      <c r="R62" s="117"/>
      <c r="S62" s="117"/>
    </row>
    <row r="63" customFormat="false" ht="15" hidden="false" customHeight="false" outlineLevel="0" collapsed="false">
      <c r="A63" s="89"/>
      <c r="B63" s="90"/>
      <c r="C63" s="97" t="n">
        <v>0</v>
      </c>
      <c r="D63" s="107"/>
      <c r="E63" s="91" t="n">
        <f aca="false">SUM(D63-C63)</f>
        <v>0</v>
      </c>
      <c r="F63" s="108" t="n">
        <f aca="false">SUM(D63-C63)</f>
        <v>0</v>
      </c>
      <c r="G63" s="41"/>
      <c r="H63" s="93" t="n">
        <f aca="false">SUM(G63*F63)</f>
        <v>0</v>
      </c>
      <c r="I63" s="29"/>
      <c r="J63" s="29"/>
      <c r="K63" s="119"/>
      <c r="L63" s="117"/>
      <c r="M63" s="117"/>
      <c r="N63" s="117"/>
      <c r="O63" s="117"/>
      <c r="P63" s="117"/>
      <c r="Q63" s="117"/>
      <c r="R63" s="117"/>
      <c r="S63" s="117"/>
    </row>
    <row r="64" customFormat="false" ht="15" hidden="true" customHeight="false" outlineLevel="0" collapsed="false">
      <c r="A64" s="89"/>
      <c r="B64" s="90"/>
      <c r="C64" s="97" t="n">
        <f aca="false">SUM(D63)</f>
        <v>0</v>
      </c>
      <c r="D64" s="107"/>
      <c r="E64" s="91" t="n">
        <f aca="false">SUM(D64-C64)</f>
        <v>0</v>
      </c>
      <c r="F64" s="108" t="n">
        <f aca="false">SUM(D64-C64)</f>
        <v>0</v>
      </c>
      <c r="G64" s="41"/>
      <c r="H64" s="93" t="n">
        <f aca="false">SUM(G64*F64)</f>
        <v>0</v>
      </c>
      <c r="I64" s="29"/>
      <c r="J64" s="29"/>
      <c r="K64" s="118"/>
      <c r="L64" s="117"/>
      <c r="M64" s="117"/>
      <c r="N64" s="117"/>
      <c r="O64" s="117"/>
      <c r="P64" s="117"/>
      <c r="Q64" s="117"/>
      <c r="R64" s="117"/>
      <c r="S64" s="117"/>
    </row>
    <row r="65" customFormat="false" ht="15" hidden="true" customHeight="false" outlineLevel="0" collapsed="false">
      <c r="A65" s="89"/>
      <c r="B65" s="90"/>
      <c r="C65" s="97" t="n">
        <f aca="false">SUM(D64)</f>
        <v>0</v>
      </c>
      <c r="D65" s="107"/>
      <c r="E65" s="91" t="n">
        <f aca="false">SUM(D65-C65)</f>
        <v>0</v>
      </c>
      <c r="F65" s="108" t="n">
        <f aca="false">SUM(D65-C65)</f>
        <v>0</v>
      </c>
      <c r="G65" s="41"/>
      <c r="H65" s="93" t="n">
        <f aca="false">SUM(G65*F65)</f>
        <v>0</v>
      </c>
      <c r="I65" s="1"/>
      <c r="J65" s="29"/>
      <c r="K65" s="110"/>
      <c r="L65" s="117"/>
      <c r="M65" s="117"/>
      <c r="N65" s="117"/>
      <c r="O65" s="117"/>
      <c r="P65" s="117"/>
      <c r="Q65" s="117"/>
      <c r="R65" s="117"/>
      <c r="S65" s="117"/>
    </row>
    <row r="66" customFormat="false" ht="15" hidden="true" customHeight="false" outlineLevel="0" collapsed="false">
      <c r="A66" s="89"/>
      <c r="B66" s="90"/>
      <c r="C66" s="97" t="n">
        <f aca="false">SUM(D65)</f>
        <v>0</v>
      </c>
      <c r="D66" s="107"/>
      <c r="E66" s="91" t="n">
        <f aca="false">SUM(D66-C66)</f>
        <v>0</v>
      </c>
      <c r="F66" s="108" t="n">
        <f aca="false">SUM(D66-C66)</f>
        <v>0</v>
      </c>
      <c r="G66" s="41"/>
      <c r="H66" s="93" t="n">
        <f aca="false">SUM(G66*F66)</f>
        <v>0</v>
      </c>
      <c r="I66" s="1"/>
      <c r="J66" s="29"/>
      <c r="K66" s="110"/>
      <c r="L66" s="117"/>
      <c r="M66" s="117"/>
      <c r="N66" s="117"/>
      <c r="O66" s="117"/>
      <c r="P66" s="117"/>
      <c r="Q66" s="117"/>
      <c r="R66" s="117"/>
      <c r="S66" s="117"/>
    </row>
    <row r="67" customFormat="false" ht="15" hidden="true" customHeight="false" outlineLevel="0" collapsed="false">
      <c r="A67" s="89"/>
      <c r="B67" s="90"/>
      <c r="C67" s="97" t="n">
        <f aca="false">SUM(D66)</f>
        <v>0</v>
      </c>
      <c r="D67" s="107"/>
      <c r="E67" s="91" t="n">
        <f aca="false">SUM(D67-C67)</f>
        <v>0</v>
      </c>
      <c r="F67" s="108" t="n">
        <f aca="false">SUM(D67-C67)</f>
        <v>0</v>
      </c>
      <c r="G67" s="41"/>
      <c r="H67" s="93" t="n">
        <f aca="false">SUM(G67*F67)</f>
        <v>0</v>
      </c>
      <c r="I67" s="1"/>
      <c r="J67" s="29"/>
      <c r="K67" s="110"/>
      <c r="L67" s="117"/>
      <c r="M67" s="117"/>
      <c r="N67" s="117"/>
      <c r="O67" s="117"/>
      <c r="P67" s="117"/>
      <c r="Q67" s="117"/>
      <c r="R67" s="117"/>
      <c r="S67" s="117"/>
    </row>
    <row r="68" customFormat="false" ht="15" hidden="true" customHeight="false" outlineLevel="0" collapsed="false">
      <c r="A68" s="89"/>
      <c r="B68" s="90"/>
      <c r="C68" s="97" t="n">
        <f aca="false">SUM(D67)</f>
        <v>0</v>
      </c>
      <c r="D68" s="107"/>
      <c r="E68" s="91" t="n">
        <f aca="false">SUM(D68-C68)</f>
        <v>0</v>
      </c>
      <c r="F68" s="108" t="n">
        <f aca="false">SUM(D68-C68)</f>
        <v>0</v>
      </c>
      <c r="G68" s="41"/>
      <c r="H68" s="93" t="n">
        <f aca="false">SUM(G68*F68)</f>
        <v>0</v>
      </c>
      <c r="I68" s="1"/>
      <c r="J68" s="29"/>
      <c r="K68" s="110"/>
      <c r="L68" s="117"/>
      <c r="M68" s="117"/>
      <c r="N68" s="117"/>
      <c r="O68" s="117"/>
      <c r="P68" s="117"/>
      <c r="Q68" s="117"/>
      <c r="R68" s="117"/>
      <c r="S68" s="117"/>
    </row>
    <row r="69" customFormat="false" ht="15" hidden="true" customHeight="false" outlineLevel="0" collapsed="false">
      <c r="A69" s="89"/>
      <c r="B69" s="90"/>
      <c r="C69" s="97" t="n">
        <f aca="false">SUM(D68)</f>
        <v>0</v>
      </c>
      <c r="D69" s="107"/>
      <c r="E69" s="91" t="n">
        <f aca="false">SUM(D69-C69)</f>
        <v>0</v>
      </c>
      <c r="F69" s="108" t="n">
        <f aca="false">SUM(D69-C69)</f>
        <v>0</v>
      </c>
      <c r="G69" s="41"/>
      <c r="H69" s="93" t="n">
        <f aca="false">SUM(G69*F69)</f>
        <v>0</v>
      </c>
      <c r="I69" s="1"/>
      <c r="J69" s="29"/>
      <c r="K69" s="110"/>
      <c r="L69" s="117"/>
      <c r="M69" s="117"/>
      <c r="N69" s="117"/>
      <c r="O69" s="117"/>
      <c r="P69" s="117"/>
      <c r="Q69" s="117"/>
      <c r="R69" s="117"/>
      <c r="S69" s="117"/>
    </row>
    <row r="70" customFormat="false" ht="15" hidden="true" customHeight="false" outlineLevel="0" collapsed="false">
      <c r="A70" s="89"/>
      <c r="B70" s="90"/>
      <c r="C70" s="97" t="n">
        <f aca="false">SUM(D69)</f>
        <v>0</v>
      </c>
      <c r="D70" s="107"/>
      <c r="E70" s="91" t="n">
        <f aca="false">SUM(D70-C70)</f>
        <v>0</v>
      </c>
      <c r="F70" s="108" t="n">
        <f aca="false">SUM(D70-C70)</f>
        <v>0</v>
      </c>
      <c r="G70" s="41"/>
      <c r="H70" s="93" t="n">
        <f aca="false">SUM(G70*F70)</f>
        <v>0</v>
      </c>
      <c r="I70" s="1"/>
      <c r="J70" s="29"/>
      <c r="K70" s="117"/>
      <c r="L70" s="117"/>
      <c r="M70" s="117"/>
      <c r="N70" s="117"/>
      <c r="O70" s="117"/>
      <c r="P70" s="117"/>
      <c r="Q70" s="117"/>
      <c r="R70" s="117"/>
      <c r="S70" s="117"/>
    </row>
    <row r="71" customFormat="false" ht="15" hidden="true" customHeight="false" outlineLevel="0" collapsed="false">
      <c r="A71" s="89"/>
      <c r="B71" s="90"/>
      <c r="C71" s="97" t="n">
        <f aca="false">SUM(D70)</f>
        <v>0</v>
      </c>
      <c r="D71" s="75"/>
      <c r="E71" s="91" t="n">
        <f aca="false">SUM(D71-C71)</f>
        <v>0</v>
      </c>
      <c r="F71" s="130" t="n">
        <f aca="false">SUM(D71-C71)</f>
        <v>0</v>
      </c>
      <c r="G71" s="41"/>
      <c r="H71" s="131" t="n">
        <f aca="false">SUM(G71*F71)</f>
        <v>0</v>
      </c>
      <c r="I71" s="1"/>
      <c r="J71" s="29"/>
      <c r="K71" s="117"/>
      <c r="L71" s="117"/>
      <c r="M71" s="117"/>
      <c r="N71" s="117"/>
      <c r="O71" s="117"/>
      <c r="P71" s="117"/>
      <c r="Q71" s="117"/>
      <c r="R71" s="117"/>
      <c r="S71" s="117"/>
    </row>
    <row r="72" customFormat="false" ht="15" hidden="false" customHeight="false" outlineLevel="0" collapsed="false">
      <c r="A72" s="89"/>
      <c r="B72" s="90"/>
      <c r="C72" s="97"/>
      <c r="D72" s="75"/>
      <c r="E72" s="109"/>
      <c r="F72" s="132" t="n">
        <f aca="false">SUM(F40:F71)</f>
        <v>264584</v>
      </c>
      <c r="G72" s="133"/>
      <c r="H72" s="134" t="n">
        <f aca="false">SUM(H40:H71)</f>
        <v>219861.5677</v>
      </c>
      <c r="I72" s="135"/>
      <c r="J72" s="29"/>
      <c r="K72" s="120"/>
      <c r="L72" s="117"/>
      <c r="M72" s="117"/>
      <c r="N72" s="117"/>
      <c r="O72" s="117"/>
      <c r="P72" s="117"/>
      <c r="Q72" s="117"/>
      <c r="R72" s="117"/>
      <c r="S72" s="117"/>
    </row>
    <row r="73" customFormat="false" ht="15" hidden="false" customHeight="false" outlineLevel="0" collapsed="false">
      <c r="L73" s="117"/>
      <c r="M73" s="117"/>
      <c r="N73" s="117"/>
      <c r="O73" s="117"/>
      <c r="P73" s="117"/>
      <c r="Q73" s="117"/>
      <c r="R73" s="117"/>
      <c r="S73" s="117"/>
    </row>
    <row r="74" customFormat="false" ht="15" hidden="false" customHeight="false" outlineLevel="0" collapsed="false">
      <c r="F74" s="145" t="n">
        <f aca="false">F72+F38</f>
        <v>580169</v>
      </c>
      <c r="H74" s="134" t="n">
        <f aca="false">H72+H38</f>
        <v>484221.7256</v>
      </c>
      <c r="L74" s="117"/>
      <c r="M74" s="117"/>
      <c r="N74" s="117"/>
      <c r="O74" s="117"/>
      <c r="P74" s="117"/>
      <c r="Q74" s="117"/>
      <c r="R74" s="117"/>
      <c r="S74" s="117"/>
    </row>
    <row r="75" customFormat="false" ht="15" hidden="false" customHeight="false" outlineLevel="0" collapsed="false">
      <c r="E75" s="117"/>
      <c r="L75" s="117"/>
      <c r="M75" s="117"/>
      <c r="N75" s="117"/>
      <c r="O75" s="117"/>
      <c r="P75" s="117"/>
      <c r="Q75" s="117"/>
      <c r="R75" s="117"/>
      <c r="S75" s="117"/>
    </row>
    <row r="76" customFormat="false" ht="15" hidden="false" customHeight="false" outlineLevel="0" collapsed="false">
      <c r="E76" s="117"/>
      <c r="L76" s="117"/>
      <c r="M76" s="117"/>
      <c r="N76" s="117"/>
      <c r="O76" s="117"/>
      <c r="P76" s="117"/>
      <c r="Q76" s="117"/>
      <c r="R76" s="117"/>
      <c r="S76" s="117"/>
    </row>
    <row r="77" customFormat="false" ht="15" hidden="false" customHeight="false" outlineLevel="0" collapsed="false">
      <c r="E77" s="117"/>
      <c r="L77" s="117"/>
      <c r="M77" s="117"/>
      <c r="N77" s="117"/>
      <c r="O77" s="117"/>
      <c r="P77" s="117"/>
      <c r="Q77" s="117"/>
      <c r="R77" s="117"/>
      <c r="S77" s="117"/>
    </row>
    <row r="78" customFormat="false" ht="15" hidden="false" customHeight="false" outlineLevel="0" collapsed="false">
      <c r="E78" s="117"/>
      <c r="L78" s="117"/>
      <c r="M78" s="117"/>
      <c r="N78" s="117"/>
      <c r="O78" s="117"/>
      <c r="P78" s="117"/>
      <c r="Q78" s="117"/>
      <c r="R78" s="117"/>
      <c r="S78" s="117"/>
    </row>
    <row r="79" customFormat="false" ht="15" hidden="false" customHeight="false" outlineLevel="0" collapsed="false">
      <c r="E79" s="117"/>
      <c r="L79" s="117"/>
      <c r="M79" s="117"/>
      <c r="N79" s="117"/>
      <c r="O79" s="117"/>
      <c r="P79" s="117"/>
      <c r="Q79" s="117"/>
      <c r="R79" s="117"/>
      <c r="S79" s="117"/>
    </row>
    <row r="80" customFormat="false" ht="15" hidden="false" customHeight="false" outlineLevel="0" collapsed="false">
      <c r="E80" s="117"/>
      <c r="L80" s="117"/>
      <c r="M80" s="117"/>
      <c r="N80" s="117"/>
      <c r="O80" s="117"/>
      <c r="P80" s="117"/>
      <c r="Q80" s="117"/>
      <c r="R80" s="117"/>
      <c r="S80" s="117"/>
    </row>
    <row r="81" customFormat="false" ht="15" hidden="false" customHeight="false" outlineLevel="0" collapsed="false">
      <c r="E81" s="117"/>
      <c r="L81" s="117"/>
      <c r="M81" s="117"/>
      <c r="N81" s="117"/>
      <c r="O81" s="117"/>
      <c r="P81" s="117"/>
      <c r="Q81" s="117"/>
      <c r="R81" s="117"/>
      <c r="S81" s="117"/>
    </row>
    <row r="82" customFormat="false" ht="15" hidden="false" customHeight="false" outlineLevel="0" collapsed="false">
      <c r="E82" s="117"/>
      <c r="L82" s="117"/>
      <c r="M82" s="117"/>
      <c r="N82" s="117"/>
      <c r="O82" s="117"/>
      <c r="P82" s="117"/>
      <c r="Q82" s="117"/>
      <c r="R82" s="117"/>
      <c r="S82" s="117"/>
    </row>
    <row r="83" customFormat="false" ht="15" hidden="false" customHeight="false" outlineLevel="0" collapsed="false">
      <c r="E83" s="117"/>
      <c r="L83" s="117"/>
      <c r="M83" s="117"/>
      <c r="N83" s="117"/>
      <c r="O83" s="117"/>
      <c r="P83" s="117"/>
      <c r="Q83" s="117"/>
      <c r="R83" s="117"/>
      <c r="S83" s="117"/>
    </row>
    <row r="84" customFormat="false" ht="15" hidden="false" customHeight="false" outlineLevel="0" collapsed="false">
      <c r="E84" s="117"/>
      <c r="L84" s="117"/>
      <c r="M84" s="117"/>
      <c r="N84" s="117"/>
      <c r="O84" s="117"/>
      <c r="P84" s="117"/>
      <c r="Q84" s="117"/>
      <c r="R84" s="117"/>
      <c r="S84" s="117"/>
    </row>
    <row r="85" customFormat="false" ht="15" hidden="false" customHeight="false" outlineLevel="0" collapsed="false">
      <c r="E85" s="117"/>
      <c r="L85" s="117"/>
      <c r="M85" s="117"/>
      <c r="N85" s="117"/>
      <c r="O85" s="117"/>
      <c r="P85" s="117"/>
      <c r="Q85" s="117"/>
      <c r="R85" s="117"/>
      <c r="S85" s="117"/>
    </row>
    <row r="86" customFormat="false" ht="15" hidden="false" customHeight="false" outlineLevel="0" collapsed="false">
      <c r="E86" s="117"/>
      <c r="L86" s="117"/>
      <c r="M86" s="117"/>
      <c r="N86" s="117"/>
      <c r="O86" s="117"/>
      <c r="P86" s="117"/>
      <c r="Q86" s="117"/>
      <c r="R86" s="117"/>
      <c r="S86" s="117"/>
    </row>
    <row r="87" customFormat="false" ht="15" hidden="false" customHeight="false" outlineLevel="0" collapsed="false">
      <c r="E87" s="117"/>
      <c r="L87" s="117"/>
      <c r="M87" s="117"/>
      <c r="N87" s="117"/>
      <c r="O87" s="117"/>
      <c r="P87" s="117"/>
      <c r="Q87" s="117"/>
      <c r="R87" s="117"/>
      <c r="S87" s="117"/>
    </row>
    <row r="88" customFormat="false" ht="15" hidden="false" customHeight="false" outlineLevel="0" collapsed="false">
      <c r="E88" s="117"/>
      <c r="L88" s="117"/>
      <c r="M88" s="117"/>
      <c r="N88" s="117"/>
      <c r="O88" s="117"/>
      <c r="P88" s="117"/>
      <c r="Q88" s="117"/>
      <c r="R88" s="117"/>
      <c r="S88" s="117"/>
    </row>
    <row r="89" customFormat="false" ht="15" hidden="false" customHeight="false" outlineLevel="0" collapsed="false">
      <c r="E89" s="117"/>
      <c r="L89" s="117"/>
      <c r="M89" s="117"/>
      <c r="N89" s="117"/>
      <c r="O89" s="117"/>
      <c r="P89" s="117"/>
      <c r="Q89" s="117"/>
      <c r="R89" s="117"/>
      <c r="S89" s="117"/>
    </row>
    <row r="90" customFormat="false" ht="15" hidden="false" customHeight="false" outlineLevel="0" collapsed="false">
      <c r="E90" s="117"/>
      <c r="L90" s="117"/>
      <c r="M90" s="117"/>
      <c r="N90" s="117"/>
      <c r="O90" s="117"/>
      <c r="P90" s="117"/>
      <c r="Q90" s="117"/>
      <c r="R90" s="117"/>
      <c r="S90" s="117"/>
    </row>
    <row r="91" customFormat="false" ht="15" hidden="false" customHeight="false" outlineLevel="0" collapsed="false">
      <c r="E91" s="117"/>
      <c r="L91" s="117"/>
      <c r="M91" s="117"/>
      <c r="N91" s="117"/>
      <c r="O91" s="117"/>
      <c r="P91" s="117"/>
      <c r="Q91" s="117"/>
      <c r="R91" s="117"/>
      <c r="S91" s="117"/>
    </row>
    <row r="92" customFormat="false" ht="15" hidden="true" customHeight="false" outlineLevel="0" collapsed="false">
      <c r="E92" s="117"/>
      <c r="L92" s="117"/>
      <c r="M92" s="117"/>
      <c r="N92" s="117"/>
      <c r="O92" s="117"/>
      <c r="P92" s="117"/>
      <c r="Q92" s="117"/>
      <c r="R92" s="117"/>
      <c r="S92" s="117"/>
    </row>
    <row r="93" customFormat="false" ht="15" hidden="true" customHeight="false" outlineLevel="0" collapsed="false">
      <c r="E93" s="117"/>
      <c r="L93" s="117"/>
      <c r="M93" s="117"/>
      <c r="N93" s="117"/>
      <c r="O93" s="117"/>
      <c r="P93" s="117"/>
      <c r="Q93" s="117"/>
      <c r="R93" s="117"/>
      <c r="S93" s="117"/>
    </row>
    <row r="94" customFormat="false" ht="15" hidden="true" customHeight="false" outlineLevel="0" collapsed="false">
      <c r="E94" s="117"/>
      <c r="L94" s="117"/>
      <c r="M94" s="117"/>
      <c r="N94" s="117"/>
      <c r="O94" s="117"/>
      <c r="P94" s="117"/>
      <c r="Q94" s="117"/>
      <c r="R94" s="117"/>
      <c r="S94" s="117"/>
    </row>
    <row r="95" customFormat="false" ht="15" hidden="true" customHeight="false" outlineLevel="0" collapsed="false">
      <c r="E95" s="117"/>
      <c r="L95" s="117"/>
      <c r="M95" s="117"/>
      <c r="N95" s="117"/>
      <c r="O95" s="117"/>
      <c r="P95" s="117"/>
      <c r="Q95" s="117"/>
      <c r="R95" s="117"/>
      <c r="S95" s="117"/>
    </row>
    <row r="96" customFormat="false" ht="15" hidden="true" customHeight="false" outlineLevel="0" collapsed="false">
      <c r="E96" s="117"/>
      <c r="L96" s="117"/>
      <c r="M96" s="117"/>
      <c r="N96" s="117"/>
      <c r="O96" s="117"/>
      <c r="P96" s="117"/>
      <c r="Q96" s="117"/>
      <c r="R96" s="117"/>
      <c r="S96" s="117"/>
    </row>
    <row r="97" customFormat="false" ht="15" hidden="false" customHeight="false" outlineLevel="0" collapsed="false">
      <c r="E97" s="117"/>
      <c r="L97" s="117"/>
      <c r="M97" s="117"/>
      <c r="N97" s="117"/>
      <c r="O97" s="117"/>
      <c r="P97" s="117"/>
      <c r="Q97" s="117"/>
      <c r="R97" s="117"/>
      <c r="S97" s="117"/>
    </row>
    <row r="98" customFormat="false" ht="15" hidden="false" customHeight="false" outlineLevel="0" collapsed="false">
      <c r="E98" s="117"/>
      <c r="L98" s="117"/>
      <c r="M98" s="117"/>
      <c r="N98" s="117"/>
      <c r="O98" s="117"/>
      <c r="P98" s="117"/>
      <c r="Q98" s="117"/>
      <c r="R98" s="117"/>
      <c r="S98" s="117"/>
    </row>
    <row r="99" customFormat="false" ht="15" hidden="false" customHeight="false" outlineLevel="0" collapsed="false">
      <c r="E99" s="117"/>
      <c r="L99" s="117"/>
      <c r="M99" s="117"/>
      <c r="N99" s="117"/>
      <c r="O99" s="117"/>
      <c r="P99" s="117"/>
      <c r="Q99" s="117"/>
      <c r="R99" s="117"/>
      <c r="S99" s="117"/>
    </row>
    <row r="100" customFormat="false" ht="15" hidden="false" customHeight="false" outlineLevel="0" collapsed="false">
      <c r="E100" s="117"/>
    </row>
    <row r="101" customFormat="false" ht="15" hidden="false" customHeight="false" outlineLevel="0" collapsed="false">
      <c r="E101" s="117"/>
    </row>
    <row r="102" customFormat="false" ht="15" hidden="false" customHeight="false" outlineLevel="0" collapsed="false">
      <c r="E102" s="117"/>
    </row>
    <row r="103" customFormat="false" ht="15" hidden="false" customHeight="false" outlineLevel="0" collapsed="false">
      <c r="E103" s="117"/>
    </row>
    <row r="104" customFormat="false" ht="15" hidden="false" customHeight="false" outlineLevel="0" collapsed="false">
      <c r="E104" s="117"/>
    </row>
    <row r="105" customFormat="false" ht="15" hidden="false" customHeight="false" outlineLevel="0" collapsed="false">
      <c r="E105" s="117"/>
    </row>
    <row r="106" customFormat="false" ht="15" hidden="false" customHeight="false" outlineLevel="0" collapsed="false">
      <c r="E106" s="117"/>
    </row>
    <row r="107" customFormat="false" ht="15" hidden="false" customHeight="false" outlineLevel="0" collapsed="false">
      <c r="E107" s="117"/>
    </row>
    <row r="108" customFormat="false" ht="15" hidden="false" customHeight="false" outlineLevel="0" collapsed="false">
      <c r="E108" s="117"/>
    </row>
    <row r="109" customFormat="false" ht="15" hidden="false" customHeight="false" outlineLevel="0" collapsed="false">
      <c r="E109" s="117"/>
    </row>
    <row r="110" customFormat="false" ht="15" hidden="false" customHeight="false" outlineLevel="0" collapsed="false">
      <c r="E110" s="117"/>
    </row>
    <row r="111" customFormat="false" ht="15" hidden="false" customHeight="false" outlineLevel="0" collapsed="false">
      <c r="E111" s="117"/>
    </row>
    <row r="112" customFormat="false" ht="15" hidden="false" customHeight="false" outlineLevel="0" collapsed="false">
      <c r="E112" s="117"/>
    </row>
    <row r="113" customFormat="false" ht="15" hidden="false" customHeight="false" outlineLevel="0" collapsed="false">
      <c r="E113" s="117"/>
    </row>
    <row r="114" customFormat="false" ht="15" hidden="false" customHeight="false" outlineLevel="0" collapsed="false">
      <c r="E114" s="117"/>
    </row>
    <row r="115" customFormat="false" ht="15" hidden="false" customHeight="false" outlineLevel="0" collapsed="false">
      <c r="E115" s="117"/>
    </row>
    <row r="116" customFormat="false" ht="15" hidden="false" customHeight="false" outlineLevel="0" collapsed="false">
      <c r="E116" s="117"/>
    </row>
    <row r="117" customFormat="false" ht="15" hidden="false" customHeight="false" outlineLevel="0" collapsed="false">
      <c r="E117" s="117"/>
    </row>
    <row r="118" customFormat="false" ht="15" hidden="false" customHeight="false" outlineLevel="0" collapsed="false">
      <c r="E118" s="117"/>
    </row>
    <row r="119" customFormat="false" ht="15" hidden="false" customHeight="false" outlineLevel="0" collapsed="false">
      <c r="E119" s="117"/>
    </row>
    <row r="120" customFormat="false" ht="15" hidden="false" customHeight="false" outlineLevel="0" collapsed="false">
      <c r="E120" s="117"/>
    </row>
    <row r="121" customFormat="false" ht="15" hidden="false" customHeight="false" outlineLevel="0" collapsed="false">
      <c r="E121" s="117"/>
    </row>
    <row r="122" customFormat="false" ht="15" hidden="false" customHeight="false" outlineLevel="0" collapsed="false">
      <c r="E122" s="117"/>
    </row>
    <row r="123" customFormat="false" ht="15" hidden="false" customHeight="false" outlineLevel="0" collapsed="false">
      <c r="E123" s="117"/>
    </row>
    <row r="124" customFormat="false" ht="15" hidden="false" customHeight="false" outlineLevel="0" collapsed="false">
      <c r="E124" s="117"/>
    </row>
    <row r="125" customFormat="false" ht="15" hidden="false" customHeight="false" outlineLevel="0" collapsed="false">
      <c r="E125" s="117"/>
    </row>
    <row r="126" customFormat="false" ht="15" hidden="false" customHeight="false" outlineLevel="0" collapsed="false">
      <c r="E126" s="117"/>
    </row>
    <row r="127" customFormat="false" ht="15" hidden="false" customHeight="false" outlineLevel="0" collapsed="false">
      <c r="E127" s="117"/>
    </row>
    <row r="128" customFormat="false" ht="15" hidden="false" customHeight="false" outlineLevel="0" collapsed="false">
      <c r="E128" s="117"/>
    </row>
    <row r="129" customFormat="false" ht="15" hidden="false" customHeight="false" outlineLevel="0" collapsed="false">
      <c r="E129" s="117"/>
    </row>
    <row r="130" customFormat="false" ht="15" hidden="false" customHeight="false" outlineLevel="0" collapsed="false">
      <c r="E130" s="117"/>
    </row>
    <row r="131" customFormat="false" ht="15" hidden="false" customHeight="false" outlineLevel="0" collapsed="false">
      <c r="E131" s="117"/>
    </row>
    <row r="132" customFormat="false" ht="15" hidden="false" customHeight="false" outlineLevel="0" collapsed="false">
      <c r="E132" s="117"/>
    </row>
    <row r="133" customFormat="false" ht="15" hidden="false" customHeight="false" outlineLevel="0" collapsed="false">
      <c r="E133" s="117"/>
    </row>
    <row r="134" customFormat="false" ht="15" hidden="false" customHeight="false" outlineLevel="0" collapsed="false">
      <c r="E134" s="117"/>
    </row>
    <row r="135" customFormat="false" ht="15" hidden="false" customHeight="false" outlineLevel="0" collapsed="false">
      <c r="E135" s="117"/>
    </row>
    <row r="136" customFormat="false" ht="15" hidden="false" customHeight="false" outlineLevel="0" collapsed="false">
      <c r="E136" s="117"/>
    </row>
    <row r="137" customFormat="false" ht="15" hidden="false" customHeight="false" outlineLevel="0" collapsed="false">
      <c r="E137" s="117"/>
    </row>
    <row r="138" customFormat="false" ht="15" hidden="false" customHeight="false" outlineLevel="0" collapsed="false">
      <c r="E138" s="117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V377"/>
  <sheetViews>
    <sheetView showFormulas="false" showGridLines="true" showRowColHeaders="true" showZeros="true" rightToLeft="false" tabSelected="false" showOutlineSymbols="true" defaultGridColor="true" view="normal" topLeftCell="A16" colorId="64" zoomScale="60" zoomScaleNormal="60" zoomScalePageLayoutView="100" workbookViewId="0">
      <selection pane="topLeft" activeCell="K27" activeCellId="0" sqref="K27"/>
    </sheetView>
  </sheetViews>
  <sheetFormatPr defaultColWidth="8.8359375" defaultRowHeight="15" zeroHeight="false" outlineLevelRow="0" outlineLevelCol="0"/>
  <cols>
    <col collapsed="false" customWidth="true" hidden="false" outlineLevel="0" max="1" min="1" style="66" width="13.66"/>
    <col collapsed="false" customWidth="true" hidden="false" outlineLevel="0" max="2" min="2" style="67" width="10.33"/>
    <col collapsed="false" customWidth="true" hidden="false" outlineLevel="0" max="4" min="3" style="68" width="18.17"/>
    <col collapsed="false" customWidth="true" hidden="false" outlineLevel="0" max="6" min="5" style="68" width="14"/>
    <col collapsed="false" customWidth="true" hidden="false" outlineLevel="0" max="7" min="7" style="66" width="13.51"/>
    <col collapsed="false" customWidth="true" hidden="false" outlineLevel="0" max="8" min="8" style="69" width="13.83"/>
    <col collapsed="false" customWidth="true" hidden="false" outlineLevel="0" max="10" min="9" style="70" width="14.33"/>
    <col collapsed="false" customWidth="true" hidden="false" outlineLevel="0" max="11" min="11" style="71" width="16.5"/>
    <col collapsed="false" customWidth="true" hidden="false" outlineLevel="0" max="12" min="12" style="70" width="9.17"/>
    <col collapsed="false" customWidth="true" hidden="false" outlineLevel="0" max="13" min="13" style="70" width="9.33"/>
    <col collapsed="false" customWidth="true" hidden="false" outlineLevel="0" max="14" min="14" style="70" width="15.17"/>
    <col collapsed="false" customWidth="true" hidden="false" outlineLevel="0" max="15" min="15" style="70" width="15.66"/>
    <col collapsed="false" customWidth="true" hidden="false" outlineLevel="0" max="16" min="16" style="70" width="13.83"/>
    <col collapsed="false" customWidth="true" hidden="false" outlineLevel="0" max="17" min="17" style="70" width="11.51"/>
    <col collapsed="false" customWidth="true" hidden="false" outlineLevel="0" max="18" min="18" style="70" width="12.83"/>
    <col collapsed="false" customWidth="true" hidden="false" outlineLevel="0" max="19" min="19" style="70" width="12.17"/>
  </cols>
  <sheetData>
    <row r="1" customFormat="false" ht="48" hidden="false" customHeight="false" outlineLevel="0" collapsed="false">
      <c r="A1" s="41" t="s">
        <v>25</v>
      </c>
      <c r="B1" s="72" t="s">
        <v>26</v>
      </c>
      <c r="C1" s="73" t="s">
        <v>27</v>
      </c>
      <c r="D1" s="73" t="s">
        <v>28</v>
      </c>
      <c r="E1" s="73" t="s">
        <v>29</v>
      </c>
      <c r="F1" s="73" t="s">
        <v>29</v>
      </c>
      <c r="G1" s="73" t="s">
        <v>30</v>
      </c>
      <c r="H1" s="74" t="s">
        <v>31</v>
      </c>
      <c r="I1" s="75" t="s">
        <v>32</v>
      </c>
      <c r="J1" s="76" t="s">
        <v>3</v>
      </c>
      <c r="L1" s="77" t="s">
        <v>33</v>
      </c>
      <c r="M1" s="78" t="s">
        <v>34</v>
      </c>
      <c r="N1" s="79" t="s">
        <v>27</v>
      </c>
      <c r="O1" s="79" t="s">
        <v>28</v>
      </c>
      <c r="P1" s="79" t="s">
        <v>29</v>
      </c>
      <c r="Q1" s="79" t="s">
        <v>30</v>
      </c>
      <c r="R1" s="80" t="s">
        <v>31</v>
      </c>
      <c r="S1" s="79" t="s">
        <v>35</v>
      </c>
    </row>
    <row r="2" customFormat="false" ht="15" hidden="false" customHeight="false" outlineLevel="0" collapsed="false">
      <c r="A2" s="81" t="n">
        <v>45089</v>
      </c>
      <c r="B2" s="81" t="s">
        <v>36</v>
      </c>
      <c r="C2" s="82"/>
      <c r="D2" s="82"/>
      <c r="E2" s="82"/>
      <c r="F2" s="82"/>
      <c r="G2" s="83"/>
      <c r="H2" s="84"/>
      <c r="I2" s="85"/>
      <c r="J2" s="86" t="s">
        <v>18</v>
      </c>
      <c r="K2" s="87"/>
      <c r="L2" s="148"/>
      <c r="M2" s="149" t="s">
        <v>37</v>
      </c>
      <c r="N2" s="150"/>
      <c r="O2" s="150"/>
      <c r="P2" s="150"/>
      <c r="Q2" s="151"/>
      <c r="R2" s="152"/>
      <c r="S2" s="153"/>
    </row>
    <row r="3" customFormat="false" ht="15.75" hidden="false" customHeight="false" outlineLevel="0" collapsed="false">
      <c r="A3" s="89" t="n">
        <v>0.402777777777778</v>
      </c>
      <c r="B3" s="154" t="s">
        <v>48</v>
      </c>
      <c r="C3" s="97" t="n">
        <v>50877480</v>
      </c>
      <c r="D3" s="75" t="n">
        <v>50899910</v>
      </c>
      <c r="E3" s="91" t="n">
        <f aca="false">SUM(D3-C3)</f>
        <v>22430</v>
      </c>
      <c r="F3" s="163" t="n">
        <v>22430</v>
      </c>
      <c r="G3" s="41" t="n">
        <v>0.8382</v>
      </c>
      <c r="H3" s="93" t="n">
        <f aca="false">SUM(G3*F3)</f>
        <v>18800.826</v>
      </c>
      <c r="I3" s="155" t="n">
        <v>388</v>
      </c>
      <c r="J3" s="29" t="n">
        <v>6640</v>
      </c>
      <c r="K3" s="94"/>
      <c r="L3" s="156" t="n">
        <v>0.451388888888889</v>
      </c>
      <c r="M3" s="157" t="s">
        <v>44</v>
      </c>
      <c r="N3" s="158" t="n">
        <v>7629180</v>
      </c>
      <c r="O3" s="159" t="n">
        <v>7629470</v>
      </c>
      <c r="P3" s="158" t="n">
        <f aca="false">SUM(O3-N3)</f>
        <v>290</v>
      </c>
      <c r="Q3" s="160" t="n">
        <v>0.8376</v>
      </c>
      <c r="R3" s="161" t="n">
        <f aca="false">SUM(Q3*P3)</f>
        <v>242.904</v>
      </c>
      <c r="S3" s="162" t="s">
        <v>98</v>
      </c>
      <c r="V3" s="0" t="s">
        <v>41</v>
      </c>
    </row>
    <row r="4" customFormat="false" ht="15.75" hidden="false" customHeight="false" outlineLevel="0" collapsed="false">
      <c r="A4" s="89" t="n">
        <v>0.416666666666667</v>
      </c>
      <c r="B4" s="90" t="s">
        <v>48</v>
      </c>
      <c r="C4" s="97" t="n">
        <f aca="false">SUM(D3)</f>
        <v>50899910</v>
      </c>
      <c r="D4" s="75" t="n">
        <v>50908880</v>
      </c>
      <c r="E4" s="91" t="n">
        <f aca="false">SUM(D4-C4)</f>
        <v>8970</v>
      </c>
      <c r="F4" s="108" t="n">
        <v>8970</v>
      </c>
      <c r="G4" s="41" t="n">
        <v>0.8382</v>
      </c>
      <c r="H4" s="93" t="n">
        <f aca="false">SUM(G4*F4)</f>
        <v>7518.654</v>
      </c>
      <c r="I4" s="155" t="n">
        <v>147</v>
      </c>
      <c r="J4" s="29" t="n">
        <v>6641</v>
      </c>
      <c r="K4" s="94"/>
      <c r="L4" s="156" t="n">
        <v>0.663194444444444</v>
      </c>
      <c r="M4" s="157" t="s">
        <v>48</v>
      </c>
      <c r="N4" s="158" t="n">
        <f aca="false">SUM(O3)</f>
        <v>7629470</v>
      </c>
      <c r="O4" s="159" t="n">
        <v>7629600</v>
      </c>
      <c r="P4" s="158" t="n">
        <f aca="false">SUM(O4-N4)</f>
        <v>130</v>
      </c>
      <c r="Q4" s="160" t="n">
        <v>0.8344</v>
      </c>
      <c r="R4" s="161" t="n">
        <f aca="false">SUM(Q4*P4)</f>
        <v>108.472</v>
      </c>
      <c r="S4" s="162" t="s">
        <v>45</v>
      </c>
    </row>
    <row r="5" customFormat="false" ht="15.75" hidden="false" customHeight="false" outlineLevel="0" collapsed="false">
      <c r="A5" s="89" t="n">
        <v>0.444444444444444</v>
      </c>
      <c r="B5" s="90" t="s">
        <v>48</v>
      </c>
      <c r="C5" s="97" t="n">
        <f aca="false">SUM(D4)</f>
        <v>50908880</v>
      </c>
      <c r="D5" s="75" t="n">
        <v>50919240</v>
      </c>
      <c r="E5" s="91" t="n">
        <f aca="false">SUM(D5-C5)</f>
        <v>10360</v>
      </c>
      <c r="F5" s="108" t="n">
        <v>10360</v>
      </c>
      <c r="G5" s="41" t="n">
        <v>0.8382</v>
      </c>
      <c r="H5" s="93" t="n">
        <f aca="false">SUM(G5*F5)</f>
        <v>8683.752</v>
      </c>
      <c r="I5" s="155" t="n">
        <v>248</v>
      </c>
      <c r="J5" s="29" t="n">
        <v>6645</v>
      </c>
      <c r="K5" s="94"/>
      <c r="L5" s="156" t="n">
        <v>0.920138888888889</v>
      </c>
      <c r="M5" s="157" t="s">
        <v>39</v>
      </c>
      <c r="N5" s="158" t="n">
        <f aca="false">SUM(O4)</f>
        <v>7629600</v>
      </c>
      <c r="O5" s="159" t="n">
        <v>7629640</v>
      </c>
      <c r="P5" s="158" t="n">
        <f aca="false">SUM(O5-N5)</f>
        <v>40</v>
      </c>
      <c r="Q5" s="160" t="n">
        <v>0.8349</v>
      </c>
      <c r="R5" s="161" t="n">
        <f aca="false">SUM(Q5*P5)</f>
        <v>33.396</v>
      </c>
      <c r="S5" s="162" t="s">
        <v>47</v>
      </c>
    </row>
    <row r="6" customFormat="false" ht="15.75" hidden="false" customHeight="false" outlineLevel="0" collapsed="false">
      <c r="A6" s="89" t="n">
        <v>0.479166666666667</v>
      </c>
      <c r="B6" s="138" t="s">
        <v>66</v>
      </c>
      <c r="C6" s="97" t="n">
        <f aca="false">SUM(D5)</f>
        <v>50919240</v>
      </c>
      <c r="D6" s="75" t="n">
        <v>50930190</v>
      </c>
      <c r="E6" s="91" t="n">
        <f aca="false">SUM(D6-C6)</f>
        <v>10950</v>
      </c>
      <c r="F6" s="163" t="n">
        <v>10950</v>
      </c>
      <c r="G6" s="41" t="n">
        <v>0.8394</v>
      </c>
      <c r="H6" s="93" t="n">
        <f aca="false">SUM(G6*F6)</f>
        <v>9191.43</v>
      </c>
      <c r="I6" s="164" t="n">
        <v>388</v>
      </c>
      <c r="J6" s="29" t="n">
        <v>6648</v>
      </c>
      <c r="K6" s="94"/>
      <c r="L6" s="156" t="n">
        <v>0.930555555555555</v>
      </c>
      <c r="M6" s="157" t="s">
        <v>38</v>
      </c>
      <c r="N6" s="158" t="n">
        <f aca="false">SUM(O5)</f>
        <v>7629640</v>
      </c>
      <c r="O6" s="159" t="n">
        <v>7629680</v>
      </c>
      <c r="P6" s="158" t="n">
        <f aca="false">SUM(O6-N6)</f>
        <v>40</v>
      </c>
      <c r="Q6" s="167" t="n">
        <v>0.8352</v>
      </c>
      <c r="R6" s="161" t="n">
        <f aca="false">SUM(Q6*P6)</f>
        <v>33.408</v>
      </c>
      <c r="S6" s="162" t="s">
        <v>42</v>
      </c>
    </row>
    <row r="7" customFormat="false" ht="15.75" hidden="false" customHeight="false" outlineLevel="0" collapsed="false">
      <c r="A7" s="89" t="n">
        <v>0.545138888888889</v>
      </c>
      <c r="B7" s="90" t="s">
        <v>66</v>
      </c>
      <c r="C7" s="97" t="n">
        <f aca="false">SUM(D6)</f>
        <v>50930190</v>
      </c>
      <c r="D7" s="75" t="n">
        <v>50947220</v>
      </c>
      <c r="E7" s="91" t="n">
        <f aca="false">SUM(D7-C7)</f>
        <v>17030</v>
      </c>
      <c r="F7" s="128" t="n">
        <v>17019</v>
      </c>
      <c r="G7" s="41" t="n">
        <v>0.8394</v>
      </c>
      <c r="H7" s="93" t="n">
        <f aca="false">SUM(G7*F7)</f>
        <v>14285.7486</v>
      </c>
      <c r="I7" s="164" t="n">
        <v>251</v>
      </c>
      <c r="J7" s="29" t="n">
        <v>6650</v>
      </c>
      <c r="K7" s="94"/>
      <c r="L7" s="170"/>
      <c r="M7" s="104"/>
      <c r="N7" s="99" t="n">
        <f aca="false">SUM(O6)</f>
        <v>7629680</v>
      </c>
      <c r="O7" s="171"/>
      <c r="P7" s="99" t="n">
        <f aca="false">SUM(O7-N7)</f>
        <v>-7629680</v>
      </c>
      <c r="Q7" s="198"/>
      <c r="R7" s="101" t="n">
        <f aca="false">SUM(Q7*P7)</f>
        <v>0</v>
      </c>
      <c r="S7" s="102"/>
    </row>
    <row r="8" customFormat="false" ht="15.75" hidden="false" customHeight="false" outlineLevel="0" collapsed="false">
      <c r="A8" s="89" t="n">
        <v>0.559027777777778</v>
      </c>
      <c r="B8" s="90" t="s">
        <v>66</v>
      </c>
      <c r="C8" s="97" t="n">
        <f aca="false">SUM(D7)</f>
        <v>50947220</v>
      </c>
      <c r="D8" s="75" t="n">
        <v>50969640</v>
      </c>
      <c r="E8" s="91" t="n">
        <f aca="false">SUM(D8-C8)</f>
        <v>22420</v>
      </c>
      <c r="F8" s="163" t="n">
        <v>22430</v>
      </c>
      <c r="G8" s="41" t="n">
        <v>0.8394</v>
      </c>
      <c r="H8" s="93" t="n">
        <f aca="false">SUM(G8*F8)</f>
        <v>18827.742</v>
      </c>
      <c r="I8" s="164" t="n">
        <v>388</v>
      </c>
      <c r="J8" s="29" t="n">
        <v>6651</v>
      </c>
      <c r="K8" s="94"/>
      <c r="L8" s="95"/>
      <c r="M8" s="96"/>
      <c r="N8" s="99" t="n">
        <f aca="false">SUM(O7)</f>
        <v>0</v>
      </c>
      <c r="O8" s="98"/>
      <c r="P8" s="99" t="n">
        <f aca="false">SUM(O8-N8)</f>
        <v>0</v>
      </c>
      <c r="Q8" s="100"/>
      <c r="R8" s="101" t="n">
        <f aca="false">SUM(Q8*P8)</f>
        <v>0</v>
      </c>
      <c r="S8" s="1"/>
    </row>
    <row r="9" customFormat="false" ht="15.75" hidden="false" customHeight="false" outlineLevel="0" collapsed="false">
      <c r="A9" s="89" t="n">
        <v>0.711805555555555</v>
      </c>
      <c r="B9" s="90" t="s">
        <v>66</v>
      </c>
      <c r="C9" s="97" t="n">
        <f aca="false">SUM(D8)</f>
        <v>50969640</v>
      </c>
      <c r="D9" s="75" t="n">
        <v>50981110</v>
      </c>
      <c r="E9" s="91" t="n">
        <f aca="false">SUM(D9-C9)</f>
        <v>11470</v>
      </c>
      <c r="F9" s="163" t="n">
        <v>11480</v>
      </c>
      <c r="G9" s="41" t="n">
        <v>0.839</v>
      </c>
      <c r="H9" s="93" t="n">
        <f aca="false">SUM(G9*F9)</f>
        <v>9631.72</v>
      </c>
      <c r="I9" s="164" t="n">
        <v>388</v>
      </c>
      <c r="J9" s="29" t="n">
        <v>6655</v>
      </c>
      <c r="K9" s="94"/>
      <c r="L9" s="95"/>
      <c r="M9" s="96"/>
      <c r="N9" s="99" t="n">
        <f aca="false">SUM(O8)</f>
        <v>0</v>
      </c>
      <c r="O9" s="98"/>
      <c r="P9" s="99" t="n">
        <f aca="false">SUM(O9-N9)</f>
        <v>0</v>
      </c>
      <c r="Q9" s="100"/>
      <c r="R9" s="101" t="n">
        <f aca="false">SUM(Q9*P9)</f>
        <v>0</v>
      </c>
      <c r="S9" s="1"/>
    </row>
    <row r="10" customFormat="false" ht="15.75" hidden="false" customHeight="false" outlineLevel="0" collapsed="false">
      <c r="A10" s="89" t="n">
        <v>0.711805555555555</v>
      </c>
      <c r="B10" s="124" t="s">
        <v>39</v>
      </c>
      <c r="C10" s="97" t="n">
        <f aca="false">SUM(D9)</f>
        <v>50981110</v>
      </c>
      <c r="D10" s="75" t="n">
        <v>50992060</v>
      </c>
      <c r="E10" s="91" t="n">
        <f aca="false">SUM(D10-C10)</f>
        <v>10950</v>
      </c>
      <c r="F10" s="163" t="n">
        <v>10950</v>
      </c>
      <c r="G10" s="41" t="n">
        <v>0.8349</v>
      </c>
      <c r="H10" s="93" t="n">
        <f aca="false">SUM(G10*F10)</f>
        <v>9142.155</v>
      </c>
      <c r="I10" s="166" t="n">
        <v>388</v>
      </c>
      <c r="J10" s="29" t="n">
        <v>6655</v>
      </c>
      <c r="K10" s="94"/>
      <c r="L10" s="95"/>
      <c r="M10" s="96"/>
      <c r="N10" s="99" t="n">
        <f aca="false">SUM(O9)</f>
        <v>0</v>
      </c>
      <c r="O10" s="98"/>
      <c r="P10" s="99" t="n">
        <f aca="false">SUM(O10-N10)</f>
        <v>0</v>
      </c>
      <c r="Q10" s="100"/>
      <c r="R10" s="101" t="n">
        <f aca="false">SUM(Q10*P10)</f>
        <v>0</v>
      </c>
      <c r="S10" s="102"/>
    </row>
    <row r="11" customFormat="false" ht="15.75" hidden="false" customHeight="false" outlineLevel="0" collapsed="false">
      <c r="A11" s="89" t="n">
        <v>0.774305555555555</v>
      </c>
      <c r="B11" s="90" t="s">
        <v>39</v>
      </c>
      <c r="C11" s="97" t="n">
        <f aca="false">SUM(D10)</f>
        <v>50992060</v>
      </c>
      <c r="D11" s="75" t="n">
        <v>51014480</v>
      </c>
      <c r="E11" s="91" t="n">
        <f aca="false">SUM(D11-C11)</f>
        <v>22420</v>
      </c>
      <c r="F11" s="163" t="n">
        <v>22430</v>
      </c>
      <c r="G11" s="41" t="n">
        <v>0.8349</v>
      </c>
      <c r="H11" s="93" t="n">
        <f aca="false">SUM(G11*F11)</f>
        <v>18726.807</v>
      </c>
      <c r="I11" s="166" t="n">
        <v>388</v>
      </c>
      <c r="J11" s="29" t="n">
        <v>6658</v>
      </c>
      <c r="K11" s="94"/>
      <c r="L11" s="95"/>
      <c r="M11" s="96"/>
      <c r="N11" s="99" t="n">
        <f aca="false">SUM(O10)</f>
        <v>0</v>
      </c>
      <c r="O11" s="98"/>
      <c r="P11" s="99" t="n">
        <f aca="false">SUM(O11-N11)</f>
        <v>0</v>
      </c>
      <c r="Q11" s="100"/>
      <c r="R11" s="101" t="n">
        <f aca="false">SUM(Q11*P11)</f>
        <v>0</v>
      </c>
      <c r="S11" s="1"/>
    </row>
    <row r="12" customFormat="false" ht="15.75" hidden="false" customHeight="false" outlineLevel="0" collapsed="false">
      <c r="A12" s="89" t="n">
        <v>0.833333333333333</v>
      </c>
      <c r="B12" s="90" t="s">
        <v>39</v>
      </c>
      <c r="C12" s="97" t="n">
        <f aca="false">SUM(D11)</f>
        <v>51014480</v>
      </c>
      <c r="D12" s="75" t="n">
        <v>51036900</v>
      </c>
      <c r="E12" s="91" t="n">
        <f aca="false">SUM(D12-C12)</f>
        <v>22420</v>
      </c>
      <c r="F12" s="163" t="n">
        <v>22430</v>
      </c>
      <c r="G12" s="41" t="n">
        <v>0.8349</v>
      </c>
      <c r="H12" s="93" t="n">
        <f aca="false">SUM(G12*F12)</f>
        <v>18726.807</v>
      </c>
      <c r="I12" s="166" t="n">
        <v>388</v>
      </c>
      <c r="J12" s="29" t="n">
        <v>6660</v>
      </c>
      <c r="K12" s="94"/>
      <c r="L12" s="95"/>
      <c r="M12" s="96"/>
      <c r="N12" s="99" t="n">
        <f aca="false">SUM(O11)</f>
        <v>0</v>
      </c>
      <c r="O12" s="98"/>
      <c r="P12" s="99" t="n">
        <f aca="false">SUM(O12-N12)</f>
        <v>0</v>
      </c>
      <c r="Q12" s="100"/>
      <c r="R12" s="101" t="n">
        <f aca="false">SUM(Q12*P12)</f>
        <v>0</v>
      </c>
      <c r="S12" s="1"/>
    </row>
    <row r="13" customFormat="false" ht="15.75" hidden="false" customHeight="false" outlineLevel="0" collapsed="false">
      <c r="A13" s="89" t="n">
        <v>0.895833333333333</v>
      </c>
      <c r="B13" s="90" t="s">
        <v>39</v>
      </c>
      <c r="C13" s="97" t="n">
        <f aca="false">SUM(D12)</f>
        <v>51036900</v>
      </c>
      <c r="D13" s="75" t="n">
        <v>51047040</v>
      </c>
      <c r="E13" s="91" t="n">
        <f aca="false">SUM(D13-C13)</f>
        <v>10140</v>
      </c>
      <c r="F13" s="108" t="n">
        <v>10159</v>
      </c>
      <c r="G13" s="41" t="n">
        <v>0.8349</v>
      </c>
      <c r="H13" s="93" t="n">
        <f aca="false">SUM(G13*F13)</f>
        <v>8481.7491</v>
      </c>
      <c r="I13" s="166" t="n">
        <v>147</v>
      </c>
      <c r="J13" s="29" t="n">
        <v>6663</v>
      </c>
      <c r="K13" s="94"/>
      <c r="L13" s="95"/>
      <c r="M13" s="96"/>
      <c r="N13" s="99" t="n">
        <f aca="false">SUM(O12)</f>
        <v>0</v>
      </c>
      <c r="O13" s="98"/>
      <c r="P13" s="99" t="n">
        <f aca="false">SUM(O13-N13)</f>
        <v>0</v>
      </c>
      <c r="Q13" s="100"/>
      <c r="R13" s="101" t="n">
        <f aca="false">SUM(Q13*P13)</f>
        <v>0</v>
      </c>
      <c r="S13" s="1"/>
    </row>
    <row r="14" customFormat="false" ht="15.75" hidden="false" customHeight="false" outlineLevel="0" collapsed="false">
      <c r="A14" s="89" t="n">
        <v>0.930555555555555</v>
      </c>
      <c r="B14" s="121" t="s">
        <v>38</v>
      </c>
      <c r="C14" s="97" t="n">
        <f aca="false">SUM(D13)</f>
        <v>51047040</v>
      </c>
      <c r="D14" s="75" t="n">
        <v>51058520</v>
      </c>
      <c r="E14" s="91" t="n">
        <f aca="false">SUM(D14-C14)</f>
        <v>11480</v>
      </c>
      <c r="F14" s="163" t="n">
        <v>11480</v>
      </c>
      <c r="G14" s="41" t="n">
        <v>0.8349</v>
      </c>
      <c r="H14" s="93" t="n">
        <f aca="false">SUM(G14*F14)</f>
        <v>9584.652</v>
      </c>
      <c r="I14" s="173" t="n">
        <v>388</v>
      </c>
      <c r="J14" s="29" t="n">
        <v>6667</v>
      </c>
      <c r="K14" s="94"/>
      <c r="L14" s="95"/>
      <c r="M14" s="96"/>
      <c r="N14" s="99" t="n">
        <f aca="false">SUM(O13)</f>
        <v>0</v>
      </c>
      <c r="O14" s="98"/>
      <c r="P14" s="99" t="n">
        <f aca="false">SUM(O14-N14)</f>
        <v>0</v>
      </c>
      <c r="Q14" s="100"/>
      <c r="R14" s="101" t="n">
        <f aca="false">SUM(Q14*P14)</f>
        <v>0</v>
      </c>
      <c r="S14" s="1"/>
    </row>
    <row r="15" customFormat="false" ht="15.75" hidden="false" customHeight="false" outlineLevel="0" collapsed="false">
      <c r="A15" s="89" t="n">
        <v>0.975694444444444</v>
      </c>
      <c r="B15" s="90" t="s">
        <v>38</v>
      </c>
      <c r="C15" s="97" t="n">
        <f aca="false">SUM(D14)</f>
        <v>51058520</v>
      </c>
      <c r="D15" s="75" t="n">
        <v>51080940</v>
      </c>
      <c r="E15" s="91" t="n">
        <f aca="false">SUM(D15-C15)</f>
        <v>22420</v>
      </c>
      <c r="F15" s="163" t="n">
        <v>22430</v>
      </c>
      <c r="G15" s="41" t="n">
        <v>0.8349</v>
      </c>
      <c r="H15" s="93" t="n">
        <f aca="false">SUM(G15*F15)</f>
        <v>18726.807</v>
      </c>
      <c r="I15" s="173" t="n">
        <v>388</v>
      </c>
      <c r="J15" s="29" t="n">
        <v>6669</v>
      </c>
      <c r="K15" s="94"/>
      <c r="L15" s="95"/>
      <c r="M15" s="96"/>
      <c r="N15" s="99" t="n">
        <f aca="false">SUM(O14)</f>
        <v>0</v>
      </c>
      <c r="O15" s="98"/>
      <c r="P15" s="99" t="n">
        <f aca="false">SUM(O15-N15)</f>
        <v>0</v>
      </c>
      <c r="Q15" s="100"/>
      <c r="R15" s="101" t="n">
        <f aca="false">SUM(Q15*P15)</f>
        <v>0</v>
      </c>
      <c r="S15" s="1"/>
    </row>
    <row r="16" customFormat="false" ht="15.75" hidden="false" customHeight="false" outlineLevel="0" collapsed="false">
      <c r="A16" s="89" t="n">
        <v>0.0520833333333333</v>
      </c>
      <c r="B16" s="90" t="s">
        <v>38</v>
      </c>
      <c r="C16" s="97" t="n">
        <f aca="false">SUM(D15)</f>
        <v>51080940</v>
      </c>
      <c r="D16" s="75" t="n">
        <v>51097970</v>
      </c>
      <c r="E16" s="91" t="n">
        <f aca="false">SUM(D16-C16)</f>
        <v>17030</v>
      </c>
      <c r="F16" s="128" t="n">
        <v>17019</v>
      </c>
      <c r="G16" s="41" t="n">
        <v>0.8355</v>
      </c>
      <c r="H16" s="93" t="n">
        <f aca="false">SUM(G16*F16)</f>
        <v>14219.3745</v>
      </c>
      <c r="I16" s="173" t="n">
        <v>251</v>
      </c>
      <c r="J16" s="29" t="n">
        <v>6671</v>
      </c>
      <c r="K16" s="94"/>
      <c r="L16" s="95"/>
      <c r="M16" s="104"/>
      <c r="N16" s="99" t="n">
        <f aca="false">SUM(O15)</f>
        <v>0</v>
      </c>
      <c r="O16" s="98"/>
      <c r="P16" s="99" t="n">
        <f aca="false">SUM(O16-N16)</f>
        <v>0</v>
      </c>
      <c r="Q16" s="41"/>
      <c r="R16" s="101" t="n">
        <f aca="false">SUM(Q16*P16)</f>
        <v>0</v>
      </c>
      <c r="S16" s="102"/>
    </row>
    <row r="17" customFormat="false" ht="15.75" hidden="false" customHeight="false" outlineLevel="0" collapsed="false">
      <c r="A17" s="89" t="n">
        <v>0.142361111111111</v>
      </c>
      <c r="B17" s="90" t="s">
        <v>38</v>
      </c>
      <c r="C17" s="97" t="n">
        <f aca="false">SUM(D16)</f>
        <v>51097970</v>
      </c>
      <c r="D17" s="75" t="n">
        <v>51114990</v>
      </c>
      <c r="E17" s="91" t="n">
        <f aca="false">SUM(D17-C17)</f>
        <v>17020</v>
      </c>
      <c r="F17" s="128" t="n">
        <v>17019</v>
      </c>
      <c r="G17" s="41" t="n">
        <v>0.8355</v>
      </c>
      <c r="H17" s="93" t="n">
        <f aca="false">SUM(G17*F17)</f>
        <v>14219.3745</v>
      </c>
      <c r="I17" s="173" t="n">
        <v>251</v>
      </c>
      <c r="J17" s="29" t="n">
        <v>6675</v>
      </c>
      <c r="K17" s="94"/>
      <c r="L17" s="148"/>
      <c r="M17" s="148" t="s">
        <v>49</v>
      </c>
      <c r="N17" s="150"/>
      <c r="O17" s="150"/>
      <c r="P17" s="150"/>
      <c r="Q17" s="151"/>
      <c r="R17" s="152"/>
      <c r="S17" s="153"/>
    </row>
    <row r="18" customFormat="false" ht="15.75" hidden="false" customHeight="false" outlineLevel="0" collapsed="false">
      <c r="A18" s="89" t="n">
        <v>0.190972222222222</v>
      </c>
      <c r="B18" s="90" t="s">
        <v>38</v>
      </c>
      <c r="C18" s="97" t="n">
        <f aca="false">SUM(D17)</f>
        <v>51114990</v>
      </c>
      <c r="D18" s="75" t="n">
        <v>51137410</v>
      </c>
      <c r="E18" s="91" t="n">
        <f aca="false">SUM(D18-C18)</f>
        <v>22420</v>
      </c>
      <c r="F18" s="163" t="n">
        <v>22430</v>
      </c>
      <c r="G18" s="41" t="n">
        <v>0.8355</v>
      </c>
      <c r="H18" s="93" t="n">
        <f aca="false">SUM(G18*F18)</f>
        <v>18740.265</v>
      </c>
      <c r="I18" s="173" t="n">
        <v>388</v>
      </c>
      <c r="J18" s="29" t="n">
        <v>6676</v>
      </c>
      <c r="K18" s="94"/>
      <c r="L18" s="156" t="n">
        <v>0.475694444444444</v>
      </c>
      <c r="M18" s="157" t="s">
        <v>55</v>
      </c>
      <c r="N18" s="207" t="n">
        <v>3440760</v>
      </c>
      <c r="O18" s="159" t="n">
        <v>3440790</v>
      </c>
      <c r="P18" s="208" t="n">
        <f aca="false">SUM(O18-N18)</f>
        <v>30</v>
      </c>
      <c r="Q18" s="167" t="n">
        <v>0.834</v>
      </c>
      <c r="R18" s="161" t="n">
        <f aca="false">SUM(Q18*P18)</f>
        <v>25.02</v>
      </c>
      <c r="S18" s="162" t="s">
        <v>69</v>
      </c>
      <c r="T18" s="0" t="s">
        <v>41</v>
      </c>
    </row>
    <row r="19" customFormat="false" ht="15.75" hidden="false" customHeight="false" outlineLevel="0" collapsed="false">
      <c r="A19" s="89" t="n">
        <v>0.25</v>
      </c>
      <c r="B19" s="90" t="s">
        <v>39</v>
      </c>
      <c r="C19" s="97" t="n">
        <f aca="false">SUM(D18)</f>
        <v>51137410</v>
      </c>
      <c r="D19" s="75" t="n">
        <v>51159850</v>
      </c>
      <c r="E19" s="91" t="n">
        <f aca="false">SUM(D19-C19)</f>
        <v>22440</v>
      </c>
      <c r="F19" s="163" t="n">
        <v>22430</v>
      </c>
      <c r="G19" s="41" t="n">
        <v>0.8367</v>
      </c>
      <c r="H19" s="93" t="n">
        <f aca="false">SUM(G19*F19)</f>
        <v>18767.181</v>
      </c>
      <c r="I19" s="166" t="n">
        <v>388</v>
      </c>
      <c r="J19" s="29" t="n">
        <v>6678</v>
      </c>
      <c r="K19" s="94"/>
      <c r="L19" s="170"/>
      <c r="M19" s="104"/>
      <c r="N19" s="99" t="n">
        <v>0</v>
      </c>
      <c r="O19" s="171"/>
      <c r="P19" s="209" t="n">
        <f aca="false">SUM(O19-N19)</f>
        <v>0</v>
      </c>
      <c r="Q19" s="198"/>
      <c r="R19" s="101" t="n">
        <f aca="false">SUM(Q19*P19)</f>
        <v>0</v>
      </c>
      <c r="S19" s="102"/>
    </row>
    <row r="20" customFormat="false" ht="15.75" hidden="false" customHeight="false" outlineLevel="0" collapsed="false">
      <c r="A20" s="89" t="n">
        <v>0.319444444444444</v>
      </c>
      <c r="B20" s="90" t="s">
        <v>39</v>
      </c>
      <c r="C20" s="97" t="n">
        <f aca="false">SUM(D19)</f>
        <v>51159850</v>
      </c>
      <c r="D20" s="75" t="n">
        <v>51182270</v>
      </c>
      <c r="E20" s="91" t="n">
        <f aca="false">SUM(D20-C20)</f>
        <v>22420</v>
      </c>
      <c r="F20" s="163" t="n">
        <v>22430</v>
      </c>
      <c r="G20" s="41" t="n">
        <v>0.8367</v>
      </c>
      <c r="H20" s="93" t="n">
        <f aca="false">SUM(G20*F20)</f>
        <v>18767.181</v>
      </c>
      <c r="I20" s="166" t="n">
        <v>388</v>
      </c>
      <c r="J20" s="29" t="n">
        <v>6681</v>
      </c>
      <c r="K20" s="94"/>
      <c r="L20" s="95"/>
      <c r="M20" s="104"/>
      <c r="N20" s="97" t="n">
        <f aca="false">SUM(O19)</f>
        <v>0</v>
      </c>
      <c r="O20" s="98"/>
      <c r="P20" s="108" t="n">
        <f aca="false">SUM(O20-N20)</f>
        <v>0</v>
      </c>
      <c r="Q20" s="41"/>
      <c r="R20" s="93" t="n">
        <f aca="false">SUM(Q20*P20)</f>
        <v>0</v>
      </c>
      <c r="S20" s="102"/>
    </row>
    <row r="21" customFormat="false" ht="15" hidden="false" customHeight="false" outlineLevel="0" collapsed="false">
      <c r="A21" s="89"/>
      <c r="B21" s="90"/>
      <c r="C21" s="97" t="n">
        <v>0</v>
      </c>
      <c r="D21" s="75"/>
      <c r="E21" s="91" t="n">
        <f aca="false">SUM(D21-C21)</f>
        <v>0</v>
      </c>
      <c r="F21" s="108" t="n">
        <f aca="false">SUM(D21-C21)</f>
        <v>0</v>
      </c>
      <c r="G21" s="41"/>
      <c r="H21" s="93" t="n">
        <f aca="false">SUM(G21*F21)</f>
        <v>0</v>
      </c>
      <c r="I21" s="1"/>
      <c r="J21" s="29"/>
      <c r="K21" s="94"/>
      <c r="L21" s="95"/>
      <c r="M21" s="104"/>
      <c r="N21" s="97" t="n">
        <f aca="false">SUM(O20)</f>
        <v>0</v>
      </c>
      <c r="O21" s="98"/>
      <c r="P21" s="108" t="n">
        <f aca="false">SUM(O21-N21)</f>
        <v>0</v>
      </c>
      <c r="Q21" s="41"/>
      <c r="R21" s="93" t="n">
        <f aca="false">SUM(Q21*P21)</f>
        <v>0</v>
      </c>
      <c r="S21" s="102"/>
    </row>
    <row r="22" customFormat="false" ht="15" hidden="false" customHeight="false" outlineLevel="0" collapsed="false">
      <c r="A22" s="89"/>
      <c r="B22" s="90"/>
      <c r="C22" s="97" t="n">
        <f aca="false">SUM(D21)</f>
        <v>0</v>
      </c>
      <c r="D22" s="75"/>
      <c r="E22" s="91" t="n">
        <f aca="false">SUM(D22-C22)</f>
        <v>0</v>
      </c>
      <c r="F22" s="108" t="n">
        <f aca="false">SUM(D22-C22)</f>
        <v>0</v>
      </c>
      <c r="G22" s="41"/>
      <c r="H22" s="93" t="n">
        <f aca="false">SUM(G22*F22)</f>
        <v>0</v>
      </c>
      <c r="I22" s="1"/>
      <c r="J22" s="29"/>
      <c r="K22" s="94"/>
      <c r="L22" s="95"/>
      <c r="M22" s="104"/>
      <c r="N22" s="97" t="n">
        <f aca="false">SUM(O21)</f>
        <v>0</v>
      </c>
      <c r="O22" s="98"/>
      <c r="P22" s="108" t="n">
        <f aca="false">SUM(O22-N22)</f>
        <v>0</v>
      </c>
      <c r="Q22" s="41"/>
      <c r="R22" s="93" t="n">
        <f aca="false">SUM(Q22*P22)</f>
        <v>0</v>
      </c>
      <c r="S22" s="102"/>
    </row>
    <row r="23" customFormat="false" ht="15" hidden="false" customHeight="false" outlineLevel="0" collapsed="false">
      <c r="A23" s="89"/>
      <c r="B23" s="90"/>
      <c r="C23" s="97" t="n">
        <f aca="false">SUM(D22)</f>
        <v>0</v>
      </c>
      <c r="D23" s="75"/>
      <c r="E23" s="91" t="n">
        <f aca="false">SUM(D23-C23)</f>
        <v>0</v>
      </c>
      <c r="F23" s="108" t="n">
        <f aca="false">SUM(D23-C23)</f>
        <v>0</v>
      </c>
      <c r="G23" s="41"/>
      <c r="H23" s="93" t="n">
        <f aca="false">SUM(G23*F23)</f>
        <v>0</v>
      </c>
      <c r="I23" s="1"/>
      <c r="J23" s="29"/>
      <c r="K23" s="94"/>
      <c r="L23" s="95"/>
      <c r="M23" s="104"/>
      <c r="N23" s="97" t="n">
        <f aca="false">SUM(O22)</f>
        <v>0</v>
      </c>
      <c r="O23" s="98"/>
      <c r="P23" s="108" t="n">
        <f aca="false">SUM(O23-N23)</f>
        <v>0</v>
      </c>
      <c r="Q23" s="41"/>
      <c r="R23" s="93" t="n">
        <f aca="false">SUM(Q23*P23)</f>
        <v>0</v>
      </c>
      <c r="S23" s="102"/>
    </row>
    <row r="24" customFormat="false" ht="15" hidden="false" customHeight="false" outlineLevel="0" collapsed="false">
      <c r="A24" s="89"/>
      <c r="B24" s="90"/>
      <c r="C24" s="97" t="n">
        <f aca="false">SUM(D23)</f>
        <v>0</v>
      </c>
      <c r="D24" s="75"/>
      <c r="E24" s="91" t="n">
        <f aca="false">SUM(D24-C24)</f>
        <v>0</v>
      </c>
      <c r="F24" s="130" t="n">
        <f aca="false">SUM(D24-C24)</f>
        <v>0</v>
      </c>
      <c r="G24" s="41"/>
      <c r="H24" s="131" t="n">
        <f aca="false">SUM(G24*F24)</f>
        <v>0</v>
      </c>
      <c r="I24" s="1"/>
      <c r="J24" s="29"/>
      <c r="K24" s="94"/>
      <c r="L24" s="95"/>
      <c r="M24" s="104"/>
      <c r="N24" s="97" t="n">
        <f aca="false">SUM(O23)</f>
        <v>0</v>
      </c>
      <c r="O24" s="98"/>
      <c r="P24" s="108" t="n">
        <f aca="false">SUM(O24-N24)</f>
        <v>0</v>
      </c>
      <c r="Q24" s="41"/>
      <c r="R24" s="93" t="n">
        <f aca="false">SUM(Q24*P24)</f>
        <v>0</v>
      </c>
      <c r="S24" s="102"/>
    </row>
    <row r="25" customFormat="false" ht="15" hidden="false" customHeight="false" outlineLevel="0" collapsed="false">
      <c r="A25" s="89"/>
      <c r="B25" s="90"/>
      <c r="C25" s="97" t="n">
        <f aca="false">SUM(D24)</f>
        <v>0</v>
      </c>
      <c r="D25" s="75"/>
      <c r="E25" s="109" t="n">
        <f aca="false">SUM(D25-C25)</f>
        <v>0</v>
      </c>
      <c r="F25" s="174" t="n">
        <v>304846</v>
      </c>
      <c r="G25" s="133"/>
      <c r="H25" s="175" t="n">
        <v>255042</v>
      </c>
      <c r="I25" s="135"/>
      <c r="J25" s="29"/>
      <c r="K25" s="94"/>
      <c r="L25" s="95"/>
      <c r="M25" s="96"/>
      <c r="N25" s="97" t="n">
        <f aca="false">SUM(O24)</f>
        <v>0</v>
      </c>
      <c r="O25" s="98"/>
      <c r="P25" s="108" t="n">
        <f aca="false">SUM(O25-N25)</f>
        <v>0</v>
      </c>
      <c r="Q25" s="100"/>
      <c r="R25" s="93" t="n">
        <f aca="false">SUM(Q25*P25)</f>
        <v>0</v>
      </c>
      <c r="S25" s="1"/>
    </row>
    <row r="26" customFormat="false" ht="15" hidden="false" customHeight="false" outlineLevel="0" collapsed="false">
      <c r="A26" s="88"/>
      <c r="B26" s="81" t="s">
        <v>49</v>
      </c>
      <c r="C26" s="82"/>
      <c r="D26" s="82"/>
      <c r="E26" s="82"/>
      <c r="F26" s="136"/>
      <c r="G26" s="83"/>
      <c r="H26" s="137"/>
      <c r="I26" s="85"/>
      <c r="J26" s="85"/>
      <c r="L26" s="117"/>
      <c r="M26" s="117"/>
      <c r="N26" s="117"/>
      <c r="O26" s="117"/>
      <c r="P26" s="117"/>
      <c r="Q26" s="117"/>
      <c r="R26" s="117"/>
      <c r="S26" s="117"/>
    </row>
    <row r="27" customFormat="false" ht="15.75" hidden="false" customHeight="false" outlineLevel="0" collapsed="false">
      <c r="A27" s="89" t="n">
        <v>0.399305555555556</v>
      </c>
      <c r="B27" s="143" t="s">
        <v>55</v>
      </c>
      <c r="C27" s="97" t="n">
        <v>3392140</v>
      </c>
      <c r="D27" s="107" t="n">
        <v>3399570</v>
      </c>
      <c r="E27" s="91" t="n">
        <f aca="false">SUM(D27-C27)</f>
        <v>7430</v>
      </c>
      <c r="F27" s="108" t="n">
        <v>7386</v>
      </c>
      <c r="G27" s="41" t="n">
        <v>0.834</v>
      </c>
      <c r="H27" s="93" t="n">
        <f aca="false">SUM(G27*F27)</f>
        <v>6159.924</v>
      </c>
      <c r="I27" s="176" t="n">
        <v>382</v>
      </c>
      <c r="J27" s="1" t="n">
        <v>6639</v>
      </c>
      <c r="K27" s="118" t="s">
        <v>70</v>
      </c>
      <c r="L27" s="117"/>
      <c r="M27" s="117"/>
      <c r="N27" s="117"/>
      <c r="O27" s="117"/>
      <c r="P27" s="117"/>
      <c r="Q27" s="117"/>
      <c r="R27" s="117"/>
      <c r="S27" s="117"/>
    </row>
    <row r="28" customFormat="false" ht="14.25" hidden="false" customHeight="true" outlineLevel="0" collapsed="false">
      <c r="A28" s="89" t="n">
        <v>0.416666666666667</v>
      </c>
      <c r="B28" s="90" t="s">
        <v>55</v>
      </c>
      <c r="C28" s="97" t="n">
        <f aca="false">SUM(D27)</f>
        <v>3399570</v>
      </c>
      <c r="D28" s="107" t="n">
        <v>3404870</v>
      </c>
      <c r="E28" s="91" t="n">
        <f aca="false">SUM(D28-C28)</f>
        <v>5300</v>
      </c>
      <c r="F28" s="108" t="n">
        <v>5272</v>
      </c>
      <c r="G28" s="41" t="n">
        <v>0.834</v>
      </c>
      <c r="H28" s="93" t="n">
        <f aca="false">SUM(G28*F28)</f>
        <v>4396.848</v>
      </c>
      <c r="I28" s="176" t="n">
        <v>81</v>
      </c>
      <c r="J28" s="1" t="n">
        <v>6642</v>
      </c>
      <c r="K28" s="201" t="s">
        <v>60</v>
      </c>
      <c r="L28" s="117"/>
      <c r="M28" s="117"/>
      <c r="N28" s="117"/>
      <c r="O28" s="117"/>
      <c r="P28" s="117"/>
      <c r="Q28" s="117"/>
      <c r="R28" s="117"/>
      <c r="S28" s="117"/>
    </row>
    <row r="29" customFormat="false" ht="15" hidden="false" customHeight="true" outlineLevel="0" collapsed="false">
      <c r="A29" s="89" t="n">
        <v>0.427083333333333</v>
      </c>
      <c r="B29" s="177" t="s">
        <v>57</v>
      </c>
      <c r="C29" s="97" t="n">
        <f aca="false">SUM(D28)</f>
        <v>3404870</v>
      </c>
      <c r="D29" s="107" t="n">
        <v>3421990</v>
      </c>
      <c r="E29" s="91" t="n">
        <f aca="false">SUM(D29-C29)</f>
        <v>17120</v>
      </c>
      <c r="F29" s="128" t="n">
        <v>17019</v>
      </c>
      <c r="G29" s="41" t="n">
        <v>0.8326</v>
      </c>
      <c r="H29" s="93" t="n">
        <f aca="false">SUM(G29*F29)</f>
        <v>14170.0194</v>
      </c>
      <c r="I29" s="178" t="n">
        <v>251</v>
      </c>
      <c r="J29" s="181" t="n">
        <v>6643</v>
      </c>
      <c r="K29" s="119" t="s">
        <v>84</v>
      </c>
      <c r="L29" s="117"/>
      <c r="M29" s="117"/>
      <c r="N29" s="117"/>
      <c r="O29" s="117"/>
      <c r="P29" s="117"/>
      <c r="Q29" s="117"/>
      <c r="R29" s="117"/>
      <c r="S29" s="117"/>
    </row>
    <row r="30" customFormat="false" ht="15.75" hidden="false" customHeight="false" outlineLevel="0" collapsed="false">
      <c r="A30" s="89" t="n">
        <v>0.4375</v>
      </c>
      <c r="B30" s="90" t="s">
        <v>57</v>
      </c>
      <c r="C30" s="97" t="n">
        <f aca="false">SUM(D29)</f>
        <v>3421990</v>
      </c>
      <c r="D30" s="107" t="n">
        <v>3429220</v>
      </c>
      <c r="E30" s="91" t="n">
        <f aca="false">SUM(D30-C30)</f>
        <v>7230</v>
      </c>
      <c r="F30" s="108" t="n">
        <v>7191</v>
      </c>
      <c r="G30" s="41" t="n">
        <v>0.8326</v>
      </c>
      <c r="H30" s="93" t="n">
        <f aca="false">SUM(G30*F30)</f>
        <v>5987.2266</v>
      </c>
      <c r="I30" s="178" t="n">
        <v>119</v>
      </c>
      <c r="J30" s="181" t="n">
        <v>6644</v>
      </c>
      <c r="K30" s="119" t="s">
        <v>84</v>
      </c>
      <c r="L30" s="117"/>
      <c r="M30" s="117"/>
      <c r="N30" s="117"/>
      <c r="O30" s="117"/>
      <c r="P30" s="117"/>
      <c r="Q30" s="117"/>
      <c r="R30" s="117"/>
      <c r="S30" s="117"/>
    </row>
    <row r="31" customFormat="false" ht="15.75" hidden="false" customHeight="false" outlineLevel="0" collapsed="false">
      <c r="A31" s="89" t="n">
        <v>0.46875</v>
      </c>
      <c r="B31" s="179" t="s">
        <v>61</v>
      </c>
      <c r="C31" s="97" t="n">
        <f aca="false">SUM(D30)</f>
        <v>3429220</v>
      </c>
      <c r="D31" s="107" t="n">
        <v>3440760</v>
      </c>
      <c r="E31" s="91" t="n">
        <f aca="false">SUM(D31-C31)</f>
        <v>11540</v>
      </c>
      <c r="F31" s="163" t="n">
        <v>11480</v>
      </c>
      <c r="G31" s="41" t="n">
        <v>0.8293</v>
      </c>
      <c r="H31" s="93" t="n">
        <f aca="false">SUM(G31*F31)</f>
        <v>9520.364</v>
      </c>
      <c r="I31" s="180" t="n">
        <v>388</v>
      </c>
      <c r="J31" s="1" t="n">
        <v>6646</v>
      </c>
      <c r="K31" s="201" t="s">
        <v>60</v>
      </c>
      <c r="L31" s="117"/>
      <c r="M31" s="117"/>
      <c r="N31" s="117"/>
      <c r="O31" s="117"/>
      <c r="P31" s="117"/>
      <c r="Q31" s="117"/>
      <c r="R31" s="117"/>
      <c r="S31" s="117"/>
    </row>
    <row r="32" customFormat="false" ht="15.75" hidden="false" customHeight="false" outlineLevel="0" collapsed="false">
      <c r="A32" s="89" t="n">
        <v>0.475694444444444</v>
      </c>
      <c r="B32" s="90" t="s">
        <v>61</v>
      </c>
      <c r="C32" s="97" t="n">
        <v>3440790</v>
      </c>
      <c r="D32" s="107" t="n">
        <v>3446110</v>
      </c>
      <c r="E32" s="91" t="n">
        <f aca="false">SUM(D32-C32)</f>
        <v>5320</v>
      </c>
      <c r="F32" s="108" t="n">
        <v>5277</v>
      </c>
      <c r="G32" s="41" t="n">
        <v>0.8293</v>
      </c>
      <c r="H32" s="93" t="n">
        <f aca="false">SUM(G32*F32)</f>
        <v>4376.2161</v>
      </c>
      <c r="I32" s="180" t="n">
        <v>57</v>
      </c>
      <c r="J32" s="1" t="n">
        <v>6647</v>
      </c>
      <c r="K32" s="201" t="s">
        <v>60</v>
      </c>
      <c r="L32" s="117"/>
      <c r="M32" s="117"/>
      <c r="N32" s="117"/>
      <c r="O32" s="117"/>
      <c r="P32" s="117"/>
      <c r="Q32" s="117"/>
      <c r="R32" s="117"/>
      <c r="S32" s="117"/>
    </row>
    <row r="33" customFormat="false" ht="15.75" hidden="false" customHeight="false" outlineLevel="0" collapsed="false">
      <c r="A33" s="89" t="n">
        <v>0.489583333333333</v>
      </c>
      <c r="B33" s="90" t="s">
        <v>61</v>
      </c>
      <c r="C33" s="97" t="n">
        <f aca="false">SUM(D32)</f>
        <v>3446110</v>
      </c>
      <c r="D33" s="107" t="n">
        <v>3463220</v>
      </c>
      <c r="E33" s="91" t="n">
        <f aca="false">SUM(D33-C33)</f>
        <v>17110</v>
      </c>
      <c r="F33" s="128" t="n">
        <v>17019</v>
      </c>
      <c r="G33" s="41" t="n">
        <v>0.8293</v>
      </c>
      <c r="H33" s="93" t="n">
        <f aca="false">SUM(G33*F33)</f>
        <v>14113.8567</v>
      </c>
      <c r="I33" s="180" t="n">
        <v>251</v>
      </c>
      <c r="J33" s="1" t="n">
        <v>6649</v>
      </c>
      <c r="K33" s="201" t="s">
        <v>60</v>
      </c>
      <c r="L33" s="117"/>
      <c r="M33" s="117"/>
      <c r="N33" s="94"/>
      <c r="O33" s="117"/>
      <c r="P33" s="117"/>
      <c r="Q33" s="117"/>
      <c r="R33" s="117"/>
      <c r="S33" s="117"/>
    </row>
    <row r="34" customFormat="false" ht="15.75" hidden="false" customHeight="false" outlineLevel="0" collapsed="false">
      <c r="A34" s="89" t="n">
        <v>0.590277777777778</v>
      </c>
      <c r="B34" s="90" t="s">
        <v>61</v>
      </c>
      <c r="C34" s="97" t="n">
        <f aca="false">SUM(D33)</f>
        <v>3463220</v>
      </c>
      <c r="D34" s="107" t="n">
        <v>3472820</v>
      </c>
      <c r="E34" s="91" t="n">
        <f aca="false">SUM(D34-C34)</f>
        <v>9600</v>
      </c>
      <c r="F34" s="108" t="n">
        <v>9552</v>
      </c>
      <c r="G34" s="41" t="n">
        <v>0.8293</v>
      </c>
      <c r="H34" s="93" t="n">
        <f aca="false">SUM(G34*F34)</f>
        <v>7921.4736</v>
      </c>
      <c r="I34" s="180" t="n">
        <v>81</v>
      </c>
      <c r="J34" s="29" t="n">
        <v>6652</v>
      </c>
      <c r="K34" s="201" t="s">
        <v>60</v>
      </c>
      <c r="L34" s="117"/>
      <c r="M34" s="117"/>
      <c r="N34" s="94"/>
      <c r="O34" s="117"/>
      <c r="P34" s="117"/>
      <c r="Q34" s="117"/>
      <c r="R34" s="117"/>
      <c r="S34" s="117"/>
    </row>
    <row r="35" customFormat="false" ht="15.75" hidden="false" customHeight="false" outlineLevel="0" collapsed="false">
      <c r="A35" s="89" t="n">
        <v>0.600694444444444</v>
      </c>
      <c r="B35" s="90" t="s">
        <v>61</v>
      </c>
      <c r="C35" s="97" t="n">
        <f aca="false">SUM(D34)</f>
        <v>3472820</v>
      </c>
      <c r="D35" s="107" t="n">
        <v>3477380</v>
      </c>
      <c r="E35" s="91" t="n">
        <f aca="false">SUM(D35-C35)</f>
        <v>4560</v>
      </c>
      <c r="F35" s="108" t="n">
        <v>4524</v>
      </c>
      <c r="G35" s="41" t="n">
        <v>0.8293</v>
      </c>
      <c r="H35" s="93" t="n">
        <f aca="false">SUM(G35*F35)</f>
        <v>3751.7532</v>
      </c>
      <c r="I35" s="180" t="n">
        <v>382</v>
      </c>
      <c r="J35" s="29" t="n">
        <v>6653</v>
      </c>
      <c r="K35" s="201" t="s">
        <v>60</v>
      </c>
      <c r="L35" s="117"/>
      <c r="M35" s="117"/>
      <c r="N35" s="94"/>
      <c r="O35" s="117"/>
      <c r="P35" s="117"/>
      <c r="Q35" s="117"/>
      <c r="R35" s="117"/>
      <c r="S35" s="117"/>
    </row>
    <row r="36" customFormat="false" ht="15" hidden="false" customHeight="true" outlineLevel="0" collapsed="false">
      <c r="A36" s="89" t="n">
        <v>0.611111111111111</v>
      </c>
      <c r="B36" s="90" t="s">
        <v>61</v>
      </c>
      <c r="C36" s="97" t="n">
        <f aca="false">SUM(D35)</f>
        <v>3477380</v>
      </c>
      <c r="D36" s="107" t="n">
        <v>3483530</v>
      </c>
      <c r="E36" s="91" t="n">
        <f aca="false">SUM(D36-C36)</f>
        <v>6150</v>
      </c>
      <c r="F36" s="108" t="n">
        <v>6117</v>
      </c>
      <c r="G36" s="41" t="n">
        <v>0.8293</v>
      </c>
      <c r="H36" s="93" t="n">
        <f aca="false">SUM(G36*F36)</f>
        <v>5072.8281</v>
      </c>
      <c r="I36" s="180" t="n">
        <v>57</v>
      </c>
      <c r="J36" s="29" t="n">
        <v>6654</v>
      </c>
      <c r="K36" s="201" t="s">
        <v>60</v>
      </c>
      <c r="L36" s="117"/>
      <c r="M36" s="117"/>
      <c r="N36" s="94"/>
      <c r="O36" s="117"/>
      <c r="P36" s="117"/>
      <c r="Q36" s="117"/>
      <c r="R36" s="117"/>
      <c r="S36" s="117"/>
    </row>
    <row r="37" customFormat="false" ht="15.75" hidden="false" customHeight="false" outlineLevel="0" collapsed="false">
      <c r="A37" s="89" t="n">
        <v>0.71875</v>
      </c>
      <c r="B37" s="90" t="s">
        <v>57</v>
      </c>
      <c r="C37" s="97" t="n">
        <f aca="false">SUM(D36)</f>
        <v>3483530</v>
      </c>
      <c r="D37" s="107" t="n">
        <v>3500650</v>
      </c>
      <c r="E37" s="91" t="n">
        <f aca="false">SUM(D37-C37)</f>
        <v>17120</v>
      </c>
      <c r="F37" s="128" t="n">
        <v>17019</v>
      </c>
      <c r="G37" s="41" t="n">
        <v>0.8318</v>
      </c>
      <c r="H37" s="93" t="n">
        <f aca="false">SUM(G37*F37)</f>
        <v>14156.4042</v>
      </c>
      <c r="I37" s="178" t="n">
        <v>251</v>
      </c>
      <c r="J37" s="181" t="n">
        <v>6656</v>
      </c>
      <c r="K37" s="119" t="s">
        <v>84</v>
      </c>
      <c r="L37" s="117"/>
      <c r="M37" s="117"/>
      <c r="N37" s="117"/>
      <c r="O37" s="117"/>
      <c r="P37" s="117"/>
      <c r="Q37" s="117"/>
      <c r="R37" s="117"/>
      <c r="S37" s="117"/>
    </row>
    <row r="38" customFormat="false" ht="15.75" hidden="false" customHeight="false" outlineLevel="0" collapsed="false">
      <c r="A38" s="89" t="n">
        <v>0.763888888888889</v>
      </c>
      <c r="B38" s="90" t="s">
        <v>61</v>
      </c>
      <c r="C38" s="97" t="n">
        <f aca="false">SUM(D37)</f>
        <v>3500650</v>
      </c>
      <c r="D38" s="107" t="n">
        <v>3510680</v>
      </c>
      <c r="E38" s="91" t="n">
        <f aca="false">SUM(D38-C38)</f>
        <v>10030</v>
      </c>
      <c r="F38" s="128" t="n">
        <v>9986</v>
      </c>
      <c r="G38" s="41" t="n">
        <v>0.8293</v>
      </c>
      <c r="H38" s="93" t="n">
        <f aca="false">SUM(G38*F38)</f>
        <v>8281.3898</v>
      </c>
      <c r="I38" s="180" t="n">
        <v>251</v>
      </c>
      <c r="J38" s="29" t="n">
        <v>6657</v>
      </c>
      <c r="K38" s="201" t="s">
        <v>60</v>
      </c>
      <c r="L38" s="117"/>
      <c r="M38" s="117"/>
      <c r="N38" s="117"/>
      <c r="O38" s="117"/>
      <c r="P38" s="117"/>
      <c r="Q38" s="117"/>
      <c r="R38" s="117"/>
      <c r="S38" s="117"/>
    </row>
    <row r="39" customFormat="false" ht="15.75" hidden="false" customHeight="false" outlineLevel="0" collapsed="false">
      <c r="A39" s="89" t="n">
        <v>0.763888888888889</v>
      </c>
      <c r="B39" s="182" t="s">
        <v>90</v>
      </c>
      <c r="C39" s="97" t="n">
        <f aca="false">SUM(D38)</f>
        <v>3510680</v>
      </c>
      <c r="D39" s="107" t="n">
        <v>3517760</v>
      </c>
      <c r="E39" s="91" t="n">
        <f aca="false">SUM(D39-C39)</f>
        <v>7080</v>
      </c>
      <c r="F39" s="128" t="n">
        <v>7033</v>
      </c>
      <c r="G39" s="41" t="n">
        <v>0.8289</v>
      </c>
      <c r="H39" s="93" t="n">
        <f aca="false">SUM(G39*F39)</f>
        <v>5829.6537</v>
      </c>
      <c r="I39" s="183" t="n">
        <v>251</v>
      </c>
      <c r="J39" s="29" t="n">
        <v>6657</v>
      </c>
      <c r="K39" s="201" t="s">
        <v>60</v>
      </c>
      <c r="L39" s="117"/>
      <c r="M39" s="117"/>
      <c r="N39" s="117"/>
      <c r="O39" s="117"/>
      <c r="P39" s="117"/>
      <c r="Q39" s="117"/>
      <c r="R39" s="117"/>
      <c r="S39" s="117"/>
    </row>
    <row r="40" customFormat="false" ht="15.75" hidden="false" customHeight="false" outlineLevel="0" collapsed="false">
      <c r="A40" s="89" t="n">
        <v>0.809027777777778</v>
      </c>
      <c r="B40" s="90" t="s">
        <v>57</v>
      </c>
      <c r="C40" s="97" t="n">
        <f aca="false">SUM(D39)</f>
        <v>3517760</v>
      </c>
      <c r="D40" s="107" t="n">
        <v>3534860</v>
      </c>
      <c r="E40" s="91" t="n">
        <f aca="false">SUM(D40-C40)</f>
        <v>17100</v>
      </c>
      <c r="F40" s="128" t="n">
        <v>17019</v>
      </c>
      <c r="G40" s="41" t="n">
        <v>0.8318</v>
      </c>
      <c r="H40" s="93" t="n">
        <f aca="false">SUM(G40*F40)</f>
        <v>14156.4042</v>
      </c>
      <c r="I40" s="178" t="n">
        <v>251</v>
      </c>
      <c r="J40" s="181" t="n">
        <v>6659</v>
      </c>
      <c r="K40" s="119" t="s">
        <v>84</v>
      </c>
      <c r="L40" s="117"/>
      <c r="M40" s="117"/>
      <c r="N40" s="117"/>
      <c r="O40" s="117"/>
      <c r="P40" s="117"/>
      <c r="Q40" s="117"/>
      <c r="R40" s="117"/>
      <c r="S40" s="117"/>
    </row>
    <row r="41" customFormat="false" ht="15.75" hidden="false" customHeight="false" outlineLevel="0" collapsed="false">
      <c r="A41" s="89" t="n">
        <v>0.888888888888889</v>
      </c>
      <c r="B41" s="90" t="s">
        <v>90</v>
      </c>
      <c r="C41" s="97" t="n">
        <f aca="false">SUM(D40)</f>
        <v>3534860</v>
      </c>
      <c r="D41" s="107" t="n">
        <v>3541370</v>
      </c>
      <c r="E41" s="91" t="n">
        <f aca="false">SUM(D41-C41)</f>
        <v>6510</v>
      </c>
      <c r="F41" s="108" t="n">
        <v>6453</v>
      </c>
      <c r="G41" s="41" t="n">
        <v>0.8289</v>
      </c>
      <c r="H41" s="93" t="n">
        <f aca="false">SUM(G41*F41)</f>
        <v>5348.8917</v>
      </c>
      <c r="I41" s="183" t="n">
        <v>57</v>
      </c>
      <c r="J41" s="29" t="n">
        <v>6661</v>
      </c>
      <c r="K41" s="201" t="s">
        <v>60</v>
      </c>
      <c r="L41" s="117"/>
      <c r="M41" s="117"/>
      <c r="N41" s="117"/>
      <c r="O41" s="117"/>
      <c r="P41" s="117"/>
      <c r="Q41" s="117"/>
      <c r="R41" s="117"/>
      <c r="S41" s="117"/>
    </row>
    <row r="42" customFormat="false" ht="15.75" hidden="false" customHeight="false" outlineLevel="0" collapsed="false">
      <c r="A42" s="89" t="n">
        <v>0.895833333333333</v>
      </c>
      <c r="B42" s="90" t="s">
        <v>90</v>
      </c>
      <c r="C42" s="97" t="n">
        <f aca="false">SUM(D41)</f>
        <v>3541370</v>
      </c>
      <c r="D42" s="107" t="n">
        <v>3548510</v>
      </c>
      <c r="E42" s="91" t="n">
        <f aca="false">SUM(D42-C42)</f>
        <v>7140</v>
      </c>
      <c r="F42" s="108" t="n">
        <v>7098</v>
      </c>
      <c r="G42" s="41" t="n">
        <v>0.8289</v>
      </c>
      <c r="H42" s="93" t="n">
        <f aca="false">SUM(G42*F42)</f>
        <v>5883.5322</v>
      </c>
      <c r="I42" s="183" t="n">
        <v>81</v>
      </c>
      <c r="J42" s="29" t="n">
        <v>6662</v>
      </c>
      <c r="K42" s="201" t="s">
        <v>60</v>
      </c>
      <c r="L42" s="117"/>
      <c r="M42" s="117"/>
      <c r="N42" s="117"/>
      <c r="O42" s="117"/>
      <c r="P42" s="117"/>
      <c r="Q42" s="117"/>
      <c r="R42" s="117"/>
      <c r="S42" s="117"/>
    </row>
    <row r="43" customFormat="false" ht="15.75" hidden="false" customHeight="false" outlineLevel="0" collapsed="false">
      <c r="A43" s="89" t="n">
        <v>0.902777777777778</v>
      </c>
      <c r="B43" s="90" t="s">
        <v>90</v>
      </c>
      <c r="C43" s="97" t="n">
        <f aca="false">SUM(D42)</f>
        <v>3548510</v>
      </c>
      <c r="D43" s="107" t="n">
        <v>3556480</v>
      </c>
      <c r="E43" s="91" t="n">
        <f aca="false">SUM(D43-C43)</f>
        <v>7970</v>
      </c>
      <c r="F43" s="108" t="n">
        <v>7924</v>
      </c>
      <c r="G43" s="41" t="n">
        <v>0.8289</v>
      </c>
      <c r="H43" s="93" t="n">
        <f aca="false">SUM(G43*F43)</f>
        <v>6568.2036</v>
      </c>
      <c r="I43" s="183" t="n">
        <v>382</v>
      </c>
      <c r="J43" s="29" t="n">
        <v>6664</v>
      </c>
      <c r="K43" s="201" t="s">
        <v>60</v>
      </c>
      <c r="L43" s="117"/>
      <c r="M43" s="117"/>
      <c r="N43" s="117"/>
      <c r="O43" s="117"/>
      <c r="P43" s="117"/>
      <c r="Q43" s="117"/>
      <c r="R43" s="117"/>
      <c r="S43" s="117"/>
    </row>
    <row r="44" customFormat="false" ht="15.75" hidden="false" customHeight="false" outlineLevel="0" collapsed="false">
      <c r="A44" s="89" t="n">
        <v>0.923611111111111</v>
      </c>
      <c r="B44" s="90" t="s">
        <v>90</v>
      </c>
      <c r="C44" s="97" t="n">
        <f aca="false">SUM(D43)</f>
        <v>3556480</v>
      </c>
      <c r="D44" s="107" t="n">
        <v>3566510</v>
      </c>
      <c r="E44" s="91" t="n">
        <f aca="false">SUM(D44-C44)</f>
        <v>10030</v>
      </c>
      <c r="F44" s="128" t="n">
        <v>9986</v>
      </c>
      <c r="G44" s="41" t="n">
        <v>0.8289</v>
      </c>
      <c r="H44" s="93" t="n">
        <f aca="false">SUM(G44*F44)</f>
        <v>8277.3954</v>
      </c>
      <c r="I44" s="183" t="n">
        <v>251</v>
      </c>
      <c r="J44" s="29" t="n">
        <v>6665</v>
      </c>
      <c r="K44" s="201" t="s">
        <v>60</v>
      </c>
      <c r="L44" s="117"/>
      <c r="M44" s="117"/>
      <c r="N44" s="117"/>
      <c r="O44" s="117"/>
      <c r="P44" s="117"/>
      <c r="Q44" s="117"/>
      <c r="R44" s="117"/>
      <c r="S44" s="117"/>
    </row>
    <row r="45" customFormat="false" ht="15.75" hidden="false" customHeight="false" outlineLevel="0" collapsed="false">
      <c r="A45" s="89" t="n">
        <v>0.930555555555555</v>
      </c>
      <c r="B45" s="90" t="s">
        <v>90</v>
      </c>
      <c r="C45" s="97" t="n">
        <f aca="false">SUM(D44)</f>
        <v>3566510</v>
      </c>
      <c r="D45" s="107" t="n">
        <v>3573590</v>
      </c>
      <c r="E45" s="91" t="n">
        <f aca="false">SUM(D45-C45)</f>
        <v>7080</v>
      </c>
      <c r="F45" s="128" t="n">
        <v>7033</v>
      </c>
      <c r="G45" s="41" t="n">
        <v>0.8289</v>
      </c>
      <c r="H45" s="93" t="n">
        <f aca="false">SUM(G45*F45)</f>
        <v>5829.6537</v>
      </c>
      <c r="I45" s="183" t="n">
        <v>251</v>
      </c>
      <c r="J45" s="29" t="n">
        <v>6666</v>
      </c>
      <c r="K45" s="201" t="s">
        <v>60</v>
      </c>
      <c r="L45" s="117"/>
      <c r="M45" s="117"/>
      <c r="N45" s="117"/>
      <c r="O45" s="117"/>
      <c r="P45" s="117"/>
      <c r="Q45" s="117"/>
      <c r="R45" s="117"/>
      <c r="S45" s="117"/>
    </row>
    <row r="46" customFormat="false" ht="15.75" hidden="false" customHeight="false" outlineLevel="0" collapsed="false">
      <c r="A46" s="89" t="n">
        <v>0.940972222222222</v>
      </c>
      <c r="B46" s="184" t="s">
        <v>62</v>
      </c>
      <c r="C46" s="97" t="n">
        <f aca="false">SUM(D45)</f>
        <v>3573590</v>
      </c>
      <c r="D46" s="107" t="n">
        <v>3584510</v>
      </c>
      <c r="E46" s="91" t="n">
        <f aca="false">SUM(D46-C46)</f>
        <v>10920</v>
      </c>
      <c r="F46" s="108" t="n">
        <v>10867</v>
      </c>
      <c r="G46" s="41" t="n">
        <v>0.8292</v>
      </c>
      <c r="H46" s="93" t="n">
        <f aca="false">SUM(G46*F46)</f>
        <v>9010.9164</v>
      </c>
      <c r="I46" s="185" t="n">
        <v>119</v>
      </c>
      <c r="J46" s="181" t="n">
        <v>6668</v>
      </c>
      <c r="K46" s="119" t="s">
        <v>84</v>
      </c>
      <c r="L46" s="117"/>
      <c r="M46" s="117"/>
      <c r="N46" s="117"/>
      <c r="O46" s="117"/>
      <c r="P46" s="117"/>
      <c r="Q46" s="117"/>
      <c r="R46" s="117"/>
      <c r="S46" s="117"/>
    </row>
    <row r="47" customFormat="false" ht="15.75" hidden="false" customHeight="false" outlineLevel="0" collapsed="false">
      <c r="A47" s="89" t="n">
        <v>0.986111111111111</v>
      </c>
      <c r="B47" s="90" t="s">
        <v>90</v>
      </c>
      <c r="C47" s="97" t="n">
        <f aca="false">SUM(D46)</f>
        <v>3584510</v>
      </c>
      <c r="D47" s="107" t="n">
        <v>3594550</v>
      </c>
      <c r="E47" s="91" t="n">
        <f aca="false">SUM(D47-C47)</f>
        <v>10040</v>
      </c>
      <c r="F47" s="128" t="n">
        <v>9986</v>
      </c>
      <c r="G47" s="41" t="n">
        <v>0.8289</v>
      </c>
      <c r="H47" s="93" t="n">
        <f aca="false">SUM(G47*F47)</f>
        <v>8277.3954</v>
      </c>
      <c r="I47" s="183" t="n">
        <v>251</v>
      </c>
      <c r="J47" s="29" t="n">
        <v>6670</v>
      </c>
      <c r="K47" s="201" t="s">
        <v>60</v>
      </c>
      <c r="L47" s="117"/>
      <c r="M47" s="117"/>
      <c r="N47" s="117"/>
      <c r="O47" s="117"/>
      <c r="P47" s="117"/>
      <c r="Q47" s="117"/>
      <c r="R47" s="117"/>
      <c r="S47" s="117"/>
    </row>
    <row r="48" customFormat="false" ht="15.75" hidden="false" customHeight="false" outlineLevel="0" collapsed="false">
      <c r="A48" s="89" t="n">
        <v>0.0729166666666667</v>
      </c>
      <c r="B48" s="90" t="s">
        <v>61</v>
      </c>
      <c r="C48" s="97" t="n">
        <f aca="false">SUM(D47)</f>
        <v>3594550</v>
      </c>
      <c r="D48" s="107" t="n">
        <v>3600610</v>
      </c>
      <c r="E48" s="91" t="n">
        <f aca="false">SUM(D48-C48)</f>
        <v>6060</v>
      </c>
      <c r="F48" s="108" t="n">
        <v>6021</v>
      </c>
      <c r="G48" s="41" t="n">
        <v>0.8268</v>
      </c>
      <c r="H48" s="93" t="n">
        <f aca="false">SUM(G48*F48)</f>
        <v>4978.1628</v>
      </c>
      <c r="I48" s="180" t="n">
        <v>57</v>
      </c>
      <c r="J48" s="29" t="n">
        <v>6672</v>
      </c>
      <c r="K48" s="201" t="s">
        <v>60</v>
      </c>
      <c r="L48" s="117"/>
      <c r="M48" s="117"/>
      <c r="N48" s="117"/>
      <c r="O48" s="117"/>
      <c r="P48" s="117"/>
      <c r="Q48" s="117"/>
      <c r="R48" s="117"/>
      <c r="S48" s="117"/>
    </row>
    <row r="49" customFormat="false" ht="15.75" hidden="false" customHeight="false" outlineLevel="0" collapsed="false">
      <c r="A49" s="89" t="n">
        <v>0.0798611111111111</v>
      </c>
      <c r="B49" s="90" t="s">
        <v>61</v>
      </c>
      <c r="C49" s="97" t="n">
        <f aca="false">D48</f>
        <v>3600610</v>
      </c>
      <c r="D49" s="107" t="n">
        <v>3608130</v>
      </c>
      <c r="E49" s="91" t="n">
        <f aca="false">SUM(D49-C49)</f>
        <v>7520</v>
      </c>
      <c r="F49" s="108" t="n">
        <v>7463</v>
      </c>
      <c r="G49" s="41" t="n">
        <v>0.8268</v>
      </c>
      <c r="H49" s="93" t="n">
        <f aca="false">SUM(G49*F49)</f>
        <v>6170.4084</v>
      </c>
      <c r="I49" s="180" t="n">
        <v>81</v>
      </c>
      <c r="J49" s="29" t="n">
        <v>6673</v>
      </c>
      <c r="K49" s="201" t="s">
        <v>60</v>
      </c>
      <c r="L49" s="117"/>
      <c r="M49" s="117"/>
      <c r="N49" s="117"/>
      <c r="O49" s="117"/>
      <c r="P49" s="117"/>
      <c r="Q49" s="117"/>
      <c r="R49" s="117"/>
      <c r="S49" s="117"/>
    </row>
    <row r="50" customFormat="false" ht="15.75" hidden="false" customHeight="false" outlineLevel="0" collapsed="false">
      <c r="A50" s="89" t="n">
        <v>0.100694444444444</v>
      </c>
      <c r="B50" s="90" t="s">
        <v>62</v>
      </c>
      <c r="C50" s="97" t="n">
        <f aca="false">SUM(D49)</f>
        <v>3608130</v>
      </c>
      <c r="D50" s="107" t="n">
        <v>3625230</v>
      </c>
      <c r="E50" s="91" t="n">
        <f aca="false">SUM(D50-C50)</f>
        <v>17100</v>
      </c>
      <c r="F50" s="128" t="n">
        <v>17019</v>
      </c>
      <c r="G50" s="41" t="n">
        <v>0.8292</v>
      </c>
      <c r="H50" s="93" t="n">
        <f aca="false">SUM(G50*F50)</f>
        <v>14112.1548</v>
      </c>
      <c r="I50" s="185" t="n">
        <v>251</v>
      </c>
      <c r="J50" s="181" t="n">
        <v>6674</v>
      </c>
      <c r="K50" s="119" t="s">
        <v>84</v>
      </c>
      <c r="L50" s="117"/>
      <c r="M50" s="117"/>
      <c r="N50" s="117"/>
      <c r="O50" s="117"/>
      <c r="P50" s="117"/>
      <c r="Q50" s="117"/>
      <c r="R50" s="117"/>
      <c r="S50" s="117"/>
    </row>
    <row r="51" customFormat="false" ht="15.75" hidden="false" customHeight="false" outlineLevel="0" collapsed="false">
      <c r="A51" s="89" t="n">
        <v>0.208333333333333</v>
      </c>
      <c r="B51" s="90" t="s">
        <v>62</v>
      </c>
      <c r="C51" s="97" t="n">
        <f aca="false">SUM(D50)</f>
        <v>3625230</v>
      </c>
      <c r="D51" s="107" t="n">
        <v>3642340</v>
      </c>
      <c r="E51" s="91" t="n">
        <f aca="false">SUM(D51-C51)</f>
        <v>17110</v>
      </c>
      <c r="F51" s="128" t="n">
        <v>17019</v>
      </c>
      <c r="G51" s="41" t="n">
        <v>0.8292</v>
      </c>
      <c r="H51" s="93" t="n">
        <f aca="false">SUM(G51*F51)</f>
        <v>14112.1548</v>
      </c>
      <c r="I51" s="185" t="n">
        <v>251</v>
      </c>
      <c r="J51" s="181" t="n">
        <v>6677</v>
      </c>
      <c r="K51" s="119" t="s">
        <v>84</v>
      </c>
      <c r="L51" s="117"/>
      <c r="M51" s="117"/>
      <c r="N51" s="117"/>
      <c r="O51" s="117"/>
      <c r="P51" s="117"/>
      <c r="Q51" s="117"/>
      <c r="R51" s="117"/>
      <c r="S51" s="117"/>
    </row>
    <row r="52" customFormat="false" ht="15.75" hidden="false" customHeight="false" outlineLevel="0" collapsed="false">
      <c r="A52" s="89" t="n">
        <v>0.284722222222222</v>
      </c>
      <c r="B52" s="138" t="s">
        <v>59</v>
      </c>
      <c r="C52" s="97" t="n">
        <f aca="false">SUM(D51)</f>
        <v>3642340</v>
      </c>
      <c r="D52" s="107" t="n">
        <v>3657510</v>
      </c>
      <c r="E52" s="91" t="n">
        <f aca="false">SUM(D52-C52)</f>
        <v>15170</v>
      </c>
      <c r="F52" s="108" t="n">
        <v>15040</v>
      </c>
      <c r="G52" s="41" t="n">
        <v>0.8452</v>
      </c>
      <c r="H52" s="93" t="n">
        <f aca="false">SUM(G52*F52)</f>
        <v>12711.808</v>
      </c>
      <c r="I52" s="164" t="n">
        <v>467</v>
      </c>
      <c r="J52" s="29" t="n">
        <v>6679</v>
      </c>
      <c r="K52" s="119" t="s">
        <v>104</v>
      </c>
      <c r="L52" s="117"/>
      <c r="M52" s="117"/>
      <c r="N52" s="117"/>
      <c r="O52" s="117"/>
      <c r="P52" s="117"/>
      <c r="Q52" s="117"/>
      <c r="R52" s="117"/>
      <c r="S52" s="117"/>
    </row>
    <row r="53" customFormat="false" ht="15.75" hidden="false" customHeight="false" outlineLevel="0" collapsed="false">
      <c r="A53" s="89" t="n">
        <v>0.302083333333333</v>
      </c>
      <c r="B53" s="90" t="s">
        <v>62</v>
      </c>
      <c r="C53" s="97" t="n">
        <f aca="false">SUM(D52)</f>
        <v>3657510</v>
      </c>
      <c r="D53" s="107" t="n">
        <v>3674620</v>
      </c>
      <c r="E53" s="91" t="n">
        <f aca="false">SUM(D53-C53)</f>
        <v>17110</v>
      </c>
      <c r="F53" s="128" t="n">
        <v>17019</v>
      </c>
      <c r="G53" s="41" t="n">
        <v>0.8292</v>
      </c>
      <c r="H53" s="93" t="n">
        <f aca="false">SUM(G53*F53)</f>
        <v>14112.1548</v>
      </c>
      <c r="I53" s="185" t="n">
        <v>251</v>
      </c>
      <c r="J53" s="181" t="n">
        <v>6680</v>
      </c>
      <c r="K53" s="119" t="s">
        <v>84</v>
      </c>
      <c r="L53" s="117"/>
      <c r="M53" s="117"/>
      <c r="N53" s="117"/>
      <c r="O53" s="117"/>
      <c r="P53" s="117"/>
      <c r="Q53" s="117"/>
      <c r="R53" s="117"/>
      <c r="S53" s="117"/>
    </row>
    <row r="54" customFormat="false" ht="15.75" hidden="false" customHeight="false" outlineLevel="0" collapsed="false">
      <c r="A54" s="89" t="n">
        <v>0.34375</v>
      </c>
      <c r="B54" s="90" t="s">
        <v>61</v>
      </c>
      <c r="C54" s="97" t="n">
        <f aca="false">SUM(D53)</f>
        <v>3674620</v>
      </c>
      <c r="D54" s="107" t="n">
        <v>3691730</v>
      </c>
      <c r="E54" s="91" t="n">
        <f aca="false">SUM(D54-C54)</f>
        <v>17110</v>
      </c>
      <c r="F54" s="128" t="n">
        <v>17019</v>
      </c>
      <c r="G54" s="41" t="n">
        <v>0.8273</v>
      </c>
      <c r="H54" s="93" t="n">
        <f aca="false">SUM(G54*F54)</f>
        <v>14079.8187</v>
      </c>
      <c r="I54" s="180" t="n">
        <v>251</v>
      </c>
      <c r="J54" s="29" t="n">
        <v>6682</v>
      </c>
      <c r="K54" s="201" t="s">
        <v>60</v>
      </c>
      <c r="L54" s="117"/>
      <c r="M54" s="117"/>
      <c r="N54" s="117"/>
      <c r="O54" s="117"/>
      <c r="P54" s="117"/>
      <c r="Q54" s="117"/>
      <c r="R54" s="117"/>
      <c r="S54" s="117"/>
    </row>
    <row r="55" customFormat="false" ht="15" hidden="false" customHeight="false" outlineLevel="0" collapsed="false">
      <c r="A55" s="89"/>
      <c r="B55" s="90"/>
      <c r="C55" s="97" t="n">
        <v>0</v>
      </c>
      <c r="D55" s="107"/>
      <c r="E55" s="91" t="n">
        <f aca="false">SUM(D55-C55)</f>
        <v>0</v>
      </c>
      <c r="F55" s="108" t="n">
        <f aca="false">SUM(D55-C55)</f>
        <v>0</v>
      </c>
      <c r="G55" s="41"/>
      <c r="H55" s="93" t="n">
        <f aca="false">SUM(G55*F55)</f>
        <v>0</v>
      </c>
      <c r="I55" s="1"/>
      <c r="J55" s="29"/>
      <c r="K55" s="110"/>
      <c r="L55" s="117"/>
      <c r="M55" s="117"/>
      <c r="N55" s="117"/>
      <c r="O55" s="117"/>
      <c r="P55" s="117"/>
      <c r="Q55" s="117"/>
      <c r="R55" s="117"/>
      <c r="S55" s="117"/>
    </row>
    <row r="56" customFormat="false" ht="15" hidden="false" customHeight="false" outlineLevel="0" collapsed="false">
      <c r="A56" s="89"/>
      <c r="B56" s="90"/>
      <c r="C56" s="97" t="n">
        <f aca="false">SUM(D55)</f>
        <v>0</v>
      </c>
      <c r="D56" s="107"/>
      <c r="E56" s="91" t="n">
        <f aca="false">SUM(D56-C56)</f>
        <v>0</v>
      </c>
      <c r="F56" s="108" t="n">
        <f aca="false">SUM(D56-C56)</f>
        <v>0</v>
      </c>
      <c r="G56" s="41"/>
      <c r="H56" s="93" t="n">
        <f aca="false">SUM(G56*F56)</f>
        <v>0</v>
      </c>
      <c r="I56" s="1"/>
      <c r="J56" s="29"/>
      <c r="K56" s="117"/>
      <c r="L56" s="117"/>
      <c r="M56" s="117"/>
      <c r="N56" s="117"/>
      <c r="O56" s="117"/>
      <c r="P56" s="117"/>
      <c r="Q56" s="117"/>
      <c r="R56" s="117"/>
      <c r="S56" s="117"/>
    </row>
    <row r="57" customFormat="false" ht="15" hidden="false" customHeight="false" outlineLevel="0" collapsed="false">
      <c r="A57" s="89"/>
      <c r="B57" s="90"/>
      <c r="C57" s="97" t="n">
        <f aca="false">SUM(D56)</f>
        <v>0</v>
      </c>
      <c r="D57" s="75"/>
      <c r="E57" s="91" t="n">
        <f aca="false">SUM(D57-C57)</f>
        <v>0</v>
      </c>
      <c r="F57" s="130" t="n">
        <f aca="false">SUM(D57-C57)</f>
        <v>0</v>
      </c>
      <c r="G57" s="41"/>
      <c r="H57" s="131" t="n">
        <f aca="false">SUM(G57*F57)</f>
        <v>0</v>
      </c>
      <c r="I57" s="1"/>
      <c r="J57" s="29"/>
      <c r="K57" s="117"/>
      <c r="L57" s="117"/>
      <c r="M57" s="117"/>
      <c r="N57" s="117"/>
      <c r="O57" s="117"/>
      <c r="P57" s="117"/>
      <c r="Q57" s="117"/>
      <c r="R57" s="117"/>
      <c r="S57" s="117"/>
    </row>
    <row r="58" customFormat="false" ht="15" hidden="false" customHeight="false" outlineLevel="0" collapsed="false">
      <c r="A58" s="89"/>
      <c r="B58" s="90"/>
      <c r="C58" s="97" t="n">
        <f aca="false">SUM(D57)</f>
        <v>0</v>
      </c>
      <c r="D58" s="75"/>
      <c r="E58" s="109" t="n">
        <f aca="false">SUM(D58-C58)</f>
        <v>0</v>
      </c>
      <c r="F58" s="174" t="n">
        <v>297841</v>
      </c>
      <c r="G58" s="133"/>
      <c r="H58" s="175" t="n">
        <v>247394</v>
      </c>
      <c r="I58" s="135"/>
      <c r="J58" s="29"/>
      <c r="K58" s="120"/>
      <c r="L58" s="117"/>
      <c r="M58" s="117"/>
      <c r="N58" s="117"/>
      <c r="O58" s="117"/>
      <c r="P58" s="117"/>
      <c r="Q58" s="117"/>
      <c r="R58" s="117"/>
      <c r="S58" s="117"/>
    </row>
    <row r="59" customFormat="false" ht="15" hidden="false" customHeight="false" outlineLevel="0" collapsed="false">
      <c r="L59" s="117"/>
      <c r="M59" s="117"/>
      <c r="N59" s="117"/>
      <c r="O59" s="117"/>
      <c r="P59" s="117"/>
      <c r="Q59" s="117"/>
      <c r="R59" s="117"/>
      <c r="S59" s="117"/>
    </row>
    <row r="60" customFormat="false" ht="15" hidden="false" customHeight="false" outlineLevel="0" collapsed="false">
      <c r="F60" s="174" t="n">
        <f aca="false">F58+F25</f>
        <v>602687</v>
      </c>
      <c r="G60" s="133"/>
      <c r="H60" s="175" t="n">
        <f aca="false">H58+H25</f>
        <v>502436</v>
      </c>
      <c r="L60" s="117"/>
      <c r="M60" s="117"/>
      <c r="N60" s="117"/>
      <c r="O60" s="117"/>
      <c r="P60" s="117"/>
      <c r="Q60" s="117"/>
      <c r="R60" s="117"/>
      <c r="S60" s="117"/>
    </row>
    <row r="61" customFormat="false" ht="15" hidden="false" customHeight="false" outlineLevel="0" collapsed="false">
      <c r="E61" s="117"/>
      <c r="L61" s="117"/>
      <c r="M61" s="117"/>
      <c r="N61" s="117"/>
      <c r="O61" s="117"/>
      <c r="P61" s="117"/>
      <c r="Q61" s="117"/>
      <c r="R61" s="117"/>
      <c r="S61" s="117"/>
    </row>
    <row r="62" customFormat="false" ht="15" hidden="false" customHeight="false" outlineLevel="0" collapsed="false">
      <c r="E62" s="117"/>
      <c r="L62" s="117"/>
      <c r="M62" s="117"/>
      <c r="N62" s="117"/>
      <c r="O62" s="117"/>
      <c r="P62" s="117"/>
      <c r="Q62" s="117"/>
      <c r="R62" s="117"/>
      <c r="S62" s="117"/>
    </row>
    <row r="63" customFormat="false" ht="15" hidden="false" customHeight="false" outlineLevel="0" collapsed="false">
      <c r="E63" s="117"/>
      <c r="L63" s="117"/>
      <c r="M63" s="117"/>
      <c r="N63" s="117"/>
      <c r="O63" s="117"/>
      <c r="P63" s="117"/>
      <c r="Q63" s="117"/>
      <c r="R63" s="117"/>
      <c r="S63" s="117"/>
    </row>
    <row r="64" customFormat="false" ht="15" hidden="false" customHeight="false" outlineLevel="0" collapsed="false">
      <c r="E64" s="117"/>
      <c r="L64" s="117"/>
      <c r="M64" s="117"/>
      <c r="N64" s="117"/>
      <c r="O64" s="117"/>
      <c r="P64" s="117"/>
      <c r="Q64" s="117"/>
      <c r="R64" s="117"/>
      <c r="S64" s="117"/>
    </row>
    <row r="65" customFormat="false" ht="15" hidden="false" customHeight="false" outlineLevel="0" collapsed="false">
      <c r="E65" s="117"/>
      <c r="L65" s="117"/>
      <c r="M65" s="117"/>
      <c r="N65" s="117"/>
      <c r="O65" s="117"/>
      <c r="P65" s="117"/>
      <c r="Q65" s="117"/>
      <c r="R65" s="117"/>
      <c r="S65" s="117"/>
    </row>
    <row r="66" customFormat="false" ht="15" hidden="false" customHeight="false" outlineLevel="0" collapsed="false">
      <c r="E66" s="117"/>
      <c r="L66" s="117"/>
      <c r="M66" s="117"/>
      <c r="N66" s="117"/>
      <c r="O66" s="117"/>
      <c r="P66" s="117"/>
      <c r="Q66" s="117"/>
      <c r="R66" s="117"/>
      <c r="S66" s="117"/>
    </row>
    <row r="67" customFormat="false" ht="15" hidden="false" customHeight="false" outlineLevel="0" collapsed="false">
      <c r="E67" s="117"/>
      <c r="L67" s="117"/>
      <c r="M67" s="117"/>
      <c r="N67" s="117"/>
      <c r="O67" s="117"/>
      <c r="P67" s="117"/>
      <c r="Q67" s="117"/>
      <c r="R67" s="117"/>
      <c r="S67" s="117"/>
    </row>
    <row r="68" customFormat="false" ht="15" hidden="false" customHeight="false" outlineLevel="0" collapsed="false">
      <c r="E68" s="117"/>
      <c r="L68" s="117"/>
      <c r="M68" s="117"/>
      <c r="N68" s="117"/>
      <c r="O68" s="117"/>
      <c r="P68" s="117"/>
      <c r="Q68" s="117"/>
      <c r="R68" s="117"/>
      <c r="S68" s="117"/>
    </row>
    <row r="69" customFormat="false" ht="15" hidden="false" customHeight="false" outlineLevel="0" collapsed="false">
      <c r="E69" s="117"/>
      <c r="L69" s="117"/>
      <c r="M69" s="117"/>
      <c r="N69" s="117"/>
      <c r="O69" s="117"/>
      <c r="P69" s="117"/>
      <c r="Q69" s="117"/>
      <c r="R69" s="117"/>
      <c r="S69" s="117"/>
    </row>
    <row r="70" customFormat="false" ht="15" hidden="false" customHeight="false" outlineLevel="0" collapsed="false">
      <c r="E70" s="117"/>
      <c r="L70" s="117"/>
      <c r="M70" s="117"/>
      <c r="N70" s="117"/>
      <c r="O70" s="117"/>
      <c r="P70" s="117"/>
      <c r="Q70" s="117"/>
      <c r="R70" s="117"/>
      <c r="S70" s="117"/>
    </row>
    <row r="71" customFormat="false" ht="15" hidden="false" customHeight="false" outlineLevel="0" collapsed="false">
      <c r="E71" s="117"/>
      <c r="L71" s="117"/>
      <c r="M71" s="117"/>
      <c r="N71" s="117"/>
      <c r="O71" s="117"/>
      <c r="P71" s="117"/>
      <c r="Q71" s="117"/>
      <c r="R71" s="117"/>
      <c r="S71" s="117"/>
    </row>
    <row r="72" customFormat="false" ht="15" hidden="false" customHeight="false" outlineLevel="0" collapsed="false">
      <c r="E72" s="117"/>
      <c r="L72" s="117"/>
      <c r="M72" s="117"/>
      <c r="N72" s="117"/>
      <c r="O72" s="117"/>
      <c r="P72" s="117"/>
      <c r="Q72" s="117"/>
      <c r="R72" s="117"/>
      <c r="S72" s="117"/>
    </row>
    <row r="73" customFormat="false" ht="15" hidden="false" customHeight="false" outlineLevel="0" collapsed="false">
      <c r="E73" s="117"/>
      <c r="L73" s="117"/>
      <c r="M73" s="117"/>
      <c r="N73" s="117"/>
      <c r="O73" s="117"/>
      <c r="P73" s="117"/>
      <c r="Q73" s="117"/>
      <c r="R73" s="117"/>
      <c r="S73" s="117"/>
    </row>
    <row r="74" customFormat="false" ht="15" hidden="false" customHeight="false" outlineLevel="0" collapsed="false">
      <c r="E74" s="117"/>
      <c r="L74" s="117"/>
      <c r="M74" s="117"/>
      <c r="N74" s="117"/>
      <c r="O74" s="117"/>
      <c r="P74" s="117"/>
      <c r="Q74" s="117"/>
      <c r="R74" s="117"/>
      <c r="S74" s="117"/>
    </row>
    <row r="75" customFormat="false" ht="15" hidden="false" customHeight="false" outlineLevel="0" collapsed="false">
      <c r="E75" s="117"/>
      <c r="L75" s="117"/>
      <c r="M75" s="117"/>
      <c r="N75" s="117"/>
      <c r="O75" s="117"/>
      <c r="P75" s="117"/>
      <c r="Q75" s="117"/>
      <c r="R75" s="117"/>
      <c r="S75" s="117"/>
    </row>
    <row r="76" customFormat="false" ht="15" hidden="false" customHeight="false" outlineLevel="0" collapsed="false">
      <c r="E76" s="117"/>
      <c r="L76" s="117"/>
      <c r="M76" s="117"/>
      <c r="N76" s="117"/>
      <c r="O76" s="117"/>
      <c r="P76" s="117"/>
      <c r="Q76" s="117"/>
      <c r="R76" s="117"/>
      <c r="S76" s="117"/>
    </row>
    <row r="77" customFormat="false" ht="15" hidden="false" customHeight="false" outlineLevel="0" collapsed="false">
      <c r="E77" s="117"/>
      <c r="L77" s="117"/>
      <c r="M77" s="117"/>
      <c r="N77" s="117"/>
      <c r="O77" s="117"/>
      <c r="P77" s="117"/>
      <c r="Q77" s="117"/>
      <c r="R77" s="117"/>
      <c r="S77" s="117"/>
    </row>
    <row r="78" customFormat="false" ht="15" hidden="true" customHeight="false" outlineLevel="0" collapsed="false">
      <c r="E78" s="117"/>
      <c r="L78" s="117"/>
      <c r="M78" s="117"/>
      <c r="N78" s="117"/>
      <c r="O78" s="117"/>
      <c r="P78" s="117"/>
      <c r="Q78" s="117"/>
      <c r="R78" s="117"/>
      <c r="S78" s="117"/>
    </row>
    <row r="79" customFormat="false" ht="15" hidden="true" customHeight="false" outlineLevel="0" collapsed="false">
      <c r="E79" s="117"/>
      <c r="L79" s="117"/>
      <c r="M79" s="117"/>
      <c r="N79" s="117"/>
      <c r="O79" s="117"/>
      <c r="P79" s="117"/>
      <c r="Q79" s="117"/>
      <c r="R79" s="117"/>
      <c r="S79" s="117"/>
    </row>
    <row r="80" customFormat="false" ht="15" hidden="true" customHeight="false" outlineLevel="0" collapsed="false">
      <c r="E80" s="117"/>
      <c r="L80" s="117"/>
      <c r="M80" s="117"/>
      <c r="N80" s="117"/>
      <c r="O80" s="117"/>
      <c r="P80" s="117"/>
      <c r="Q80" s="117"/>
      <c r="R80" s="117"/>
      <c r="S80" s="117"/>
    </row>
    <row r="81" customFormat="false" ht="15" hidden="true" customHeight="false" outlineLevel="0" collapsed="false">
      <c r="E81" s="117"/>
      <c r="L81" s="117"/>
      <c r="M81" s="117"/>
      <c r="N81" s="117"/>
      <c r="O81" s="117"/>
      <c r="P81" s="117"/>
      <c r="Q81" s="117"/>
      <c r="R81" s="117"/>
      <c r="S81" s="117"/>
    </row>
    <row r="82" customFormat="false" ht="15" hidden="true" customHeight="false" outlineLevel="0" collapsed="false">
      <c r="E82" s="117"/>
      <c r="L82" s="117"/>
      <c r="M82" s="117"/>
      <c r="N82" s="117"/>
      <c r="O82" s="117"/>
      <c r="P82" s="117"/>
      <c r="Q82" s="117"/>
      <c r="R82" s="117"/>
      <c r="S82" s="117"/>
    </row>
    <row r="83" customFormat="false" ht="15" hidden="false" customHeight="false" outlineLevel="0" collapsed="false">
      <c r="E83" s="117"/>
      <c r="L83" s="117"/>
      <c r="M83" s="117"/>
      <c r="N83" s="117"/>
      <c r="O83" s="117"/>
      <c r="P83" s="117"/>
      <c r="Q83" s="117"/>
      <c r="R83" s="117"/>
      <c r="S83" s="117"/>
    </row>
    <row r="84" customFormat="false" ht="15" hidden="false" customHeight="false" outlineLevel="0" collapsed="false">
      <c r="E84" s="117"/>
      <c r="L84" s="117"/>
      <c r="M84" s="117"/>
      <c r="N84" s="117"/>
      <c r="O84" s="117"/>
      <c r="P84" s="117"/>
      <c r="Q84" s="117"/>
      <c r="R84" s="117"/>
      <c r="S84" s="117"/>
    </row>
    <row r="85" customFormat="false" ht="15" hidden="false" customHeight="false" outlineLevel="0" collapsed="false">
      <c r="E85" s="117"/>
      <c r="L85" s="117"/>
      <c r="M85" s="117"/>
      <c r="N85" s="117"/>
      <c r="O85" s="117"/>
      <c r="P85" s="117"/>
      <c r="Q85" s="117"/>
      <c r="R85" s="117"/>
      <c r="S85" s="117"/>
    </row>
    <row r="86" customFormat="false" ht="15" hidden="false" customHeight="false" outlineLevel="0" collapsed="false">
      <c r="E86" s="117"/>
    </row>
    <row r="87" customFormat="false" ht="15" hidden="false" customHeight="false" outlineLevel="0" collapsed="false">
      <c r="E87" s="117"/>
    </row>
    <row r="88" customFormat="false" ht="15" hidden="false" customHeight="false" outlineLevel="0" collapsed="false">
      <c r="E88" s="117"/>
    </row>
    <row r="89" customFormat="false" ht="15" hidden="false" customHeight="false" outlineLevel="0" collapsed="false">
      <c r="E89" s="117"/>
    </row>
    <row r="90" customFormat="false" ht="15" hidden="false" customHeight="false" outlineLevel="0" collapsed="false">
      <c r="E90" s="117"/>
    </row>
    <row r="91" customFormat="false" ht="15" hidden="false" customHeight="false" outlineLevel="0" collapsed="false">
      <c r="E91" s="117"/>
    </row>
    <row r="92" customFormat="false" ht="15" hidden="false" customHeight="false" outlineLevel="0" collapsed="false">
      <c r="E92" s="117"/>
    </row>
    <row r="93" customFormat="false" ht="15" hidden="false" customHeight="false" outlineLevel="0" collapsed="false">
      <c r="E93" s="117"/>
    </row>
    <row r="94" customFormat="false" ht="15" hidden="false" customHeight="false" outlineLevel="0" collapsed="false">
      <c r="E94" s="117"/>
    </row>
    <row r="95" customFormat="false" ht="15" hidden="false" customHeight="false" outlineLevel="0" collapsed="false">
      <c r="E95" s="117"/>
    </row>
    <row r="96" customFormat="false" ht="15" hidden="false" customHeight="false" outlineLevel="0" collapsed="false">
      <c r="E96" s="117"/>
    </row>
    <row r="97" customFormat="false" ht="15" hidden="false" customHeight="false" outlineLevel="0" collapsed="false">
      <c r="E97" s="117"/>
    </row>
    <row r="98" customFormat="false" ht="15" hidden="false" customHeight="false" outlineLevel="0" collapsed="false">
      <c r="E98" s="117"/>
    </row>
    <row r="99" customFormat="false" ht="15" hidden="false" customHeight="false" outlineLevel="0" collapsed="false">
      <c r="E99" s="117"/>
    </row>
    <row r="100" customFormat="false" ht="15" hidden="false" customHeight="false" outlineLevel="0" collapsed="false">
      <c r="E100" s="117"/>
    </row>
    <row r="101" customFormat="false" ht="15" hidden="false" customHeight="false" outlineLevel="0" collapsed="false">
      <c r="E101" s="117"/>
    </row>
    <row r="102" customFormat="false" ht="15" hidden="false" customHeight="false" outlineLevel="0" collapsed="false">
      <c r="E102" s="117"/>
    </row>
    <row r="103" customFormat="false" ht="15" hidden="false" customHeight="false" outlineLevel="0" collapsed="false">
      <c r="E103" s="117"/>
    </row>
    <row r="104" customFormat="false" ht="15" hidden="false" customHeight="false" outlineLevel="0" collapsed="false">
      <c r="E104" s="117"/>
    </row>
    <row r="105" customFormat="false" ht="15" hidden="false" customHeight="false" outlineLevel="0" collapsed="false">
      <c r="E105" s="117"/>
    </row>
    <row r="106" customFormat="false" ht="15" hidden="false" customHeight="false" outlineLevel="0" collapsed="false">
      <c r="E106" s="117"/>
    </row>
    <row r="107" customFormat="false" ht="15" hidden="false" customHeight="false" outlineLevel="0" collapsed="false">
      <c r="E107" s="117"/>
    </row>
    <row r="108" customFormat="false" ht="15" hidden="false" customHeight="false" outlineLevel="0" collapsed="false">
      <c r="E108" s="117"/>
    </row>
    <row r="109" customFormat="false" ht="15" hidden="false" customHeight="false" outlineLevel="0" collapsed="false">
      <c r="E109" s="117"/>
    </row>
    <row r="110" customFormat="false" ht="15" hidden="false" customHeight="false" outlineLevel="0" collapsed="false">
      <c r="E110" s="117"/>
    </row>
    <row r="111" customFormat="false" ht="15" hidden="false" customHeight="false" outlineLevel="0" collapsed="false">
      <c r="E111" s="117"/>
    </row>
    <row r="112" customFormat="false" ht="15" hidden="false" customHeight="false" outlineLevel="0" collapsed="false">
      <c r="E112" s="117"/>
    </row>
    <row r="113" customFormat="false" ht="15" hidden="false" customHeight="false" outlineLevel="0" collapsed="false">
      <c r="E113" s="117"/>
    </row>
    <row r="114" customFormat="false" ht="15" hidden="false" customHeight="false" outlineLevel="0" collapsed="false">
      <c r="E114" s="117"/>
    </row>
    <row r="115" customFormat="false" ht="15" hidden="false" customHeight="false" outlineLevel="0" collapsed="false">
      <c r="E115" s="117"/>
    </row>
    <row r="116" customFormat="false" ht="15" hidden="false" customHeight="false" outlineLevel="0" collapsed="false">
      <c r="E116" s="117"/>
    </row>
    <row r="117" customFormat="false" ht="15" hidden="false" customHeight="false" outlineLevel="0" collapsed="false">
      <c r="E117" s="117"/>
    </row>
    <row r="118" customFormat="false" ht="15" hidden="false" customHeight="false" outlineLevel="0" collapsed="false">
      <c r="E118" s="117"/>
    </row>
    <row r="119" customFormat="false" ht="15" hidden="false" customHeight="false" outlineLevel="0" collapsed="false">
      <c r="E119" s="117"/>
    </row>
    <row r="120" customFormat="false" ht="15" hidden="false" customHeight="false" outlineLevel="0" collapsed="false">
      <c r="E120" s="117"/>
    </row>
    <row r="121" customFormat="false" ht="15" hidden="false" customHeight="false" outlineLevel="0" collapsed="false">
      <c r="E121" s="117"/>
    </row>
    <row r="122" customFormat="false" ht="15" hidden="false" customHeight="false" outlineLevel="0" collapsed="false">
      <c r="E122" s="117"/>
    </row>
    <row r="123" customFormat="false" ht="15" hidden="false" customHeight="false" outlineLevel="0" collapsed="false">
      <c r="E123" s="117"/>
    </row>
    <row r="124" customFormat="false" ht="15" hidden="false" customHeight="false" outlineLevel="0" collapsed="false">
      <c r="E124" s="117"/>
    </row>
    <row r="377" customFormat="false" ht="15" hidden="false" customHeight="false" outlineLevel="0" collapsed="false">
      <c r="N377" s="70" t="n"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V132"/>
  <sheetViews>
    <sheetView showFormulas="false" showGridLines="true" showRowColHeaders="true" showZeros="true" rightToLeft="false" tabSelected="false" showOutlineSymbols="true" defaultGridColor="true" view="normal" topLeftCell="A34" colorId="64" zoomScale="60" zoomScaleNormal="60" zoomScalePageLayoutView="100" workbookViewId="0">
      <selection pane="topLeft" activeCell="K53" activeCellId="0" sqref="K53"/>
    </sheetView>
  </sheetViews>
  <sheetFormatPr defaultColWidth="8.8359375" defaultRowHeight="15" zeroHeight="false" outlineLevelRow="0" outlineLevelCol="0"/>
  <cols>
    <col collapsed="false" customWidth="true" hidden="false" outlineLevel="0" max="1" min="1" style="66" width="13.66"/>
    <col collapsed="false" customWidth="true" hidden="false" outlineLevel="0" max="2" min="2" style="67" width="10.33"/>
    <col collapsed="false" customWidth="true" hidden="false" outlineLevel="0" max="4" min="3" style="68" width="18.17"/>
    <col collapsed="false" customWidth="true" hidden="false" outlineLevel="0" max="6" min="5" style="68" width="14"/>
    <col collapsed="false" customWidth="true" hidden="false" outlineLevel="0" max="7" min="7" style="66" width="13.51"/>
    <col collapsed="false" customWidth="true" hidden="false" outlineLevel="0" max="8" min="8" style="69" width="13.83"/>
    <col collapsed="false" customWidth="true" hidden="false" outlineLevel="0" max="10" min="9" style="70" width="14.33"/>
    <col collapsed="false" customWidth="true" hidden="false" outlineLevel="0" max="11" min="11" style="71" width="12.51"/>
    <col collapsed="false" customWidth="true" hidden="false" outlineLevel="0" max="12" min="12" style="70" width="12.17"/>
    <col collapsed="false" customWidth="true" hidden="false" outlineLevel="0" max="13" min="13" style="70" width="9.83"/>
    <col collapsed="false" customWidth="true" hidden="false" outlineLevel="0" max="14" min="14" style="70" width="18.5"/>
    <col collapsed="false" customWidth="true" hidden="false" outlineLevel="0" max="15" min="15" style="70" width="17.83"/>
    <col collapsed="false" customWidth="true" hidden="false" outlineLevel="0" max="16" min="16" style="70" width="13.83"/>
    <col collapsed="false" customWidth="true" hidden="false" outlineLevel="0" max="17" min="17" style="70" width="12.66"/>
    <col collapsed="false" customWidth="true" hidden="false" outlineLevel="0" max="18" min="18" style="70" width="12.83"/>
    <col collapsed="false" customWidth="true" hidden="false" outlineLevel="0" max="19" min="19" style="70" width="12.17"/>
  </cols>
  <sheetData>
    <row r="1" customFormat="false" ht="48" hidden="false" customHeight="false" outlineLevel="0" collapsed="false">
      <c r="A1" s="41" t="s">
        <v>25</v>
      </c>
      <c r="B1" s="72" t="s">
        <v>26</v>
      </c>
      <c r="C1" s="73" t="s">
        <v>27</v>
      </c>
      <c r="D1" s="73" t="s">
        <v>28</v>
      </c>
      <c r="E1" s="73" t="s">
        <v>29</v>
      </c>
      <c r="F1" s="73" t="s">
        <v>29</v>
      </c>
      <c r="G1" s="73" t="s">
        <v>30</v>
      </c>
      <c r="H1" s="74" t="s">
        <v>31</v>
      </c>
      <c r="I1" s="75" t="s">
        <v>32</v>
      </c>
      <c r="J1" s="76" t="s">
        <v>3</v>
      </c>
      <c r="L1" s="77" t="s">
        <v>33</v>
      </c>
      <c r="M1" s="78" t="s">
        <v>34</v>
      </c>
      <c r="N1" s="79" t="s">
        <v>27</v>
      </c>
      <c r="O1" s="79" t="s">
        <v>28</v>
      </c>
      <c r="P1" s="79" t="s">
        <v>29</v>
      </c>
      <c r="Q1" s="79" t="s">
        <v>30</v>
      </c>
      <c r="R1" s="80" t="s">
        <v>31</v>
      </c>
      <c r="S1" s="79" t="s">
        <v>35</v>
      </c>
    </row>
    <row r="2" customFormat="false" ht="15" hidden="false" customHeight="false" outlineLevel="0" collapsed="false">
      <c r="A2" s="81" t="n">
        <v>45090</v>
      </c>
      <c r="B2" s="81" t="s">
        <v>36</v>
      </c>
      <c r="C2" s="82"/>
      <c r="D2" s="82"/>
      <c r="E2" s="82"/>
      <c r="F2" s="82"/>
      <c r="G2" s="83"/>
      <c r="H2" s="84"/>
      <c r="I2" s="85"/>
      <c r="J2" s="86"/>
      <c r="K2" s="87"/>
      <c r="L2" s="88"/>
      <c r="M2" s="81" t="s">
        <v>37</v>
      </c>
      <c r="N2" s="82"/>
      <c r="O2" s="82"/>
      <c r="P2" s="82"/>
      <c r="Q2" s="83"/>
      <c r="R2" s="84"/>
      <c r="S2" s="85"/>
    </row>
    <row r="3" customFormat="false" ht="15.75" hidden="false" customHeight="false" outlineLevel="0" collapsed="false">
      <c r="A3" s="89" t="n">
        <v>0.427083333333333</v>
      </c>
      <c r="B3" s="90" t="s">
        <v>39</v>
      </c>
      <c r="C3" s="75" t="n">
        <v>51182270</v>
      </c>
      <c r="D3" s="75" t="n">
        <v>51199290</v>
      </c>
      <c r="E3" s="91" t="n">
        <f aca="false">SUM(D3-C3)</f>
        <v>17020</v>
      </c>
      <c r="F3" s="106" t="n">
        <v>17019</v>
      </c>
      <c r="G3" s="41" t="n">
        <v>0.8364</v>
      </c>
      <c r="H3" s="93" t="n">
        <f aca="false">SUM(G3*F3)</f>
        <v>14234.6916</v>
      </c>
      <c r="I3" s="29" t="n">
        <v>251</v>
      </c>
      <c r="J3" s="29" t="n">
        <v>6685</v>
      </c>
      <c r="K3" s="94" t="s">
        <v>18</v>
      </c>
      <c r="L3" s="95" t="n">
        <v>0.666666666666667</v>
      </c>
      <c r="M3" s="96" t="s">
        <v>39</v>
      </c>
      <c r="N3" s="159" t="n">
        <v>7629690</v>
      </c>
      <c r="O3" s="98" t="n">
        <v>7629980</v>
      </c>
      <c r="P3" s="99" t="n">
        <f aca="false">SUM(O3-N3)</f>
        <v>290</v>
      </c>
      <c r="Q3" s="100" t="n">
        <v>0.8364</v>
      </c>
      <c r="R3" s="101" t="n">
        <f aca="false">SUM(Q3*P3)</f>
        <v>242.556</v>
      </c>
      <c r="S3" s="102" t="s">
        <v>65</v>
      </c>
      <c r="V3" s="0" t="s">
        <v>41</v>
      </c>
    </row>
    <row r="4" customFormat="false" ht="15.75" hidden="false" customHeight="false" outlineLevel="0" collapsed="false">
      <c r="A4" s="89" t="n">
        <v>0.4375</v>
      </c>
      <c r="B4" s="90" t="s">
        <v>48</v>
      </c>
      <c r="C4" s="97" t="n">
        <f aca="false">SUM(D3)</f>
        <v>51199290</v>
      </c>
      <c r="D4" s="75" t="n">
        <v>51207470</v>
      </c>
      <c r="E4" s="91" t="n">
        <f aca="false">SUM(D4-C4)</f>
        <v>8180</v>
      </c>
      <c r="F4" s="108" t="n">
        <f aca="false">SUM(D4-C4)</f>
        <v>8180</v>
      </c>
      <c r="G4" s="41" t="n">
        <v>0.8331</v>
      </c>
      <c r="H4" s="93" t="n">
        <f aca="false">SUM(G4*F4)</f>
        <v>6814.758</v>
      </c>
      <c r="I4" s="29" t="n">
        <v>248</v>
      </c>
      <c r="J4" s="29" t="n">
        <v>6687</v>
      </c>
      <c r="K4" s="94" t="s">
        <v>18</v>
      </c>
      <c r="L4" s="95" t="n">
        <v>0.708333333333333</v>
      </c>
      <c r="M4" s="104" t="s">
        <v>44</v>
      </c>
      <c r="N4" s="99" t="n">
        <f aca="false">SUM(O3)</f>
        <v>7629980</v>
      </c>
      <c r="O4" s="98" t="n">
        <v>7630110</v>
      </c>
      <c r="P4" s="99" t="n">
        <f aca="false">SUM(O4-N4)</f>
        <v>130</v>
      </c>
      <c r="Q4" s="105" t="n">
        <v>0.8365</v>
      </c>
      <c r="R4" s="101" t="n">
        <f aca="false">SUM(Q4*P4)</f>
        <v>108.745</v>
      </c>
      <c r="S4" s="102" t="s">
        <v>97</v>
      </c>
    </row>
    <row r="5" customFormat="false" ht="15.75" hidden="false" customHeight="false" outlineLevel="0" collapsed="false">
      <c r="A5" s="89" t="n">
        <v>0.451388888888889</v>
      </c>
      <c r="B5" s="90" t="s">
        <v>48</v>
      </c>
      <c r="C5" s="97" t="n">
        <f aca="false">SUM(D4)</f>
        <v>51207470</v>
      </c>
      <c r="D5" s="75" t="n">
        <v>51215980</v>
      </c>
      <c r="E5" s="91" t="n">
        <f aca="false">SUM(D5-C5)</f>
        <v>8510</v>
      </c>
      <c r="F5" s="108" t="n">
        <f aca="false">SUM(D5-C5)</f>
        <v>8510</v>
      </c>
      <c r="G5" s="41" t="n">
        <v>0.8331</v>
      </c>
      <c r="H5" s="93" t="n">
        <f aca="false">SUM(G5*F5)</f>
        <v>7089.681</v>
      </c>
      <c r="I5" s="29" t="n">
        <v>147</v>
      </c>
      <c r="J5" s="29" t="n">
        <v>6689</v>
      </c>
      <c r="K5" s="94" t="s">
        <v>18</v>
      </c>
      <c r="L5" s="95" t="n">
        <v>0.75</v>
      </c>
      <c r="M5" s="104" t="s">
        <v>44</v>
      </c>
      <c r="N5" s="99" t="n">
        <f aca="false">SUM(O4)</f>
        <v>7630110</v>
      </c>
      <c r="O5" s="98" t="n">
        <v>7630320</v>
      </c>
      <c r="P5" s="99" t="n">
        <f aca="false">SUM(O5-N5)</f>
        <v>210</v>
      </c>
      <c r="Q5" s="100" t="n">
        <v>0.8365</v>
      </c>
      <c r="R5" s="101" t="n">
        <f aca="false">SUM(Q5*P5)</f>
        <v>175.665</v>
      </c>
      <c r="S5" s="102" t="s">
        <v>43</v>
      </c>
    </row>
    <row r="6" customFormat="false" ht="15.75" hidden="false" customHeight="false" outlineLevel="0" collapsed="false">
      <c r="A6" s="89" t="n">
        <v>0.458333333333333</v>
      </c>
      <c r="B6" s="90" t="s">
        <v>48</v>
      </c>
      <c r="C6" s="97" t="n">
        <f aca="false">SUM(D5)</f>
        <v>51215980</v>
      </c>
      <c r="D6" s="75" t="n">
        <v>51227460</v>
      </c>
      <c r="E6" s="91" t="n">
        <f aca="false">SUM(D6-C6)</f>
        <v>11480</v>
      </c>
      <c r="F6" s="189" t="n">
        <v>11480</v>
      </c>
      <c r="G6" s="41" t="n">
        <v>0.8331</v>
      </c>
      <c r="H6" s="93" t="n">
        <f aca="false">SUM(G6*F6)</f>
        <v>9563.988</v>
      </c>
      <c r="I6" s="29" t="n">
        <v>388</v>
      </c>
      <c r="J6" s="29" t="n">
        <v>6690</v>
      </c>
      <c r="K6" s="94" t="s">
        <v>18</v>
      </c>
      <c r="L6" s="95" t="n">
        <v>0.944444444444444</v>
      </c>
      <c r="M6" s="104" t="s">
        <v>46</v>
      </c>
      <c r="N6" s="99" t="n">
        <f aca="false">SUM(O5)</f>
        <v>7630320</v>
      </c>
      <c r="O6" s="98" t="n">
        <v>7630370</v>
      </c>
      <c r="P6" s="99" t="n">
        <f aca="false">SUM(O6-N6)</f>
        <v>50</v>
      </c>
      <c r="Q6" s="41" t="n">
        <v>0.8365</v>
      </c>
      <c r="R6" s="101" t="n">
        <f aca="false">SUM(Q6*P6)</f>
        <v>41.825</v>
      </c>
      <c r="S6" s="102" t="s">
        <v>105</v>
      </c>
    </row>
    <row r="7" customFormat="false" ht="15.75" hidden="false" customHeight="false" outlineLevel="0" collapsed="false">
      <c r="A7" s="89" t="n">
        <v>0.458333333333333</v>
      </c>
      <c r="B7" s="90" t="s">
        <v>48</v>
      </c>
      <c r="C7" s="97" t="n">
        <f aca="false">SUM(D6)</f>
        <v>51227460</v>
      </c>
      <c r="D7" s="75" t="n">
        <v>51238410</v>
      </c>
      <c r="E7" s="91" t="n">
        <f aca="false">SUM(D7-C7)</f>
        <v>10950</v>
      </c>
      <c r="F7" s="189" t="n">
        <v>10950</v>
      </c>
      <c r="G7" s="41" t="n">
        <v>0.8331</v>
      </c>
      <c r="H7" s="93" t="n">
        <f aca="false">SUM(G7*F7)</f>
        <v>9122.445</v>
      </c>
      <c r="I7" s="29" t="n">
        <v>388</v>
      </c>
      <c r="J7" s="29" t="n">
        <v>6691</v>
      </c>
      <c r="K7" s="94" t="s">
        <v>18</v>
      </c>
      <c r="L7" s="95" t="n">
        <v>0.958333333333333</v>
      </c>
      <c r="M7" s="104" t="s">
        <v>48</v>
      </c>
      <c r="N7" s="99" t="n">
        <f aca="false">SUM(O6)</f>
        <v>7630370</v>
      </c>
      <c r="O7" s="98" t="n">
        <v>7630430</v>
      </c>
      <c r="P7" s="99" t="n">
        <f aca="false">SUM(O7-N7)</f>
        <v>60</v>
      </c>
      <c r="Q7" s="41" t="n">
        <v>0.8363</v>
      </c>
      <c r="R7" s="101" t="n">
        <f aca="false">SUM(Q7*P7)</f>
        <v>50.178</v>
      </c>
      <c r="S7" s="102" t="s">
        <v>63</v>
      </c>
    </row>
    <row r="8" customFormat="false" ht="15.75" hidden="false" customHeight="false" outlineLevel="0" collapsed="false">
      <c r="A8" s="89" t="n">
        <v>0.541666666666667</v>
      </c>
      <c r="B8" s="90" t="s">
        <v>48</v>
      </c>
      <c r="C8" s="97" t="n">
        <f aca="false">SUM(D7)</f>
        <v>51238410</v>
      </c>
      <c r="D8" s="75" t="n">
        <v>51260840</v>
      </c>
      <c r="E8" s="91" t="n">
        <f aca="false">SUM(D8-C8)</f>
        <v>22430</v>
      </c>
      <c r="F8" s="189" t="n">
        <v>22430</v>
      </c>
      <c r="G8" s="41" t="n">
        <v>0.8338</v>
      </c>
      <c r="H8" s="93" t="n">
        <f aca="false">SUM(G8*F8)</f>
        <v>18702.134</v>
      </c>
      <c r="I8" s="29" t="n">
        <v>388</v>
      </c>
      <c r="J8" s="29" t="n">
        <v>6696</v>
      </c>
      <c r="K8" s="94" t="s">
        <v>18</v>
      </c>
      <c r="L8" s="95" t="n">
        <v>0.993055555555555</v>
      </c>
      <c r="M8" s="96" t="s">
        <v>46</v>
      </c>
      <c r="N8" s="99" t="n">
        <f aca="false">SUM(O7)</f>
        <v>7630430</v>
      </c>
      <c r="O8" s="98" t="n">
        <v>7630700</v>
      </c>
      <c r="P8" s="99" t="n">
        <f aca="false">SUM(O8-N8)</f>
        <v>270</v>
      </c>
      <c r="Q8" s="100" t="n">
        <v>0.8365</v>
      </c>
      <c r="R8" s="101" t="n">
        <f aca="false">SUM(Q8*P8)</f>
        <v>225.855</v>
      </c>
      <c r="S8" s="1" t="s">
        <v>45</v>
      </c>
    </row>
    <row r="9" customFormat="false" ht="15.75" hidden="false" customHeight="false" outlineLevel="0" collapsed="false">
      <c r="A9" s="89" t="n">
        <v>0.708333333333333</v>
      </c>
      <c r="B9" s="90" t="s">
        <v>46</v>
      </c>
      <c r="C9" s="97" t="n">
        <f aca="false">SUM(D8)</f>
        <v>51260840</v>
      </c>
      <c r="D9" s="75" t="n">
        <v>51283250</v>
      </c>
      <c r="E9" s="91" t="n">
        <f aca="false">SUM(D9-C9)</f>
        <v>22410</v>
      </c>
      <c r="F9" s="189" t="n">
        <v>22430</v>
      </c>
      <c r="G9" s="41" t="n">
        <v>0.8363</v>
      </c>
      <c r="H9" s="93" t="n">
        <f aca="false">SUM(G9*F9)</f>
        <v>18758.209</v>
      </c>
      <c r="I9" s="29" t="n">
        <v>388</v>
      </c>
      <c r="J9" s="29" t="n">
        <v>6702</v>
      </c>
      <c r="K9" s="94" t="s">
        <v>18</v>
      </c>
      <c r="L9" s="95" t="n">
        <v>0.0555555555555556</v>
      </c>
      <c r="M9" s="96" t="s">
        <v>38</v>
      </c>
      <c r="N9" s="99" t="n">
        <f aca="false">SUM(O8)</f>
        <v>7630700</v>
      </c>
      <c r="O9" s="98" t="n">
        <v>7630760</v>
      </c>
      <c r="P9" s="99" t="n">
        <f aca="false">SUM(O9-N9)</f>
        <v>60</v>
      </c>
      <c r="Q9" s="100" t="n">
        <v>0.8395</v>
      </c>
      <c r="R9" s="101" t="n">
        <f aca="false">SUM(Q9*P9)</f>
        <v>50.37</v>
      </c>
      <c r="S9" s="1" t="s">
        <v>51</v>
      </c>
    </row>
    <row r="10" customFormat="false" ht="15.75" hidden="false" customHeight="false" outlineLevel="0" collapsed="false">
      <c r="A10" s="89" t="n">
        <v>0.770833333333333</v>
      </c>
      <c r="B10" s="90" t="s">
        <v>46</v>
      </c>
      <c r="C10" s="97" t="n">
        <f aca="false">SUM(D9)</f>
        <v>51283250</v>
      </c>
      <c r="D10" s="75" t="n">
        <v>51305680</v>
      </c>
      <c r="E10" s="91" t="n">
        <f aca="false">SUM(D10-C10)</f>
        <v>22430</v>
      </c>
      <c r="F10" s="189" t="n">
        <v>22430</v>
      </c>
      <c r="G10" s="41" t="n">
        <v>0.8363</v>
      </c>
      <c r="H10" s="93" t="n">
        <f aca="false">SUM(G10*F10)</f>
        <v>18758.209</v>
      </c>
      <c r="I10" s="29" t="n">
        <v>388</v>
      </c>
      <c r="J10" s="29" t="n">
        <v>6704</v>
      </c>
      <c r="K10" s="94" t="s">
        <v>18</v>
      </c>
      <c r="L10" s="95"/>
      <c r="M10" s="96"/>
      <c r="N10" s="99" t="n">
        <f aca="false">SUM(O9)</f>
        <v>7630760</v>
      </c>
      <c r="O10" s="98"/>
      <c r="P10" s="99" t="n">
        <f aca="false">SUM(O10-N10)</f>
        <v>-7630760</v>
      </c>
      <c r="Q10" s="100"/>
      <c r="R10" s="101" t="n">
        <f aca="false">SUM(Q10*P10)</f>
        <v>0</v>
      </c>
      <c r="S10" s="102"/>
    </row>
    <row r="11" customFormat="false" ht="15.75" hidden="false" customHeight="false" outlineLevel="0" collapsed="false">
      <c r="A11" s="89" t="n">
        <v>0.826388888888889</v>
      </c>
      <c r="B11" s="90" t="s">
        <v>48</v>
      </c>
      <c r="C11" s="97" t="n">
        <f aca="false">SUM(D10)</f>
        <v>51305680</v>
      </c>
      <c r="D11" s="75" t="n">
        <v>51328090</v>
      </c>
      <c r="E11" s="91" t="n">
        <f aca="false">SUM(D11-C11)</f>
        <v>22410</v>
      </c>
      <c r="F11" s="189" t="n">
        <v>22430</v>
      </c>
      <c r="G11" s="41" t="n">
        <v>0.8363</v>
      </c>
      <c r="H11" s="93" t="n">
        <f aca="false">SUM(G11*F11)</f>
        <v>18758.209</v>
      </c>
      <c r="I11" s="29" t="n">
        <v>388</v>
      </c>
      <c r="J11" s="29" t="n">
        <v>6707</v>
      </c>
      <c r="K11" s="94" t="s">
        <v>18</v>
      </c>
      <c r="L11" s="95"/>
      <c r="M11" s="96"/>
      <c r="N11" s="99" t="n">
        <f aca="false">SUM(O10)</f>
        <v>0</v>
      </c>
      <c r="O11" s="98"/>
      <c r="P11" s="99" t="n">
        <f aca="false">SUM(O11-N11)</f>
        <v>0</v>
      </c>
      <c r="Q11" s="100"/>
      <c r="R11" s="101" t="n">
        <f aca="false">SUM(Q11*P11)</f>
        <v>0</v>
      </c>
      <c r="S11" s="1"/>
    </row>
    <row r="12" customFormat="false" ht="15.75" hidden="false" customHeight="false" outlineLevel="0" collapsed="false">
      <c r="A12" s="89" t="n">
        <v>0.875</v>
      </c>
      <c r="B12" s="90" t="s">
        <v>48</v>
      </c>
      <c r="C12" s="97" t="n">
        <f aca="false">SUM(D11)</f>
        <v>51328090</v>
      </c>
      <c r="D12" s="75" t="n">
        <v>51337320</v>
      </c>
      <c r="E12" s="91" t="n">
        <f aca="false">SUM(D12-C12)</f>
        <v>9230</v>
      </c>
      <c r="F12" s="108" t="n">
        <v>9248</v>
      </c>
      <c r="G12" s="41" t="n">
        <v>0.8363</v>
      </c>
      <c r="H12" s="93" t="n">
        <f aca="false">SUM(G12*F12)</f>
        <v>7734.1024</v>
      </c>
      <c r="I12" s="29" t="n">
        <v>147</v>
      </c>
      <c r="J12" s="29" t="n">
        <v>6709</v>
      </c>
      <c r="K12" s="94" t="s">
        <v>18</v>
      </c>
      <c r="L12" s="95"/>
      <c r="M12" s="96"/>
      <c r="N12" s="99" t="n">
        <f aca="false">SUM(O11)</f>
        <v>0</v>
      </c>
      <c r="O12" s="98"/>
      <c r="P12" s="99" t="n">
        <f aca="false">SUM(O12-N12)</f>
        <v>0</v>
      </c>
      <c r="Q12" s="100"/>
      <c r="R12" s="101" t="n">
        <f aca="false">SUM(Q12*P12)</f>
        <v>0</v>
      </c>
      <c r="S12" s="1"/>
    </row>
    <row r="13" customFormat="false" ht="15.75" hidden="false" customHeight="false" outlineLevel="0" collapsed="false">
      <c r="A13" s="89" t="n">
        <v>0.885416666666667</v>
      </c>
      <c r="B13" s="90" t="s">
        <v>46</v>
      </c>
      <c r="C13" s="97" t="n">
        <f aca="false">SUM(D12)</f>
        <v>51337320</v>
      </c>
      <c r="D13" s="75" t="n">
        <v>51354340</v>
      </c>
      <c r="E13" s="91" t="n">
        <f aca="false">SUM(D13-C13)</f>
        <v>17020</v>
      </c>
      <c r="F13" s="106" t="n">
        <v>17019</v>
      </c>
      <c r="G13" s="41" t="n">
        <v>0.8365</v>
      </c>
      <c r="H13" s="93" t="n">
        <f aca="false">SUM(G13*F13)</f>
        <v>14236.3935</v>
      </c>
      <c r="I13" s="29" t="n">
        <v>251</v>
      </c>
      <c r="J13" s="29" t="n">
        <v>6711</v>
      </c>
      <c r="K13" s="94" t="s">
        <v>18</v>
      </c>
      <c r="L13" s="95"/>
      <c r="M13" s="96"/>
      <c r="N13" s="99" t="n">
        <f aca="false">SUM(O12)</f>
        <v>0</v>
      </c>
      <c r="O13" s="98"/>
      <c r="P13" s="99" t="n">
        <f aca="false">SUM(O13-N13)</f>
        <v>0</v>
      </c>
      <c r="Q13" s="100"/>
      <c r="R13" s="101" t="n">
        <f aca="false">SUM(Q13*P13)</f>
        <v>0</v>
      </c>
      <c r="S13" s="1"/>
    </row>
    <row r="14" customFormat="false" ht="15.75" hidden="false" customHeight="false" outlineLevel="0" collapsed="false">
      <c r="A14" s="89" t="n">
        <v>0.90625</v>
      </c>
      <c r="B14" s="90" t="s">
        <v>39</v>
      </c>
      <c r="C14" s="97" t="n">
        <f aca="false">SUM(D13)</f>
        <v>51354340</v>
      </c>
      <c r="D14" s="75" t="n">
        <v>51376760</v>
      </c>
      <c r="E14" s="91" t="n">
        <f aca="false">SUM(D14-C14)</f>
        <v>22420</v>
      </c>
      <c r="F14" s="189" t="n">
        <v>22430</v>
      </c>
      <c r="G14" s="41" t="n">
        <v>0.8395</v>
      </c>
      <c r="H14" s="93" t="n">
        <f aca="false">SUM(G14*F14)</f>
        <v>18829.985</v>
      </c>
      <c r="I14" s="29" t="n">
        <v>388</v>
      </c>
      <c r="J14" s="29" t="n">
        <v>6713</v>
      </c>
      <c r="K14" s="94" t="s">
        <v>18</v>
      </c>
      <c r="L14" s="95"/>
      <c r="M14" s="96"/>
      <c r="N14" s="99" t="n">
        <f aca="false">SUM(O13)</f>
        <v>0</v>
      </c>
      <c r="O14" s="98"/>
      <c r="P14" s="99" t="n">
        <f aca="false">SUM(O14-N14)</f>
        <v>0</v>
      </c>
      <c r="Q14" s="100"/>
      <c r="R14" s="101" t="n">
        <f aca="false">SUM(Q14*P14)</f>
        <v>0</v>
      </c>
      <c r="S14" s="1"/>
    </row>
    <row r="15" customFormat="false" ht="15.75" hidden="false" customHeight="false" outlineLevel="0" collapsed="false">
      <c r="A15" s="89" t="n">
        <v>0.96875</v>
      </c>
      <c r="B15" s="90" t="s">
        <v>38</v>
      </c>
      <c r="C15" s="97" t="n">
        <f aca="false">SUM(D14)</f>
        <v>51376760</v>
      </c>
      <c r="D15" s="75" t="n">
        <v>51399190</v>
      </c>
      <c r="E15" s="91" t="n">
        <f aca="false">SUM(D15-C15)</f>
        <v>22430</v>
      </c>
      <c r="F15" s="189" t="n">
        <v>22430</v>
      </c>
      <c r="G15" s="41" t="n">
        <v>0.8395</v>
      </c>
      <c r="H15" s="93" t="n">
        <f aca="false">SUM(G15*F15)</f>
        <v>18829.985</v>
      </c>
      <c r="I15" s="29" t="n">
        <v>388</v>
      </c>
      <c r="J15" s="29" t="n">
        <v>6717</v>
      </c>
      <c r="K15" s="94" t="s">
        <v>18</v>
      </c>
      <c r="L15" s="95"/>
      <c r="M15" s="96"/>
      <c r="N15" s="99" t="n">
        <f aca="false">SUM(O14)</f>
        <v>0</v>
      </c>
      <c r="O15" s="98"/>
      <c r="P15" s="99" t="n">
        <f aca="false">SUM(O15-N15)</f>
        <v>0</v>
      </c>
      <c r="Q15" s="100"/>
      <c r="R15" s="101" t="n">
        <f aca="false">SUM(Q15*P15)</f>
        <v>0</v>
      </c>
      <c r="S15" s="1"/>
    </row>
    <row r="16" customFormat="false" ht="15.75" hidden="false" customHeight="false" outlineLevel="0" collapsed="false">
      <c r="A16" s="89" t="n">
        <v>0.1875</v>
      </c>
      <c r="B16" s="90" t="s">
        <v>39</v>
      </c>
      <c r="C16" s="97" t="n">
        <f aca="false">SUM(D15)</f>
        <v>51399190</v>
      </c>
      <c r="D16" s="75" t="n">
        <v>51416210</v>
      </c>
      <c r="E16" s="91" t="n">
        <f aca="false">SUM(D16-C16)</f>
        <v>17020</v>
      </c>
      <c r="F16" s="106" t="n">
        <v>17019</v>
      </c>
      <c r="G16" s="41" t="n">
        <v>0.8399</v>
      </c>
      <c r="H16" s="93" t="n">
        <f aca="false">SUM(G16*F16)</f>
        <v>14294.2581</v>
      </c>
      <c r="I16" s="29" t="n">
        <v>251</v>
      </c>
      <c r="J16" s="29" t="n">
        <v>6721</v>
      </c>
      <c r="K16" s="94" t="s">
        <v>18</v>
      </c>
      <c r="L16" s="95"/>
      <c r="M16" s="104"/>
      <c r="N16" s="99" t="n">
        <f aca="false">SUM(O15)</f>
        <v>0</v>
      </c>
      <c r="O16" s="98"/>
      <c r="P16" s="99" t="n">
        <f aca="false">SUM(O16-N16)</f>
        <v>0</v>
      </c>
      <c r="Q16" s="41"/>
      <c r="R16" s="101" t="n">
        <f aca="false">SUM(Q16*P16)</f>
        <v>0</v>
      </c>
      <c r="S16" s="102"/>
    </row>
    <row r="17" customFormat="false" ht="15.75" hidden="false" customHeight="false" outlineLevel="0" collapsed="false">
      <c r="A17" s="89" t="n">
        <v>0.201388888888889</v>
      </c>
      <c r="B17" s="90" t="s">
        <v>54</v>
      </c>
      <c r="C17" s="97" t="n">
        <f aca="false">SUM(D16)</f>
        <v>51416210</v>
      </c>
      <c r="D17" s="75" t="n">
        <v>51438620</v>
      </c>
      <c r="E17" s="91" t="n">
        <f aca="false">SUM(D17-C17)</f>
        <v>22410</v>
      </c>
      <c r="F17" s="189" t="n">
        <v>22430</v>
      </c>
      <c r="G17" s="41" t="n">
        <v>0.8399</v>
      </c>
      <c r="H17" s="93" t="n">
        <f aca="false">SUM(G17*F17)</f>
        <v>18838.957</v>
      </c>
      <c r="I17" s="29" t="n">
        <v>388</v>
      </c>
      <c r="J17" s="29" t="n">
        <v>6722</v>
      </c>
      <c r="K17" s="94" t="s">
        <v>18</v>
      </c>
      <c r="L17" s="88"/>
      <c r="M17" s="88" t="s">
        <v>49</v>
      </c>
      <c r="N17" s="82"/>
      <c r="O17" s="82"/>
      <c r="P17" s="82"/>
      <c r="Q17" s="83"/>
      <c r="R17" s="84"/>
      <c r="S17" s="85"/>
    </row>
    <row r="18" customFormat="false" ht="15.75" hidden="false" customHeight="false" outlineLevel="0" collapsed="false">
      <c r="A18" s="89" t="n">
        <v>0.260416666666667</v>
      </c>
      <c r="B18" s="90" t="s">
        <v>54</v>
      </c>
      <c r="C18" s="97" t="n">
        <f aca="false">SUM(D17)</f>
        <v>51438620</v>
      </c>
      <c r="D18" s="75" t="n">
        <v>51461040</v>
      </c>
      <c r="E18" s="91" t="n">
        <f aca="false">SUM(D18-C18)</f>
        <v>22420</v>
      </c>
      <c r="F18" s="189" t="n">
        <v>22430</v>
      </c>
      <c r="G18" s="41" t="n">
        <v>0.8399</v>
      </c>
      <c r="H18" s="93" t="n">
        <f aca="false">SUM(G18*F18)</f>
        <v>18838.957</v>
      </c>
      <c r="I18" s="29" t="n">
        <v>388</v>
      </c>
      <c r="J18" s="29" t="n">
        <v>6724</v>
      </c>
      <c r="K18" s="94" t="s">
        <v>18</v>
      </c>
      <c r="L18" s="95"/>
      <c r="M18" s="104"/>
      <c r="N18" s="129"/>
      <c r="O18" s="98"/>
      <c r="P18" s="108" t="n">
        <f aca="false">SUM(O18-N18)</f>
        <v>0</v>
      </c>
      <c r="Q18" s="41"/>
      <c r="R18" s="93" t="n">
        <f aca="false">SUM(Q18*P18)</f>
        <v>0</v>
      </c>
      <c r="S18" s="102"/>
      <c r="T18" s="0" t="s">
        <v>41</v>
      </c>
    </row>
    <row r="19" customFormat="false" ht="15.75" hidden="false" customHeight="false" outlineLevel="0" collapsed="false">
      <c r="A19" s="89" t="n">
        <v>0.322916666666667</v>
      </c>
      <c r="B19" s="90" t="s">
        <v>54</v>
      </c>
      <c r="C19" s="97" t="n">
        <f aca="false">SUM(D18)</f>
        <v>51461040</v>
      </c>
      <c r="D19" s="75" t="n">
        <v>51472520</v>
      </c>
      <c r="E19" s="91" t="n">
        <f aca="false">SUM(D19-C19)</f>
        <v>11480</v>
      </c>
      <c r="F19" s="189" t="n">
        <v>11480</v>
      </c>
      <c r="G19" s="41" t="n">
        <v>0.8385</v>
      </c>
      <c r="H19" s="93" t="n">
        <f aca="false">SUM(G19*F19)</f>
        <v>9625.98</v>
      </c>
      <c r="I19" s="29" t="n">
        <v>388</v>
      </c>
      <c r="J19" s="29" t="n">
        <v>6727</v>
      </c>
      <c r="K19" s="94" t="s">
        <v>18</v>
      </c>
      <c r="L19" s="95"/>
      <c r="M19" s="104"/>
      <c r="N19" s="97" t="n">
        <f aca="false">SUM(O18)</f>
        <v>0</v>
      </c>
      <c r="O19" s="98"/>
      <c r="P19" s="108" t="n">
        <f aca="false">SUM(O19-N19)</f>
        <v>0</v>
      </c>
      <c r="Q19" s="41"/>
      <c r="R19" s="93" t="n">
        <f aca="false">SUM(Q19*P19)</f>
        <v>0</v>
      </c>
      <c r="S19" s="102"/>
    </row>
    <row r="20" customFormat="false" ht="15.75" hidden="false" customHeight="false" outlineLevel="0" collapsed="false">
      <c r="A20" s="89" t="n">
        <v>0.322916666666667</v>
      </c>
      <c r="B20" s="90" t="s">
        <v>54</v>
      </c>
      <c r="C20" s="97" t="n">
        <f aca="false">SUM(D19)</f>
        <v>51472520</v>
      </c>
      <c r="D20" s="75" t="n">
        <v>51483480</v>
      </c>
      <c r="E20" s="91" t="n">
        <f aca="false">SUM(D20-C20)</f>
        <v>10960</v>
      </c>
      <c r="F20" s="189" t="n">
        <v>10950</v>
      </c>
      <c r="G20" s="41" t="n">
        <v>0.8385</v>
      </c>
      <c r="H20" s="93" t="n">
        <f aca="false">SUM(G20*F20)</f>
        <v>9181.575</v>
      </c>
      <c r="I20" s="29" t="n">
        <v>388</v>
      </c>
      <c r="J20" s="29" t="n">
        <v>6728</v>
      </c>
      <c r="K20" s="94" t="s">
        <v>18</v>
      </c>
      <c r="L20" s="95"/>
      <c r="M20" s="104"/>
      <c r="N20" s="97" t="n">
        <f aca="false">SUM(O19)</f>
        <v>0</v>
      </c>
      <c r="O20" s="98"/>
      <c r="P20" s="108" t="n">
        <f aca="false">SUM(O20-N20)</f>
        <v>0</v>
      </c>
      <c r="Q20" s="41"/>
      <c r="R20" s="93" t="n">
        <f aca="false">SUM(Q20*P20)</f>
        <v>0</v>
      </c>
      <c r="S20" s="102"/>
    </row>
    <row r="21" customFormat="false" ht="15" hidden="false" customHeight="false" outlineLevel="0" collapsed="false">
      <c r="A21" s="89"/>
      <c r="B21" s="90"/>
      <c r="C21" s="97"/>
      <c r="D21" s="75"/>
      <c r="E21" s="91" t="n">
        <f aca="false">SUM(D21-C21)</f>
        <v>0</v>
      </c>
      <c r="F21" s="108" t="n">
        <f aca="false">SUM(D21-C21)</f>
        <v>0</v>
      </c>
      <c r="G21" s="41"/>
      <c r="H21" s="93" t="n">
        <f aca="false">SUM(G21*F21)</f>
        <v>0</v>
      </c>
      <c r="I21" s="1"/>
      <c r="J21" s="29"/>
      <c r="K21" s="94"/>
      <c r="L21" s="95"/>
      <c r="M21" s="104"/>
      <c r="N21" s="97" t="n">
        <f aca="false">SUM(O20)</f>
        <v>0</v>
      </c>
      <c r="O21" s="98"/>
      <c r="P21" s="108" t="n">
        <f aca="false">SUM(O21-N21)</f>
        <v>0</v>
      </c>
      <c r="Q21" s="41"/>
      <c r="R21" s="93" t="n">
        <f aca="false">SUM(Q21*P21)</f>
        <v>0</v>
      </c>
      <c r="S21" s="102"/>
    </row>
    <row r="22" customFormat="false" ht="15" hidden="false" customHeight="false" outlineLevel="0" collapsed="false">
      <c r="A22" s="89"/>
      <c r="B22" s="90"/>
      <c r="C22" s="97" t="n">
        <f aca="false">SUM(D21)</f>
        <v>0</v>
      </c>
      <c r="D22" s="75"/>
      <c r="E22" s="91" t="n">
        <f aca="false">SUM(D22-C22)</f>
        <v>0</v>
      </c>
      <c r="F22" s="108" t="n">
        <f aca="false">SUM(D22-C22)</f>
        <v>0</v>
      </c>
      <c r="G22" s="41"/>
      <c r="H22" s="93" t="n">
        <f aca="false">SUM(G22*F22)</f>
        <v>0</v>
      </c>
      <c r="I22" s="1"/>
      <c r="J22" s="29"/>
      <c r="K22" s="94"/>
      <c r="L22" s="95"/>
      <c r="M22" s="104"/>
      <c r="N22" s="97" t="n">
        <f aca="false">SUM(O21)</f>
        <v>0</v>
      </c>
      <c r="O22" s="98"/>
      <c r="P22" s="108" t="n">
        <f aca="false">SUM(O22-N22)</f>
        <v>0</v>
      </c>
      <c r="Q22" s="41"/>
      <c r="R22" s="93" t="n">
        <f aca="false">SUM(Q22*P22)</f>
        <v>0</v>
      </c>
      <c r="S22" s="102"/>
    </row>
    <row r="23" customFormat="false" ht="15" hidden="false" customHeight="false" outlineLevel="0" collapsed="false">
      <c r="A23" s="89"/>
      <c r="B23" s="90"/>
      <c r="C23" s="97" t="n">
        <f aca="false">SUM(D22)</f>
        <v>0</v>
      </c>
      <c r="D23" s="75"/>
      <c r="E23" s="91" t="n">
        <f aca="false">SUM(D23-C23)</f>
        <v>0</v>
      </c>
      <c r="F23" s="108" t="n">
        <f aca="false">SUM(D23-C23)</f>
        <v>0</v>
      </c>
      <c r="G23" s="41"/>
      <c r="H23" s="93" t="n">
        <f aca="false">SUM(G23*F23)</f>
        <v>0</v>
      </c>
      <c r="I23" s="1"/>
      <c r="J23" s="29"/>
      <c r="K23" s="94"/>
      <c r="L23" s="95"/>
      <c r="M23" s="104"/>
      <c r="N23" s="97" t="n">
        <f aca="false">SUM(O22)</f>
        <v>0</v>
      </c>
      <c r="O23" s="98"/>
      <c r="P23" s="108" t="n">
        <f aca="false">SUM(O23-N23)</f>
        <v>0</v>
      </c>
      <c r="Q23" s="41"/>
      <c r="R23" s="93" t="n">
        <f aca="false">SUM(Q23*P23)</f>
        <v>0</v>
      </c>
      <c r="S23" s="102"/>
    </row>
    <row r="24" customFormat="false" ht="15" hidden="false" customHeight="false" outlineLevel="0" collapsed="false">
      <c r="A24" s="89"/>
      <c r="B24" s="90"/>
      <c r="C24" s="97" t="n">
        <f aca="false">SUM(D23)</f>
        <v>0</v>
      </c>
      <c r="D24" s="75"/>
      <c r="E24" s="91" t="n">
        <f aca="false">SUM(D24-C24)</f>
        <v>0</v>
      </c>
      <c r="F24" s="108" t="n">
        <f aca="false">SUM(D24-C24)</f>
        <v>0</v>
      </c>
      <c r="G24" s="41"/>
      <c r="H24" s="93" t="n">
        <f aca="false">SUM(G24*F24)</f>
        <v>0</v>
      </c>
      <c r="I24" s="1"/>
      <c r="J24" s="29"/>
      <c r="K24" s="94"/>
      <c r="L24" s="95"/>
      <c r="M24" s="104"/>
      <c r="N24" s="97" t="n">
        <f aca="false">SUM(O23)</f>
        <v>0</v>
      </c>
      <c r="O24" s="98"/>
      <c r="P24" s="108" t="n">
        <f aca="false">SUM(O24-N24)</f>
        <v>0</v>
      </c>
      <c r="Q24" s="41"/>
      <c r="R24" s="93" t="n">
        <f aca="false">SUM(Q24*P24)</f>
        <v>0</v>
      </c>
      <c r="S24" s="102"/>
    </row>
    <row r="25" customFormat="false" ht="15" hidden="false" customHeight="false" outlineLevel="0" collapsed="false">
      <c r="A25" s="89"/>
      <c r="B25" s="90"/>
      <c r="C25" s="97" t="n">
        <f aca="false">SUM(D24)</f>
        <v>0</v>
      </c>
      <c r="D25" s="75"/>
      <c r="E25" s="91" t="n">
        <f aca="false">SUM(D25-C25)</f>
        <v>0</v>
      </c>
      <c r="F25" s="108" t="n">
        <f aca="false">SUM(D25-C25)</f>
        <v>0</v>
      </c>
      <c r="G25" s="41"/>
      <c r="H25" s="93" t="n">
        <f aca="false">SUM(G25*F25)</f>
        <v>0</v>
      </c>
      <c r="I25" s="1"/>
      <c r="J25" s="29"/>
      <c r="K25" s="94"/>
      <c r="L25" s="95"/>
      <c r="M25" s="96"/>
      <c r="N25" s="97" t="n">
        <f aca="false">SUM(O24)</f>
        <v>0</v>
      </c>
      <c r="O25" s="98"/>
      <c r="P25" s="108" t="n">
        <f aca="false">SUM(O25-N25)</f>
        <v>0</v>
      </c>
      <c r="Q25" s="100"/>
      <c r="R25" s="93" t="n">
        <f aca="false">SUM(Q25*P25)</f>
        <v>0</v>
      </c>
      <c r="S25" s="1"/>
    </row>
    <row r="26" customFormat="false" ht="15" hidden="false" customHeight="false" outlineLevel="0" collapsed="false">
      <c r="A26" s="89"/>
      <c r="B26" s="90"/>
      <c r="C26" s="97" t="n">
        <f aca="false">SUM(D25)</f>
        <v>0</v>
      </c>
      <c r="D26" s="75"/>
      <c r="E26" s="91" t="n">
        <f aca="false">SUM(D26-C26)</f>
        <v>0</v>
      </c>
      <c r="F26" s="108" t="n">
        <f aca="false">SUM(D26-C26)</f>
        <v>0</v>
      </c>
      <c r="G26" s="41"/>
      <c r="H26" s="93" t="n">
        <f aca="false">SUM(G26*F26)</f>
        <v>0</v>
      </c>
      <c r="I26" s="1"/>
      <c r="J26" s="29"/>
      <c r="K26" s="94"/>
      <c r="L26" s="95"/>
      <c r="M26" s="96"/>
      <c r="N26" s="97" t="n">
        <f aca="false">SUM(O25)</f>
        <v>0</v>
      </c>
      <c r="O26" s="98"/>
      <c r="P26" s="108" t="n">
        <f aca="false">SUM(O26-N26)</f>
        <v>0</v>
      </c>
      <c r="Q26" s="100"/>
      <c r="R26" s="93" t="n">
        <f aca="false">SUM(Q26*P26)</f>
        <v>0</v>
      </c>
      <c r="S26" s="102"/>
    </row>
    <row r="27" customFormat="false" ht="15" hidden="false" customHeight="false" outlineLevel="0" collapsed="false">
      <c r="A27" s="89"/>
      <c r="B27" s="90"/>
      <c r="C27" s="97" t="n">
        <f aca="false">SUM(D26)</f>
        <v>0</v>
      </c>
      <c r="D27" s="75"/>
      <c r="E27" s="91" t="n">
        <f aca="false">SUM(D27-C27)</f>
        <v>0</v>
      </c>
      <c r="F27" s="108" t="n">
        <f aca="false">SUM(D27-C27)</f>
        <v>0</v>
      </c>
      <c r="G27" s="41"/>
      <c r="H27" s="93" t="n">
        <f aca="false">SUM(G27*F27)</f>
        <v>0</v>
      </c>
      <c r="I27" s="1"/>
      <c r="J27" s="29"/>
      <c r="K27" s="94"/>
      <c r="L27" s="95"/>
      <c r="M27" s="96"/>
      <c r="N27" s="97" t="n">
        <f aca="false">SUM(O26)</f>
        <v>0</v>
      </c>
      <c r="O27" s="98"/>
      <c r="P27" s="108" t="n">
        <f aca="false">SUM(O27-N27)</f>
        <v>0</v>
      </c>
      <c r="Q27" s="100"/>
      <c r="R27" s="93" t="n">
        <f aca="false">SUM(Q27*P27)</f>
        <v>0</v>
      </c>
      <c r="S27" s="1"/>
    </row>
    <row r="28" customFormat="false" ht="15" hidden="false" customHeight="false" outlineLevel="0" collapsed="false">
      <c r="A28" s="89"/>
      <c r="B28" s="90"/>
      <c r="C28" s="97" t="n">
        <f aca="false">SUM(D27)</f>
        <v>0</v>
      </c>
      <c r="D28" s="75"/>
      <c r="E28" s="91" t="n">
        <f aca="false">SUM(D28-C28)</f>
        <v>0</v>
      </c>
      <c r="F28" s="108" t="n">
        <f aca="false">SUM(D28-C28)</f>
        <v>0</v>
      </c>
      <c r="G28" s="41"/>
      <c r="H28" s="93" t="n">
        <f aca="false">SUM(G28*F28)</f>
        <v>0</v>
      </c>
      <c r="I28" s="1"/>
      <c r="J28" s="29"/>
      <c r="K28" s="94"/>
      <c r="L28" s="95"/>
      <c r="M28" s="96"/>
      <c r="N28" s="97" t="n">
        <f aca="false">SUM(O27)</f>
        <v>0</v>
      </c>
      <c r="O28" s="98"/>
      <c r="P28" s="108" t="n">
        <f aca="false">SUM(O28-N28)</f>
        <v>0</v>
      </c>
      <c r="Q28" s="100"/>
      <c r="R28" s="93" t="n">
        <f aca="false">SUM(Q28*P28)</f>
        <v>0</v>
      </c>
      <c r="S28" s="1"/>
    </row>
    <row r="29" customFormat="false" ht="15" hidden="false" customHeight="false" outlineLevel="0" collapsed="false">
      <c r="A29" s="89"/>
      <c r="B29" s="90"/>
      <c r="C29" s="97" t="n">
        <f aca="false">SUM(D28)</f>
        <v>0</v>
      </c>
      <c r="D29" s="75"/>
      <c r="E29" s="91" t="n">
        <f aca="false">SUM(D29-C29)</f>
        <v>0</v>
      </c>
      <c r="F29" s="108" t="n">
        <f aca="false">SUM(D29-C29)</f>
        <v>0</v>
      </c>
      <c r="G29" s="41"/>
      <c r="H29" s="93" t="n">
        <f aca="false">SUM(G29*F29)</f>
        <v>0</v>
      </c>
      <c r="I29" s="1"/>
      <c r="J29" s="29"/>
      <c r="K29" s="94"/>
      <c r="L29" s="95"/>
      <c r="M29" s="96"/>
      <c r="N29" s="97" t="n">
        <f aca="false">SUM(O28)</f>
        <v>0</v>
      </c>
      <c r="O29" s="98"/>
      <c r="P29" s="108" t="n">
        <f aca="false">SUM(O29-N29)</f>
        <v>0</v>
      </c>
      <c r="Q29" s="100"/>
      <c r="R29" s="93" t="n">
        <f aca="false">SUM(Q29*P29)</f>
        <v>0</v>
      </c>
      <c r="S29" s="1"/>
    </row>
    <row r="30" customFormat="false" ht="15" hidden="false" customHeight="false" outlineLevel="0" collapsed="false">
      <c r="A30" s="89"/>
      <c r="B30" s="90"/>
      <c r="C30" s="97" t="n">
        <f aca="false">SUM(D29)</f>
        <v>0</v>
      </c>
      <c r="D30" s="75"/>
      <c r="E30" s="91" t="n">
        <f aca="false">SUM(D30-C30)</f>
        <v>0</v>
      </c>
      <c r="F30" s="108" t="n">
        <f aca="false">SUM(D30-C30)</f>
        <v>0</v>
      </c>
      <c r="G30" s="41"/>
      <c r="H30" s="93" t="n">
        <f aca="false">SUM(G30*F30)</f>
        <v>0</v>
      </c>
      <c r="I30" s="1"/>
      <c r="J30" s="29"/>
      <c r="K30" s="94"/>
      <c r="L30" s="95"/>
      <c r="M30" s="96"/>
      <c r="N30" s="97" t="n">
        <f aca="false">SUM(O29)</f>
        <v>0</v>
      </c>
      <c r="O30" s="98"/>
      <c r="P30" s="108" t="n">
        <f aca="false">SUM(O30-N30)</f>
        <v>0</v>
      </c>
      <c r="Q30" s="100"/>
      <c r="R30" s="93" t="n">
        <f aca="false">SUM(Q30*P30)</f>
        <v>0</v>
      </c>
      <c r="S30" s="1"/>
    </row>
    <row r="31" customFormat="false" ht="15" hidden="false" customHeight="false" outlineLevel="0" collapsed="false">
      <c r="A31" s="89"/>
      <c r="B31" s="90"/>
      <c r="C31" s="97" t="n">
        <f aca="false">SUM(D30)</f>
        <v>0</v>
      </c>
      <c r="D31" s="75"/>
      <c r="E31" s="91" t="n">
        <f aca="false">SUM(D31-C31)</f>
        <v>0</v>
      </c>
      <c r="F31" s="108" t="n">
        <f aca="false">SUM(D31-C31)</f>
        <v>0</v>
      </c>
      <c r="G31" s="41"/>
      <c r="H31" s="93" t="n">
        <f aca="false">SUM(G31*F31)</f>
        <v>0</v>
      </c>
      <c r="I31" s="1"/>
      <c r="J31" s="29"/>
      <c r="K31" s="94"/>
      <c r="L31" s="95"/>
      <c r="M31" s="96"/>
      <c r="N31" s="97" t="n">
        <f aca="false">SUM(O30)</f>
        <v>0</v>
      </c>
      <c r="O31" s="98"/>
      <c r="P31" s="108" t="n">
        <f aca="false">SUM(O31-N31)</f>
        <v>0</v>
      </c>
      <c r="Q31" s="100"/>
      <c r="R31" s="93" t="n">
        <f aca="false">SUM(Q31*P31)</f>
        <v>0</v>
      </c>
      <c r="S31" s="1"/>
    </row>
    <row r="32" customFormat="false" ht="15" hidden="false" customHeight="false" outlineLevel="0" collapsed="false">
      <c r="A32" s="89"/>
      <c r="B32" s="90"/>
      <c r="C32" s="97" t="n">
        <f aca="false">SUM(D31)</f>
        <v>0</v>
      </c>
      <c r="D32" s="75"/>
      <c r="E32" s="109"/>
      <c r="F32" s="108" t="n">
        <f aca="false">SUM(F3:F31)</f>
        <v>301295</v>
      </c>
      <c r="G32" s="41"/>
      <c r="H32" s="93" t="n">
        <f aca="false">SUM(H3:H31)</f>
        <v>252212.5176</v>
      </c>
      <c r="I32" s="1"/>
      <c r="J32" s="1"/>
      <c r="L32" s="117"/>
      <c r="M32" s="117"/>
      <c r="N32" s="117"/>
      <c r="O32" s="117"/>
      <c r="P32" s="117"/>
      <c r="Q32" s="117"/>
      <c r="R32" s="117"/>
      <c r="S32" s="117"/>
    </row>
    <row r="33" customFormat="false" ht="15" hidden="false" customHeight="false" outlineLevel="0" collapsed="false">
      <c r="A33" s="88"/>
      <c r="B33" s="81" t="s">
        <v>49</v>
      </c>
      <c r="C33" s="82"/>
      <c r="D33" s="82"/>
      <c r="E33" s="82"/>
      <c r="F33" s="82"/>
      <c r="G33" s="83"/>
      <c r="H33" s="84"/>
      <c r="I33" s="85"/>
      <c r="J33" s="85"/>
      <c r="L33" s="117"/>
      <c r="M33" s="117"/>
      <c r="N33" s="117"/>
      <c r="O33" s="117"/>
      <c r="P33" s="117"/>
      <c r="Q33" s="117"/>
      <c r="R33" s="117"/>
      <c r="S33" s="117"/>
    </row>
    <row r="34" customFormat="false" ht="15.75" hidden="false" customHeight="false" outlineLevel="0" collapsed="false">
      <c r="A34" s="89" t="n">
        <v>0.409722222222222</v>
      </c>
      <c r="B34" s="90" t="s">
        <v>61</v>
      </c>
      <c r="C34" s="107" t="n">
        <v>3691730</v>
      </c>
      <c r="D34" s="107" t="n">
        <v>3703880</v>
      </c>
      <c r="E34" s="91" t="n">
        <f aca="false">SUM(D34-C34)</f>
        <v>12150</v>
      </c>
      <c r="F34" s="108" t="n">
        <v>12093</v>
      </c>
      <c r="G34" s="41" t="n">
        <v>0.8276</v>
      </c>
      <c r="H34" s="93" t="n">
        <f aca="false">SUM(G34*F34)</f>
        <v>10008.1668</v>
      </c>
      <c r="I34" s="29" t="n">
        <v>119</v>
      </c>
      <c r="J34" s="1" t="n">
        <v>6683</v>
      </c>
      <c r="K34" s="210" t="s">
        <v>60</v>
      </c>
      <c r="L34" s="117" t="s">
        <v>106</v>
      </c>
      <c r="M34" s="117"/>
      <c r="N34" s="117"/>
      <c r="O34" s="117"/>
      <c r="P34" s="117"/>
      <c r="Q34" s="117"/>
      <c r="R34" s="117"/>
      <c r="S34" s="117"/>
    </row>
    <row r="35" customFormat="false" ht="14.25" hidden="false" customHeight="true" outlineLevel="0" collapsed="false">
      <c r="A35" s="89" t="n">
        <v>0.416666666666667</v>
      </c>
      <c r="B35" s="90" t="s">
        <v>50</v>
      </c>
      <c r="C35" s="97" t="n">
        <f aca="false">SUM(D34)</f>
        <v>3703880</v>
      </c>
      <c r="D35" s="107" t="n">
        <v>3719040</v>
      </c>
      <c r="E35" s="91" t="n">
        <f aca="false">SUM(D35-C35)</f>
        <v>15160</v>
      </c>
      <c r="F35" s="211" t="n">
        <v>15040</v>
      </c>
      <c r="G35" s="41" t="n">
        <v>0.8436</v>
      </c>
      <c r="H35" s="93" t="n">
        <f aca="false">SUM(G35*F35)</f>
        <v>12687.744</v>
      </c>
      <c r="I35" s="29" t="n">
        <v>467</v>
      </c>
      <c r="J35" s="1" t="n">
        <v>6684</v>
      </c>
      <c r="K35" s="119" t="s">
        <v>83</v>
      </c>
      <c r="L35" s="117" t="s">
        <v>107</v>
      </c>
      <c r="M35" s="117"/>
      <c r="N35" s="117"/>
      <c r="O35" s="117"/>
      <c r="P35" s="117"/>
      <c r="Q35" s="117"/>
      <c r="R35" s="117"/>
      <c r="S35" s="117"/>
    </row>
    <row r="36" customFormat="false" ht="15" hidden="false" customHeight="true" outlineLevel="0" collapsed="false">
      <c r="A36" s="89" t="n">
        <v>0.4375</v>
      </c>
      <c r="B36" s="90" t="s">
        <v>61</v>
      </c>
      <c r="C36" s="97" t="n">
        <f aca="false">SUM(D35)</f>
        <v>3719040</v>
      </c>
      <c r="D36" s="107" t="n">
        <v>3727140</v>
      </c>
      <c r="E36" s="91" t="n">
        <f aca="false">SUM(D36-C36)</f>
        <v>8100</v>
      </c>
      <c r="F36" s="108" t="n">
        <v>8046</v>
      </c>
      <c r="G36" s="41" t="n">
        <v>0.8264</v>
      </c>
      <c r="H36" s="93" t="n">
        <f aca="false">SUM(G36*F36)</f>
        <v>6649.2144</v>
      </c>
      <c r="I36" s="29" t="n">
        <v>382</v>
      </c>
      <c r="J36" s="1" t="n">
        <v>6686</v>
      </c>
      <c r="K36" s="210" t="s">
        <v>60</v>
      </c>
      <c r="L36" s="117"/>
      <c r="M36" s="117"/>
      <c r="N36" s="117"/>
      <c r="O36" s="117"/>
      <c r="P36" s="117"/>
      <c r="Q36" s="117"/>
      <c r="R36" s="117"/>
      <c r="S36" s="117"/>
    </row>
    <row r="37" customFormat="false" ht="15.75" hidden="false" customHeight="false" outlineLevel="0" collapsed="false">
      <c r="A37" s="89" t="n">
        <v>0.447916666666667</v>
      </c>
      <c r="B37" s="90" t="s">
        <v>89</v>
      </c>
      <c r="C37" s="97" t="n">
        <f aca="false">SUM(D36)</f>
        <v>3727140</v>
      </c>
      <c r="D37" s="107" t="n">
        <v>3738230</v>
      </c>
      <c r="E37" s="91" t="n">
        <f aca="false">SUM(D37-C37)</f>
        <v>11090</v>
      </c>
      <c r="F37" s="108" t="n">
        <v>11020</v>
      </c>
      <c r="G37" s="41" t="n">
        <v>0.8284</v>
      </c>
      <c r="H37" s="93" t="n">
        <f aca="false">SUM(G37*F37)</f>
        <v>9128.968</v>
      </c>
      <c r="I37" s="29" t="n">
        <v>237</v>
      </c>
      <c r="J37" s="1" t="n">
        <v>6688</v>
      </c>
      <c r="K37" s="119" t="s">
        <v>108</v>
      </c>
      <c r="L37" s="117"/>
      <c r="M37" s="117"/>
      <c r="N37" s="117"/>
      <c r="O37" s="117"/>
      <c r="P37" s="117"/>
      <c r="Q37" s="117"/>
      <c r="R37" s="117"/>
      <c r="S37" s="117"/>
    </row>
    <row r="38" customFormat="false" ht="15.75" hidden="false" customHeight="false" outlineLevel="0" collapsed="false">
      <c r="A38" s="89" t="n">
        <v>0.458333333333333</v>
      </c>
      <c r="B38" s="90" t="s">
        <v>55</v>
      </c>
      <c r="C38" s="97" t="n">
        <f aca="false">SUM(D37)</f>
        <v>3738230</v>
      </c>
      <c r="D38" s="107" t="n">
        <v>3743420</v>
      </c>
      <c r="E38" s="91" t="n">
        <f aca="false">SUM(D38-C38)</f>
        <v>5190</v>
      </c>
      <c r="F38" s="108" t="n">
        <v>5141</v>
      </c>
      <c r="G38" s="41" t="n">
        <v>0.8294</v>
      </c>
      <c r="H38" s="93" t="n">
        <f aca="false">SUM(G38*F38)</f>
        <v>4263.9454</v>
      </c>
      <c r="I38" s="29" t="n">
        <v>81</v>
      </c>
      <c r="J38" s="1" t="n">
        <v>6692</v>
      </c>
      <c r="K38" s="210" t="s">
        <v>60</v>
      </c>
      <c r="L38" s="117"/>
      <c r="M38" s="117"/>
      <c r="N38" s="117"/>
      <c r="O38" s="117"/>
      <c r="P38" s="117"/>
      <c r="Q38" s="117"/>
      <c r="R38" s="117"/>
      <c r="S38" s="117"/>
    </row>
    <row r="39" customFormat="false" ht="15.75" hidden="false" customHeight="false" outlineLevel="0" collapsed="false">
      <c r="A39" s="89" t="n">
        <v>0.465277777777778</v>
      </c>
      <c r="B39" s="90" t="s">
        <v>55</v>
      </c>
      <c r="C39" s="97" t="n">
        <f aca="false">SUM(D38)</f>
        <v>3743420</v>
      </c>
      <c r="D39" s="107" t="n">
        <v>3750130</v>
      </c>
      <c r="E39" s="91" t="n">
        <f aca="false">SUM(D39-C39)</f>
        <v>6710</v>
      </c>
      <c r="F39" s="108" t="n">
        <v>6663</v>
      </c>
      <c r="G39" s="41" t="n">
        <v>0.8294</v>
      </c>
      <c r="H39" s="93" t="n">
        <f aca="false">SUM(G39*F39)</f>
        <v>5526.2922</v>
      </c>
      <c r="I39" s="29" t="n">
        <v>57</v>
      </c>
      <c r="J39" s="1" t="n">
        <v>6693</v>
      </c>
      <c r="K39" s="210" t="s">
        <v>60</v>
      </c>
      <c r="L39" s="117"/>
      <c r="M39" s="117"/>
      <c r="N39" s="117"/>
      <c r="O39" s="117"/>
      <c r="P39" s="117"/>
      <c r="Q39" s="117"/>
      <c r="R39" s="117"/>
      <c r="S39" s="117"/>
    </row>
    <row r="40" customFormat="false" ht="15.75" hidden="false" customHeight="false" outlineLevel="0" collapsed="false">
      <c r="A40" s="89" t="n">
        <v>0.472222222222222</v>
      </c>
      <c r="B40" s="90" t="s">
        <v>55</v>
      </c>
      <c r="C40" s="97" t="n">
        <f aca="false">SUM(D39)</f>
        <v>3750130</v>
      </c>
      <c r="D40" s="107" t="n">
        <v>3752680</v>
      </c>
      <c r="E40" s="91" t="n">
        <f aca="false">SUM(D40-C40)</f>
        <v>2550</v>
      </c>
      <c r="F40" s="108" t="n">
        <v>2524</v>
      </c>
      <c r="G40" s="41" t="n">
        <v>0.8294</v>
      </c>
      <c r="H40" s="93" t="n">
        <f aca="false">SUM(G40*F40)</f>
        <v>2093.4056</v>
      </c>
      <c r="I40" s="29" t="n">
        <v>119</v>
      </c>
      <c r="J40" s="1" t="n">
        <v>6694</v>
      </c>
      <c r="K40" s="210" t="s">
        <v>60</v>
      </c>
      <c r="L40" s="117" t="s">
        <v>106</v>
      </c>
      <c r="M40" s="117"/>
      <c r="N40" s="94"/>
      <c r="O40" s="117"/>
      <c r="P40" s="117"/>
      <c r="Q40" s="117"/>
      <c r="R40" s="117"/>
      <c r="S40" s="117"/>
    </row>
    <row r="41" customFormat="false" ht="15.75" hidden="false" customHeight="false" outlineLevel="0" collapsed="false">
      <c r="A41" s="89" t="n">
        <v>0.482638888888889</v>
      </c>
      <c r="B41" s="90" t="s">
        <v>55</v>
      </c>
      <c r="C41" s="97" t="n">
        <f aca="false">SUM(D40)</f>
        <v>3752680</v>
      </c>
      <c r="D41" s="107" t="n">
        <v>3769800</v>
      </c>
      <c r="E41" s="91" t="n">
        <f aca="false">SUM(D41-C41)</f>
        <v>17120</v>
      </c>
      <c r="F41" s="106" t="n">
        <v>17019</v>
      </c>
      <c r="G41" s="41" t="n">
        <v>0.8309</v>
      </c>
      <c r="H41" s="93" t="n">
        <f aca="false">SUM(G41*F41)</f>
        <v>14141.0871</v>
      </c>
      <c r="I41" s="29" t="n">
        <v>251</v>
      </c>
      <c r="J41" s="29" t="n">
        <v>6695</v>
      </c>
      <c r="K41" s="210" t="s">
        <v>60</v>
      </c>
      <c r="L41" s="117"/>
      <c r="M41" s="117"/>
      <c r="N41" s="94"/>
      <c r="O41" s="117"/>
      <c r="P41" s="117"/>
      <c r="Q41" s="117"/>
      <c r="R41" s="117"/>
      <c r="S41" s="117"/>
    </row>
    <row r="42" customFormat="false" ht="15.75" hidden="false" customHeight="false" outlineLevel="0" collapsed="false">
      <c r="A42" s="89" t="n">
        <v>0.569444444444444</v>
      </c>
      <c r="B42" s="90" t="s">
        <v>55</v>
      </c>
      <c r="C42" s="97" t="n">
        <f aca="false">SUM(D41)</f>
        <v>3769800</v>
      </c>
      <c r="D42" s="107" t="n">
        <v>3774120</v>
      </c>
      <c r="E42" s="91" t="n">
        <f aca="false">SUM(D42-C42)</f>
        <v>4320</v>
      </c>
      <c r="F42" s="108" t="n">
        <v>4289</v>
      </c>
      <c r="G42" s="41" t="n">
        <v>0.8293</v>
      </c>
      <c r="H42" s="93" t="n">
        <f aca="false">SUM(G42*F42)</f>
        <v>3556.8677</v>
      </c>
      <c r="I42" s="29" t="n">
        <v>382</v>
      </c>
      <c r="J42" s="29" t="n">
        <v>6697</v>
      </c>
      <c r="K42" s="210" t="s">
        <v>60</v>
      </c>
      <c r="L42" s="117"/>
      <c r="M42" s="117"/>
      <c r="N42" s="94"/>
      <c r="O42" s="117"/>
      <c r="P42" s="117"/>
      <c r="Q42" s="117"/>
      <c r="R42" s="117"/>
      <c r="S42" s="117"/>
    </row>
    <row r="43" customFormat="false" ht="15" hidden="false" customHeight="true" outlineLevel="0" collapsed="false">
      <c r="A43" s="89" t="n">
        <v>0.579861111111111</v>
      </c>
      <c r="B43" s="90" t="s">
        <v>89</v>
      </c>
      <c r="C43" s="97" t="n">
        <f aca="false">SUM(D42)</f>
        <v>3774120</v>
      </c>
      <c r="D43" s="107" t="n">
        <v>3781250</v>
      </c>
      <c r="E43" s="91" t="n">
        <f aca="false">SUM(D43-C43)</f>
        <v>7130</v>
      </c>
      <c r="F43" s="108" t="n">
        <v>7060</v>
      </c>
      <c r="G43" s="41" t="n">
        <v>0.8282</v>
      </c>
      <c r="H43" s="93" t="n">
        <f aca="false">SUM(G43*F43)</f>
        <v>5847.092</v>
      </c>
      <c r="I43" s="29" t="n">
        <v>237</v>
      </c>
      <c r="J43" s="29" t="n">
        <v>6698</v>
      </c>
      <c r="K43" s="119" t="s">
        <v>108</v>
      </c>
      <c r="L43" s="117"/>
      <c r="M43" s="117"/>
      <c r="N43" s="94"/>
      <c r="O43" s="117"/>
      <c r="P43" s="117"/>
      <c r="Q43" s="117"/>
      <c r="R43" s="117"/>
      <c r="S43" s="117"/>
    </row>
    <row r="44" customFormat="false" ht="15.75" hidden="false" customHeight="false" outlineLevel="0" collapsed="false">
      <c r="A44" s="89" t="n">
        <v>0.590277777777778</v>
      </c>
      <c r="B44" s="90" t="s">
        <v>61</v>
      </c>
      <c r="C44" s="97" t="n">
        <f aca="false">SUM(D43)</f>
        <v>3781250</v>
      </c>
      <c r="D44" s="107" t="n">
        <v>3789080</v>
      </c>
      <c r="E44" s="91" t="n">
        <f aca="false">SUM(D44-C44)</f>
        <v>7830</v>
      </c>
      <c r="F44" s="108" t="n">
        <v>7787</v>
      </c>
      <c r="G44" s="41" t="n">
        <v>0.8282</v>
      </c>
      <c r="H44" s="93" t="n">
        <f aca="false">SUM(G44*F44)</f>
        <v>6449.1934</v>
      </c>
      <c r="I44" s="29" t="n">
        <v>81</v>
      </c>
      <c r="J44" s="29" t="n">
        <v>6699</v>
      </c>
      <c r="K44" s="210" t="s">
        <v>60</v>
      </c>
      <c r="L44" s="117"/>
      <c r="M44" s="117"/>
      <c r="N44" s="117"/>
      <c r="O44" s="117"/>
      <c r="P44" s="117"/>
      <c r="Q44" s="117"/>
      <c r="R44" s="117"/>
      <c r="S44" s="117"/>
    </row>
    <row r="45" customFormat="false" ht="15.75" hidden="false" customHeight="false" outlineLevel="0" collapsed="false">
      <c r="A45" s="89" t="n">
        <v>0.600694444444444</v>
      </c>
      <c r="B45" s="90" t="s">
        <v>61</v>
      </c>
      <c r="C45" s="97" t="n">
        <f aca="false">SUM(D44)</f>
        <v>3789080</v>
      </c>
      <c r="D45" s="107" t="n">
        <v>3798420</v>
      </c>
      <c r="E45" s="91" t="n">
        <f aca="false">SUM(D45-C45)</f>
        <v>9340</v>
      </c>
      <c r="F45" s="108" t="n">
        <v>9285</v>
      </c>
      <c r="G45" s="41" t="n">
        <v>0.8282</v>
      </c>
      <c r="H45" s="93" t="n">
        <f aca="false">SUM(G45*F45)</f>
        <v>7689.837</v>
      </c>
      <c r="I45" s="29" t="n">
        <v>57</v>
      </c>
      <c r="J45" s="29" t="n">
        <v>6700</v>
      </c>
      <c r="K45" s="210" t="s">
        <v>60</v>
      </c>
      <c r="L45" s="117"/>
      <c r="M45" s="117"/>
      <c r="N45" s="117"/>
      <c r="O45" s="117"/>
      <c r="P45" s="117"/>
      <c r="Q45" s="117"/>
      <c r="R45" s="117"/>
      <c r="S45" s="117"/>
    </row>
    <row r="46" customFormat="false" ht="15.75" hidden="false" customHeight="false" outlineLevel="0" collapsed="false">
      <c r="A46" s="89" t="n">
        <v>0.701388888888889</v>
      </c>
      <c r="B46" s="90" t="s">
        <v>89</v>
      </c>
      <c r="C46" s="97" t="n">
        <f aca="false">SUM(D45)</f>
        <v>3798420</v>
      </c>
      <c r="D46" s="107" t="n">
        <v>3815530</v>
      </c>
      <c r="E46" s="91" t="n">
        <f aca="false">SUM(D46-C46)</f>
        <v>17110</v>
      </c>
      <c r="F46" s="106" t="n">
        <v>17019</v>
      </c>
      <c r="G46" s="41" t="n">
        <v>0.8278</v>
      </c>
      <c r="H46" s="93" t="n">
        <f aca="false">SUM(G46*F46)</f>
        <v>14088.3282</v>
      </c>
      <c r="I46" s="29" t="n">
        <v>251</v>
      </c>
      <c r="J46" s="29" t="n">
        <v>6701</v>
      </c>
      <c r="K46" s="119" t="s">
        <v>108</v>
      </c>
      <c r="L46" s="117"/>
      <c r="M46" s="117"/>
      <c r="N46" s="117"/>
      <c r="O46" s="117"/>
      <c r="P46" s="117"/>
      <c r="Q46" s="117"/>
      <c r="R46" s="117"/>
      <c r="S46" s="117"/>
    </row>
    <row r="47" customFormat="false" ht="15.75" hidden="false" customHeight="false" outlineLevel="0" collapsed="false">
      <c r="A47" s="89" t="n">
        <v>0.743055555555555</v>
      </c>
      <c r="B47" s="90" t="s">
        <v>50</v>
      </c>
      <c r="C47" s="97" t="n">
        <f aca="false">SUM(D46)</f>
        <v>3815530</v>
      </c>
      <c r="D47" s="107" t="n">
        <v>3830680</v>
      </c>
      <c r="E47" s="91" t="n">
        <f aca="false">SUM(D47-C47)</f>
        <v>15150</v>
      </c>
      <c r="F47" s="211" t="n">
        <v>15040</v>
      </c>
      <c r="G47" s="41" t="n">
        <v>0.8428</v>
      </c>
      <c r="H47" s="93" t="n">
        <f aca="false">SUM(G47*F47)</f>
        <v>12675.712</v>
      </c>
      <c r="I47" s="29" t="n">
        <v>467</v>
      </c>
      <c r="J47" s="29" t="n">
        <v>6703</v>
      </c>
      <c r="K47" s="119" t="s">
        <v>83</v>
      </c>
      <c r="L47" s="117" t="s">
        <v>107</v>
      </c>
      <c r="M47" s="117"/>
      <c r="N47" s="117"/>
      <c r="O47" s="117"/>
      <c r="P47" s="117"/>
      <c r="Q47" s="117"/>
      <c r="R47" s="117"/>
      <c r="S47" s="117"/>
    </row>
    <row r="48" customFormat="false" ht="15.75" hidden="false" customHeight="false" outlineLevel="0" collapsed="false">
      <c r="A48" s="89" t="n">
        <v>0.770833333333333</v>
      </c>
      <c r="B48" s="90" t="s">
        <v>89</v>
      </c>
      <c r="C48" s="97" t="n">
        <f aca="false">SUM(D47)</f>
        <v>3830680</v>
      </c>
      <c r="D48" s="107" t="n">
        <v>3847790</v>
      </c>
      <c r="E48" s="91" t="n">
        <f aca="false">SUM(D48-C48)</f>
        <v>17110</v>
      </c>
      <c r="F48" s="106" t="n">
        <v>17019</v>
      </c>
      <c r="G48" s="41" t="n">
        <v>0.8281</v>
      </c>
      <c r="H48" s="93" t="n">
        <f aca="false">SUM(G48*F48)</f>
        <v>14093.4339</v>
      </c>
      <c r="I48" s="29" t="n">
        <v>251</v>
      </c>
      <c r="J48" s="29" t="n">
        <v>6705</v>
      </c>
      <c r="K48" s="119" t="s">
        <v>108</v>
      </c>
      <c r="L48" s="117"/>
      <c r="M48" s="117"/>
      <c r="N48" s="117"/>
      <c r="O48" s="117"/>
      <c r="P48" s="117"/>
      <c r="Q48" s="117"/>
      <c r="R48" s="117"/>
      <c r="S48" s="117"/>
    </row>
    <row r="49" customFormat="false" ht="15.75" hidden="false" customHeight="false" outlineLevel="0" collapsed="false">
      <c r="A49" s="89" t="n">
        <v>0.826388888888889</v>
      </c>
      <c r="B49" s="90" t="s">
        <v>55</v>
      </c>
      <c r="C49" s="97" t="n">
        <f aca="false">SUM(D48)</f>
        <v>3847790</v>
      </c>
      <c r="D49" s="107" t="n">
        <v>3864900</v>
      </c>
      <c r="E49" s="91" t="n">
        <f aca="false">SUM(D49-C49)</f>
        <v>17110</v>
      </c>
      <c r="F49" s="106" t="n">
        <v>17019</v>
      </c>
      <c r="G49" s="41" t="n">
        <v>0.8288</v>
      </c>
      <c r="H49" s="93" t="n">
        <f aca="false">SUM(G49*F49)</f>
        <v>14105.3472</v>
      </c>
      <c r="I49" s="29" t="n">
        <v>251</v>
      </c>
      <c r="J49" s="29" t="n">
        <v>6706</v>
      </c>
      <c r="K49" s="210" t="s">
        <v>60</v>
      </c>
      <c r="L49" s="117"/>
      <c r="M49" s="117"/>
      <c r="N49" s="117"/>
      <c r="O49" s="117"/>
      <c r="P49" s="117"/>
      <c r="Q49" s="117"/>
      <c r="R49" s="117"/>
      <c r="S49" s="117"/>
    </row>
    <row r="50" customFormat="false" ht="15.75" hidden="false" customHeight="false" outlineLevel="0" collapsed="false">
      <c r="A50" s="89" t="n">
        <v>0.854166666666667</v>
      </c>
      <c r="B50" s="90" t="s">
        <v>55</v>
      </c>
      <c r="C50" s="97" t="n">
        <f aca="false">SUM(D49)</f>
        <v>3864900</v>
      </c>
      <c r="D50" s="107" t="n">
        <v>3871430</v>
      </c>
      <c r="E50" s="91" t="n">
        <f aca="false">SUM(D50-C50)</f>
        <v>6530</v>
      </c>
      <c r="F50" s="108" t="n">
        <v>6490</v>
      </c>
      <c r="G50" s="41" t="n">
        <v>0.8291</v>
      </c>
      <c r="H50" s="93" t="n">
        <f aca="false">SUM(G50*F50)</f>
        <v>5380.859</v>
      </c>
      <c r="I50" s="29" t="n">
        <v>81</v>
      </c>
      <c r="J50" s="29" t="n">
        <v>6708</v>
      </c>
      <c r="K50" s="210" t="s">
        <v>60</v>
      </c>
      <c r="L50" s="117"/>
      <c r="M50" s="117"/>
      <c r="N50" s="117"/>
      <c r="O50" s="117"/>
      <c r="P50" s="117"/>
      <c r="Q50" s="117"/>
      <c r="R50" s="117"/>
      <c r="S50" s="117"/>
    </row>
    <row r="51" customFormat="false" ht="15.75" hidden="false" customHeight="false" outlineLevel="0" collapsed="false">
      <c r="A51" s="89" t="n">
        <v>0.875</v>
      </c>
      <c r="B51" s="90" t="s">
        <v>61</v>
      </c>
      <c r="C51" s="97" t="n">
        <f aca="false">SUM(D50)</f>
        <v>3871430</v>
      </c>
      <c r="D51" s="107" t="n">
        <v>3876600</v>
      </c>
      <c r="E51" s="91" t="n">
        <f aca="false">SUM(D51-C51)</f>
        <v>5170</v>
      </c>
      <c r="F51" s="108" t="n">
        <v>5131</v>
      </c>
      <c r="G51" s="41" t="n">
        <v>0.8272</v>
      </c>
      <c r="H51" s="93" t="n">
        <f aca="false">SUM(G51*F51)</f>
        <v>4244.3632</v>
      </c>
      <c r="I51" s="29" t="n">
        <v>382</v>
      </c>
      <c r="J51" s="29" t="n">
        <v>6710</v>
      </c>
      <c r="K51" s="210" t="s">
        <v>60</v>
      </c>
      <c r="L51" s="117"/>
      <c r="M51" s="117"/>
      <c r="N51" s="117"/>
      <c r="O51" s="117"/>
      <c r="P51" s="117"/>
      <c r="Q51" s="117"/>
      <c r="R51" s="117"/>
      <c r="S51" s="117"/>
    </row>
    <row r="52" customFormat="false" ht="15.75" hidden="false" customHeight="false" outlineLevel="0" collapsed="false">
      <c r="A52" s="89" t="n">
        <v>0.902777777777778</v>
      </c>
      <c r="B52" s="90" t="s">
        <v>89</v>
      </c>
      <c r="C52" s="97" t="n">
        <f aca="false">SUM(D51)</f>
        <v>3876600</v>
      </c>
      <c r="D52" s="107" t="n">
        <v>3888750</v>
      </c>
      <c r="E52" s="91" t="n">
        <f aca="false">SUM(D52-C52)</f>
        <v>12150</v>
      </c>
      <c r="F52" s="108" t="n">
        <v>12093</v>
      </c>
      <c r="G52" s="41" t="n">
        <v>0.8285</v>
      </c>
      <c r="H52" s="93" t="n">
        <f aca="false">SUM(G52*F52)</f>
        <v>10019.0505</v>
      </c>
      <c r="I52" s="29" t="n">
        <v>119</v>
      </c>
      <c r="J52" s="29" t="n">
        <v>6712</v>
      </c>
      <c r="K52" s="119" t="s">
        <v>108</v>
      </c>
      <c r="L52" s="117"/>
      <c r="M52" s="117"/>
      <c r="N52" s="117"/>
      <c r="O52" s="117"/>
      <c r="P52" s="117"/>
      <c r="Q52" s="117"/>
      <c r="R52" s="117"/>
      <c r="S52" s="117"/>
    </row>
    <row r="53" customFormat="false" ht="15.75" hidden="false" customHeight="false" outlineLevel="0" collapsed="false">
      <c r="A53" s="89" t="n">
        <v>0.916666666666667</v>
      </c>
      <c r="B53" s="90" t="s">
        <v>50</v>
      </c>
      <c r="C53" s="97" t="n">
        <f aca="false">SUM(D52)</f>
        <v>3888750</v>
      </c>
      <c r="D53" s="107" t="n">
        <v>3903890</v>
      </c>
      <c r="E53" s="91" t="n">
        <f aca="false">SUM(D53-C53)</f>
        <v>15140</v>
      </c>
      <c r="F53" s="211" t="n">
        <v>15040</v>
      </c>
      <c r="G53" s="41" t="n">
        <v>0.8445</v>
      </c>
      <c r="H53" s="93" t="n">
        <f aca="false">SUM(G53*F53)</f>
        <v>12701.28</v>
      </c>
      <c r="I53" s="29" t="n">
        <v>467</v>
      </c>
      <c r="J53" s="29" t="n">
        <v>6714</v>
      </c>
      <c r="K53" s="119" t="s">
        <v>83</v>
      </c>
      <c r="L53" s="117" t="s">
        <v>107</v>
      </c>
      <c r="M53" s="117"/>
      <c r="N53" s="117"/>
      <c r="O53" s="117"/>
      <c r="P53" s="117"/>
      <c r="Q53" s="117"/>
      <c r="R53" s="117"/>
      <c r="S53" s="117"/>
    </row>
    <row r="54" customFormat="false" ht="15.75" hidden="false" customHeight="false" outlineLevel="0" collapsed="false">
      <c r="A54" s="89" t="n">
        <v>0.930555555555555</v>
      </c>
      <c r="B54" s="90" t="s">
        <v>61</v>
      </c>
      <c r="C54" s="97" t="n">
        <f aca="false">SUM(D53)</f>
        <v>3903890</v>
      </c>
      <c r="D54" s="107" t="n">
        <v>3910520</v>
      </c>
      <c r="E54" s="91" t="n">
        <f aca="false">SUM(D54-C54)</f>
        <v>6630</v>
      </c>
      <c r="F54" s="108" t="n">
        <v>6581</v>
      </c>
      <c r="G54" s="41" t="n">
        <v>0.8272</v>
      </c>
      <c r="H54" s="93" t="n">
        <f aca="false">SUM(G54*F54)</f>
        <v>5443.8032</v>
      </c>
      <c r="I54" s="29" t="n">
        <v>57</v>
      </c>
      <c r="J54" s="29" t="n">
        <v>6715</v>
      </c>
      <c r="K54" s="210" t="s">
        <v>60</v>
      </c>
      <c r="L54" s="117"/>
      <c r="M54" s="117"/>
      <c r="N54" s="117"/>
      <c r="O54" s="117"/>
      <c r="P54" s="117"/>
      <c r="Q54" s="117"/>
      <c r="R54" s="117"/>
      <c r="S54" s="117"/>
    </row>
    <row r="55" customFormat="false" ht="15.75" hidden="false" customHeight="false" outlineLevel="0" collapsed="false">
      <c r="A55" s="89" t="n">
        <v>0.940972222222222</v>
      </c>
      <c r="B55" s="90" t="s">
        <v>62</v>
      </c>
      <c r="C55" s="97" t="n">
        <f aca="false">SUM(D54)</f>
        <v>3910520</v>
      </c>
      <c r="D55" s="107" t="n">
        <v>3920610</v>
      </c>
      <c r="E55" s="91" t="n">
        <f aca="false">SUM(D55-C55)</f>
        <v>10090</v>
      </c>
      <c r="F55" s="106" t="n">
        <v>9986</v>
      </c>
      <c r="G55" s="41" t="n">
        <v>0.8295</v>
      </c>
      <c r="H55" s="93" t="n">
        <f aca="false">SUM(G55*F55)</f>
        <v>8283.387</v>
      </c>
      <c r="I55" s="29" t="n">
        <v>251</v>
      </c>
      <c r="J55" s="29" t="n">
        <v>6716</v>
      </c>
      <c r="K55" s="119" t="s">
        <v>108</v>
      </c>
      <c r="L55" s="117"/>
      <c r="M55" s="117"/>
      <c r="N55" s="117"/>
      <c r="O55" s="117"/>
      <c r="P55" s="117"/>
      <c r="Q55" s="117"/>
      <c r="R55" s="117"/>
      <c r="S55" s="117"/>
    </row>
    <row r="56" customFormat="false" ht="15.75" hidden="false" customHeight="false" outlineLevel="0" collapsed="false">
      <c r="A56" s="89" t="n">
        <v>0.972222222222222</v>
      </c>
      <c r="B56" s="90" t="s">
        <v>62</v>
      </c>
      <c r="C56" s="97" t="n">
        <f aca="false">SUM(D55)</f>
        <v>3920610</v>
      </c>
      <c r="D56" s="107" t="n">
        <v>3937660</v>
      </c>
      <c r="E56" s="91" t="n">
        <f aca="false">SUM(D56-C56)</f>
        <v>17050</v>
      </c>
      <c r="F56" s="106" t="n">
        <v>17019</v>
      </c>
      <c r="G56" s="41" t="n">
        <v>0.8301</v>
      </c>
      <c r="H56" s="93" t="n">
        <f aca="false">SUM(G56*F56)</f>
        <v>14127.4719</v>
      </c>
      <c r="I56" s="29" t="n">
        <v>251</v>
      </c>
      <c r="J56" s="29" t="n">
        <v>6718</v>
      </c>
      <c r="K56" s="119" t="s">
        <v>108</v>
      </c>
      <c r="L56" s="117"/>
      <c r="M56" s="117"/>
      <c r="N56" s="117"/>
      <c r="O56" s="117"/>
      <c r="P56" s="117"/>
      <c r="Q56" s="117"/>
      <c r="R56" s="117"/>
      <c r="S56" s="117"/>
    </row>
    <row r="57" customFormat="false" ht="15.75" hidden="false" customHeight="false" outlineLevel="0" collapsed="false">
      <c r="A57" s="89" t="n">
        <v>0.0833333333333333</v>
      </c>
      <c r="B57" s="90" t="s">
        <v>61</v>
      </c>
      <c r="C57" s="97" t="n">
        <f aca="false">SUM(D56)</f>
        <v>3937660</v>
      </c>
      <c r="D57" s="107" t="n">
        <v>3944530</v>
      </c>
      <c r="E57" s="91" t="n">
        <f aca="false">SUM(D57-C57)</f>
        <v>6870</v>
      </c>
      <c r="F57" s="108" t="n">
        <v>6825</v>
      </c>
      <c r="G57" s="41" t="n">
        <v>0.8278</v>
      </c>
      <c r="H57" s="93" t="n">
        <f aca="false">SUM(G57*F57)</f>
        <v>5649.735</v>
      </c>
      <c r="I57" s="29" t="n">
        <v>57</v>
      </c>
      <c r="J57" s="29" t="n">
        <v>6719</v>
      </c>
      <c r="K57" s="210" t="s">
        <v>60</v>
      </c>
      <c r="L57" s="117"/>
      <c r="M57" s="117"/>
      <c r="N57" s="117"/>
      <c r="O57" s="117"/>
      <c r="P57" s="117"/>
      <c r="Q57" s="117"/>
      <c r="R57" s="117"/>
      <c r="S57" s="117"/>
    </row>
    <row r="58" customFormat="false" ht="15.75" hidden="false" customHeight="false" outlineLevel="0" collapsed="false">
      <c r="A58" s="89" t="n">
        <v>0.0902777777777778</v>
      </c>
      <c r="B58" s="90" t="s">
        <v>61</v>
      </c>
      <c r="C58" s="97" t="n">
        <f aca="false">SUM(D57)</f>
        <v>3944530</v>
      </c>
      <c r="D58" s="107" t="n">
        <v>3952570</v>
      </c>
      <c r="E58" s="91" t="n">
        <f aca="false">SUM(D58-C58)</f>
        <v>8040</v>
      </c>
      <c r="F58" s="108" t="n">
        <v>7989</v>
      </c>
      <c r="G58" s="41" t="n">
        <v>0.8278</v>
      </c>
      <c r="H58" s="93" t="n">
        <f aca="false">SUM(G58*F58)</f>
        <v>6613.2942</v>
      </c>
      <c r="I58" s="29" t="n">
        <v>81</v>
      </c>
      <c r="J58" s="29" t="n">
        <v>6720</v>
      </c>
      <c r="K58" s="210" t="s">
        <v>60</v>
      </c>
      <c r="L58" s="117"/>
      <c r="M58" s="117"/>
      <c r="N58" s="117"/>
      <c r="O58" s="117"/>
      <c r="P58" s="117"/>
      <c r="Q58" s="117"/>
      <c r="R58" s="117"/>
      <c r="S58" s="117"/>
    </row>
    <row r="59" customFormat="false" ht="15.75" hidden="false" customHeight="false" outlineLevel="0" collapsed="false">
      <c r="A59" s="89" t="n">
        <v>0.229166666666667</v>
      </c>
      <c r="B59" s="90" t="s">
        <v>62</v>
      </c>
      <c r="C59" s="97" t="n">
        <f aca="false">SUM(D58)</f>
        <v>3952570</v>
      </c>
      <c r="D59" s="107" t="n">
        <v>3969680</v>
      </c>
      <c r="E59" s="91" t="n">
        <f aca="false">SUM(D59-C59)</f>
        <v>17110</v>
      </c>
      <c r="F59" s="106" t="n">
        <v>17019</v>
      </c>
      <c r="G59" s="41" t="n">
        <v>0.8307</v>
      </c>
      <c r="H59" s="93" t="n">
        <f aca="false">SUM(G59*F59)</f>
        <v>14137.6833</v>
      </c>
      <c r="I59" s="29" t="n">
        <v>251</v>
      </c>
      <c r="J59" s="29" t="n">
        <v>6723</v>
      </c>
      <c r="K59" s="119" t="s">
        <v>108</v>
      </c>
      <c r="L59" s="117"/>
      <c r="M59" s="117"/>
      <c r="N59" s="117"/>
      <c r="O59" s="117"/>
      <c r="P59" s="117"/>
      <c r="Q59" s="117"/>
      <c r="R59" s="117"/>
      <c r="S59" s="117"/>
    </row>
    <row r="60" customFormat="false" ht="15.75" hidden="false" customHeight="false" outlineLevel="0" collapsed="false">
      <c r="A60" s="89" t="n">
        <v>0.274305555555555</v>
      </c>
      <c r="B60" s="90" t="s">
        <v>90</v>
      </c>
      <c r="C60" s="97" t="n">
        <f aca="false">SUM(D59)</f>
        <v>3969680</v>
      </c>
      <c r="D60" s="107" t="n">
        <v>3986790</v>
      </c>
      <c r="E60" s="91" t="n">
        <f aca="false">SUM(D60-C60)</f>
        <v>17110</v>
      </c>
      <c r="F60" s="106" t="n">
        <v>17019</v>
      </c>
      <c r="G60" s="41" t="n">
        <v>0.8322</v>
      </c>
      <c r="H60" s="93" t="n">
        <f aca="false">SUM(G60*F60)</f>
        <v>14163.2118</v>
      </c>
      <c r="I60" s="29" t="n">
        <v>251</v>
      </c>
      <c r="J60" s="29" t="n">
        <v>6725</v>
      </c>
      <c r="K60" s="210" t="s">
        <v>60</v>
      </c>
      <c r="L60" s="117"/>
      <c r="M60" s="117"/>
      <c r="N60" s="117"/>
      <c r="O60" s="117"/>
      <c r="P60" s="117"/>
      <c r="Q60" s="117"/>
      <c r="R60" s="117"/>
      <c r="S60" s="117"/>
    </row>
    <row r="61" customFormat="false" ht="15.75" hidden="false" customHeight="false" outlineLevel="0" collapsed="false">
      <c r="A61" s="89" t="n">
        <v>0.319444444444444</v>
      </c>
      <c r="B61" s="90" t="s">
        <v>62</v>
      </c>
      <c r="C61" s="97" t="n">
        <f aca="false">SUM(D60)</f>
        <v>3986790</v>
      </c>
      <c r="D61" s="107" t="n">
        <v>4003900</v>
      </c>
      <c r="E61" s="91" t="n">
        <f aca="false">SUM(D61-C61)</f>
        <v>17110</v>
      </c>
      <c r="F61" s="106" t="n">
        <v>17019</v>
      </c>
      <c r="G61" s="41" t="n">
        <v>0.8309</v>
      </c>
      <c r="H61" s="93" t="n">
        <f aca="false">SUM(G61*F61)</f>
        <v>14141.0871</v>
      </c>
      <c r="I61" s="29" t="n">
        <v>251</v>
      </c>
      <c r="J61" s="29" t="n">
        <v>6726</v>
      </c>
      <c r="K61" s="119" t="s">
        <v>108</v>
      </c>
      <c r="L61" s="117"/>
      <c r="M61" s="117"/>
      <c r="N61" s="117"/>
      <c r="O61" s="117"/>
      <c r="P61" s="117"/>
      <c r="Q61" s="117"/>
      <c r="R61" s="117"/>
      <c r="S61" s="117"/>
    </row>
    <row r="62" customFormat="false" ht="15" hidden="false" customHeight="false" outlineLevel="0" collapsed="false">
      <c r="A62" s="89"/>
      <c r="B62" s="90"/>
      <c r="C62" s="97"/>
      <c r="D62" s="107"/>
      <c r="E62" s="91" t="n">
        <f aca="false">SUM(D62-C62)</f>
        <v>0</v>
      </c>
      <c r="F62" s="108" t="n">
        <f aca="false">SUM(D62-C62)</f>
        <v>0</v>
      </c>
      <c r="G62" s="41"/>
      <c r="H62" s="93" t="n">
        <f aca="false">SUM(G62*F62)</f>
        <v>0</v>
      </c>
      <c r="I62" s="29"/>
      <c r="J62" s="29"/>
      <c r="K62" s="120"/>
      <c r="L62" s="117"/>
      <c r="M62" s="117"/>
      <c r="N62" s="117"/>
      <c r="O62" s="117"/>
      <c r="P62" s="117"/>
      <c r="Q62" s="117"/>
      <c r="R62" s="117"/>
      <c r="S62" s="117"/>
    </row>
    <row r="63" customFormat="false" ht="15" hidden="false" customHeight="false" outlineLevel="0" collapsed="false">
      <c r="A63" s="89"/>
      <c r="B63" s="90"/>
      <c r="C63" s="97" t="n">
        <f aca="false">SUM(D62)</f>
        <v>0</v>
      </c>
      <c r="D63" s="107"/>
      <c r="E63" s="91" t="n">
        <f aca="false">SUM(D63-C63)</f>
        <v>0</v>
      </c>
      <c r="F63" s="108" t="n">
        <f aca="false">SUM(D63-C63)</f>
        <v>0</v>
      </c>
      <c r="G63" s="41"/>
      <c r="H63" s="93" t="n">
        <f aca="false">SUM(G63*F63)</f>
        <v>0</v>
      </c>
      <c r="I63" s="1"/>
      <c r="J63" s="29"/>
      <c r="L63" s="117"/>
      <c r="M63" s="117"/>
      <c r="N63" s="117"/>
      <c r="O63" s="117"/>
      <c r="P63" s="117"/>
      <c r="Q63" s="117"/>
      <c r="R63" s="117"/>
      <c r="S63" s="117"/>
    </row>
    <row r="64" customFormat="false" ht="15" hidden="false" customHeight="false" outlineLevel="0" collapsed="false">
      <c r="A64" s="89"/>
      <c r="B64" s="90"/>
      <c r="C64" s="97" t="n">
        <f aca="false">SUM(D63)</f>
        <v>0</v>
      </c>
      <c r="D64" s="107"/>
      <c r="E64" s="91" t="n">
        <f aca="false">SUM(D64-C64)</f>
        <v>0</v>
      </c>
      <c r="F64" s="108" t="n">
        <f aca="false">SUM(D64-C64)</f>
        <v>0</v>
      </c>
      <c r="G64" s="41"/>
      <c r="H64" s="93" t="n">
        <f aca="false">SUM(G64*F64)</f>
        <v>0</v>
      </c>
      <c r="I64" s="1"/>
      <c r="J64" s="29"/>
      <c r="L64" s="117"/>
      <c r="M64" s="117"/>
      <c r="N64" s="117"/>
      <c r="O64" s="117"/>
      <c r="P64" s="117"/>
      <c r="Q64" s="117"/>
      <c r="R64" s="117"/>
      <c r="S64" s="117"/>
    </row>
    <row r="65" customFormat="false" ht="15" hidden="false" customHeight="false" outlineLevel="0" collapsed="false">
      <c r="A65" s="89"/>
      <c r="B65" s="90"/>
      <c r="C65" s="97" t="n">
        <f aca="false">SUM(D64)</f>
        <v>0</v>
      </c>
      <c r="D65" s="75"/>
      <c r="E65" s="91" t="n">
        <f aca="false">SUM(D65-C65)</f>
        <v>0</v>
      </c>
      <c r="F65" s="108" t="n">
        <f aca="false">SUM(D65-C65)</f>
        <v>0</v>
      </c>
      <c r="G65" s="41"/>
      <c r="H65" s="93" t="n">
        <f aca="false">SUM(G65*F65)</f>
        <v>0</v>
      </c>
      <c r="I65" s="1"/>
      <c r="J65" s="29"/>
      <c r="L65" s="117"/>
      <c r="M65" s="117"/>
      <c r="N65" s="117"/>
      <c r="O65" s="117"/>
      <c r="P65" s="117"/>
      <c r="Q65" s="117"/>
      <c r="R65" s="117"/>
      <c r="S65" s="117"/>
    </row>
    <row r="66" customFormat="false" ht="15" hidden="false" customHeight="false" outlineLevel="0" collapsed="false">
      <c r="A66" s="89"/>
      <c r="B66" s="90"/>
      <c r="C66" s="97" t="n">
        <f aca="false">SUM(D65)</f>
        <v>0</v>
      </c>
      <c r="D66" s="75"/>
      <c r="E66" s="91" t="n">
        <f aca="false">SUM(D66-C66)</f>
        <v>0</v>
      </c>
      <c r="F66" s="108" t="n">
        <f aca="false">SUM(F34:F65)</f>
        <v>310275</v>
      </c>
      <c r="G66" s="41"/>
      <c r="H66" s="93" t="n">
        <f aca="false">SUM(H34:H65)</f>
        <v>257909.8611</v>
      </c>
      <c r="I66" s="1"/>
      <c r="J66" s="29"/>
      <c r="L66" s="117"/>
      <c r="M66" s="117"/>
      <c r="N66" s="117"/>
      <c r="O66" s="117"/>
      <c r="P66" s="117"/>
      <c r="Q66" s="117"/>
      <c r="R66" s="117"/>
      <c r="S66" s="117"/>
    </row>
    <row r="67" customFormat="false" ht="15" hidden="false" customHeight="false" outlineLevel="0" collapsed="false">
      <c r="L67" s="117"/>
      <c r="M67" s="117"/>
      <c r="N67" s="117"/>
      <c r="O67" s="117"/>
      <c r="P67" s="117"/>
      <c r="Q67" s="117"/>
      <c r="R67" s="117"/>
      <c r="S67" s="117"/>
    </row>
    <row r="68" customFormat="false" ht="15" hidden="false" customHeight="false" outlineLevel="0" collapsed="false">
      <c r="F68" s="97" t="n">
        <f aca="false">SUM(F32+F66)</f>
        <v>611570</v>
      </c>
      <c r="G68" s="41"/>
      <c r="H68" s="93" t="n">
        <f aca="false">SUM(H32+H66)</f>
        <v>510122.3787</v>
      </c>
      <c r="L68" s="117"/>
      <c r="M68" s="117"/>
      <c r="N68" s="117"/>
      <c r="O68" s="117"/>
      <c r="P68" s="117"/>
      <c r="Q68" s="117"/>
      <c r="R68" s="117"/>
      <c r="S68" s="117"/>
    </row>
    <row r="69" customFormat="false" ht="15" hidden="false" customHeight="false" outlineLevel="0" collapsed="false">
      <c r="E69" s="117"/>
      <c r="L69" s="117"/>
      <c r="M69" s="117"/>
      <c r="N69" s="117"/>
      <c r="O69" s="117"/>
      <c r="P69" s="117"/>
      <c r="Q69" s="117"/>
      <c r="R69" s="117"/>
      <c r="S69" s="117"/>
    </row>
    <row r="70" customFormat="false" ht="15" hidden="false" customHeight="false" outlineLevel="0" collapsed="false">
      <c r="E70" s="117"/>
      <c r="L70" s="117"/>
      <c r="M70" s="117"/>
      <c r="N70" s="117"/>
      <c r="O70" s="117"/>
      <c r="P70" s="117"/>
      <c r="Q70" s="117"/>
      <c r="R70" s="117"/>
      <c r="S70" s="117"/>
    </row>
    <row r="71" customFormat="false" ht="15" hidden="false" customHeight="false" outlineLevel="0" collapsed="false">
      <c r="E71" s="117"/>
      <c r="L71" s="117"/>
      <c r="M71" s="117"/>
      <c r="N71" s="117"/>
      <c r="O71" s="117"/>
      <c r="P71" s="117"/>
      <c r="Q71" s="117"/>
      <c r="R71" s="117"/>
      <c r="S71" s="117"/>
    </row>
    <row r="72" customFormat="false" ht="15" hidden="false" customHeight="false" outlineLevel="0" collapsed="false">
      <c r="E72" s="117"/>
      <c r="L72" s="117"/>
      <c r="M72" s="117"/>
      <c r="N72" s="117"/>
      <c r="O72" s="117"/>
      <c r="P72" s="117"/>
      <c r="Q72" s="117"/>
      <c r="R72" s="117"/>
      <c r="S72" s="117"/>
    </row>
    <row r="73" customFormat="false" ht="15" hidden="false" customHeight="false" outlineLevel="0" collapsed="false">
      <c r="E73" s="117"/>
      <c r="L73" s="117"/>
      <c r="M73" s="117"/>
      <c r="N73" s="117"/>
      <c r="O73" s="117"/>
      <c r="P73" s="117"/>
      <c r="Q73" s="117"/>
      <c r="R73" s="117"/>
      <c r="S73" s="117"/>
    </row>
    <row r="74" customFormat="false" ht="15" hidden="false" customHeight="false" outlineLevel="0" collapsed="false">
      <c r="E74" s="117"/>
      <c r="L74" s="117"/>
      <c r="M74" s="117"/>
      <c r="N74" s="117"/>
      <c r="O74" s="117"/>
      <c r="P74" s="117"/>
      <c r="Q74" s="117"/>
      <c r="R74" s="117"/>
      <c r="S74" s="117"/>
    </row>
    <row r="75" customFormat="false" ht="15" hidden="false" customHeight="false" outlineLevel="0" collapsed="false">
      <c r="E75" s="117"/>
      <c r="L75" s="117"/>
      <c r="M75" s="117"/>
      <c r="N75" s="117"/>
      <c r="O75" s="117"/>
      <c r="P75" s="117"/>
      <c r="Q75" s="117"/>
      <c r="R75" s="117"/>
      <c r="S75" s="117"/>
    </row>
    <row r="76" customFormat="false" ht="15" hidden="false" customHeight="false" outlineLevel="0" collapsed="false">
      <c r="E76" s="117"/>
      <c r="L76" s="117"/>
      <c r="M76" s="117"/>
      <c r="N76" s="117"/>
      <c r="O76" s="117"/>
      <c r="P76" s="117"/>
      <c r="Q76" s="117"/>
      <c r="R76" s="117"/>
      <c r="S76" s="117"/>
    </row>
    <row r="77" customFormat="false" ht="15" hidden="false" customHeight="false" outlineLevel="0" collapsed="false">
      <c r="E77" s="117"/>
      <c r="L77" s="117"/>
      <c r="M77" s="117"/>
      <c r="N77" s="117"/>
      <c r="O77" s="117"/>
      <c r="P77" s="117"/>
      <c r="Q77" s="117"/>
      <c r="R77" s="117"/>
      <c r="S77" s="117"/>
    </row>
    <row r="78" customFormat="false" ht="15" hidden="false" customHeight="false" outlineLevel="0" collapsed="false">
      <c r="E78" s="117"/>
      <c r="L78" s="117"/>
      <c r="M78" s="117"/>
      <c r="N78" s="117"/>
      <c r="O78" s="117"/>
      <c r="P78" s="117"/>
      <c r="Q78" s="117"/>
      <c r="R78" s="117"/>
      <c r="S78" s="117"/>
    </row>
    <row r="79" customFormat="false" ht="15" hidden="false" customHeight="false" outlineLevel="0" collapsed="false">
      <c r="E79" s="117"/>
      <c r="L79" s="117"/>
      <c r="M79" s="117"/>
      <c r="N79" s="117"/>
      <c r="O79" s="117"/>
      <c r="P79" s="117"/>
      <c r="Q79" s="117"/>
      <c r="R79" s="117"/>
      <c r="S79" s="117"/>
    </row>
    <row r="80" customFormat="false" ht="15" hidden="false" customHeight="false" outlineLevel="0" collapsed="false">
      <c r="E80" s="117"/>
      <c r="L80" s="117"/>
      <c r="M80" s="117"/>
      <c r="N80" s="117"/>
      <c r="O80" s="117"/>
      <c r="P80" s="117"/>
      <c r="Q80" s="117"/>
      <c r="R80" s="117"/>
      <c r="S80" s="117"/>
    </row>
    <row r="81" customFormat="false" ht="15" hidden="false" customHeight="false" outlineLevel="0" collapsed="false">
      <c r="E81" s="117"/>
      <c r="L81" s="117"/>
      <c r="M81" s="117"/>
      <c r="N81" s="117"/>
      <c r="O81" s="117"/>
      <c r="P81" s="117"/>
      <c r="Q81" s="117"/>
      <c r="R81" s="117"/>
      <c r="S81" s="117"/>
    </row>
    <row r="82" customFormat="false" ht="15" hidden="true" customHeight="false" outlineLevel="0" collapsed="false">
      <c r="E82" s="117"/>
      <c r="L82" s="117"/>
      <c r="M82" s="117"/>
      <c r="N82" s="117"/>
      <c r="O82" s="117"/>
      <c r="P82" s="117"/>
      <c r="Q82" s="117"/>
      <c r="R82" s="117"/>
      <c r="S82" s="117"/>
    </row>
    <row r="83" customFormat="false" ht="15" hidden="true" customHeight="false" outlineLevel="0" collapsed="false">
      <c r="E83" s="117"/>
      <c r="L83" s="117"/>
      <c r="M83" s="117"/>
      <c r="N83" s="117"/>
      <c r="O83" s="117"/>
      <c r="P83" s="117"/>
      <c r="Q83" s="117"/>
      <c r="R83" s="117"/>
      <c r="S83" s="117"/>
    </row>
    <row r="84" customFormat="false" ht="15" hidden="true" customHeight="false" outlineLevel="0" collapsed="false">
      <c r="E84" s="117"/>
      <c r="L84" s="117"/>
      <c r="M84" s="117"/>
      <c r="N84" s="117"/>
      <c r="O84" s="117"/>
      <c r="P84" s="117"/>
      <c r="Q84" s="117"/>
      <c r="R84" s="117"/>
      <c r="S84" s="117"/>
    </row>
    <row r="85" customFormat="false" ht="15" hidden="true" customHeight="false" outlineLevel="0" collapsed="false">
      <c r="E85" s="117"/>
      <c r="L85" s="117"/>
      <c r="M85" s="117"/>
      <c r="N85" s="117"/>
      <c r="O85" s="117"/>
      <c r="P85" s="117"/>
      <c r="Q85" s="117"/>
      <c r="R85" s="117"/>
      <c r="S85" s="117"/>
    </row>
    <row r="86" customFormat="false" ht="15" hidden="true" customHeight="false" outlineLevel="0" collapsed="false">
      <c r="E86" s="117"/>
      <c r="L86" s="117"/>
      <c r="M86" s="117"/>
      <c r="N86" s="117"/>
      <c r="O86" s="117"/>
      <c r="P86" s="117"/>
      <c r="Q86" s="117"/>
      <c r="R86" s="117"/>
      <c r="S86" s="117"/>
    </row>
    <row r="87" customFormat="false" ht="15" hidden="false" customHeight="false" outlineLevel="0" collapsed="false">
      <c r="E87" s="117"/>
      <c r="L87" s="117"/>
      <c r="M87" s="117"/>
      <c r="N87" s="117"/>
      <c r="O87" s="117"/>
      <c r="P87" s="117"/>
      <c r="Q87" s="117"/>
      <c r="R87" s="117"/>
      <c r="S87" s="117"/>
    </row>
    <row r="88" customFormat="false" ht="15" hidden="false" customHeight="false" outlineLevel="0" collapsed="false">
      <c r="E88" s="117"/>
      <c r="L88" s="117"/>
      <c r="M88" s="117"/>
      <c r="N88" s="117"/>
      <c r="O88" s="117"/>
      <c r="P88" s="117"/>
      <c r="Q88" s="117"/>
      <c r="R88" s="117"/>
      <c r="S88" s="117"/>
    </row>
    <row r="89" customFormat="false" ht="15" hidden="false" customHeight="false" outlineLevel="0" collapsed="false">
      <c r="E89" s="117"/>
      <c r="L89" s="117"/>
      <c r="M89" s="117"/>
      <c r="N89" s="117"/>
      <c r="O89" s="117"/>
      <c r="P89" s="117"/>
      <c r="Q89" s="117"/>
      <c r="R89" s="117"/>
      <c r="S89" s="117"/>
    </row>
    <row r="90" customFormat="false" ht="15" hidden="false" customHeight="false" outlineLevel="0" collapsed="false">
      <c r="E90" s="117"/>
    </row>
    <row r="91" customFormat="false" ht="15" hidden="false" customHeight="false" outlineLevel="0" collapsed="false">
      <c r="E91" s="117"/>
    </row>
    <row r="92" customFormat="false" ht="15" hidden="false" customHeight="false" outlineLevel="0" collapsed="false">
      <c r="E92" s="117"/>
    </row>
    <row r="93" customFormat="false" ht="15" hidden="false" customHeight="false" outlineLevel="0" collapsed="false">
      <c r="E93" s="117"/>
    </row>
    <row r="94" customFormat="false" ht="15" hidden="false" customHeight="false" outlineLevel="0" collapsed="false">
      <c r="E94" s="117"/>
    </row>
    <row r="95" customFormat="false" ht="15" hidden="false" customHeight="false" outlineLevel="0" collapsed="false">
      <c r="E95" s="117"/>
    </row>
    <row r="96" customFormat="false" ht="15" hidden="false" customHeight="false" outlineLevel="0" collapsed="false">
      <c r="E96" s="117"/>
    </row>
    <row r="97" customFormat="false" ht="15" hidden="false" customHeight="false" outlineLevel="0" collapsed="false">
      <c r="E97" s="117"/>
    </row>
    <row r="98" customFormat="false" ht="15" hidden="false" customHeight="false" outlineLevel="0" collapsed="false">
      <c r="E98" s="117"/>
    </row>
    <row r="99" customFormat="false" ht="15" hidden="false" customHeight="false" outlineLevel="0" collapsed="false">
      <c r="E99" s="117"/>
    </row>
    <row r="100" customFormat="false" ht="15" hidden="false" customHeight="false" outlineLevel="0" collapsed="false">
      <c r="E100" s="117"/>
    </row>
    <row r="101" customFormat="false" ht="15" hidden="false" customHeight="false" outlineLevel="0" collapsed="false">
      <c r="E101" s="117"/>
    </row>
    <row r="102" customFormat="false" ht="15" hidden="false" customHeight="false" outlineLevel="0" collapsed="false">
      <c r="E102" s="117"/>
    </row>
    <row r="103" customFormat="false" ht="15" hidden="false" customHeight="false" outlineLevel="0" collapsed="false">
      <c r="E103" s="117"/>
    </row>
    <row r="104" customFormat="false" ht="15" hidden="false" customHeight="false" outlineLevel="0" collapsed="false">
      <c r="E104" s="117"/>
    </row>
    <row r="105" customFormat="false" ht="15" hidden="false" customHeight="false" outlineLevel="0" collapsed="false">
      <c r="E105" s="117"/>
    </row>
    <row r="106" customFormat="false" ht="15" hidden="false" customHeight="false" outlineLevel="0" collapsed="false">
      <c r="E106" s="117"/>
    </row>
    <row r="107" customFormat="false" ht="15" hidden="false" customHeight="false" outlineLevel="0" collapsed="false">
      <c r="E107" s="117"/>
    </row>
    <row r="108" customFormat="false" ht="15" hidden="false" customHeight="false" outlineLevel="0" collapsed="false">
      <c r="E108" s="117"/>
    </row>
    <row r="109" customFormat="false" ht="15" hidden="false" customHeight="false" outlineLevel="0" collapsed="false">
      <c r="E109" s="117"/>
    </row>
    <row r="110" customFormat="false" ht="15" hidden="false" customHeight="false" outlineLevel="0" collapsed="false">
      <c r="E110" s="117"/>
    </row>
    <row r="111" customFormat="false" ht="15" hidden="false" customHeight="false" outlineLevel="0" collapsed="false">
      <c r="E111" s="117"/>
    </row>
    <row r="112" customFormat="false" ht="15" hidden="false" customHeight="false" outlineLevel="0" collapsed="false">
      <c r="E112" s="117"/>
    </row>
    <row r="113" customFormat="false" ht="15" hidden="false" customHeight="false" outlineLevel="0" collapsed="false">
      <c r="E113" s="117"/>
    </row>
    <row r="114" customFormat="false" ht="15" hidden="false" customHeight="false" outlineLevel="0" collapsed="false">
      <c r="E114" s="117"/>
    </row>
    <row r="115" customFormat="false" ht="15" hidden="false" customHeight="false" outlineLevel="0" collapsed="false">
      <c r="E115" s="117"/>
    </row>
    <row r="116" customFormat="false" ht="15" hidden="false" customHeight="false" outlineLevel="0" collapsed="false">
      <c r="E116" s="117"/>
    </row>
    <row r="117" customFormat="false" ht="15" hidden="false" customHeight="false" outlineLevel="0" collapsed="false">
      <c r="E117" s="117"/>
    </row>
    <row r="118" customFormat="false" ht="15" hidden="false" customHeight="false" outlineLevel="0" collapsed="false">
      <c r="E118" s="117"/>
    </row>
    <row r="119" customFormat="false" ht="15" hidden="false" customHeight="false" outlineLevel="0" collapsed="false">
      <c r="E119" s="117"/>
    </row>
    <row r="120" customFormat="false" ht="15" hidden="false" customHeight="false" outlineLevel="0" collapsed="false">
      <c r="E120" s="117"/>
    </row>
    <row r="121" customFormat="false" ht="15" hidden="false" customHeight="false" outlineLevel="0" collapsed="false">
      <c r="E121" s="117"/>
    </row>
    <row r="122" customFormat="false" ht="15" hidden="false" customHeight="false" outlineLevel="0" collapsed="false">
      <c r="E122" s="117"/>
    </row>
    <row r="123" customFormat="false" ht="15" hidden="false" customHeight="false" outlineLevel="0" collapsed="false">
      <c r="E123" s="117"/>
    </row>
    <row r="124" customFormat="false" ht="15" hidden="false" customHeight="false" outlineLevel="0" collapsed="false">
      <c r="E124" s="117"/>
    </row>
    <row r="125" customFormat="false" ht="15" hidden="false" customHeight="false" outlineLevel="0" collapsed="false">
      <c r="E125" s="117"/>
    </row>
    <row r="126" customFormat="false" ht="15" hidden="false" customHeight="false" outlineLevel="0" collapsed="false">
      <c r="E126" s="117"/>
    </row>
    <row r="127" customFormat="false" ht="15" hidden="false" customHeight="false" outlineLevel="0" collapsed="false">
      <c r="E127" s="117"/>
    </row>
    <row r="128" customFormat="false" ht="15" hidden="false" customHeight="false" outlineLevel="0" collapsed="false">
      <c r="E128" s="117"/>
    </row>
    <row r="129" customFormat="false" ht="15" hidden="false" customHeight="false" outlineLevel="0" collapsed="false">
      <c r="E129" s="117"/>
    </row>
    <row r="130" customFormat="false" ht="15" hidden="false" customHeight="false" outlineLevel="0" collapsed="false">
      <c r="E130" s="117"/>
    </row>
    <row r="131" customFormat="false" ht="15" hidden="false" customHeight="false" outlineLevel="0" collapsed="false">
      <c r="E131" s="117"/>
    </row>
    <row r="132" customFormat="false" ht="15" hidden="false" customHeight="false" outlineLevel="0" collapsed="false">
      <c r="E132" s="117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2019-10-21T08:56:16Z</dcterms:created>
  <dc:creator>User</dc:creator>
  <dc:description/>
  <dc:language>en-US</dc:language>
  <cp:lastModifiedBy/>
  <cp:lastPrinted>2021-12-26T19:41:02Z</cp:lastPrinted>
  <dcterms:modified xsi:type="dcterms:W3CDTF">2024-05-15T21:17:53Z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