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3" activeTab="3"/>
  </bookViews>
  <sheets>
    <sheet name="Альянс (СТС) РВ" sheetId="1" state="hidden" r:id="rId2"/>
    <sheet name="ТНЗ СТС СА" sheetId="2" state="hidden" r:id="rId3"/>
    <sheet name="ТНЗ СТС РВ" sheetId="3" state="hidden" r:id="rId4"/>
    <sheet name="page" sheetId="4" state="visible" r:id="rId5"/>
    <sheet name="01.06.2023" sheetId="5" state="hidden" r:id="rId6"/>
    <sheet name="02.06.2023" sheetId="6" state="hidden" r:id="rId7"/>
    <sheet name="03.06.2023" sheetId="7" state="hidden" r:id="rId8"/>
    <sheet name="04.06.2023" sheetId="8" state="hidden" r:id="rId9"/>
    <sheet name="05.06.2023" sheetId="9" state="hidden" r:id="rId10"/>
    <sheet name="06.06.2023" sheetId="10" state="hidden" r:id="rId11"/>
    <sheet name="07.06.2023" sheetId="11" state="hidden" r:id="rId12"/>
    <sheet name="08.06.2023" sheetId="12" state="hidden" r:id="rId13"/>
    <sheet name="09.06.2023" sheetId="13" state="hidden" r:id="rId14"/>
    <sheet name="10.06.2023" sheetId="14" state="hidden" r:id="rId15"/>
    <sheet name="11.06.2023" sheetId="15" state="hidden" r:id="rId16"/>
    <sheet name="12.06.2023" sheetId="16" state="hidden" r:id="rId17"/>
    <sheet name="13.06.2023" sheetId="17" state="hidden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<sst xmlns="http://schemas.openxmlformats.org/spreadsheetml/2006/main" count="2669" uniqueCount="109">
  <si>
    <t xml:space="preserve">Дата</t>
  </si>
  <si>
    <t xml:space="preserve">Наименование Н/П (марка по ГОСТ)</t>
  </si>
  <si>
    <t xml:space="preserve">ГОС.НОМЕР</t>
  </si>
  <si>
    <t xml:space="preserve">Номер ТТН</t>
  </si>
  <si>
    <t xml:space="preserve">Дата выдачи ТТН</t>
  </si>
  <si>
    <t xml:space="preserve">Количество литров</t>
  </si>
  <si>
    <t xml:space="preserve">Масса, кг          ТТН</t>
  </si>
  <si>
    <t xml:space="preserve">Плотность, ТТН</t>
  </si>
  <si>
    <t xml:space="preserve">Температура, ТТН</t>
  </si>
  <si>
    <t xml:space="preserve">Плотность, факт(акт долива)</t>
  </si>
  <si>
    <t xml:space="preserve">Температура, факт</t>
  </si>
  <si>
    <t xml:space="preserve">Масса факт(акт долива) кг</t>
  </si>
  <si>
    <t xml:space="preserve">ПТФ</t>
  </si>
  <si>
    <t xml:space="preserve">Долито в АЦ</t>
  </si>
  <si>
    <t xml:space="preserve">РГС</t>
  </si>
  <si>
    <t xml:space="preserve">ИТОГО с начала месяца</t>
  </si>
  <si>
    <t xml:space="preserve">Долив в литрах</t>
  </si>
  <si>
    <t xml:space="preserve">Долив в килограммах</t>
  </si>
  <si>
    <t xml:space="preserve">ТДТО</t>
  </si>
  <si>
    <t xml:space="preserve">тсо</t>
  </si>
  <si>
    <t xml:space="preserve">ТСО</t>
  </si>
  <si>
    <t xml:space="preserve">ГАЗОИЛЬ</t>
  </si>
  <si>
    <t xml:space="preserve">Результат пробы ПТФ</t>
  </si>
  <si>
    <t xml:space="preserve">ТНЗ</t>
  </si>
  <si>
    <t xml:space="preserve">ТДТО </t>
  </si>
  <si>
    <t xml:space="preserve">ДАТА время</t>
  </si>
  <si>
    <t xml:space="preserve">РЕЗЕРВУАР</t>
  </si>
  <si>
    <t xml:space="preserve">ПОКАЗАНИЯ СЧЕТЧИКА НА НАЧАЛО РАБОТЫ</t>
  </si>
  <si>
    <t xml:space="preserve">ПОКАЗАНИЯ СЧЕТЧИКА НА КОНЕЦ РАБОТЫ</t>
  </si>
  <si>
    <t xml:space="preserve">ОБЪЕМ ОТПУЩЕННОГО ТОПЛИВА</t>
  </si>
  <si>
    <t xml:space="preserve">ПЛОТНОСТЬ</t>
  </si>
  <si>
    <t xml:space="preserve">МАССА ОТПУЩЕННОГО ТОПЛИВА</t>
  </si>
  <si>
    <t xml:space="preserve">ГОС. НОМЕР АТЗ</t>
  </si>
  <si>
    <t xml:space="preserve">время</t>
  </si>
  <si>
    <t xml:space="preserve">ргс</t>
  </si>
  <si>
    <t xml:space="preserve">ГОС. НОМЕР АЦ</t>
  </si>
  <si>
    <t xml:space="preserve">1трк</t>
  </si>
  <si>
    <t xml:space="preserve">2трк</t>
  </si>
  <si>
    <t xml:space="preserve">4</t>
  </si>
  <si>
    <t xml:space="preserve">1</t>
  </si>
  <si>
    <t xml:space="preserve">е215вн</t>
  </si>
  <si>
    <t xml:space="preserve"> </t>
  </si>
  <si>
    <t xml:space="preserve">м948сн</t>
  </si>
  <si>
    <t xml:space="preserve">с554рк</t>
  </si>
  <si>
    <t xml:space="preserve">7</t>
  </si>
  <si>
    <t xml:space="preserve">с404хр</t>
  </si>
  <si>
    <t xml:space="preserve">5</t>
  </si>
  <si>
    <t xml:space="preserve">с472тм</t>
  </si>
  <si>
    <t xml:space="preserve">2</t>
  </si>
  <si>
    <t xml:space="preserve">3трк</t>
  </si>
  <si>
    <t xml:space="preserve">12</t>
  </si>
  <si>
    <t xml:space="preserve">к542се</t>
  </si>
  <si>
    <t xml:space="preserve">11</t>
  </si>
  <si>
    <t xml:space="preserve">м077ен</t>
  </si>
  <si>
    <t xml:space="preserve">3</t>
  </si>
  <si>
    <t xml:space="preserve">17</t>
  </si>
  <si>
    <t xml:space="preserve">Л-Тюмень</t>
  </si>
  <si>
    <t xml:space="preserve">10</t>
  </si>
  <si>
    <t xml:space="preserve">Л -ВПК С+</t>
  </si>
  <si>
    <t xml:space="preserve">13</t>
  </si>
  <si>
    <t xml:space="preserve">Л-ВПК РТ</t>
  </si>
  <si>
    <t xml:space="preserve">15</t>
  </si>
  <si>
    <t xml:space="preserve">8</t>
  </si>
  <si>
    <t xml:space="preserve">м017ен</t>
  </si>
  <si>
    <t xml:space="preserve">м109ее</t>
  </si>
  <si>
    <t xml:space="preserve">м126ее</t>
  </si>
  <si>
    <t xml:space="preserve">6</t>
  </si>
  <si>
    <t xml:space="preserve">м355су</t>
  </si>
  <si>
    <t xml:space="preserve">м326су</t>
  </si>
  <si>
    <t xml:space="preserve">н913вв</t>
  </si>
  <si>
    <t xml:space="preserve">Тюмень</t>
  </si>
  <si>
    <t xml:space="preserve">ЯНПЗ</t>
  </si>
  <si>
    <t xml:space="preserve">14</t>
  </si>
  <si>
    <t xml:space="preserve">н248рв</t>
  </si>
  <si>
    <t xml:space="preserve">к028ет</t>
  </si>
  <si>
    <t xml:space="preserve">е237тх</t>
  </si>
  <si>
    <t xml:space="preserve">м787но</t>
  </si>
  <si>
    <t xml:space="preserve">н251рв</t>
  </si>
  <si>
    <t xml:space="preserve">в917вр</t>
  </si>
  <si>
    <t xml:space="preserve">ДТ-Л-К5</t>
  </si>
  <si>
    <t xml:space="preserve">н467мр</t>
  </si>
  <si>
    <t xml:space="preserve">Ургун</t>
  </si>
  <si>
    <r>
      <rPr>
        <b val="true"/>
        <sz val="11"/>
        <color rgb="FFFF0000"/>
        <rFont val="Calibri"/>
        <family val="2"/>
        <charset val="204"/>
      </rPr>
      <t xml:space="preserve">ЯЯ </t>
    </r>
    <r>
      <rPr>
        <b val="true"/>
        <sz val="11"/>
        <rFont val="Calibri"/>
        <family val="2"/>
        <charset val="204"/>
      </rPr>
      <t xml:space="preserve">Ургун</t>
    </r>
  </si>
  <si>
    <t xml:space="preserve">ЯЯ</t>
  </si>
  <si>
    <t xml:space="preserve">С+</t>
  </si>
  <si>
    <t xml:space="preserve">м119вх</t>
  </si>
  <si>
    <t xml:space="preserve">н382ке</t>
  </si>
  <si>
    <t xml:space="preserve">к081рр</t>
  </si>
  <si>
    <t xml:space="preserve">к057рр</t>
  </si>
  <si>
    <t xml:space="preserve">9</t>
  </si>
  <si>
    <t xml:space="preserve">16</t>
  </si>
  <si>
    <t xml:space="preserve">Л-ВПК С+</t>
  </si>
  <si>
    <t xml:space="preserve">4трк</t>
  </si>
  <si>
    <t xml:space="preserve">с554хр</t>
  </si>
  <si>
    <t xml:space="preserve">с471тм</t>
  </si>
  <si>
    <t xml:space="preserve">Тюмень РТ</t>
  </si>
  <si>
    <t xml:space="preserve">Л-ВПК РТ / Сибургео</t>
  </si>
  <si>
    <t xml:space="preserve">к097ун</t>
  </si>
  <si>
    <t xml:space="preserve">с805нх</t>
  </si>
  <si>
    <t xml:space="preserve">ЯЯ </t>
  </si>
  <si>
    <t xml:space="preserve">УРГУН</t>
  </si>
  <si>
    <t xml:space="preserve">м147ва</t>
  </si>
  <si>
    <t xml:space="preserve">н388ке</t>
  </si>
  <si>
    <t xml:space="preserve">с472мт</t>
  </si>
  <si>
    <r>
      <rPr>
        <b val="true"/>
        <sz val="11"/>
        <color rgb="FFFF0000"/>
        <rFont val="Calibri"/>
        <family val="2"/>
        <charset val="204"/>
      </rPr>
      <t xml:space="preserve">ЯЯ     </t>
    </r>
    <r>
      <rPr>
        <b val="true"/>
        <sz val="11"/>
        <color rgb="FF000000"/>
        <rFont val="Calibri"/>
        <family val="2"/>
        <charset val="204"/>
      </rPr>
      <t xml:space="preserve">УРГУН</t>
    </r>
  </si>
  <si>
    <t xml:space="preserve">к616се</t>
  </si>
  <si>
    <t xml:space="preserve">Себургео</t>
  </si>
  <si>
    <t xml:space="preserve">ургун</t>
  </si>
  <si>
    <t xml:space="preserve">Л ВПК С+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</si>
</sst>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"/>
    <numFmt numFmtId="167" formatCode="0.0"/>
    <numFmt numFmtId="168" formatCode="m/d/yyyy\ h:mm"/>
    <numFmt numFmtId="169" formatCode="m/d/yyyy"/>
    <numFmt numFmtId="170" formatCode="0.0000"/>
    <numFmt numFmtId="171" formatCode="@"/>
    <numFmt numFmtId="172" formatCode="h:mm"/>
    <numFmt numFmtId="173" formatCode="General"/>
  </numFmts>
  <fonts count="23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i val="true"/>
      <sz val="11"/>
      <color rgb="FFFF0000"/>
      <name val="Calibri"/>
      <family val="2"/>
      <charset val="204"/>
    </font>
    <font>
      <b val="true"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i val="true"/>
      <sz val="11"/>
      <color rgb="FF0070C0"/>
      <name val="Calibri"/>
      <family val="2"/>
      <charset val="204"/>
    </font>
    <font>
      <b val="true"/>
      <sz val="11"/>
      <color rgb="FF9966FF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color rgb="FF00B050"/>
      <name val="Calibri"/>
      <family val="2"/>
      <charset val="204"/>
    </font>
    <font>
      <b val="true"/>
      <sz val="11"/>
      <color rgb="FF0070C0"/>
      <name val="Calibri"/>
      <family val="2"/>
      <charset val="204"/>
    </font>
    <font>
      <b val="true"/>
      <i val="true"/>
      <sz val="11"/>
      <color rgb="FF0070C0"/>
      <name val="Calibri"/>
      <family val="2"/>
      <charset val="204"/>
    </font>
    <font>
      <b val="true"/>
      <sz val="11"/>
      <color rgb="FF7030A0"/>
      <name val="Calibri"/>
      <family val="2"/>
      <charset val="204"/>
    </font>
    <font>
      <b val="true"/>
      <sz val="11"/>
      <color rgb="FF558ED5"/>
      <name val="Calibri"/>
      <family val="2"/>
      <charset val="204"/>
    </font>
    <font>
      <b val="true"/>
      <sz val="11"/>
      <color rgb="FF00B0F0"/>
      <name val="Calibri"/>
      <family val="2"/>
      <charset val="204"/>
    </font>
    <font>
      <b val="true"/>
      <sz val="11"/>
      <color rgb="FFFF00FF"/>
      <name val="Calibri"/>
      <family val="2"/>
      <charset val="204"/>
    </font>
    <font>
      <sz val="11"/>
      <color rgb="FF1F497D"/>
      <name val="Calibri"/>
      <family val="2"/>
      <charset val="204"/>
    </font>
    <font>
      <sz val="11"/>
      <color rgb="FF9966FF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rgb="FFEEECE1"/>
        <bgColor rgb="FFEBF1DE"/>
      </patternFill>
    </fill>
    <fill>
      <patternFill patternType="solid">
        <fgColor rgb="FFCCC1DA"/>
        <bgColor rgb="FFBFBFBF"/>
      </patternFill>
    </fill>
    <fill>
      <patternFill patternType="solid">
        <fgColor rgb="FFE6E0EC"/>
        <bgColor rgb="FFF2DCDB"/>
      </patternFill>
    </fill>
    <fill>
      <patternFill patternType="solid">
        <fgColor rgb="FFFFFFFF"/>
        <bgColor rgb="FFEBF1DE"/>
      </patternFill>
    </fill>
    <fill>
      <patternFill patternType="solid">
        <fgColor rgb="FFFF0000"/>
        <bgColor rgb="FF993300"/>
      </patternFill>
    </fill>
    <fill>
      <patternFill patternType="solid">
        <fgColor rgb="FFEBF1DE"/>
        <bgColor rgb="FFEEECE1"/>
      </patternFill>
    </fill>
    <fill>
      <patternFill patternType="solid">
        <fgColor rgb="FFD9D9D9"/>
        <bgColor rgb="FFE6E0E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CCC1DA"/>
      </patternFill>
    </fill>
    <fill>
      <patternFill patternType="solid">
        <fgColor rgb="FFB9CDE5"/>
        <bgColor rgb="FFCCC1DA"/>
      </patternFill>
    </fill>
    <fill>
      <patternFill patternType="solid">
        <fgColor rgb="FF9966FF"/>
        <bgColor rgb="FFCC99FF"/>
      </patternFill>
    </fill>
    <fill>
      <patternFill patternType="solid">
        <fgColor rgb="FF66FFFF"/>
        <bgColor rgb="FF66FFCC"/>
      </patternFill>
    </fill>
    <fill>
      <patternFill patternType="solid">
        <fgColor rgb="FF66FF66"/>
        <bgColor rgb="FF66FFCC"/>
      </patternFill>
    </fill>
    <fill>
      <patternFill patternType="solid">
        <fgColor rgb="FFFF00FF"/>
        <bgColor rgb="FFFF00FF"/>
      </patternFill>
    </fill>
    <fill>
      <patternFill patternType="solid">
        <fgColor rgb="FFFFCCFF"/>
        <bgColor rgb="FFF2DCDB"/>
      </patternFill>
    </fill>
    <fill>
      <patternFill patternType="solid">
        <fgColor rgb="FF00FF00"/>
        <bgColor rgb="FF66FF66"/>
      </patternFill>
    </fill>
    <fill>
      <patternFill patternType="solid">
        <fgColor rgb="FFCCFFFF"/>
        <bgColor rgb="FFEBF1DE"/>
      </patternFill>
    </fill>
    <fill>
      <patternFill patternType="solid">
        <fgColor rgb="FFCC99FF"/>
        <bgColor rgb="FFCCC1DA"/>
      </patternFill>
    </fill>
    <fill>
      <patternFill patternType="solid">
        <fgColor rgb="FFF2DCDB"/>
        <bgColor rgb="FFE6E0EC"/>
      </patternFill>
    </fill>
    <fill>
      <patternFill patternType="solid">
        <fgColor rgb="FFCCFF66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66FFCC"/>
        <bgColor rgb="FF66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distributed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71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9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73" fontId="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9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3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0" fillId="12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73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13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5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14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5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9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15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5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0" fillId="16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5" fontId="0" fillId="1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9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7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0" fillId="9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8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0" fillId="1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9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1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0" fillId="2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2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0" fillId="2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3" borderId="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0" fillId="2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2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66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66FF"/>
      <rgbColor rgb="FF7030A0"/>
      <rgbColor rgb="FFEBF1DE"/>
      <rgbColor rgb="FFCCFFFF"/>
      <rgbColor rgb="FF660066"/>
      <rgbColor rgb="FFFFCCFF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6E0EC"/>
      <rgbColor rgb="FFEEECE1"/>
      <rgbColor rgb="FFCCFF66"/>
      <rgbColor rgb="FF8EB4E3"/>
      <rgbColor rgb="FFCCC1DA"/>
      <rgbColor rgb="FFCC99FF"/>
      <rgbColor rgb="FFF2DCDB"/>
      <rgbColor rgb="FF3366FF"/>
      <rgbColor rgb="FF66FFCC"/>
      <rgbColor rgb="FF66FF66"/>
      <rgbColor rgb="FFFFC000"/>
      <rgbColor rgb="FFFF9900"/>
      <rgbColor rgb="FFFF6600"/>
      <rgbColor rgb="FF558ED5"/>
      <rgbColor rgb="FFD9D9D9"/>
      <rgbColor rgb="FF003366"/>
      <rgbColor rgb="FF00B050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EB4E3"/>
    <pageSetUpPr fitToPage="false"/>
  </sheetPr>
  <dimension ref="A1:HY71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2" topLeftCell="A3" activePane="bottomLeft" state="frozen"/>
      <selection pane="topLeft" activeCell="A1" activeCellId="0" sqref="A1"/>
      <selection pane="bottomLeft" activeCell="G16" activeCellId="0" sqref="G16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5.28"/>
    <col collapsed="false" customWidth="true" hidden="false" outlineLevel="0" max="2" min="2" style="1" width="13.43"/>
    <col collapsed="false" customWidth="true" hidden="false" outlineLevel="0" max="3" min="3" style="1" width="18.85"/>
    <col collapsed="false" customWidth="true" hidden="false" outlineLevel="0" max="4" min="4" style="1" width="9.85"/>
    <col collapsed="false" customWidth="true" hidden="false" outlineLevel="0" max="5" min="5" style="1" width="15.28"/>
    <col collapsed="false" customWidth="true" hidden="false" outlineLevel="0" max="6" min="6" style="1" width="14.43"/>
    <col collapsed="false" customWidth="true" hidden="false" outlineLevel="0" max="7" min="7" style="2" width="14"/>
    <col collapsed="false" customWidth="true" hidden="false" outlineLevel="0" max="8" min="8" style="1" width="13.43"/>
    <col collapsed="false" customWidth="true" hidden="false" outlineLevel="0" max="9" min="9" style="3" width="10.43"/>
    <col collapsed="false" customWidth="true" hidden="false" outlineLevel="0" max="10" min="10" style="1" width="13.85"/>
    <col collapsed="false" customWidth="true" hidden="false" outlineLevel="0" max="11" min="11" style="1" width="12.14"/>
    <col collapsed="false" customWidth="true" hidden="false" outlineLevel="0" max="12" min="12" style="1" width="13.28"/>
    <col collapsed="false" customWidth="true" hidden="false" outlineLevel="0" max="13" min="13" style="1" width="11"/>
    <col collapsed="false" customWidth="true" hidden="false" outlineLevel="0" max="14" min="14" style="4" width="10.43"/>
    <col collapsed="false" customWidth="true" hidden="false" outlineLevel="0" max="15" min="15" style="5" width="10.71"/>
    <col collapsed="false" customWidth="false" hidden="false" outlineLevel="0" max="16" min="16" style="6" width="8.85"/>
  </cols>
  <sheetData>
    <row r="1" customFormat="false" ht="7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9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0" t="s">
        <v>13</v>
      </c>
      <c r="O1" s="10"/>
      <c r="P1" s="11" t="s">
        <v>14</v>
      </c>
    </row>
    <row r="2" customFormat="false" ht="74.25" hidden="false" customHeight="true" outlineLevel="0" collapsed="false">
      <c r="A2" s="12" t="s">
        <v>15</v>
      </c>
      <c r="B2" s="12"/>
      <c r="C2" s="12"/>
      <c r="D2" s="12"/>
      <c r="E2" s="12"/>
      <c r="F2" s="12" t="n">
        <f aca="false">SUM(F3:F485)</f>
        <v>0</v>
      </c>
      <c r="G2" s="12" t="n">
        <f aca="false">SUM(G3:G485)</f>
        <v>0</v>
      </c>
      <c r="H2" s="12"/>
      <c r="I2" s="13"/>
      <c r="J2" s="12"/>
      <c r="K2" s="12"/>
      <c r="L2" s="12" t="n">
        <f aca="false">SUM(L3:L485)</f>
        <v>0</v>
      </c>
      <c r="M2" s="14"/>
      <c r="N2" s="15" t="s">
        <v>16</v>
      </c>
      <c r="O2" s="15" t="s">
        <v>17</v>
      </c>
      <c r="P2" s="16"/>
    </row>
    <row r="3" s="6" customFormat="true" ht="15" hidden="false" customHeight="false" outlineLevel="0" collapsed="false">
      <c r="A3" s="17"/>
      <c r="B3" s="18" t="s">
        <v>18</v>
      </c>
      <c r="C3" s="19"/>
      <c r="D3" s="19"/>
      <c r="E3" s="20"/>
      <c r="F3" s="19"/>
      <c r="G3" s="21"/>
      <c r="H3" s="19"/>
      <c r="I3" s="22"/>
      <c r="J3" s="19"/>
      <c r="K3" s="19"/>
      <c r="L3" s="23"/>
      <c r="M3" s="19" t="n">
        <v>-35</v>
      </c>
      <c r="N3" s="24" t="n">
        <v>0</v>
      </c>
      <c r="O3" s="25" t="n">
        <f aca="false">N3*J3</f>
        <v>0</v>
      </c>
      <c r="P3" s="26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</row>
    <row r="4" s="6" customFormat="true" ht="15" hidden="false" customHeight="false" outlineLevel="0" collapsed="false">
      <c r="A4" s="17"/>
      <c r="B4" s="28" t="s">
        <v>18</v>
      </c>
      <c r="C4" s="19"/>
      <c r="D4" s="19"/>
      <c r="E4" s="20"/>
      <c r="F4" s="19"/>
      <c r="G4" s="21"/>
      <c r="H4" s="19"/>
      <c r="I4" s="22"/>
      <c r="J4" s="19"/>
      <c r="K4" s="19"/>
      <c r="L4" s="23"/>
      <c r="M4" s="29" t="n">
        <v>-35</v>
      </c>
      <c r="N4" s="24" t="n">
        <v>0</v>
      </c>
      <c r="O4" s="30" t="n">
        <f aca="false">N4*J4</f>
        <v>0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</row>
    <row r="5" s="6" customFormat="true" ht="15" hidden="false" customHeight="false" outlineLevel="0" collapsed="false">
      <c r="A5" s="17"/>
      <c r="B5" s="28" t="s">
        <v>18</v>
      </c>
      <c r="C5" s="19"/>
      <c r="D5" s="19"/>
      <c r="E5" s="20"/>
      <c r="F5" s="19"/>
      <c r="G5" s="21"/>
      <c r="H5" s="19"/>
      <c r="I5" s="22"/>
      <c r="J5" s="19"/>
      <c r="K5" s="19"/>
      <c r="L5" s="23"/>
      <c r="M5" s="29" t="n">
        <v>-35</v>
      </c>
      <c r="N5" s="24" t="n">
        <v>0</v>
      </c>
      <c r="O5" s="30" t="n">
        <f aca="false">N5*J5</f>
        <v>0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</row>
    <row r="6" s="6" customFormat="true" ht="15" hidden="false" customHeight="false" outlineLevel="0" collapsed="false">
      <c r="A6" s="17"/>
      <c r="B6" s="28" t="s">
        <v>18</v>
      </c>
      <c r="C6" s="19"/>
      <c r="D6" s="19"/>
      <c r="E6" s="20"/>
      <c r="F6" s="19"/>
      <c r="G6" s="21"/>
      <c r="H6" s="19"/>
      <c r="I6" s="22"/>
      <c r="J6" s="19"/>
      <c r="K6" s="19"/>
      <c r="L6" s="23"/>
      <c r="M6" s="29" t="n">
        <v>-35</v>
      </c>
      <c r="N6" s="24" t="n">
        <v>0</v>
      </c>
      <c r="O6" s="30" t="n">
        <f aca="false">N6*J6</f>
        <v>0</v>
      </c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</row>
    <row r="7" s="6" customFormat="true" ht="15" hidden="false" customHeight="false" outlineLevel="0" collapsed="false">
      <c r="A7" s="17"/>
      <c r="B7" s="28" t="s">
        <v>18</v>
      </c>
      <c r="C7" s="19"/>
      <c r="D7" s="19"/>
      <c r="E7" s="20"/>
      <c r="F7" s="19"/>
      <c r="G7" s="21"/>
      <c r="H7" s="19"/>
      <c r="I7" s="22"/>
      <c r="J7" s="19"/>
      <c r="K7" s="19"/>
      <c r="L7" s="23"/>
      <c r="M7" s="29" t="n">
        <v>-35</v>
      </c>
      <c r="N7" s="24" t="n">
        <v>0</v>
      </c>
      <c r="O7" s="30" t="n">
        <f aca="false">N7*J7</f>
        <v>0</v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</row>
    <row r="8" s="6" customFormat="true" ht="15" hidden="false" customHeight="false" outlineLevel="0" collapsed="false">
      <c r="A8" s="17"/>
      <c r="B8" s="28" t="s">
        <v>18</v>
      </c>
      <c r="C8" s="19"/>
      <c r="D8" s="19"/>
      <c r="E8" s="20"/>
      <c r="F8" s="19"/>
      <c r="G8" s="21"/>
      <c r="H8" s="19"/>
      <c r="I8" s="22"/>
      <c r="J8" s="19"/>
      <c r="K8" s="19"/>
      <c r="L8" s="23"/>
      <c r="M8" s="29" t="n">
        <v>-35</v>
      </c>
      <c r="N8" s="24" t="n">
        <v>0</v>
      </c>
      <c r="O8" s="30" t="n">
        <f aca="false">N8*J8</f>
        <v>0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</row>
    <row r="9" s="6" customFormat="true" ht="15" hidden="false" customHeight="false" outlineLevel="0" collapsed="false">
      <c r="A9" s="17"/>
      <c r="B9" s="28" t="s">
        <v>18</v>
      </c>
      <c r="C9" s="19"/>
      <c r="D9" s="19"/>
      <c r="E9" s="20"/>
      <c r="F9" s="19"/>
      <c r="G9" s="21"/>
      <c r="H9" s="19"/>
      <c r="I9" s="31"/>
      <c r="J9" s="19"/>
      <c r="K9" s="19"/>
      <c r="L9" s="23"/>
      <c r="M9" s="29" t="n">
        <v>-35</v>
      </c>
      <c r="N9" s="24" t="n">
        <v>0</v>
      </c>
      <c r="O9" s="30" t="n">
        <f aca="false">N9*J9</f>
        <v>0</v>
      </c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</row>
    <row r="10" s="6" customFormat="true" ht="15" hidden="false" customHeight="false" outlineLevel="0" collapsed="false">
      <c r="A10" s="17"/>
      <c r="B10" s="28" t="s">
        <v>18</v>
      </c>
      <c r="C10" s="19"/>
      <c r="D10" s="19"/>
      <c r="E10" s="20"/>
      <c r="F10" s="19"/>
      <c r="G10" s="21"/>
      <c r="H10" s="19"/>
      <c r="I10" s="31"/>
      <c r="J10" s="19"/>
      <c r="K10" s="19"/>
      <c r="L10" s="23"/>
      <c r="M10" s="29" t="n">
        <v>-35</v>
      </c>
      <c r="N10" s="24" t="n">
        <v>0</v>
      </c>
      <c r="O10" s="30" t="n">
        <f aca="false">N10*J10</f>
        <v>0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</row>
    <row r="11" s="6" customFormat="true" ht="15" hidden="false" customHeight="false" outlineLevel="0" collapsed="false">
      <c r="A11" s="17"/>
      <c r="B11" s="28" t="s">
        <v>18</v>
      </c>
      <c r="C11" s="19"/>
      <c r="D11" s="19"/>
      <c r="E11" s="20"/>
      <c r="F11" s="19"/>
      <c r="G11" s="21"/>
      <c r="H11" s="19"/>
      <c r="I11" s="31"/>
      <c r="J11" s="19"/>
      <c r="K11" s="19"/>
      <c r="L11" s="23"/>
      <c r="M11" s="29" t="n">
        <v>-35</v>
      </c>
      <c r="N11" s="24" t="n">
        <v>0</v>
      </c>
      <c r="O11" s="30" t="n">
        <f aca="false">N11*J11</f>
        <v>0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</row>
    <row r="12" s="6" customFormat="true" ht="15" hidden="false" customHeight="false" outlineLevel="0" collapsed="false">
      <c r="A12" s="17"/>
      <c r="B12" s="28" t="s">
        <v>18</v>
      </c>
      <c r="C12" s="19"/>
      <c r="D12" s="19"/>
      <c r="E12" s="20"/>
      <c r="F12" s="19"/>
      <c r="G12" s="21"/>
      <c r="H12" s="19"/>
      <c r="I12" s="31"/>
      <c r="J12" s="19"/>
      <c r="K12" s="19"/>
      <c r="L12" s="23"/>
      <c r="M12" s="29" t="n">
        <v>-35</v>
      </c>
      <c r="N12" s="24" t="n">
        <v>0</v>
      </c>
      <c r="O12" s="30" t="n">
        <f aca="false">N12*J12</f>
        <v>0</v>
      </c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</row>
    <row r="13" s="6" customFormat="true" ht="15" hidden="false" customHeight="false" outlineLevel="0" collapsed="false">
      <c r="A13" s="17"/>
      <c r="B13" s="28" t="s">
        <v>18</v>
      </c>
      <c r="C13" s="19"/>
      <c r="D13" s="19"/>
      <c r="E13" s="20"/>
      <c r="F13" s="19"/>
      <c r="G13" s="21"/>
      <c r="H13" s="19"/>
      <c r="I13" s="31"/>
      <c r="J13" s="19"/>
      <c r="K13" s="19"/>
      <c r="L13" s="23"/>
      <c r="M13" s="29"/>
      <c r="N13" s="24" t="n">
        <v>0</v>
      </c>
      <c r="O13" s="30" t="n">
        <f aca="false">N13*J13</f>
        <v>0</v>
      </c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</row>
    <row r="14" s="6" customFormat="true" ht="15" hidden="false" customHeight="false" outlineLevel="0" collapsed="false">
      <c r="A14" s="17"/>
      <c r="B14" s="28" t="s">
        <v>18</v>
      </c>
      <c r="C14" s="19"/>
      <c r="D14" s="19"/>
      <c r="E14" s="20"/>
      <c r="F14" s="19"/>
      <c r="G14" s="21"/>
      <c r="H14" s="19"/>
      <c r="I14" s="31"/>
      <c r="J14" s="19"/>
      <c r="K14" s="19"/>
      <c r="L14" s="23"/>
      <c r="M14" s="29"/>
      <c r="N14" s="24" t="n">
        <v>0</v>
      </c>
      <c r="O14" s="30" t="n">
        <f aca="false">N14*J14</f>
        <v>0</v>
      </c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</row>
    <row r="15" s="6" customFormat="true" ht="15" hidden="false" customHeight="false" outlineLevel="0" collapsed="false">
      <c r="A15" s="17"/>
      <c r="B15" s="28" t="s">
        <v>18</v>
      </c>
      <c r="C15" s="19"/>
      <c r="D15" s="19"/>
      <c r="E15" s="20"/>
      <c r="F15" s="19"/>
      <c r="G15" s="21"/>
      <c r="H15" s="19"/>
      <c r="I15" s="31"/>
      <c r="J15" s="19"/>
      <c r="K15" s="19"/>
      <c r="L15" s="23"/>
      <c r="M15" s="29"/>
      <c r="N15" s="24"/>
      <c r="O15" s="30" t="n">
        <f aca="false">N15*J15</f>
        <v>0</v>
      </c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</row>
    <row r="16" s="6" customFormat="true" ht="15" hidden="false" customHeight="false" outlineLevel="0" collapsed="false">
      <c r="A16" s="17"/>
      <c r="B16" s="28" t="s">
        <v>18</v>
      </c>
      <c r="C16" s="19"/>
      <c r="D16" s="19"/>
      <c r="E16" s="20"/>
      <c r="F16" s="19"/>
      <c r="G16" s="21"/>
      <c r="H16" s="19"/>
      <c r="I16" s="31"/>
      <c r="J16" s="19"/>
      <c r="K16" s="19"/>
      <c r="L16" s="23"/>
      <c r="M16" s="29"/>
      <c r="N16" s="24"/>
      <c r="O16" s="30" t="n">
        <f aca="false">N16*J16</f>
        <v>0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</row>
    <row r="17" s="6" customFormat="true" ht="15" hidden="false" customHeight="false" outlineLevel="0" collapsed="false">
      <c r="A17" s="17"/>
      <c r="B17" s="28" t="s">
        <v>18</v>
      </c>
      <c r="C17" s="19"/>
      <c r="D17" s="19"/>
      <c r="E17" s="20"/>
      <c r="F17" s="19"/>
      <c r="G17" s="21"/>
      <c r="H17" s="19"/>
      <c r="I17" s="31"/>
      <c r="J17" s="19"/>
      <c r="K17" s="19"/>
      <c r="L17" s="23"/>
      <c r="M17" s="29"/>
      <c r="N17" s="24"/>
      <c r="O17" s="30" t="n">
        <f aca="false">N17*J17</f>
        <v>0</v>
      </c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</row>
    <row r="18" s="6" customFormat="true" ht="15" hidden="false" customHeight="false" outlineLevel="0" collapsed="false">
      <c r="A18" s="17"/>
      <c r="B18" s="28" t="s">
        <v>18</v>
      </c>
      <c r="C18" s="19"/>
      <c r="D18" s="19"/>
      <c r="E18" s="20"/>
      <c r="F18" s="19"/>
      <c r="G18" s="21"/>
      <c r="H18" s="19"/>
      <c r="I18" s="31"/>
      <c r="J18" s="19"/>
      <c r="K18" s="19"/>
      <c r="L18" s="23"/>
      <c r="M18" s="29"/>
      <c r="N18" s="24"/>
      <c r="O18" s="30" t="n">
        <f aca="false">N18*J18</f>
        <v>0</v>
      </c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</row>
    <row r="19" s="6" customFormat="true" ht="15" hidden="false" customHeight="false" outlineLevel="0" collapsed="false">
      <c r="A19" s="17"/>
      <c r="B19" s="28" t="s">
        <v>18</v>
      </c>
      <c r="C19" s="19"/>
      <c r="D19" s="19"/>
      <c r="E19" s="20"/>
      <c r="F19" s="19"/>
      <c r="G19" s="21"/>
      <c r="H19" s="19"/>
      <c r="I19" s="31"/>
      <c r="J19" s="19"/>
      <c r="K19" s="19"/>
      <c r="L19" s="23"/>
      <c r="M19" s="29"/>
      <c r="N19" s="24"/>
      <c r="O19" s="30" t="n">
        <f aca="false">N19*J19</f>
        <v>0</v>
      </c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</row>
    <row r="20" s="6" customFormat="true" ht="15" hidden="false" customHeight="false" outlineLevel="0" collapsed="false">
      <c r="A20" s="17"/>
      <c r="B20" s="28" t="s">
        <v>18</v>
      </c>
      <c r="C20" s="19"/>
      <c r="D20" s="19"/>
      <c r="E20" s="20"/>
      <c r="F20" s="19"/>
      <c r="G20" s="21"/>
      <c r="H20" s="19"/>
      <c r="I20" s="31"/>
      <c r="J20" s="19"/>
      <c r="K20" s="19"/>
      <c r="L20" s="23"/>
      <c r="M20" s="29"/>
      <c r="N20" s="24"/>
      <c r="O20" s="30" t="n">
        <f aca="false">N20*J20</f>
        <v>0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</row>
    <row r="21" s="6" customFormat="true" ht="15" hidden="false" customHeight="false" outlineLevel="0" collapsed="false">
      <c r="A21" s="17"/>
      <c r="B21" s="28" t="s">
        <v>18</v>
      </c>
      <c r="C21" s="19"/>
      <c r="D21" s="19"/>
      <c r="E21" s="20"/>
      <c r="F21" s="19"/>
      <c r="G21" s="21"/>
      <c r="H21" s="19"/>
      <c r="I21" s="31"/>
      <c r="J21" s="19"/>
      <c r="K21" s="19"/>
      <c r="L21" s="23"/>
      <c r="M21" s="29"/>
      <c r="N21" s="24"/>
      <c r="O21" s="30" t="n">
        <f aca="false">N21*J21</f>
        <v>0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</row>
    <row r="22" s="6" customFormat="true" ht="15" hidden="false" customHeight="false" outlineLevel="0" collapsed="false">
      <c r="A22" s="17"/>
      <c r="B22" s="18" t="s">
        <v>18</v>
      </c>
      <c r="C22" s="19"/>
      <c r="D22" s="19"/>
      <c r="E22" s="20"/>
      <c r="F22" s="19"/>
      <c r="G22" s="21"/>
      <c r="H22" s="19"/>
      <c r="I22" s="31"/>
      <c r="J22" s="19"/>
      <c r="K22" s="19"/>
      <c r="L22" s="23"/>
      <c r="M22" s="29"/>
      <c r="N22" s="24"/>
      <c r="O22" s="30" t="n">
        <f aca="false">N22*J22</f>
        <v>0</v>
      </c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</row>
    <row r="23" s="6" customFormat="true" ht="15" hidden="false" customHeight="false" outlineLevel="0" collapsed="false">
      <c r="A23" s="17"/>
      <c r="B23" s="18" t="s">
        <v>18</v>
      </c>
      <c r="C23" s="19"/>
      <c r="D23" s="19"/>
      <c r="E23" s="20"/>
      <c r="F23" s="19"/>
      <c r="G23" s="21"/>
      <c r="H23" s="19"/>
      <c r="I23" s="31"/>
      <c r="J23" s="19"/>
      <c r="K23" s="19"/>
      <c r="L23" s="23"/>
      <c r="M23" s="29"/>
      <c r="N23" s="24"/>
      <c r="O23" s="30" t="n">
        <f aca="false">N23*J23</f>
        <v>0</v>
      </c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</row>
    <row r="24" s="6" customFormat="true" ht="15" hidden="false" customHeight="false" outlineLevel="0" collapsed="false">
      <c r="A24" s="17"/>
      <c r="B24" s="18" t="s">
        <v>18</v>
      </c>
      <c r="C24" s="19"/>
      <c r="D24" s="19"/>
      <c r="E24" s="20"/>
      <c r="F24" s="19"/>
      <c r="G24" s="21"/>
      <c r="H24" s="19"/>
      <c r="I24" s="31"/>
      <c r="J24" s="19"/>
      <c r="K24" s="19"/>
      <c r="L24" s="23"/>
      <c r="M24" s="29"/>
      <c r="N24" s="24"/>
      <c r="O24" s="30" t="n">
        <f aca="false">N24*J24</f>
        <v>0</v>
      </c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</row>
    <row r="25" s="6" customFormat="true" ht="15" hidden="false" customHeight="false" outlineLevel="0" collapsed="false">
      <c r="A25" s="17"/>
      <c r="B25" s="18" t="s">
        <v>18</v>
      </c>
      <c r="C25" s="19"/>
      <c r="D25" s="19"/>
      <c r="E25" s="20"/>
      <c r="F25" s="19"/>
      <c r="G25" s="21"/>
      <c r="H25" s="19"/>
      <c r="I25" s="31"/>
      <c r="J25" s="19"/>
      <c r="K25" s="19"/>
      <c r="L25" s="23"/>
      <c r="M25" s="29"/>
      <c r="N25" s="24"/>
      <c r="O25" s="30" t="n">
        <f aca="false">N25*J25</f>
        <v>0</v>
      </c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</row>
    <row r="26" s="6" customFormat="true" ht="15" hidden="false" customHeight="false" outlineLevel="0" collapsed="false">
      <c r="A26" s="17"/>
      <c r="B26" s="18" t="s">
        <v>18</v>
      </c>
      <c r="C26" s="19"/>
      <c r="D26" s="19"/>
      <c r="E26" s="20"/>
      <c r="F26" s="19"/>
      <c r="G26" s="21"/>
      <c r="H26" s="19"/>
      <c r="I26" s="31"/>
      <c r="J26" s="19"/>
      <c r="K26" s="19"/>
      <c r="L26" s="23"/>
      <c r="M26" s="29"/>
      <c r="N26" s="24"/>
      <c r="O26" s="30" t="n">
        <f aca="false">N26*J26</f>
        <v>0</v>
      </c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</row>
    <row r="27" s="6" customFormat="true" ht="15" hidden="false" customHeight="false" outlineLevel="0" collapsed="false">
      <c r="A27" s="17"/>
      <c r="B27" s="18" t="s">
        <v>18</v>
      </c>
      <c r="C27" s="19"/>
      <c r="D27" s="19"/>
      <c r="E27" s="20"/>
      <c r="F27" s="19"/>
      <c r="G27" s="21"/>
      <c r="H27" s="19"/>
      <c r="I27" s="31"/>
      <c r="J27" s="19"/>
      <c r="K27" s="19"/>
      <c r="L27" s="23"/>
      <c r="M27" s="29"/>
      <c r="N27" s="24"/>
      <c r="O27" s="30" t="n">
        <f aca="false">N27*J27</f>
        <v>0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</row>
    <row r="28" s="6" customFormat="true" ht="15" hidden="false" customHeight="false" outlineLevel="0" collapsed="false">
      <c r="A28" s="17"/>
      <c r="B28" s="18" t="s">
        <v>18</v>
      </c>
      <c r="C28" s="19"/>
      <c r="D28" s="19"/>
      <c r="E28" s="20"/>
      <c r="F28" s="19"/>
      <c r="G28" s="21"/>
      <c r="H28" s="19"/>
      <c r="I28" s="31"/>
      <c r="J28" s="19"/>
      <c r="K28" s="19"/>
      <c r="L28" s="23"/>
      <c r="M28" s="29"/>
      <c r="N28" s="24"/>
      <c r="O28" s="30" t="n">
        <f aca="false">N28*J28</f>
        <v>0</v>
      </c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</row>
    <row r="29" s="6" customFormat="true" ht="15" hidden="false" customHeight="false" outlineLevel="0" collapsed="false">
      <c r="A29" s="17"/>
      <c r="B29" s="18" t="s">
        <v>18</v>
      </c>
      <c r="C29" s="19"/>
      <c r="D29" s="19"/>
      <c r="E29" s="20"/>
      <c r="F29" s="19"/>
      <c r="G29" s="21"/>
      <c r="H29" s="19"/>
      <c r="I29" s="31"/>
      <c r="J29" s="19"/>
      <c r="K29" s="19"/>
      <c r="L29" s="23"/>
      <c r="M29" s="29"/>
      <c r="N29" s="24"/>
      <c r="O29" s="30" t="n">
        <f aca="false">N29*J29</f>
        <v>0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</row>
    <row r="30" s="6" customFormat="true" ht="15" hidden="false" customHeight="false" outlineLevel="0" collapsed="false">
      <c r="A30" s="17"/>
      <c r="B30" s="18" t="s">
        <v>18</v>
      </c>
      <c r="C30" s="19"/>
      <c r="D30" s="19"/>
      <c r="E30" s="20"/>
      <c r="F30" s="19"/>
      <c r="G30" s="21"/>
      <c r="H30" s="19"/>
      <c r="I30" s="31"/>
      <c r="J30" s="19"/>
      <c r="K30" s="19"/>
      <c r="L30" s="23"/>
      <c r="M30" s="29"/>
      <c r="N30" s="24"/>
      <c r="O30" s="30" t="n">
        <f aca="false">N30*J30</f>
        <v>0</v>
      </c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</row>
    <row r="31" s="6" customFormat="true" ht="15" hidden="false" customHeight="false" outlineLevel="0" collapsed="false">
      <c r="A31" s="17"/>
      <c r="B31" s="18" t="s">
        <v>18</v>
      </c>
      <c r="C31" s="19"/>
      <c r="D31" s="19"/>
      <c r="E31" s="20"/>
      <c r="F31" s="19"/>
      <c r="G31" s="21"/>
      <c r="H31" s="19"/>
      <c r="I31" s="31"/>
      <c r="J31" s="19"/>
      <c r="K31" s="19"/>
      <c r="L31" s="23"/>
      <c r="M31" s="29"/>
      <c r="N31" s="24"/>
      <c r="O31" s="30" t="n">
        <f aca="false">N31*J31</f>
        <v>0</v>
      </c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</row>
    <row r="32" s="6" customFormat="true" ht="15" hidden="false" customHeight="false" outlineLevel="0" collapsed="false">
      <c r="A32" s="17"/>
      <c r="B32" s="18" t="s">
        <v>18</v>
      </c>
      <c r="C32" s="19"/>
      <c r="D32" s="19"/>
      <c r="E32" s="20"/>
      <c r="F32" s="19"/>
      <c r="G32" s="21"/>
      <c r="H32" s="19"/>
      <c r="I32" s="31"/>
      <c r="J32" s="19"/>
      <c r="K32" s="19"/>
      <c r="L32" s="23"/>
      <c r="M32" s="29"/>
      <c r="N32" s="24"/>
      <c r="O32" s="30" t="n">
        <f aca="false">N32*J32</f>
        <v>0</v>
      </c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</row>
    <row r="33" s="6" customFormat="true" ht="15" hidden="false" customHeight="false" outlineLevel="0" collapsed="false">
      <c r="A33" s="17"/>
      <c r="B33" s="18" t="s">
        <v>18</v>
      </c>
      <c r="C33" s="19"/>
      <c r="D33" s="19"/>
      <c r="E33" s="20"/>
      <c r="F33" s="19"/>
      <c r="G33" s="21"/>
      <c r="H33" s="19"/>
      <c r="I33" s="31"/>
      <c r="J33" s="19"/>
      <c r="K33" s="19"/>
      <c r="L33" s="23"/>
      <c r="M33" s="29"/>
      <c r="N33" s="24"/>
      <c r="O33" s="30" t="n">
        <f aca="false">N33*J33</f>
        <v>0</v>
      </c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</row>
    <row r="34" s="6" customFormat="true" ht="15" hidden="false" customHeight="false" outlineLevel="0" collapsed="false">
      <c r="A34" s="17"/>
      <c r="B34" s="18" t="s">
        <v>18</v>
      </c>
      <c r="C34" s="19"/>
      <c r="D34" s="19"/>
      <c r="E34" s="20"/>
      <c r="F34" s="19"/>
      <c r="G34" s="21"/>
      <c r="H34" s="19"/>
      <c r="I34" s="31"/>
      <c r="J34" s="19"/>
      <c r="K34" s="19"/>
      <c r="L34" s="23"/>
      <c r="M34" s="29"/>
      <c r="N34" s="24"/>
      <c r="O34" s="30" t="n">
        <f aca="false">N34*J34</f>
        <v>0</v>
      </c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</row>
    <row r="35" s="6" customFormat="true" ht="15" hidden="false" customHeight="false" outlineLevel="0" collapsed="false">
      <c r="A35" s="17"/>
      <c r="B35" s="18" t="s">
        <v>18</v>
      </c>
      <c r="C35" s="19"/>
      <c r="D35" s="19"/>
      <c r="E35" s="20"/>
      <c r="F35" s="19"/>
      <c r="G35" s="21"/>
      <c r="H35" s="19"/>
      <c r="I35" s="31"/>
      <c r="J35" s="19"/>
      <c r="K35" s="19"/>
      <c r="L35" s="23"/>
      <c r="M35" s="29"/>
      <c r="N35" s="24"/>
      <c r="O35" s="30" t="n">
        <f aca="false">N35*J35</f>
        <v>0</v>
      </c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</row>
    <row r="36" s="6" customFormat="true" ht="15" hidden="false" customHeight="false" outlineLevel="0" collapsed="false">
      <c r="A36" s="17"/>
      <c r="B36" s="18" t="s">
        <v>18</v>
      </c>
      <c r="C36" s="19"/>
      <c r="D36" s="19"/>
      <c r="E36" s="20"/>
      <c r="F36" s="19"/>
      <c r="G36" s="21"/>
      <c r="H36" s="19"/>
      <c r="I36" s="31"/>
      <c r="J36" s="19"/>
      <c r="K36" s="19"/>
      <c r="L36" s="23"/>
      <c r="M36" s="29"/>
      <c r="N36" s="24"/>
      <c r="O36" s="30" t="n">
        <f aca="false">N36*J36</f>
        <v>0</v>
      </c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</row>
    <row r="37" s="6" customFormat="true" ht="15" hidden="false" customHeight="false" outlineLevel="0" collapsed="false">
      <c r="A37" s="17"/>
      <c r="B37" s="18" t="s">
        <v>18</v>
      </c>
      <c r="C37" s="19"/>
      <c r="D37" s="19"/>
      <c r="E37" s="20"/>
      <c r="F37" s="19"/>
      <c r="G37" s="21"/>
      <c r="H37" s="19"/>
      <c r="I37" s="31"/>
      <c r="J37" s="19"/>
      <c r="K37" s="19"/>
      <c r="L37" s="23"/>
      <c r="M37" s="29"/>
      <c r="N37" s="24"/>
      <c r="O37" s="30" t="n">
        <f aca="false">N37*J37</f>
        <v>0</v>
      </c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</row>
    <row r="38" s="6" customFormat="true" ht="15" hidden="false" customHeight="false" outlineLevel="0" collapsed="false">
      <c r="A38" s="17"/>
      <c r="B38" s="18" t="s">
        <v>18</v>
      </c>
      <c r="C38" s="19"/>
      <c r="D38" s="19"/>
      <c r="E38" s="20"/>
      <c r="F38" s="19"/>
      <c r="G38" s="21"/>
      <c r="H38" s="19"/>
      <c r="I38" s="31"/>
      <c r="J38" s="19"/>
      <c r="K38" s="19"/>
      <c r="L38" s="23"/>
      <c r="M38" s="29"/>
      <c r="N38" s="24"/>
      <c r="O38" s="30" t="n">
        <f aca="false">N38*J38</f>
        <v>0</v>
      </c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</row>
    <row r="39" s="6" customFormat="true" ht="15" hidden="false" customHeight="false" outlineLevel="0" collapsed="false">
      <c r="A39" s="17"/>
      <c r="B39" s="18" t="s">
        <v>18</v>
      </c>
      <c r="C39" s="19"/>
      <c r="D39" s="19"/>
      <c r="E39" s="20"/>
      <c r="F39" s="19"/>
      <c r="G39" s="21"/>
      <c r="H39" s="19"/>
      <c r="I39" s="31"/>
      <c r="J39" s="19"/>
      <c r="K39" s="19"/>
      <c r="L39" s="23"/>
      <c r="M39" s="29"/>
      <c r="N39" s="24"/>
      <c r="O39" s="30" t="n">
        <f aca="false">N39*J39</f>
        <v>0</v>
      </c>
      <c r="Q39" s="27"/>
      <c r="R39" s="32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</row>
    <row r="40" s="6" customFormat="true" ht="15" hidden="false" customHeight="false" outlineLevel="0" collapsed="false">
      <c r="A40" s="17"/>
      <c r="B40" s="18" t="s">
        <v>18</v>
      </c>
      <c r="C40" s="19"/>
      <c r="D40" s="19"/>
      <c r="E40" s="20"/>
      <c r="F40" s="19"/>
      <c r="G40" s="21"/>
      <c r="H40" s="19"/>
      <c r="I40" s="31"/>
      <c r="J40" s="19"/>
      <c r="K40" s="19"/>
      <c r="L40" s="23"/>
      <c r="M40" s="29"/>
      <c r="N40" s="24"/>
      <c r="O40" s="30" t="n">
        <f aca="false">N40*J40</f>
        <v>0</v>
      </c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</row>
    <row r="41" s="6" customFormat="true" ht="15" hidden="false" customHeight="false" outlineLevel="0" collapsed="false">
      <c r="A41" s="17"/>
      <c r="B41" s="18" t="s">
        <v>18</v>
      </c>
      <c r="C41" s="19"/>
      <c r="D41" s="19"/>
      <c r="E41" s="20"/>
      <c r="F41" s="19"/>
      <c r="G41" s="21"/>
      <c r="H41" s="19"/>
      <c r="I41" s="31"/>
      <c r="J41" s="19"/>
      <c r="K41" s="19"/>
      <c r="L41" s="23"/>
      <c r="M41" s="29"/>
      <c r="N41" s="24"/>
      <c r="O41" s="30" t="n">
        <f aca="false">N41*J41</f>
        <v>0</v>
      </c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</row>
    <row r="42" s="6" customFormat="true" ht="15" hidden="false" customHeight="false" outlineLevel="0" collapsed="false">
      <c r="A42" s="17"/>
      <c r="B42" s="18" t="s">
        <v>18</v>
      </c>
      <c r="C42" s="19"/>
      <c r="D42" s="19"/>
      <c r="E42" s="20"/>
      <c r="F42" s="19"/>
      <c r="G42" s="21"/>
      <c r="H42" s="19"/>
      <c r="I42" s="31"/>
      <c r="J42" s="19"/>
      <c r="K42" s="19"/>
      <c r="L42" s="23"/>
      <c r="M42" s="29"/>
      <c r="N42" s="24"/>
      <c r="O42" s="30" t="n">
        <f aca="false">N42*J42</f>
        <v>0</v>
      </c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</row>
    <row r="43" s="6" customFormat="true" ht="15" hidden="false" customHeight="false" outlineLevel="0" collapsed="false">
      <c r="A43" s="17"/>
      <c r="B43" s="18" t="s">
        <v>18</v>
      </c>
      <c r="C43" s="19"/>
      <c r="D43" s="19"/>
      <c r="E43" s="20"/>
      <c r="F43" s="19"/>
      <c r="G43" s="21"/>
      <c r="H43" s="19"/>
      <c r="I43" s="31"/>
      <c r="J43" s="19"/>
      <c r="K43" s="19"/>
      <c r="L43" s="23"/>
      <c r="M43" s="29"/>
      <c r="N43" s="24"/>
      <c r="O43" s="30" t="n">
        <f aca="false">N43*J43</f>
        <v>0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</row>
    <row r="44" s="6" customFormat="true" ht="15" hidden="false" customHeight="false" outlineLevel="0" collapsed="false">
      <c r="A44" s="17"/>
      <c r="B44" s="18" t="s">
        <v>18</v>
      </c>
      <c r="C44" s="19"/>
      <c r="D44" s="19"/>
      <c r="E44" s="20"/>
      <c r="F44" s="19"/>
      <c r="G44" s="21"/>
      <c r="H44" s="19"/>
      <c r="I44" s="31"/>
      <c r="J44" s="19"/>
      <c r="K44" s="19"/>
      <c r="L44" s="23"/>
      <c r="M44" s="29"/>
      <c r="N44" s="24"/>
      <c r="O44" s="30" t="n">
        <f aca="false">N44*J44</f>
        <v>0</v>
      </c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</row>
    <row r="45" s="6" customFormat="true" ht="15" hidden="false" customHeight="false" outlineLevel="0" collapsed="false">
      <c r="A45" s="17"/>
      <c r="B45" s="18" t="s">
        <v>18</v>
      </c>
      <c r="C45" s="19"/>
      <c r="D45" s="19"/>
      <c r="E45" s="20"/>
      <c r="F45" s="19"/>
      <c r="G45" s="21"/>
      <c r="H45" s="19"/>
      <c r="I45" s="31"/>
      <c r="J45" s="19"/>
      <c r="K45" s="19"/>
      <c r="L45" s="23"/>
      <c r="M45" s="29"/>
      <c r="N45" s="24"/>
      <c r="O45" s="30" t="n">
        <f aca="false">N45*J45</f>
        <v>0</v>
      </c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</row>
    <row r="46" s="6" customFormat="true" ht="15" hidden="false" customHeight="false" outlineLevel="0" collapsed="false">
      <c r="A46" s="17"/>
      <c r="B46" s="18" t="s">
        <v>18</v>
      </c>
      <c r="C46" s="19"/>
      <c r="D46" s="19"/>
      <c r="E46" s="20"/>
      <c r="F46" s="19"/>
      <c r="G46" s="21"/>
      <c r="H46" s="19"/>
      <c r="I46" s="31"/>
      <c r="J46" s="19"/>
      <c r="K46" s="19"/>
      <c r="L46" s="23"/>
      <c r="M46" s="29"/>
      <c r="N46" s="24"/>
      <c r="O46" s="30" t="n">
        <f aca="false">N46*J46</f>
        <v>0</v>
      </c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</row>
    <row r="47" s="6" customFormat="true" ht="15" hidden="false" customHeight="false" outlineLevel="0" collapsed="false">
      <c r="A47" s="17"/>
      <c r="B47" s="18" t="s">
        <v>18</v>
      </c>
      <c r="C47" s="19"/>
      <c r="D47" s="19"/>
      <c r="E47" s="20"/>
      <c r="F47" s="19"/>
      <c r="G47" s="21"/>
      <c r="H47" s="19"/>
      <c r="I47" s="31"/>
      <c r="J47" s="19"/>
      <c r="K47" s="19"/>
      <c r="L47" s="23"/>
      <c r="M47" s="29"/>
      <c r="N47" s="24"/>
      <c r="O47" s="30" t="n">
        <f aca="false">N47*J47</f>
        <v>0</v>
      </c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</row>
    <row r="48" s="6" customFormat="true" ht="15" hidden="false" customHeight="false" outlineLevel="0" collapsed="false">
      <c r="A48" s="17"/>
      <c r="B48" s="18" t="s">
        <v>18</v>
      </c>
      <c r="C48" s="19"/>
      <c r="D48" s="19"/>
      <c r="E48" s="20"/>
      <c r="F48" s="19"/>
      <c r="G48" s="21"/>
      <c r="H48" s="19"/>
      <c r="I48" s="31"/>
      <c r="J48" s="19"/>
      <c r="K48" s="19"/>
      <c r="L48" s="23"/>
      <c r="M48" s="29"/>
      <c r="N48" s="24"/>
      <c r="O48" s="30" t="n">
        <f aca="false">N48*J48</f>
        <v>0</v>
      </c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</row>
    <row r="49" s="6" customFormat="true" ht="15" hidden="false" customHeight="false" outlineLevel="0" collapsed="false">
      <c r="A49" s="17"/>
      <c r="B49" s="18" t="s">
        <v>18</v>
      </c>
      <c r="C49" s="19"/>
      <c r="D49" s="19"/>
      <c r="E49" s="20"/>
      <c r="F49" s="19"/>
      <c r="G49" s="21"/>
      <c r="H49" s="19"/>
      <c r="I49" s="31"/>
      <c r="J49" s="19"/>
      <c r="K49" s="19"/>
      <c r="L49" s="23"/>
      <c r="M49" s="29"/>
      <c r="N49" s="24"/>
      <c r="O49" s="30" t="n">
        <f aca="false">N49*J49</f>
        <v>0</v>
      </c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</row>
    <row r="50" s="6" customFormat="true" ht="15" hidden="false" customHeight="false" outlineLevel="0" collapsed="false">
      <c r="A50" s="17"/>
      <c r="B50" s="18" t="s">
        <v>18</v>
      </c>
      <c r="C50" s="19"/>
      <c r="D50" s="19"/>
      <c r="E50" s="20"/>
      <c r="F50" s="19"/>
      <c r="G50" s="21"/>
      <c r="H50" s="19"/>
      <c r="I50" s="31"/>
      <c r="J50" s="19"/>
      <c r="K50" s="19"/>
      <c r="L50" s="23"/>
      <c r="M50" s="29"/>
      <c r="N50" s="24"/>
      <c r="O50" s="30" t="n">
        <f aca="false">N50*J50</f>
        <v>0</v>
      </c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</row>
    <row r="51" s="6" customFormat="true" ht="15" hidden="false" customHeight="false" outlineLevel="0" collapsed="false">
      <c r="A51" s="17"/>
      <c r="B51" s="18" t="s">
        <v>18</v>
      </c>
      <c r="C51" s="19"/>
      <c r="D51" s="19"/>
      <c r="E51" s="20"/>
      <c r="F51" s="19"/>
      <c r="G51" s="21"/>
      <c r="H51" s="19"/>
      <c r="I51" s="31"/>
      <c r="J51" s="19"/>
      <c r="K51" s="19"/>
      <c r="L51" s="23"/>
      <c r="M51" s="29"/>
      <c r="N51" s="24"/>
      <c r="O51" s="30" t="n">
        <f aca="false">N51*J51</f>
        <v>0</v>
      </c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</row>
    <row r="52" s="6" customFormat="true" ht="15" hidden="false" customHeight="false" outlineLevel="0" collapsed="false">
      <c r="A52" s="17"/>
      <c r="B52" s="18" t="s">
        <v>18</v>
      </c>
      <c r="C52" s="19"/>
      <c r="D52" s="19"/>
      <c r="E52" s="20"/>
      <c r="F52" s="19"/>
      <c r="G52" s="21"/>
      <c r="H52" s="19"/>
      <c r="I52" s="31"/>
      <c r="J52" s="19"/>
      <c r="K52" s="19"/>
      <c r="L52" s="23"/>
      <c r="M52" s="29"/>
      <c r="N52" s="24"/>
      <c r="O52" s="30" t="n">
        <f aca="false">N52*J52</f>
        <v>0</v>
      </c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</row>
    <row r="53" s="6" customFormat="true" ht="15" hidden="false" customHeight="false" outlineLevel="0" collapsed="false">
      <c r="A53" s="17"/>
      <c r="B53" s="18" t="s">
        <v>18</v>
      </c>
      <c r="C53" s="19"/>
      <c r="D53" s="19"/>
      <c r="E53" s="20"/>
      <c r="F53" s="19"/>
      <c r="G53" s="21"/>
      <c r="H53" s="19"/>
      <c r="I53" s="31"/>
      <c r="J53" s="19"/>
      <c r="K53" s="19"/>
      <c r="L53" s="23"/>
      <c r="M53" s="29"/>
      <c r="N53" s="24"/>
      <c r="O53" s="30" t="n">
        <f aca="false">N53*J53</f>
        <v>0</v>
      </c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</row>
    <row r="54" s="6" customFormat="true" ht="15" hidden="false" customHeight="false" outlineLevel="0" collapsed="false">
      <c r="A54" s="17"/>
      <c r="B54" s="18" t="s">
        <v>18</v>
      </c>
      <c r="C54" s="19"/>
      <c r="D54" s="19"/>
      <c r="E54" s="20"/>
      <c r="F54" s="19"/>
      <c r="G54" s="21"/>
      <c r="H54" s="19"/>
      <c r="I54" s="31"/>
      <c r="J54" s="19"/>
      <c r="K54" s="19"/>
      <c r="L54" s="23"/>
      <c r="M54" s="29"/>
      <c r="N54" s="24"/>
      <c r="O54" s="30" t="n">
        <f aca="false">N54*J54</f>
        <v>0</v>
      </c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</row>
    <row r="55" s="6" customFormat="true" ht="15" hidden="false" customHeight="false" outlineLevel="0" collapsed="false">
      <c r="A55" s="17"/>
      <c r="B55" s="18" t="s">
        <v>18</v>
      </c>
      <c r="C55" s="19"/>
      <c r="D55" s="19"/>
      <c r="E55" s="20"/>
      <c r="F55" s="19"/>
      <c r="G55" s="21"/>
      <c r="H55" s="19"/>
      <c r="I55" s="31"/>
      <c r="J55" s="19"/>
      <c r="K55" s="19"/>
      <c r="L55" s="23"/>
      <c r="M55" s="29"/>
      <c r="N55" s="24"/>
      <c r="O55" s="30" t="n">
        <f aca="false">N55*J55</f>
        <v>0</v>
      </c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</row>
    <row r="56" s="6" customFormat="true" ht="15" hidden="false" customHeight="false" outlineLevel="0" collapsed="false">
      <c r="A56" s="17"/>
      <c r="B56" s="18" t="s">
        <v>18</v>
      </c>
      <c r="C56" s="19"/>
      <c r="D56" s="19"/>
      <c r="E56" s="20"/>
      <c r="F56" s="19"/>
      <c r="G56" s="21"/>
      <c r="H56" s="19"/>
      <c r="I56" s="31"/>
      <c r="J56" s="19"/>
      <c r="K56" s="19"/>
      <c r="L56" s="23"/>
      <c r="M56" s="29"/>
      <c r="N56" s="24"/>
      <c r="O56" s="30" t="n">
        <f aca="false">N56*J56</f>
        <v>0</v>
      </c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</row>
    <row r="57" s="6" customFormat="true" ht="15" hidden="false" customHeight="false" outlineLevel="0" collapsed="false">
      <c r="A57" s="17"/>
      <c r="B57" s="18" t="s">
        <v>18</v>
      </c>
      <c r="C57" s="19"/>
      <c r="D57" s="19"/>
      <c r="E57" s="20"/>
      <c r="F57" s="19"/>
      <c r="G57" s="21"/>
      <c r="H57" s="19"/>
      <c r="I57" s="31"/>
      <c r="J57" s="19"/>
      <c r="K57" s="19"/>
      <c r="L57" s="23"/>
      <c r="M57" s="29"/>
      <c r="N57" s="24"/>
      <c r="O57" s="30" t="n">
        <f aca="false">N57*J57</f>
        <v>0</v>
      </c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</row>
    <row r="58" s="6" customFormat="true" ht="15" hidden="false" customHeight="false" outlineLevel="0" collapsed="false">
      <c r="A58" s="17"/>
      <c r="B58" s="18" t="s">
        <v>18</v>
      </c>
      <c r="C58" s="19"/>
      <c r="D58" s="19"/>
      <c r="E58" s="20"/>
      <c r="F58" s="19"/>
      <c r="G58" s="21"/>
      <c r="H58" s="19"/>
      <c r="I58" s="31"/>
      <c r="J58" s="19"/>
      <c r="K58" s="19"/>
      <c r="L58" s="23"/>
      <c r="M58" s="29"/>
      <c r="N58" s="24"/>
      <c r="O58" s="30" t="n">
        <f aca="false">N58*J58</f>
        <v>0</v>
      </c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</row>
    <row r="59" s="6" customFormat="true" ht="15" hidden="false" customHeight="false" outlineLevel="0" collapsed="false">
      <c r="A59" s="17"/>
      <c r="B59" s="18" t="s">
        <v>18</v>
      </c>
      <c r="C59" s="19"/>
      <c r="D59" s="19"/>
      <c r="E59" s="20"/>
      <c r="F59" s="19"/>
      <c r="G59" s="21"/>
      <c r="H59" s="19"/>
      <c r="I59" s="31"/>
      <c r="J59" s="19"/>
      <c r="K59" s="19"/>
      <c r="L59" s="23"/>
      <c r="M59" s="29"/>
      <c r="N59" s="24"/>
      <c r="O59" s="30" t="n">
        <f aca="false">N59*J59</f>
        <v>0</v>
      </c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</row>
    <row r="60" s="6" customFormat="true" ht="15" hidden="false" customHeight="false" outlineLevel="0" collapsed="false">
      <c r="A60" s="17"/>
      <c r="B60" s="18" t="s">
        <v>18</v>
      </c>
      <c r="C60" s="19"/>
      <c r="D60" s="19"/>
      <c r="E60" s="20"/>
      <c r="F60" s="19"/>
      <c r="G60" s="21"/>
      <c r="H60" s="19"/>
      <c r="I60" s="31"/>
      <c r="J60" s="19"/>
      <c r="K60" s="19"/>
      <c r="L60" s="23"/>
      <c r="M60" s="29"/>
      <c r="N60" s="24"/>
      <c r="O60" s="30" t="n">
        <f aca="false">N60*J60</f>
        <v>0</v>
      </c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</row>
    <row r="61" s="6" customFormat="true" ht="15" hidden="false" customHeight="false" outlineLevel="0" collapsed="false">
      <c r="A61" s="17"/>
      <c r="B61" s="18" t="s">
        <v>18</v>
      </c>
      <c r="C61" s="19"/>
      <c r="D61" s="19"/>
      <c r="E61" s="20"/>
      <c r="F61" s="19"/>
      <c r="G61" s="21"/>
      <c r="H61" s="19"/>
      <c r="I61" s="31"/>
      <c r="J61" s="19"/>
      <c r="K61" s="19"/>
      <c r="L61" s="23"/>
      <c r="M61" s="29"/>
      <c r="N61" s="24"/>
      <c r="O61" s="30" t="n">
        <f aca="false">N61*J61</f>
        <v>0</v>
      </c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</row>
    <row r="62" customFormat="false" ht="15" hidden="false" customHeight="false" outlineLevel="0" collapsed="false">
      <c r="A62" s="17"/>
      <c r="B62" s="18" t="s">
        <v>18</v>
      </c>
      <c r="C62" s="19"/>
      <c r="D62" s="19"/>
      <c r="E62" s="20"/>
      <c r="F62" s="19"/>
      <c r="G62" s="21"/>
      <c r="H62" s="19"/>
      <c r="I62" s="31"/>
      <c r="J62" s="19"/>
      <c r="K62" s="19"/>
      <c r="L62" s="23"/>
      <c r="M62" s="29"/>
      <c r="N62" s="24"/>
      <c r="O62" s="30" t="n">
        <f aca="false">N62*J62</f>
        <v>0</v>
      </c>
    </row>
    <row r="63" customFormat="false" ht="15" hidden="false" customHeight="false" outlineLevel="0" collapsed="false">
      <c r="A63" s="17"/>
      <c r="B63" s="18" t="s">
        <v>18</v>
      </c>
      <c r="C63" s="19"/>
      <c r="D63" s="19"/>
      <c r="E63" s="20"/>
      <c r="F63" s="19"/>
      <c r="G63" s="21"/>
      <c r="H63" s="19"/>
      <c r="I63" s="31"/>
      <c r="J63" s="19"/>
      <c r="K63" s="19"/>
      <c r="L63" s="23"/>
      <c r="M63" s="29"/>
      <c r="N63" s="24"/>
      <c r="O63" s="30" t="n">
        <f aca="false">N63*J63</f>
        <v>0</v>
      </c>
    </row>
    <row r="64" customFormat="false" ht="15" hidden="false" customHeight="false" outlineLevel="0" collapsed="false">
      <c r="A64" s="17"/>
      <c r="B64" s="18" t="s">
        <v>18</v>
      </c>
      <c r="C64" s="19"/>
      <c r="D64" s="19"/>
      <c r="E64" s="20"/>
      <c r="F64" s="19"/>
      <c r="G64" s="21"/>
      <c r="H64" s="19"/>
      <c r="I64" s="31"/>
      <c r="J64" s="19"/>
      <c r="K64" s="19"/>
      <c r="L64" s="23"/>
      <c r="M64" s="29"/>
      <c r="N64" s="24"/>
      <c r="O64" s="30" t="n">
        <f aca="false">N64*J64</f>
        <v>0</v>
      </c>
    </row>
    <row r="65" customFormat="false" ht="15" hidden="false" customHeight="false" outlineLevel="0" collapsed="false">
      <c r="A65" s="17"/>
      <c r="B65" s="18" t="s">
        <v>18</v>
      </c>
      <c r="C65" s="19"/>
      <c r="D65" s="19"/>
      <c r="E65" s="20"/>
      <c r="F65" s="19"/>
      <c r="G65" s="21"/>
      <c r="H65" s="19"/>
      <c r="I65" s="31"/>
      <c r="J65" s="19"/>
      <c r="K65" s="19"/>
      <c r="L65" s="23"/>
      <c r="M65" s="29"/>
      <c r="N65" s="24"/>
      <c r="O65" s="30" t="n">
        <f aca="false">N65*J65</f>
        <v>0</v>
      </c>
    </row>
    <row r="66" customFormat="false" ht="15" hidden="false" customHeight="false" outlineLevel="0" collapsed="false">
      <c r="A66" s="17"/>
      <c r="B66" s="18" t="s">
        <v>18</v>
      </c>
      <c r="C66" s="19"/>
      <c r="D66" s="19"/>
      <c r="E66" s="20"/>
      <c r="F66" s="19"/>
      <c r="G66" s="21"/>
      <c r="H66" s="19"/>
      <c r="I66" s="31"/>
      <c r="J66" s="19"/>
      <c r="K66" s="19"/>
      <c r="L66" s="23"/>
      <c r="M66" s="29"/>
      <c r="N66" s="24"/>
      <c r="O66" s="30" t="n">
        <f aca="false">N66*J66</f>
        <v>0</v>
      </c>
    </row>
    <row r="67" customFormat="false" ht="15" hidden="false" customHeight="false" outlineLevel="0" collapsed="false">
      <c r="A67" s="17"/>
      <c r="B67" s="18" t="s">
        <v>18</v>
      </c>
      <c r="C67" s="19"/>
      <c r="D67" s="19"/>
      <c r="E67" s="20"/>
      <c r="F67" s="19"/>
      <c r="G67" s="21"/>
      <c r="H67" s="19"/>
      <c r="I67" s="31"/>
      <c r="J67" s="19"/>
      <c r="K67" s="19"/>
      <c r="L67" s="23"/>
      <c r="M67" s="29"/>
      <c r="N67" s="24"/>
      <c r="O67" s="30" t="n">
        <f aca="false">N67*J67</f>
        <v>0</v>
      </c>
    </row>
    <row r="68" customFormat="false" ht="15" hidden="false" customHeight="false" outlineLevel="0" collapsed="false">
      <c r="A68" s="17"/>
      <c r="B68" s="18" t="s">
        <v>18</v>
      </c>
      <c r="C68" s="19"/>
      <c r="D68" s="19"/>
      <c r="E68" s="20"/>
      <c r="F68" s="19"/>
      <c r="G68" s="21"/>
      <c r="H68" s="19"/>
      <c r="I68" s="31"/>
      <c r="J68" s="19"/>
      <c r="K68" s="19"/>
      <c r="L68" s="23"/>
      <c r="M68" s="29"/>
      <c r="N68" s="24"/>
      <c r="O68" s="30" t="n">
        <f aca="false">N68*J68</f>
        <v>0</v>
      </c>
    </row>
    <row r="69" customFormat="false" ht="15" hidden="false" customHeight="false" outlineLevel="0" collapsed="false">
      <c r="A69" s="17"/>
      <c r="B69" s="18" t="s">
        <v>18</v>
      </c>
      <c r="C69" s="19"/>
      <c r="D69" s="19"/>
      <c r="E69" s="20"/>
      <c r="F69" s="19"/>
      <c r="G69" s="21"/>
      <c r="H69" s="19"/>
      <c r="I69" s="31"/>
      <c r="J69" s="19"/>
      <c r="K69" s="19"/>
      <c r="L69" s="23"/>
      <c r="M69" s="29"/>
      <c r="N69" s="24"/>
      <c r="O69" s="30" t="n">
        <f aca="false">N69*J69</f>
        <v>0</v>
      </c>
    </row>
    <row r="70" customFormat="false" ht="15" hidden="false" customHeight="false" outlineLevel="0" collapsed="false">
      <c r="A70" s="17"/>
      <c r="B70" s="18" t="s">
        <v>18</v>
      </c>
      <c r="C70" s="19"/>
      <c r="D70" s="19"/>
      <c r="E70" s="20"/>
      <c r="F70" s="19"/>
      <c r="G70" s="21"/>
      <c r="H70" s="19"/>
      <c r="I70" s="31"/>
      <c r="J70" s="19"/>
      <c r="K70" s="19"/>
      <c r="L70" s="23"/>
      <c r="M70" s="29"/>
      <c r="N70" s="24"/>
      <c r="O70" s="30" t="n">
        <f aca="false">N70*J70</f>
        <v>0</v>
      </c>
    </row>
    <row r="71" customFormat="false" ht="15" hidden="false" customHeight="false" outlineLevel="0" collapsed="false">
      <c r="A71" s="17"/>
      <c r="B71" s="18" t="s">
        <v>18</v>
      </c>
      <c r="C71" s="19"/>
      <c r="D71" s="19"/>
      <c r="E71" s="20"/>
      <c r="F71" s="19"/>
      <c r="G71" s="21"/>
      <c r="H71" s="19"/>
      <c r="I71" s="31"/>
      <c r="J71" s="19"/>
      <c r="K71" s="19"/>
      <c r="L71" s="23"/>
      <c r="M71" s="29"/>
      <c r="N71" s="24"/>
      <c r="O71" s="30" t="n">
        <f aca="false">N71*J71</f>
        <v>0</v>
      </c>
    </row>
    <row r="72" customFormat="false" ht="15" hidden="false" customHeight="false" outlineLevel="0" collapsed="false">
      <c r="A72" s="17"/>
      <c r="B72" s="18" t="s">
        <v>18</v>
      </c>
      <c r="C72" s="19"/>
      <c r="D72" s="19"/>
      <c r="E72" s="20"/>
      <c r="F72" s="19"/>
      <c r="G72" s="21"/>
      <c r="H72" s="19"/>
      <c r="I72" s="31"/>
      <c r="J72" s="19"/>
      <c r="K72" s="19"/>
      <c r="L72" s="23"/>
      <c r="M72" s="29"/>
      <c r="N72" s="24"/>
      <c r="O72" s="30" t="n">
        <f aca="false">N72*J72</f>
        <v>0</v>
      </c>
    </row>
    <row r="73" customFormat="false" ht="15" hidden="false" customHeight="false" outlineLevel="0" collapsed="false">
      <c r="A73" s="17"/>
      <c r="B73" s="18" t="s">
        <v>18</v>
      </c>
      <c r="C73" s="19"/>
      <c r="D73" s="19"/>
      <c r="E73" s="20"/>
      <c r="F73" s="19"/>
      <c r="G73" s="21"/>
      <c r="H73" s="19"/>
      <c r="I73" s="31"/>
      <c r="J73" s="19"/>
      <c r="K73" s="19"/>
      <c r="L73" s="23"/>
      <c r="M73" s="29"/>
      <c r="N73" s="24"/>
      <c r="O73" s="30" t="n">
        <f aca="false">N73*J73</f>
        <v>0</v>
      </c>
    </row>
    <row r="74" customFormat="false" ht="15" hidden="false" customHeight="false" outlineLevel="0" collapsed="false">
      <c r="A74" s="17"/>
      <c r="B74" s="18" t="s">
        <v>18</v>
      </c>
      <c r="C74" s="19"/>
      <c r="D74" s="19"/>
      <c r="E74" s="20"/>
      <c r="F74" s="19"/>
      <c r="G74" s="21"/>
      <c r="H74" s="19"/>
      <c r="I74" s="31"/>
      <c r="J74" s="19"/>
      <c r="K74" s="19"/>
      <c r="L74" s="23"/>
      <c r="M74" s="29"/>
      <c r="N74" s="24"/>
      <c r="O74" s="30" t="n">
        <f aca="false">N74*J74</f>
        <v>0</v>
      </c>
    </row>
    <row r="75" customFormat="false" ht="15" hidden="false" customHeight="false" outlineLevel="0" collapsed="false">
      <c r="A75" s="17"/>
      <c r="B75" s="18" t="s">
        <v>18</v>
      </c>
      <c r="C75" s="19"/>
      <c r="D75" s="19"/>
      <c r="E75" s="20"/>
      <c r="F75" s="19"/>
      <c r="G75" s="21"/>
      <c r="H75" s="19"/>
      <c r="I75" s="31"/>
      <c r="J75" s="19"/>
      <c r="K75" s="19"/>
      <c r="L75" s="23"/>
      <c r="M75" s="29"/>
      <c r="N75" s="24"/>
      <c r="O75" s="30" t="n">
        <f aca="false">N75*J75</f>
        <v>0</v>
      </c>
    </row>
    <row r="76" customFormat="false" ht="15" hidden="false" customHeight="false" outlineLevel="0" collapsed="false">
      <c r="A76" s="17"/>
      <c r="B76" s="18" t="s">
        <v>18</v>
      </c>
      <c r="C76" s="19"/>
      <c r="D76" s="19"/>
      <c r="E76" s="20"/>
      <c r="F76" s="19"/>
      <c r="G76" s="21"/>
      <c r="H76" s="19"/>
      <c r="I76" s="31"/>
      <c r="J76" s="19"/>
      <c r="K76" s="19"/>
      <c r="L76" s="23"/>
      <c r="M76" s="29"/>
      <c r="N76" s="24"/>
      <c r="O76" s="30" t="n">
        <f aca="false">N76*J76</f>
        <v>0</v>
      </c>
    </row>
    <row r="77" customFormat="false" ht="15" hidden="false" customHeight="false" outlineLevel="0" collapsed="false">
      <c r="A77" s="17"/>
      <c r="B77" s="18" t="s">
        <v>18</v>
      </c>
      <c r="C77" s="19"/>
      <c r="D77" s="19"/>
      <c r="E77" s="20"/>
      <c r="F77" s="19"/>
      <c r="G77" s="21"/>
      <c r="H77" s="19"/>
      <c r="I77" s="31"/>
      <c r="J77" s="19"/>
      <c r="K77" s="19"/>
      <c r="L77" s="23"/>
      <c r="M77" s="29"/>
      <c r="N77" s="24"/>
      <c r="O77" s="30" t="n">
        <f aca="false">N77*J77</f>
        <v>0</v>
      </c>
    </row>
    <row r="78" customFormat="false" ht="15" hidden="false" customHeight="false" outlineLevel="0" collapsed="false">
      <c r="A78" s="17"/>
      <c r="B78" s="18" t="s">
        <v>18</v>
      </c>
      <c r="C78" s="19"/>
      <c r="D78" s="19"/>
      <c r="E78" s="20"/>
      <c r="F78" s="19"/>
      <c r="G78" s="21"/>
      <c r="H78" s="19"/>
      <c r="I78" s="31"/>
      <c r="J78" s="19"/>
      <c r="K78" s="19"/>
      <c r="L78" s="23"/>
      <c r="M78" s="29"/>
      <c r="N78" s="24"/>
      <c r="O78" s="30" t="n">
        <f aca="false">N78*J78</f>
        <v>0</v>
      </c>
    </row>
    <row r="79" customFormat="false" ht="15" hidden="false" customHeight="false" outlineLevel="0" collapsed="false">
      <c r="A79" s="17"/>
      <c r="B79" s="18" t="s">
        <v>18</v>
      </c>
      <c r="C79" s="19"/>
      <c r="D79" s="19"/>
      <c r="E79" s="20"/>
      <c r="F79" s="19"/>
      <c r="G79" s="21"/>
      <c r="H79" s="19"/>
      <c r="I79" s="31"/>
      <c r="J79" s="19"/>
      <c r="K79" s="19"/>
      <c r="L79" s="23"/>
      <c r="M79" s="29"/>
      <c r="N79" s="24"/>
      <c r="O79" s="30" t="n">
        <f aca="false">N79*J79</f>
        <v>0</v>
      </c>
    </row>
    <row r="80" customFormat="false" ht="15" hidden="false" customHeight="false" outlineLevel="0" collapsed="false">
      <c r="A80" s="17"/>
      <c r="B80" s="18" t="s">
        <v>18</v>
      </c>
      <c r="C80" s="19"/>
      <c r="D80" s="19"/>
      <c r="E80" s="20"/>
      <c r="F80" s="19"/>
      <c r="G80" s="21"/>
      <c r="H80" s="19"/>
      <c r="I80" s="31"/>
      <c r="J80" s="19"/>
      <c r="K80" s="19"/>
      <c r="L80" s="23"/>
      <c r="M80" s="29"/>
      <c r="N80" s="24"/>
      <c r="O80" s="30" t="n">
        <f aca="false">N80*J80</f>
        <v>0</v>
      </c>
    </row>
    <row r="81" customFormat="false" ht="15" hidden="false" customHeight="false" outlineLevel="0" collapsed="false">
      <c r="A81" s="17"/>
      <c r="B81" s="18" t="s">
        <v>18</v>
      </c>
      <c r="C81" s="19"/>
      <c r="D81" s="19"/>
      <c r="E81" s="20"/>
      <c r="F81" s="19"/>
      <c r="G81" s="21"/>
      <c r="H81" s="19"/>
      <c r="I81" s="31"/>
      <c r="J81" s="19"/>
      <c r="K81" s="19"/>
      <c r="L81" s="23"/>
      <c r="M81" s="29"/>
      <c r="N81" s="24"/>
      <c r="O81" s="30" t="n">
        <f aca="false">N81*J81</f>
        <v>0</v>
      </c>
    </row>
    <row r="82" customFormat="false" ht="15" hidden="false" customHeight="false" outlineLevel="0" collapsed="false">
      <c r="A82" s="17"/>
      <c r="B82" s="18" t="s">
        <v>18</v>
      </c>
      <c r="C82" s="19"/>
      <c r="D82" s="19"/>
      <c r="E82" s="20"/>
      <c r="F82" s="19"/>
      <c r="G82" s="21"/>
      <c r="H82" s="19"/>
      <c r="I82" s="31"/>
      <c r="J82" s="19"/>
      <c r="K82" s="19"/>
      <c r="L82" s="23"/>
      <c r="M82" s="29"/>
      <c r="N82" s="24"/>
      <c r="O82" s="30" t="n">
        <f aca="false">N82*J82</f>
        <v>0</v>
      </c>
    </row>
    <row r="83" customFormat="false" ht="15" hidden="false" customHeight="false" outlineLevel="0" collapsed="false">
      <c r="A83" s="17"/>
      <c r="B83" s="18" t="s">
        <v>18</v>
      </c>
      <c r="C83" s="19"/>
      <c r="D83" s="19"/>
      <c r="E83" s="20"/>
      <c r="F83" s="19"/>
      <c r="G83" s="21"/>
      <c r="H83" s="19"/>
      <c r="I83" s="31"/>
      <c r="J83" s="19"/>
      <c r="K83" s="19"/>
      <c r="L83" s="23"/>
      <c r="M83" s="29"/>
      <c r="N83" s="24"/>
      <c r="O83" s="30" t="n">
        <f aca="false">N83*J83</f>
        <v>0</v>
      </c>
    </row>
    <row r="84" customFormat="false" ht="15" hidden="false" customHeight="false" outlineLevel="0" collapsed="false">
      <c r="A84" s="17"/>
      <c r="B84" s="18" t="s">
        <v>18</v>
      </c>
      <c r="C84" s="19"/>
      <c r="D84" s="19"/>
      <c r="E84" s="20"/>
      <c r="F84" s="19"/>
      <c r="G84" s="21"/>
      <c r="H84" s="19"/>
      <c r="I84" s="31"/>
      <c r="J84" s="19"/>
      <c r="K84" s="19"/>
      <c r="L84" s="23"/>
      <c r="M84" s="29"/>
      <c r="N84" s="24"/>
      <c r="O84" s="30" t="n">
        <f aca="false">N84*J84</f>
        <v>0</v>
      </c>
    </row>
    <row r="85" customFormat="false" ht="15" hidden="false" customHeight="false" outlineLevel="0" collapsed="false">
      <c r="A85" s="17"/>
      <c r="B85" s="18" t="s">
        <v>18</v>
      </c>
      <c r="C85" s="19"/>
      <c r="D85" s="19"/>
      <c r="E85" s="20"/>
      <c r="F85" s="19"/>
      <c r="G85" s="21"/>
      <c r="H85" s="19"/>
      <c r="I85" s="31"/>
      <c r="J85" s="19"/>
      <c r="K85" s="19"/>
      <c r="L85" s="23"/>
      <c r="M85" s="29"/>
      <c r="N85" s="24"/>
      <c r="O85" s="30" t="n">
        <f aca="false">N85*J85</f>
        <v>0</v>
      </c>
    </row>
    <row r="86" customFormat="false" ht="15" hidden="false" customHeight="false" outlineLevel="0" collapsed="false">
      <c r="A86" s="17"/>
      <c r="B86" s="18" t="s">
        <v>18</v>
      </c>
      <c r="C86" s="19"/>
      <c r="D86" s="19"/>
      <c r="E86" s="20"/>
      <c r="F86" s="19"/>
      <c r="G86" s="21"/>
      <c r="H86" s="19"/>
      <c r="I86" s="31"/>
      <c r="J86" s="19"/>
      <c r="K86" s="19"/>
      <c r="L86" s="23"/>
      <c r="M86" s="29"/>
      <c r="N86" s="24"/>
      <c r="O86" s="30" t="n">
        <f aca="false">N86*J86</f>
        <v>0</v>
      </c>
    </row>
    <row r="87" customFormat="false" ht="15" hidden="false" customHeight="false" outlineLevel="0" collapsed="false">
      <c r="A87" s="17"/>
      <c r="B87" s="18" t="s">
        <v>18</v>
      </c>
      <c r="C87" s="19"/>
      <c r="D87" s="19"/>
      <c r="E87" s="20"/>
      <c r="F87" s="19"/>
      <c r="G87" s="21"/>
      <c r="H87" s="19"/>
      <c r="I87" s="31"/>
      <c r="J87" s="19"/>
      <c r="K87" s="19"/>
      <c r="L87" s="23"/>
      <c r="M87" s="29"/>
      <c r="N87" s="24"/>
      <c r="O87" s="30" t="n">
        <f aca="false">N87*J87</f>
        <v>0</v>
      </c>
    </row>
    <row r="88" customFormat="false" ht="15" hidden="false" customHeight="false" outlineLevel="0" collapsed="false">
      <c r="A88" s="17"/>
      <c r="B88" s="18" t="s">
        <v>18</v>
      </c>
      <c r="C88" s="19"/>
      <c r="D88" s="19"/>
      <c r="E88" s="20"/>
      <c r="F88" s="19"/>
      <c r="G88" s="21"/>
      <c r="H88" s="19"/>
      <c r="I88" s="31"/>
      <c r="J88" s="19"/>
      <c r="K88" s="19"/>
      <c r="L88" s="23"/>
      <c r="M88" s="29"/>
      <c r="N88" s="24"/>
      <c r="O88" s="30" t="n">
        <f aca="false">N88*J88</f>
        <v>0</v>
      </c>
    </row>
    <row r="89" customFormat="false" ht="15" hidden="false" customHeight="false" outlineLevel="0" collapsed="false">
      <c r="A89" s="17"/>
      <c r="B89" s="18" t="s">
        <v>18</v>
      </c>
      <c r="C89" s="19"/>
      <c r="D89" s="19"/>
      <c r="E89" s="20"/>
      <c r="F89" s="19"/>
      <c r="G89" s="21"/>
      <c r="H89" s="19"/>
      <c r="I89" s="31"/>
      <c r="J89" s="19"/>
      <c r="K89" s="19"/>
      <c r="L89" s="23"/>
      <c r="M89" s="29"/>
      <c r="N89" s="24"/>
      <c r="O89" s="30" t="n">
        <f aca="false">N89*J89</f>
        <v>0</v>
      </c>
    </row>
    <row r="90" customFormat="false" ht="15" hidden="false" customHeight="false" outlineLevel="0" collapsed="false">
      <c r="A90" s="17"/>
      <c r="B90" s="18" t="s">
        <v>18</v>
      </c>
      <c r="C90" s="19"/>
      <c r="D90" s="19"/>
      <c r="E90" s="20"/>
      <c r="F90" s="19"/>
      <c r="G90" s="21"/>
      <c r="H90" s="19"/>
      <c r="I90" s="31"/>
      <c r="J90" s="19"/>
      <c r="K90" s="19"/>
      <c r="L90" s="23"/>
      <c r="M90" s="29"/>
      <c r="N90" s="24"/>
      <c r="O90" s="30" t="n">
        <f aca="false">N90*J90</f>
        <v>0</v>
      </c>
    </row>
    <row r="91" customFormat="false" ht="15" hidden="false" customHeight="false" outlineLevel="0" collapsed="false">
      <c r="A91" s="17"/>
      <c r="B91" s="18" t="s">
        <v>18</v>
      </c>
      <c r="C91" s="19"/>
      <c r="D91" s="19"/>
      <c r="E91" s="20"/>
      <c r="F91" s="19"/>
      <c r="G91" s="21"/>
      <c r="H91" s="19"/>
      <c r="I91" s="31"/>
      <c r="J91" s="19"/>
      <c r="K91" s="19"/>
      <c r="L91" s="23"/>
      <c r="M91" s="29"/>
      <c r="N91" s="24"/>
      <c r="O91" s="30" t="n">
        <f aca="false">N91*J91</f>
        <v>0</v>
      </c>
    </row>
    <row r="92" customFormat="false" ht="15" hidden="false" customHeight="false" outlineLevel="0" collapsed="false">
      <c r="A92" s="17"/>
      <c r="B92" s="18" t="s">
        <v>18</v>
      </c>
      <c r="C92" s="19"/>
      <c r="D92" s="19"/>
      <c r="E92" s="20"/>
      <c r="F92" s="19"/>
      <c r="G92" s="21"/>
      <c r="H92" s="19"/>
      <c r="I92" s="31"/>
      <c r="J92" s="19"/>
      <c r="K92" s="19"/>
      <c r="L92" s="23"/>
      <c r="M92" s="29"/>
      <c r="N92" s="24"/>
      <c r="O92" s="30" t="n">
        <f aca="false">N92*J92</f>
        <v>0</v>
      </c>
    </row>
    <row r="93" customFormat="false" ht="15" hidden="false" customHeight="false" outlineLevel="0" collapsed="false">
      <c r="A93" s="17"/>
      <c r="B93" s="18" t="s">
        <v>18</v>
      </c>
      <c r="C93" s="19"/>
      <c r="D93" s="19"/>
      <c r="E93" s="20"/>
      <c r="F93" s="19"/>
      <c r="G93" s="21"/>
      <c r="H93" s="19"/>
      <c r="I93" s="31"/>
      <c r="J93" s="19"/>
      <c r="K93" s="19"/>
      <c r="L93" s="23"/>
      <c r="M93" s="29"/>
      <c r="N93" s="24"/>
      <c r="O93" s="30" t="n">
        <f aca="false">N93*J93</f>
        <v>0</v>
      </c>
    </row>
    <row r="94" customFormat="false" ht="15" hidden="false" customHeight="false" outlineLevel="0" collapsed="false">
      <c r="A94" s="17"/>
      <c r="B94" s="18" t="s">
        <v>18</v>
      </c>
      <c r="C94" s="19"/>
      <c r="D94" s="19"/>
      <c r="E94" s="20"/>
      <c r="F94" s="19"/>
      <c r="G94" s="21"/>
      <c r="H94" s="19"/>
      <c r="I94" s="31"/>
      <c r="J94" s="19"/>
      <c r="K94" s="19"/>
      <c r="L94" s="23"/>
      <c r="M94" s="29"/>
      <c r="N94" s="24"/>
      <c r="O94" s="30" t="n">
        <f aca="false">N94*J94</f>
        <v>0</v>
      </c>
    </row>
    <row r="95" customFormat="false" ht="15" hidden="false" customHeight="false" outlineLevel="0" collapsed="false">
      <c r="A95" s="17"/>
      <c r="B95" s="18" t="s">
        <v>18</v>
      </c>
      <c r="C95" s="19"/>
      <c r="D95" s="19"/>
      <c r="E95" s="20"/>
      <c r="F95" s="19"/>
      <c r="G95" s="21"/>
      <c r="H95" s="19"/>
      <c r="I95" s="31"/>
      <c r="J95" s="19"/>
      <c r="K95" s="19"/>
      <c r="L95" s="23"/>
      <c r="M95" s="29"/>
      <c r="N95" s="24"/>
      <c r="O95" s="30" t="n">
        <f aca="false">N95*J95</f>
        <v>0</v>
      </c>
    </row>
    <row r="96" customFormat="false" ht="15" hidden="false" customHeight="false" outlineLevel="0" collapsed="false">
      <c r="A96" s="17"/>
      <c r="B96" s="18" t="s">
        <v>18</v>
      </c>
      <c r="C96" s="19"/>
      <c r="D96" s="19"/>
      <c r="E96" s="20"/>
      <c r="F96" s="19"/>
      <c r="G96" s="21"/>
      <c r="H96" s="19"/>
      <c r="I96" s="31"/>
      <c r="J96" s="19"/>
      <c r="K96" s="19"/>
      <c r="L96" s="23"/>
      <c r="M96" s="29"/>
      <c r="N96" s="24"/>
      <c r="O96" s="30" t="n">
        <f aca="false">N96*J96</f>
        <v>0</v>
      </c>
    </row>
    <row r="97" customFormat="false" ht="15" hidden="false" customHeight="false" outlineLevel="0" collapsed="false">
      <c r="A97" s="33"/>
      <c r="B97" s="18" t="s">
        <v>18</v>
      </c>
      <c r="C97" s="29"/>
      <c r="D97" s="29"/>
      <c r="E97" s="20"/>
      <c r="F97" s="29"/>
      <c r="G97" s="34"/>
      <c r="H97" s="29"/>
      <c r="I97" s="35"/>
      <c r="J97" s="29"/>
      <c r="K97" s="29"/>
      <c r="L97" s="36"/>
      <c r="M97" s="29"/>
      <c r="N97" s="37"/>
      <c r="O97" s="30" t="n">
        <f aca="false">N97*J97</f>
        <v>0</v>
      </c>
    </row>
    <row r="98" customFormat="false" ht="15" hidden="false" customHeight="false" outlineLevel="0" collapsed="false">
      <c r="A98" s="33"/>
      <c r="B98" s="18" t="s">
        <v>18</v>
      </c>
      <c r="C98" s="29"/>
      <c r="D98" s="29"/>
      <c r="E98" s="20"/>
      <c r="F98" s="29"/>
      <c r="G98" s="34"/>
      <c r="H98" s="29"/>
      <c r="I98" s="35"/>
      <c r="J98" s="29"/>
      <c r="K98" s="29"/>
      <c r="L98" s="36"/>
      <c r="M98" s="29"/>
      <c r="N98" s="37"/>
      <c r="O98" s="30" t="n">
        <f aca="false">N98*J98</f>
        <v>0</v>
      </c>
    </row>
    <row r="99" customFormat="false" ht="15" hidden="false" customHeight="false" outlineLevel="0" collapsed="false">
      <c r="A99" s="33"/>
      <c r="B99" s="18" t="s">
        <v>18</v>
      </c>
      <c r="C99" s="29"/>
      <c r="D99" s="29"/>
      <c r="E99" s="38"/>
      <c r="F99" s="29"/>
      <c r="G99" s="34"/>
      <c r="H99" s="29"/>
      <c r="I99" s="35"/>
      <c r="J99" s="29"/>
      <c r="K99" s="29"/>
      <c r="L99" s="36"/>
      <c r="M99" s="29"/>
      <c r="N99" s="37"/>
      <c r="O99" s="30" t="n">
        <f aca="false">N99*J99</f>
        <v>0</v>
      </c>
    </row>
    <row r="100" customFormat="false" ht="15" hidden="false" customHeight="false" outlineLevel="0" collapsed="false">
      <c r="A100" s="33"/>
      <c r="B100" s="18" t="s">
        <v>18</v>
      </c>
      <c r="C100" s="29"/>
      <c r="D100" s="29"/>
      <c r="E100" s="38"/>
      <c r="F100" s="29"/>
      <c r="G100" s="34"/>
      <c r="H100" s="29"/>
      <c r="I100" s="35"/>
      <c r="J100" s="29"/>
      <c r="K100" s="29"/>
      <c r="L100" s="36"/>
      <c r="M100" s="29"/>
      <c r="N100" s="37"/>
      <c r="O100" s="30" t="n">
        <f aca="false">N100*J100</f>
        <v>0</v>
      </c>
    </row>
    <row r="101" customFormat="false" ht="15" hidden="false" customHeight="false" outlineLevel="0" collapsed="false">
      <c r="A101" s="33"/>
      <c r="B101" s="18" t="s">
        <v>18</v>
      </c>
      <c r="C101" s="29"/>
      <c r="D101" s="29"/>
      <c r="E101" s="38"/>
      <c r="F101" s="29"/>
      <c r="G101" s="34"/>
      <c r="H101" s="29"/>
      <c r="I101" s="35"/>
      <c r="J101" s="29"/>
      <c r="K101" s="29"/>
      <c r="L101" s="36"/>
      <c r="M101" s="29"/>
      <c r="N101" s="37"/>
      <c r="O101" s="30" t="n">
        <f aca="false">N101*J101</f>
        <v>0</v>
      </c>
    </row>
    <row r="102" customFormat="false" ht="15" hidden="false" customHeight="false" outlineLevel="0" collapsed="false">
      <c r="A102" s="33"/>
      <c r="B102" s="18" t="s">
        <v>18</v>
      </c>
      <c r="C102" s="29"/>
      <c r="D102" s="29"/>
      <c r="E102" s="38"/>
      <c r="F102" s="29"/>
      <c r="G102" s="34"/>
      <c r="H102" s="29"/>
      <c r="I102" s="35"/>
      <c r="J102" s="29"/>
      <c r="K102" s="29"/>
      <c r="L102" s="36"/>
      <c r="M102" s="29"/>
      <c r="N102" s="37"/>
      <c r="O102" s="30" t="n">
        <f aca="false">N102*J102</f>
        <v>0</v>
      </c>
    </row>
    <row r="103" customFormat="false" ht="15" hidden="false" customHeight="false" outlineLevel="0" collapsed="false">
      <c r="A103" s="33"/>
      <c r="B103" s="18" t="s">
        <v>18</v>
      </c>
      <c r="C103" s="29"/>
      <c r="D103" s="29"/>
      <c r="E103" s="38"/>
      <c r="F103" s="29"/>
      <c r="G103" s="34"/>
      <c r="H103" s="29"/>
      <c r="I103" s="35"/>
      <c r="J103" s="29"/>
      <c r="K103" s="29"/>
      <c r="L103" s="36"/>
      <c r="M103" s="29"/>
      <c r="N103" s="37"/>
      <c r="O103" s="30" t="n">
        <f aca="false">N103*J103</f>
        <v>0</v>
      </c>
    </row>
    <row r="104" customFormat="false" ht="15" hidden="false" customHeight="false" outlineLevel="0" collapsed="false">
      <c r="A104" s="33"/>
      <c r="B104" s="18" t="s">
        <v>18</v>
      </c>
      <c r="C104" s="29"/>
      <c r="D104" s="29"/>
      <c r="E104" s="38"/>
      <c r="F104" s="29"/>
      <c r="G104" s="34"/>
      <c r="H104" s="29"/>
      <c r="I104" s="35"/>
      <c r="J104" s="29"/>
      <c r="K104" s="29"/>
      <c r="L104" s="36"/>
      <c r="M104" s="29"/>
      <c r="N104" s="37"/>
      <c r="O104" s="30" t="n">
        <f aca="false">N104*J104</f>
        <v>0</v>
      </c>
    </row>
    <row r="105" customFormat="false" ht="15" hidden="false" customHeight="false" outlineLevel="0" collapsed="false">
      <c r="A105" s="33"/>
      <c r="B105" s="18" t="s">
        <v>18</v>
      </c>
      <c r="C105" s="29"/>
      <c r="D105" s="29"/>
      <c r="E105" s="38"/>
      <c r="F105" s="29"/>
      <c r="G105" s="34"/>
      <c r="H105" s="29"/>
      <c r="I105" s="35"/>
      <c r="J105" s="29"/>
      <c r="K105" s="29"/>
      <c r="L105" s="36"/>
      <c r="M105" s="29"/>
      <c r="N105" s="37"/>
      <c r="O105" s="30" t="n">
        <f aca="false">N105*J105</f>
        <v>0</v>
      </c>
    </row>
    <row r="106" customFormat="false" ht="15" hidden="false" customHeight="false" outlineLevel="0" collapsed="false">
      <c r="A106" s="33"/>
      <c r="B106" s="18" t="s">
        <v>18</v>
      </c>
      <c r="C106" s="29"/>
      <c r="D106" s="29"/>
      <c r="E106" s="38"/>
      <c r="F106" s="29"/>
      <c r="G106" s="34"/>
      <c r="H106" s="29"/>
      <c r="I106" s="35"/>
      <c r="J106" s="29"/>
      <c r="K106" s="29"/>
      <c r="L106" s="36"/>
      <c r="M106" s="29"/>
      <c r="N106" s="37"/>
      <c r="O106" s="30" t="n">
        <f aca="false">N106*J106</f>
        <v>0</v>
      </c>
    </row>
    <row r="107" customFormat="false" ht="15" hidden="false" customHeight="false" outlineLevel="0" collapsed="false">
      <c r="A107" s="33"/>
      <c r="B107" s="18" t="s">
        <v>18</v>
      </c>
      <c r="C107" s="29"/>
      <c r="D107" s="29"/>
      <c r="E107" s="38"/>
      <c r="F107" s="29"/>
      <c r="G107" s="34"/>
      <c r="H107" s="29"/>
      <c r="I107" s="35"/>
      <c r="J107" s="29"/>
      <c r="K107" s="29"/>
      <c r="L107" s="36"/>
      <c r="M107" s="29"/>
      <c r="N107" s="37"/>
      <c r="O107" s="30" t="n">
        <f aca="false">N107*J107</f>
        <v>0</v>
      </c>
    </row>
    <row r="108" customFormat="false" ht="15" hidden="false" customHeight="false" outlineLevel="0" collapsed="false">
      <c r="A108" s="33"/>
      <c r="B108" s="28"/>
      <c r="C108" s="29"/>
      <c r="D108" s="29"/>
      <c r="E108" s="38"/>
      <c r="F108" s="29"/>
      <c r="G108" s="34"/>
      <c r="H108" s="29"/>
      <c r="I108" s="35"/>
      <c r="J108" s="29"/>
      <c r="K108" s="29"/>
      <c r="L108" s="36"/>
      <c r="M108" s="29"/>
      <c r="N108" s="37"/>
      <c r="O108" s="30" t="n">
        <f aca="false">N108*J108</f>
        <v>0</v>
      </c>
    </row>
    <row r="109" customFormat="false" ht="15" hidden="false" customHeight="false" outlineLevel="0" collapsed="false">
      <c r="A109" s="33"/>
      <c r="B109" s="28"/>
      <c r="C109" s="29"/>
      <c r="D109" s="29"/>
      <c r="E109" s="29"/>
      <c r="F109" s="29"/>
      <c r="G109" s="34"/>
      <c r="H109" s="29"/>
      <c r="I109" s="35"/>
      <c r="J109" s="29"/>
      <c r="K109" s="29"/>
      <c r="L109" s="36"/>
      <c r="M109" s="29"/>
      <c r="N109" s="37"/>
      <c r="O109" s="30" t="n">
        <f aca="false">N109*J109</f>
        <v>0</v>
      </c>
    </row>
    <row r="110" customFormat="false" ht="15" hidden="false" customHeight="false" outlineLevel="0" collapsed="false">
      <c r="A110" s="33"/>
      <c r="B110" s="28"/>
      <c r="C110" s="29"/>
      <c r="D110" s="29"/>
      <c r="E110" s="29"/>
      <c r="F110" s="29"/>
      <c r="G110" s="34"/>
      <c r="H110" s="29"/>
      <c r="I110" s="35"/>
      <c r="J110" s="29"/>
      <c r="K110" s="29"/>
      <c r="L110" s="36"/>
      <c r="M110" s="29"/>
      <c r="N110" s="37"/>
      <c r="O110" s="30" t="n">
        <f aca="false">N110*J110</f>
        <v>0</v>
      </c>
    </row>
    <row r="111" customFormat="false" ht="15" hidden="false" customHeight="false" outlineLevel="0" collapsed="false">
      <c r="A111" s="33"/>
      <c r="B111" s="28"/>
      <c r="C111" s="29"/>
      <c r="D111" s="29"/>
      <c r="E111" s="38"/>
      <c r="F111" s="29"/>
      <c r="G111" s="34"/>
      <c r="H111" s="29"/>
      <c r="I111" s="35"/>
      <c r="J111" s="29"/>
      <c r="K111" s="29"/>
      <c r="L111" s="36"/>
      <c r="M111" s="29"/>
      <c r="N111" s="37"/>
      <c r="O111" s="30" t="n">
        <f aca="false">N111*J111</f>
        <v>0</v>
      </c>
    </row>
    <row r="112" customFormat="false" ht="15" hidden="false" customHeight="false" outlineLevel="0" collapsed="false">
      <c r="A112" s="33"/>
      <c r="B112" s="28"/>
      <c r="C112" s="29"/>
      <c r="D112" s="29"/>
      <c r="E112" s="38"/>
      <c r="F112" s="29"/>
      <c r="G112" s="34"/>
      <c r="H112" s="29"/>
      <c r="I112" s="35"/>
      <c r="J112" s="29"/>
      <c r="K112" s="29"/>
      <c r="L112" s="36"/>
      <c r="M112" s="29"/>
      <c r="N112" s="37"/>
      <c r="O112" s="30" t="n">
        <f aca="false">N112*J112</f>
        <v>0</v>
      </c>
    </row>
    <row r="113" customFormat="false" ht="15" hidden="false" customHeight="false" outlineLevel="0" collapsed="false">
      <c r="A113" s="33"/>
      <c r="B113" s="28"/>
      <c r="C113" s="29"/>
      <c r="D113" s="29"/>
      <c r="E113" s="38"/>
      <c r="F113" s="29"/>
      <c r="G113" s="34"/>
      <c r="H113" s="29"/>
      <c r="I113" s="35"/>
      <c r="J113" s="29"/>
      <c r="K113" s="29"/>
      <c r="L113" s="36"/>
      <c r="M113" s="29"/>
      <c r="N113" s="37"/>
      <c r="O113" s="30" t="n">
        <f aca="false">N113*J113</f>
        <v>0</v>
      </c>
    </row>
    <row r="114" customFormat="false" ht="15" hidden="false" customHeight="false" outlineLevel="0" collapsed="false">
      <c r="A114" s="33"/>
      <c r="B114" s="28"/>
      <c r="C114" s="29"/>
      <c r="D114" s="29"/>
      <c r="E114" s="38"/>
      <c r="F114" s="29"/>
      <c r="G114" s="34"/>
      <c r="H114" s="29"/>
      <c r="I114" s="35"/>
      <c r="J114" s="29"/>
      <c r="K114" s="29"/>
      <c r="L114" s="36"/>
      <c r="M114" s="29"/>
      <c r="N114" s="37"/>
      <c r="O114" s="30" t="n">
        <f aca="false">N114*J114</f>
        <v>0</v>
      </c>
    </row>
    <row r="115" customFormat="false" ht="15" hidden="false" customHeight="false" outlineLevel="0" collapsed="false">
      <c r="A115" s="33"/>
      <c r="B115" s="28"/>
      <c r="C115" s="29"/>
      <c r="D115" s="29"/>
      <c r="E115" s="38"/>
      <c r="F115" s="29"/>
      <c r="G115" s="34"/>
      <c r="H115" s="29"/>
      <c r="I115" s="35"/>
      <c r="J115" s="29"/>
      <c r="K115" s="29"/>
      <c r="L115" s="36"/>
      <c r="M115" s="29"/>
      <c r="N115" s="37"/>
      <c r="O115" s="30" t="n">
        <f aca="false">N115*J115</f>
        <v>0</v>
      </c>
    </row>
    <row r="116" customFormat="false" ht="15" hidden="false" customHeight="false" outlineLevel="0" collapsed="false">
      <c r="A116" s="33"/>
      <c r="B116" s="28"/>
      <c r="C116" s="29"/>
      <c r="D116" s="29"/>
      <c r="E116" s="38"/>
      <c r="F116" s="29"/>
      <c r="G116" s="34"/>
      <c r="H116" s="29"/>
      <c r="I116" s="35"/>
      <c r="J116" s="29"/>
      <c r="K116" s="29"/>
      <c r="L116" s="36"/>
      <c r="M116" s="29"/>
      <c r="N116" s="37"/>
      <c r="O116" s="30" t="n">
        <f aca="false">N116*J116</f>
        <v>0</v>
      </c>
    </row>
    <row r="117" customFormat="false" ht="15" hidden="false" customHeight="false" outlineLevel="0" collapsed="false">
      <c r="A117" s="33"/>
      <c r="B117" s="28"/>
      <c r="C117" s="29"/>
      <c r="D117" s="29"/>
      <c r="E117" s="38"/>
      <c r="F117" s="29"/>
      <c r="G117" s="34"/>
      <c r="H117" s="29"/>
      <c r="I117" s="35"/>
      <c r="J117" s="29"/>
      <c r="K117" s="29"/>
      <c r="L117" s="36"/>
      <c r="M117" s="29"/>
      <c r="N117" s="37"/>
      <c r="O117" s="30" t="n">
        <f aca="false">N117*J117</f>
        <v>0</v>
      </c>
    </row>
    <row r="118" customFormat="false" ht="15" hidden="false" customHeight="false" outlineLevel="0" collapsed="false">
      <c r="A118" s="33"/>
      <c r="B118" s="28"/>
      <c r="C118" s="29"/>
      <c r="D118" s="29"/>
      <c r="E118" s="38"/>
      <c r="F118" s="29"/>
      <c r="G118" s="34"/>
      <c r="H118" s="29"/>
      <c r="I118" s="35"/>
      <c r="J118" s="29"/>
      <c r="K118" s="29"/>
      <c r="L118" s="36"/>
      <c r="M118" s="29"/>
      <c r="N118" s="37"/>
      <c r="O118" s="30" t="n">
        <f aca="false">N118*J118</f>
        <v>0</v>
      </c>
    </row>
    <row r="119" customFormat="false" ht="15" hidden="false" customHeight="false" outlineLevel="0" collapsed="false">
      <c r="A119" s="33"/>
      <c r="B119" s="18"/>
      <c r="C119" s="29"/>
      <c r="D119" s="29"/>
      <c r="E119" s="38"/>
      <c r="F119" s="29"/>
      <c r="G119" s="34"/>
      <c r="H119" s="29"/>
      <c r="I119" s="35"/>
      <c r="J119" s="29"/>
      <c r="K119" s="29"/>
      <c r="L119" s="36"/>
      <c r="M119" s="29"/>
      <c r="N119" s="37"/>
      <c r="O119" s="30" t="n">
        <f aca="false">N119*J119</f>
        <v>0</v>
      </c>
    </row>
    <row r="120" customFormat="false" ht="15" hidden="false" customHeight="false" outlineLevel="0" collapsed="false">
      <c r="A120" s="33"/>
      <c r="B120" s="18"/>
      <c r="C120" s="29"/>
      <c r="D120" s="29"/>
      <c r="E120" s="38"/>
      <c r="F120" s="29"/>
      <c r="G120" s="34"/>
      <c r="H120" s="29"/>
      <c r="I120" s="35"/>
      <c r="J120" s="29"/>
      <c r="K120" s="29"/>
      <c r="L120" s="36"/>
      <c r="M120" s="29"/>
      <c r="N120" s="37"/>
      <c r="O120" s="30" t="n">
        <f aca="false">N120*J120</f>
        <v>0</v>
      </c>
    </row>
    <row r="121" customFormat="false" ht="15" hidden="false" customHeight="false" outlineLevel="0" collapsed="false">
      <c r="A121" s="33"/>
      <c r="B121" s="18"/>
      <c r="C121" s="29"/>
      <c r="D121" s="29"/>
      <c r="E121" s="38"/>
      <c r="F121" s="29"/>
      <c r="G121" s="34"/>
      <c r="H121" s="29"/>
      <c r="I121" s="35"/>
      <c r="J121" s="29"/>
      <c r="K121" s="29"/>
      <c r="L121" s="36"/>
      <c r="M121" s="29"/>
      <c r="N121" s="37"/>
      <c r="O121" s="30" t="n">
        <f aca="false">N121*J121</f>
        <v>0</v>
      </c>
    </row>
    <row r="122" customFormat="false" ht="15" hidden="false" customHeight="false" outlineLevel="0" collapsed="false">
      <c r="A122" s="33"/>
      <c r="B122" s="18" t="s">
        <v>19</v>
      </c>
      <c r="C122" s="29"/>
      <c r="D122" s="29"/>
      <c r="E122" s="29"/>
      <c r="F122" s="29"/>
      <c r="G122" s="34"/>
      <c r="H122" s="29"/>
      <c r="I122" s="35"/>
      <c r="J122" s="29"/>
      <c r="K122" s="29"/>
      <c r="L122" s="36"/>
      <c r="M122" s="29"/>
      <c r="N122" s="37"/>
      <c r="O122" s="30" t="n">
        <f aca="false">N122*J122</f>
        <v>0</v>
      </c>
    </row>
    <row r="123" customFormat="false" ht="15" hidden="false" customHeight="false" outlineLevel="0" collapsed="false">
      <c r="A123" s="33"/>
      <c r="B123" s="18" t="s">
        <v>19</v>
      </c>
      <c r="C123" s="29"/>
      <c r="D123" s="29"/>
      <c r="E123" s="29"/>
      <c r="F123" s="29"/>
      <c r="G123" s="34"/>
      <c r="H123" s="29"/>
      <c r="I123" s="35"/>
      <c r="J123" s="29"/>
      <c r="K123" s="29"/>
      <c r="L123" s="36"/>
      <c r="M123" s="29"/>
      <c r="N123" s="37"/>
      <c r="O123" s="30" t="n">
        <f aca="false">N123*J123</f>
        <v>0</v>
      </c>
    </row>
    <row r="124" customFormat="false" ht="15" hidden="false" customHeight="false" outlineLevel="0" collapsed="false">
      <c r="A124" s="33"/>
      <c r="B124" s="18" t="s">
        <v>19</v>
      </c>
      <c r="C124" s="29"/>
      <c r="D124" s="29"/>
      <c r="E124" s="29"/>
      <c r="F124" s="29"/>
      <c r="G124" s="34"/>
      <c r="H124" s="29"/>
      <c r="I124" s="35"/>
      <c r="J124" s="29"/>
      <c r="K124" s="29"/>
      <c r="L124" s="36"/>
      <c r="M124" s="29"/>
      <c r="N124" s="37"/>
      <c r="O124" s="30" t="n">
        <f aca="false">N124*J124</f>
        <v>0</v>
      </c>
    </row>
    <row r="125" customFormat="false" ht="15" hidden="false" customHeight="false" outlineLevel="0" collapsed="false">
      <c r="A125" s="33"/>
      <c r="B125" s="18" t="s">
        <v>19</v>
      </c>
      <c r="C125" s="29"/>
      <c r="D125" s="29"/>
      <c r="E125" s="29"/>
      <c r="F125" s="29"/>
      <c r="G125" s="34"/>
      <c r="H125" s="29"/>
      <c r="I125" s="35"/>
      <c r="J125" s="29"/>
      <c r="K125" s="29"/>
      <c r="L125" s="36"/>
      <c r="M125" s="29"/>
      <c r="N125" s="37"/>
      <c r="O125" s="30" t="n">
        <f aca="false">N125*J125</f>
        <v>0</v>
      </c>
    </row>
    <row r="126" customFormat="false" ht="15" hidden="false" customHeight="false" outlineLevel="0" collapsed="false">
      <c r="A126" s="33"/>
      <c r="B126" s="18" t="s">
        <v>19</v>
      </c>
      <c r="C126" s="29"/>
      <c r="D126" s="29"/>
      <c r="E126" s="29"/>
      <c r="F126" s="29"/>
      <c r="G126" s="34"/>
      <c r="H126" s="29"/>
      <c r="I126" s="35"/>
      <c r="J126" s="29"/>
      <c r="K126" s="29"/>
      <c r="L126" s="36"/>
      <c r="M126" s="29"/>
      <c r="N126" s="37"/>
      <c r="O126" s="30" t="n">
        <f aca="false">N126*J126</f>
        <v>0</v>
      </c>
    </row>
    <row r="127" customFormat="false" ht="15" hidden="false" customHeight="false" outlineLevel="0" collapsed="false">
      <c r="A127" s="33"/>
      <c r="B127" s="18" t="s">
        <v>19</v>
      </c>
      <c r="C127" s="29"/>
      <c r="D127" s="29"/>
      <c r="E127" s="29"/>
      <c r="F127" s="29"/>
      <c r="G127" s="34"/>
      <c r="H127" s="29"/>
      <c r="I127" s="35"/>
      <c r="J127" s="29"/>
      <c r="K127" s="29"/>
      <c r="L127" s="36"/>
      <c r="M127" s="29"/>
      <c r="N127" s="37"/>
      <c r="O127" s="30" t="n">
        <f aca="false">N127*J127</f>
        <v>0</v>
      </c>
    </row>
    <row r="128" customFormat="false" ht="15" hidden="false" customHeight="false" outlineLevel="0" collapsed="false">
      <c r="A128" s="33"/>
      <c r="B128" s="18" t="s">
        <v>19</v>
      </c>
      <c r="C128" s="29"/>
      <c r="D128" s="29"/>
      <c r="E128" s="29"/>
      <c r="F128" s="29"/>
      <c r="G128" s="34"/>
      <c r="H128" s="29"/>
      <c r="I128" s="35"/>
      <c r="J128" s="29"/>
      <c r="K128" s="29"/>
      <c r="L128" s="36"/>
      <c r="M128" s="29"/>
      <c r="N128" s="37"/>
      <c r="O128" s="30" t="n">
        <f aca="false">N128*J128</f>
        <v>0</v>
      </c>
    </row>
    <row r="129" customFormat="false" ht="15" hidden="false" customHeight="false" outlineLevel="0" collapsed="false">
      <c r="A129" s="33"/>
      <c r="B129" s="18" t="s">
        <v>19</v>
      </c>
      <c r="C129" s="29"/>
      <c r="D129" s="29"/>
      <c r="E129" s="29"/>
      <c r="F129" s="29"/>
      <c r="G129" s="34"/>
      <c r="H129" s="29"/>
      <c r="I129" s="35"/>
      <c r="J129" s="29"/>
      <c r="K129" s="29"/>
      <c r="L129" s="36"/>
      <c r="M129" s="29"/>
      <c r="N129" s="37"/>
      <c r="O129" s="30" t="n">
        <f aca="false">N129*J129</f>
        <v>0</v>
      </c>
    </row>
    <row r="130" customFormat="false" ht="15" hidden="false" customHeight="false" outlineLevel="0" collapsed="false">
      <c r="A130" s="33"/>
      <c r="B130" s="18" t="s">
        <v>19</v>
      </c>
      <c r="C130" s="29"/>
      <c r="D130" s="29"/>
      <c r="E130" s="29"/>
      <c r="F130" s="29"/>
      <c r="G130" s="34"/>
      <c r="H130" s="29"/>
      <c r="I130" s="35"/>
      <c r="J130" s="29"/>
      <c r="K130" s="29"/>
      <c r="L130" s="36"/>
      <c r="M130" s="29"/>
      <c r="N130" s="37"/>
      <c r="O130" s="30" t="n">
        <f aca="false">N130*J130</f>
        <v>0</v>
      </c>
    </row>
    <row r="131" customFormat="false" ht="15" hidden="false" customHeight="false" outlineLevel="0" collapsed="false">
      <c r="A131" s="33"/>
      <c r="B131" s="18" t="s">
        <v>19</v>
      </c>
      <c r="C131" s="29"/>
      <c r="D131" s="29"/>
      <c r="E131" s="29"/>
      <c r="F131" s="29"/>
      <c r="G131" s="34"/>
      <c r="H131" s="29"/>
      <c r="I131" s="35"/>
      <c r="J131" s="29"/>
      <c r="K131" s="29"/>
      <c r="L131" s="36"/>
      <c r="M131" s="29"/>
      <c r="N131" s="37"/>
      <c r="O131" s="30" t="n">
        <f aca="false">N131*J131</f>
        <v>0</v>
      </c>
    </row>
    <row r="132" customFormat="false" ht="15" hidden="false" customHeight="false" outlineLevel="0" collapsed="false">
      <c r="A132" s="33"/>
      <c r="B132" s="18"/>
      <c r="C132" s="29"/>
      <c r="D132" s="29"/>
      <c r="E132" s="29"/>
      <c r="F132" s="29"/>
      <c r="G132" s="34"/>
      <c r="H132" s="29"/>
      <c r="I132" s="35"/>
      <c r="J132" s="29"/>
      <c r="K132" s="29"/>
      <c r="L132" s="36"/>
      <c r="M132" s="29"/>
      <c r="N132" s="37"/>
      <c r="O132" s="30" t="n">
        <f aca="false">N132*J132</f>
        <v>0</v>
      </c>
    </row>
    <row r="133" customFormat="false" ht="15" hidden="false" customHeight="false" outlineLevel="0" collapsed="false">
      <c r="A133" s="33"/>
      <c r="B133" s="18"/>
      <c r="C133" s="29"/>
      <c r="D133" s="29"/>
      <c r="E133" s="29"/>
      <c r="F133" s="29"/>
      <c r="G133" s="34"/>
      <c r="H133" s="29"/>
      <c r="I133" s="35"/>
      <c r="J133" s="29"/>
      <c r="K133" s="29"/>
      <c r="L133" s="36"/>
      <c r="M133" s="29"/>
      <c r="N133" s="37"/>
      <c r="O133" s="30" t="n">
        <f aca="false">N133*J133</f>
        <v>0</v>
      </c>
    </row>
    <row r="134" customFormat="false" ht="15" hidden="false" customHeight="false" outlineLevel="0" collapsed="false">
      <c r="A134" s="33"/>
      <c r="B134" s="18"/>
      <c r="C134" s="29"/>
      <c r="D134" s="29"/>
      <c r="E134" s="29"/>
      <c r="F134" s="29"/>
      <c r="G134" s="34"/>
      <c r="H134" s="29"/>
      <c r="I134" s="35"/>
      <c r="J134" s="29"/>
      <c r="K134" s="29"/>
      <c r="L134" s="36"/>
      <c r="M134" s="29"/>
      <c r="N134" s="37"/>
      <c r="O134" s="30" t="n">
        <f aca="false">N134*J134</f>
        <v>0</v>
      </c>
    </row>
    <row r="135" customFormat="false" ht="15" hidden="false" customHeight="false" outlineLevel="0" collapsed="false">
      <c r="A135" s="33"/>
      <c r="B135" s="18"/>
      <c r="C135" s="29"/>
      <c r="D135" s="29"/>
      <c r="E135" s="29"/>
      <c r="F135" s="29"/>
      <c r="G135" s="34"/>
      <c r="H135" s="29"/>
      <c r="I135" s="35"/>
      <c r="J135" s="29"/>
      <c r="K135" s="29"/>
      <c r="L135" s="36"/>
      <c r="M135" s="29"/>
      <c r="N135" s="37"/>
      <c r="O135" s="30" t="n">
        <f aca="false">N135*J135</f>
        <v>0</v>
      </c>
    </row>
    <row r="136" customFormat="false" ht="15" hidden="false" customHeight="false" outlineLevel="0" collapsed="false">
      <c r="A136" s="33"/>
      <c r="B136" s="18"/>
      <c r="C136" s="29"/>
      <c r="D136" s="29"/>
      <c r="E136" s="29"/>
      <c r="F136" s="29"/>
      <c r="G136" s="34"/>
      <c r="H136" s="29"/>
      <c r="I136" s="35"/>
      <c r="J136" s="29"/>
      <c r="K136" s="29"/>
      <c r="L136" s="36"/>
      <c r="M136" s="29"/>
      <c r="N136" s="37"/>
      <c r="O136" s="30" t="n">
        <f aca="false">N136*J136</f>
        <v>0</v>
      </c>
    </row>
    <row r="137" customFormat="false" ht="15" hidden="false" customHeight="false" outlineLevel="0" collapsed="false">
      <c r="A137" s="33"/>
      <c r="B137" s="18"/>
      <c r="C137" s="29"/>
      <c r="D137" s="29"/>
      <c r="E137" s="29"/>
      <c r="F137" s="29"/>
      <c r="G137" s="34"/>
      <c r="H137" s="29"/>
      <c r="I137" s="35"/>
      <c r="J137" s="29"/>
      <c r="K137" s="29"/>
      <c r="L137" s="36"/>
      <c r="M137" s="29"/>
      <c r="N137" s="37"/>
      <c r="O137" s="30" t="n">
        <f aca="false">N137*J137</f>
        <v>0</v>
      </c>
    </row>
    <row r="138" customFormat="false" ht="15" hidden="false" customHeight="false" outlineLevel="0" collapsed="false">
      <c r="A138" s="33"/>
      <c r="B138" s="18"/>
      <c r="C138" s="29"/>
      <c r="D138" s="29"/>
      <c r="E138" s="29"/>
      <c r="F138" s="29"/>
      <c r="G138" s="34"/>
      <c r="H138" s="29"/>
      <c r="I138" s="35"/>
      <c r="J138" s="29"/>
      <c r="K138" s="29"/>
      <c r="L138" s="36"/>
      <c r="M138" s="29"/>
      <c r="N138" s="37"/>
      <c r="O138" s="30" t="n">
        <f aca="false">N138*J138</f>
        <v>0</v>
      </c>
    </row>
    <row r="139" customFormat="false" ht="15" hidden="false" customHeight="false" outlineLevel="0" collapsed="false">
      <c r="A139" s="33"/>
      <c r="B139" s="18"/>
      <c r="C139" s="29"/>
      <c r="D139" s="29"/>
      <c r="E139" s="29"/>
      <c r="F139" s="29"/>
      <c r="G139" s="34"/>
      <c r="H139" s="29"/>
      <c r="I139" s="35"/>
      <c r="J139" s="29"/>
      <c r="K139" s="29"/>
      <c r="L139" s="36"/>
      <c r="M139" s="29"/>
      <c r="N139" s="37"/>
      <c r="O139" s="30" t="n">
        <f aca="false">N139*J139</f>
        <v>0</v>
      </c>
    </row>
    <row r="140" customFormat="false" ht="15" hidden="false" customHeight="false" outlineLevel="0" collapsed="false">
      <c r="A140" s="33"/>
      <c r="B140" s="18"/>
      <c r="C140" s="29"/>
      <c r="D140" s="29"/>
      <c r="E140" s="29"/>
      <c r="F140" s="29"/>
      <c r="G140" s="34"/>
      <c r="H140" s="29"/>
      <c r="I140" s="35"/>
      <c r="J140" s="29"/>
      <c r="K140" s="29"/>
      <c r="L140" s="36"/>
      <c r="M140" s="29"/>
      <c r="N140" s="37"/>
      <c r="O140" s="30" t="n">
        <f aca="false">N140*J140</f>
        <v>0</v>
      </c>
    </row>
    <row r="141" customFormat="false" ht="15" hidden="false" customHeight="false" outlineLevel="0" collapsed="false">
      <c r="A141" s="33"/>
      <c r="B141" s="18"/>
      <c r="C141" s="29"/>
      <c r="D141" s="29"/>
      <c r="E141" s="29"/>
      <c r="F141" s="29"/>
      <c r="G141" s="34"/>
      <c r="H141" s="29"/>
      <c r="I141" s="35"/>
      <c r="J141" s="29"/>
      <c r="K141" s="29"/>
      <c r="L141" s="36"/>
      <c r="M141" s="29"/>
      <c r="N141" s="37"/>
      <c r="O141" s="30" t="n">
        <f aca="false">N141*J141</f>
        <v>0</v>
      </c>
    </row>
    <row r="142" customFormat="false" ht="15" hidden="false" customHeight="false" outlineLevel="0" collapsed="false">
      <c r="A142" s="33"/>
      <c r="B142" s="18"/>
      <c r="C142" s="29"/>
      <c r="D142" s="29"/>
      <c r="E142" s="29"/>
      <c r="F142" s="29"/>
      <c r="G142" s="34"/>
      <c r="H142" s="29"/>
      <c r="I142" s="35"/>
      <c r="J142" s="29"/>
      <c r="K142" s="29"/>
      <c r="L142" s="36"/>
      <c r="M142" s="29"/>
      <c r="N142" s="37"/>
      <c r="O142" s="30" t="n">
        <f aca="false">N142*J142</f>
        <v>0</v>
      </c>
    </row>
    <row r="143" customFormat="false" ht="15" hidden="false" customHeight="false" outlineLevel="0" collapsed="false">
      <c r="A143" s="33"/>
      <c r="B143" s="18"/>
      <c r="C143" s="29"/>
      <c r="D143" s="29"/>
      <c r="E143" s="29"/>
      <c r="F143" s="29"/>
      <c r="G143" s="34"/>
      <c r="H143" s="29"/>
      <c r="I143" s="35"/>
      <c r="J143" s="29"/>
      <c r="K143" s="29"/>
      <c r="L143" s="36"/>
      <c r="M143" s="29"/>
      <c r="N143" s="37"/>
      <c r="O143" s="30" t="n">
        <f aca="false">N143*J143</f>
        <v>0</v>
      </c>
    </row>
    <row r="144" customFormat="false" ht="15" hidden="false" customHeight="false" outlineLevel="0" collapsed="false">
      <c r="A144" s="33"/>
      <c r="B144" s="18"/>
      <c r="C144" s="29"/>
      <c r="D144" s="29"/>
      <c r="E144" s="29"/>
      <c r="F144" s="29"/>
      <c r="G144" s="34"/>
      <c r="H144" s="29"/>
      <c r="I144" s="35"/>
      <c r="J144" s="29"/>
      <c r="K144" s="29"/>
      <c r="L144" s="36"/>
      <c r="M144" s="29"/>
      <c r="N144" s="37"/>
      <c r="O144" s="30" t="n">
        <f aca="false">N144*J144</f>
        <v>0</v>
      </c>
    </row>
    <row r="145" customFormat="false" ht="15" hidden="false" customHeight="false" outlineLevel="0" collapsed="false">
      <c r="A145" s="33"/>
      <c r="B145" s="18"/>
      <c r="C145" s="29"/>
      <c r="D145" s="29"/>
      <c r="E145" s="29"/>
      <c r="F145" s="29"/>
      <c r="G145" s="34"/>
      <c r="H145" s="29"/>
      <c r="I145" s="35"/>
      <c r="J145" s="29"/>
      <c r="K145" s="29"/>
      <c r="L145" s="36"/>
      <c r="M145" s="29"/>
      <c r="N145" s="37"/>
      <c r="O145" s="30" t="n">
        <f aca="false">N145*J145</f>
        <v>0</v>
      </c>
    </row>
    <row r="146" customFormat="false" ht="15" hidden="false" customHeight="false" outlineLevel="0" collapsed="false">
      <c r="A146" s="33"/>
      <c r="B146" s="18"/>
      <c r="C146" s="29"/>
      <c r="D146" s="29"/>
      <c r="E146" s="29"/>
      <c r="F146" s="29"/>
      <c r="G146" s="34"/>
      <c r="H146" s="29"/>
      <c r="I146" s="35"/>
      <c r="J146" s="29"/>
      <c r="K146" s="29"/>
      <c r="L146" s="36"/>
      <c r="M146" s="29"/>
      <c r="N146" s="37"/>
      <c r="O146" s="30" t="n">
        <f aca="false">N146*J146</f>
        <v>0</v>
      </c>
    </row>
    <row r="147" customFormat="false" ht="15" hidden="false" customHeight="false" outlineLevel="0" collapsed="false">
      <c r="A147" s="33"/>
      <c r="B147" s="18"/>
      <c r="C147" s="29"/>
      <c r="D147" s="29"/>
      <c r="E147" s="29"/>
      <c r="F147" s="29"/>
      <c r="G147" s="34"/>
      <c r="H147" s="29"/>
      <c r="I147" s="35"/>
      <c r="J147" s="29"/>
      <c r="K147" s="29"/>
      <c r="L147" s="36"/>
      <c r="M147" s="29"/>
      <c r="N147" s="37"/>
      <c r="O147" s="30" t="n">
        <f aca="false">N147*J147</f>
        <v>0</v>
      </c>
    </row>
    <row r="148" customFormat="false" ht="15" hidden="false" customHeight="false" outlineLevel="0" collapsed="false">
      <c r="A148" s="33"/>
      <c r="B148" s="18"/>
      <c r="C148" s="29"/>
      <c r="D148" s="29"/>
      <c r="E148" s="29"/>
      <c r="F148" s="29"/>
      <c r="G148" s="34"/>
      <c r="H148" s="29"/>
      <c r="I148" s="35"/>
      <c r="J148" s="29"/>
      <c r="K148" s="29"/>
      <c r="L148" s="36"/>
      <c r="M148" s="29"/>
      <c r="N148" s="37"/>
      <c r="O148" s="30" t="n">
        <f aca="false">N148*J148</f>
        <v>0</v>
      </c>
    </row>
    <row r="149" customFormat="false" ht="15" hidden="false" customHeight="false" outlineLevel="0" collapsed="false">
      <c r="A149" s="33"/>
      <c r="B149" s="18"/>
      <c r="C149" s="29"/>
      <c r="D149" s="29"/>
      <c r="E149" s="29"/>
      <c r="F149" s="29"/>
      <c r="G149" s="34"/>
      <c r="H149" s="29"/>
      <c r="I149" s="35"/>
      <c r="J149" s="29"/>
      <c r="K149" s="29"/>
      <c r="L149" s="36"/>
      <c r="M149" s="29"/>
      <c r="N149" s="37"/>
      <c r="O149" s="30" t="n">
        <f aca="false">N149*J149</f>
        <v>0</v>
      </c>
    </row>
    <row r="150" customFormat="false" ht="15" hidden="false" customHeight="false" outlineLevel="0" collapsed="false">
      <c r="A150" s="33"/>
      <c r="B150" s="18"/>
      <c r="C150" s="29"/>
      <c r="D150" s="29"/>
      <c r="E150" s="29"/>
      <c r="F150" s="29"/>
      <c r="G150" s="34"/>
      <c r="H150" s="29"/>
      <c r="I150" s="35"/>
      <c r="J150" s="29"/>
      <c r="K150" s="29"/>
      <c r="L150" s="36"/>
      <c r="M150" s="29"/>
      <c r="N150" s="37"/>
      <c r="O150" s="30" t="n">
        <f aca="false">N150*J150</f>
        <v>0</v>
      </c>
    </row>
    <row r="151" customFormat="false" ht="15" hidden="false" customHeight="false" outlineLevel="0" collapsed="false">
      <c r="A151" s="33"/>
      <c r="B151" s="18"/>
      <c r="C151" s="29"/>
      <c r="D151" s="29"/>
      <c r="E151" s="29"/>
      <c r="F151" s="29"/>
      <c r="G151" s="34"/>
      <c r="H151" s="29"/>
      <c r="I151" s="35"/>
      <c r="J151" s="29"/>
      <c r="K151" s="29"/>
      <c r="L151" s="36"/>
      <c r="M151" s="29"/>
      <c r="N151" s="37"/>
      <c r="O151" s="30" t="n">
        <f aca="false">N151*J151</f>
        <v>0</v>
      </c>
    </row>
    <row r="152" customFormat="false" ht="15" hidden="false" customHeight="false" outlineLevel="0" collapsed="false">
      <c r="A152" s="33"/>
      <c r="B152" s="18"/>
      <c r="C152" s="29"/>
      <c r="D152" s="29"/>
      <c r="E152" s="29"/>
      <c r="F152" s="29"/>
      <c r="G152" s="34"/>
      <c r="H152" s="29"/>
      <c r="I152" s="35"/>
      <c r="J152" s="29"/>
      <c r="K152" s="29"/>
      <c r="L152" s="36"/>
      <c r="M152" s="29"/>
      <c r="N152" s="37"/>
      <c r="O152" s="30" t="n">
        <f aca="false">N152*J152</f>
        <v>0</v>
      </c>
    </row>
    <row r="153" customFormat="false" ht="15" hidden="false" customHeight="false" outlineLevel="0" collapsed="false">
      <c r="A153" s="33"/>
      <c r="B153" s="18"/>
      <c r="C153" s="29"/>
      <c r="D153" s="29"/>
      <c r="E153" s="29"/>
      <c r="F153" s="29"/>
      <c r="G153" s="34"/>
      <c r="H153" s="29"/>
      <c r="I153" s="35"/>
      <c r="J153" s="29"/>
      <c r="K153" s="29"/>
      <c r="L153" s="36"/>
      <c r="M153" s="29"/>
      <c r="N153" s="37"/>
      <c r="O153" s="30" t="n">
        <f aca="false">N153*J153</f>
        <v>0</v>
      </c>
    </row>
    <row r="154" customFormat="false" ht="15" hidden="false" customHeight="false" outlineLevel="0" collapsed="false">
      <c r="A154" s="33"/>
      <c r="B154" s="18"/>
      <c r="C154" s="29"/>
      <c r="D154" s="29"/>
      <c r="E154" s="29"/>
      <c r="F154" s="29"/>
      <c r="G154" s="34"/>
      <c r="H154" s="29"/>
      <c r="I154" s="35"/>
      <c r="J154" s="29"/>
      <c r="K154" s="29"/>
      <c r="L154" s="36"/>
      <c r="M154" s="29"/>
      <c r="N154" s="37"/>
      <c r="O154" s="30" t="n">
        <f aca="false">N154*J154</f>
        <v>0</v>
      </c>
    </row>
    <row r="155" customFormat="false" ht="15" hidden="false" customHeight="false" outlineLevel="0" collapsed="false">
      <c r="A155" s="33"/>
      <c r="B155" s="18"/>
      <c r="C155" s="29"/>
      <c r="D155" s="29"/>
      <c r="E155" s="29"/>
      <c r="F155" s="29"/>
      <c r="G155" s="34"/>
      <c r="H155" s="29"/>
      <c r="I155" s="35"/>
      <c r="J155" s="29"/>
      <c r="K155" s="29"/>
      <c r="L155" s="36"/>
      <c r="M155" s="29"/>
      <c r="N155" s="37"/>
      <c r="O155" s="30" t="n">
        <f aca="false">N155*J155</f>
        <v>0</v>
      </c>
    </row>
    <row r="156" customFormat="false" ht="15" hidden="false" customHeight="false" outlineLevel="0" collapsed="false">
      <c r="A156" s="33"/>
      <c r="B156" s="18"/>
      <c r="C156" s="29"/>
      <c r="D156" s="29"/>
      <c r="E156" s="29"/>
      <c r="F156" s="29"/>
      <c r="G156" s="34"/>
      <c r="H156" s="29"/>
      <c r="I156" s="35"/>
      <c r="J156" s="29"/>
      <c r="K156" s="29"/>
      <c r="L156" s="36"/>
      <c r="M156" s="29"/>
      <c r="N156" s="37"/>
      <c r="O156" s="30" t="n">
        <f aca="false">N156*J156</f>
        <v>0</v>
      </c>
    </row>
    <row r="157" customFormat="false" ht="15" hidden="false" customHeight="false" outlineLevel="0" collapsed="false">
      <c r="A157" s="33"/>
      <c r="B157" s="18"/>
      <c r="C157" s="29"/>
      <c r="D157" s="29"/>
      <c r="E157" s="29"/>
      <c r="F157" s="29"/>
      <c r="G157" s="36"/>
      <c r="H157" s="29"/>
      <c r="I157" s="35"/>
      <c r="J157" s="29"/>
      <c r="K157" s="29"/>
      <c r="L157" s="36"/>
      <c r="M157" s="29"/>
      <c r="N157" s="37"/>
      <c r="O157" s="30" t="n">
        <f aca="false">N157*J157</f>
        <v>0</v>
      </c>
    </row>
    <row r="158" customFormat="false" ht="15" hidden="false" customHeight="false" outlineLevel="0" collapsed="false">
      <c r="A158" s="33"/>
      <c r="B158" s="18"/>
      <c r="C158" s="29"/>
      <c r="D158" s="29"/>
      <c r="E158" s="29"/>
      <c r="F158" s="29"/>
      <c r="G158" s="34"/>
      <c r="H158" s="29"/>
      <c r="I158" s="35"/>
      <c r="J158" s="29"/>
      <c r="K158" s="29"/>
      <c r="L158" s="36"/>
      <c r="M158" s="29"/>
      <c r="N158" s="37"/>
      <c r="O158" s="30" t="n">
        <f aca="false">N158*J158</f>
        <v>0</v>
      </c>
    </row>
    <row r="159" customFormat="false" ht="15" hidden="false" customHeight="false" outlineLevel="0" collapsed="false">
      <c r="A159" s="33"/>
      <c r="B159" s="18"/>
      <c r="C159" s="29"/>
      <c r="D159" s="29"/>
      <c r="E159" s="29"/>
      <c r="F159" s="29"/>
      <c r="G159" s="34"/>
      <c r="H159" s="29"/>
      <c r="I159" s="35"/>
      <c r="J159" s="29"/>
      <c r="K159" s="29"/>
      <c r="L159" s="36"/>
      <c r="M159" s="29"/>
      <c r="N159" s="37"/>
      <c r="O159" s="30" t="n">
        <f aca="false">N159*J159</f>
        <v>0</v>
      </c>
    </row>
    <row r="160" customFormat="false" ht="15" hidden="false" customHeight="false" outlineLevel="0" collapsed="false">
      <c r="A160" s="33"/>
      <c r="B160" s="18"/>
      <c r="C160" s="29"/>
      <c r="D160" s="29"/>
      <c r="E160" s="29"/>
      <c r="F160" s="29"/>
      <c r="G160" s="34"/>
      <c r="H160" s="29"/>
      <c r="I160" s="35"/>
      <c r="J160" s="29"/>
      <c r="K160" s="29"/>
      <c r="L160" s="36"/>
      <c r="M160" s="29"/>
      <c r="N160" s="37"/>
      <c r="O160" s="30" t="n">
        <f aca="false">N160*J160</f>
        <v>0</v>
      </c>
    </row>
    <row r="161" customFormat="false" ht="15" hidden="false" customHeight="false" outlineLevel="0" collapsed="false">
      <c r="A161" s="33"/>
      <c r="B161" s="18" t="s">
        <v>20</v>
      </c>
      <c r="C161" s="29"/>
      <c r="D161" s="29"/>
      <c r="E161" s="29"/>
      <c r="F161" s="29"/>
      <c r="G161" s="34"/>
      <c r="H161" s="29"/>
      <c r="I161" s="35"/>
      <c r="J161" s="29"/>
      <c r="K161" s="29"/>
      <c r="L161" s="36"/>
      <c r="M161" s="29"/>
      <c r="N161" s="37"/>
      <c r="O161" s="30" t="n">
        <f aca="false">N161*J161</f>
        <v>0</v>
      </c>
    </row>
    <row r="162" customFormat="false" ht="15" hidden="false" customHeight="false" outlineLevel="0" collapsed="false">
      <c r="A162" s="33"/>
      <c r="B162" s="18" t="s">
        <v>20</v>
      </c>
      <c r="C162" s="29"/>
      <c r="D162" s="29"/>
      <c r="E162" s="29"/>
      <c r="F162" s="29"/>
      <c r="G162" s="34"/>
      <c r="H162" s="29"/>
      <c r="I162" s="35"/>
      <c r="J162" s="29"/>
      <c r="K162" s="29"/>
      <c r="L162" s="36"/>
      <c r="M162" s="29"/>
      <c r="N162" s="37"/>
      <c r="O162" s="30" t="n">
        <f aca="false">N162*J162</f>
        <v>0</v>
      </c>
    </row>
    <row r="163" customFormat="false" ht="15" hidden="false" customHeight="false" outlineLevel="0" collapsed="false">
      <c r="A163" s="33"/>
      <c r="B163" s="18" t="s">
        <v>20</v>
      </c>
      <c r="C163" s="29"/>
      <c r="D163" s="29"/>
      <c r="E163" s="29"/>
      <c r="F163" s="29"/>
      <c r="G163" s="34"/>
      <c r="H163" s="29"/>
      <c r="I163" s="35"/>
      <c r="J163" s="29"/>
      <c r="K163" s="29"/>
      <c r="L163" s="36"/>
      <c r="M163" s="29"/>
      <c r="N163" s="37"/>
      <c r="O163" s="30" t="n">
        <f aca="false">N163*J163</f>
        <v>0</v>
      </c>
    </row>
    <row r="164" customFormat="false" ht="15" hidden="false" customHeight="false" outlineLevel="0" collapsed="false">
      <c r="A164" s="33"/>
      <c r="B164" s="18" t="s">
        <v>20</v>
      </c>
      <c r="C164" s="29"/>
      <c r="D164" s="29"/>
      <c r="E164" s="29"/>
      <c r="F164" s="29"/>
      <c r="G164" s="34"/>
      <c r="H164" s="29"/>
      <c r="I164" s="35"/>
      <c r="J164" s="29"/>
      <c r="K164" s="29"/>
      <c r="L164" s="36"/>
      <c r="M164" s="29"/>
      <c r="N164" s="37"/>
      <c r="O164" s="30" t="n">
        <f aca="false">N164*J164</f>
        <v>0</v>
      </c>
    </row>
    <row r="165" customFormat="false" ht="15" hidden="false" customHeight="false" outlineLevel="0" collapsed="false">
      <c r="A165" s="33"/>
      <c r="B165" s="18" t="s">
        <v>20</v>
      </c>
      <c r="C165" s="29"/>
      <c r="D165" s="29"/>
      <c r="E165" s="29"/>
      <c r="F165" s="29"/>
      <c r="G165" s="34"/>
      <c r="H165" s="29"/>
      <c r="I165" s="35"/>
      <c r="J165" s="29"/>
      <c r="K165" s="29"/>
      <c r="L165" s="36"/>
      <c r="M165" s="29"/>
      <c r="N165" s="37"/>
      <c r="O165" s="30" t="n">
        <f aca="false">N165*J165</f>
        <v>0</v>
      </c>
    </row>
    <row r="166" customFormat="false" ht="15" hidden="false" customHeight="false" outlineLevel="0" collapsed="false">
      <c r="A166" s="33"/>
      <c r="B166" s="18" t="s">
        <v>20</v>
      </c>
      <c r="C166" s="29"/>
      <c r="D166" s="29"/>
      <c r="E166" s="29"/>
      <c r="F166" s="29"/>
      <c r="G166" s="34"/>
      <c r="H166" s="29"/>
      <c r="I166" s="35"/>
      <c r="J166" s="29"/>
      <c r="K166" s="29"/>
      <c r="L166" s="36"/>
      <c r="M166" s="29"/>
      <c r="N166" s="37"/>
      <c r="O166" s="30" t="n">
        <f aca="false">N166*J166</f>
        <v>0</v>
      </c>
    </row>
    <row r="167" customFormat="false" ht="15" hidden="false" customHeight="false" outlineLevel="0" collapsed="false">
      <c r="A167" s="33"/>
      <c r="B167" s="18" t="s">
        <v>20</v>
      </c>
      <c r="C167" s="29"/>
      <c r="D167" s="29"/>
      <c r="E167" s="29"/>
      <c r="F167" s="29"/>
      <c r="G167" s="34"/>
      <c r="H167" s="29"/>
      <c r="I167" s="35"/>
      <c r="J167" s="29"/>
      <c r="K167" s="29"/>
      <c r="L167" s="36"/>
      <c r="M167" s="29"/>
      <c r="N167" s="37"/>
      <c r="O167" s="30" t="n">
        <f aca="false">N167*J167</f>
        <v>0</v>
      </c>
    </row>
    <row r="168" customFormat="false" ht="15" hidden="false" customHeight="false" outlineLevel="0" collapsed="false">
      <c r="A168" s="33"/>
      <c r="B168" s="18" t="s">
        <v>20</v>
      </c>
      <c r="C168" s="29"/>
      <c r="D168" s="29"/>
      <c r="E168" s="29"/>
      <c r="F168" s="29"/>
      <c r="G168" s="34"/>
      <c r="H168" s="29"/>
      <c r="I168" s="35"/>
      <c r="J168" s="29"/>
      <c r="K168" s="29"/>
      <c r="L168" s="36"/>
      <c r="M168" s="29"/>
      <c r="N168" s="37"/>
      <c r="O168" s="30" t="n">
        <f aca="false">N168*J168</f>
        <v>0</v>
      </c>
    </row>
    <row r="169" customFormat="false" ht="15" hidden="false" customHeight="false" outlineLevel="0" collapsed="false">
      <c r="A169" s="33"/>
      <c r="B169" s="18" t="s">
        <v>20</v>
      </c>
      <c r="C169" s="29"/>
      <c r="D169" s="29"/>
      <c r="E169" s="29"/>
      <c r="F169" s="29"/>
      <c r="G169" s="34"/>
      <c r="H169" s="29"/>
      <c r="I169" s="35"/>
      <c r="J169" s="29"/>
      <c r="K169" s="29"/>
      <c r="L169" s="36"/>
      <c r="M169" s="29"/>
      <c r="N169" s="37"/>
      <c r="O169" s="30" t="n">
        <f aca="false">N169*J169</f>
        <v>0</v>
      </c>
    </row>
    <row r="170" customFormat="false" ht="15" hidden="false" customHeight="false" outlineLevel="0" collapsed="false">
      <c r="A170" s="33"/>
      <c r="B170" s="18" t="s">
        <v>20</v>
      </c>
      <c r="C170" s="29"/>
      <c r="D170" s="29"/>
      <c r="E170" s="29"/>
      <c r="F170" s="29"/>
      <c r="G170" s="34"/>
      <c r="H170" s="29"/>
      <c r="I170" s="35"/>
      <c r="J170" s="29"/>
      <c r="K170" s="29"/>
      <c r="L170" s="36"/>
      <c r="M170" s="29"/>
      <c r="N170" s="37"/>
      <c r="O170" s="30" t="n">
        <f aca="false">N170*J170</f>
        <v>0</v>
      </c>
    </row>
    <row r="171" customFormat="false" ht="15" hidden="false" customHeight="false" outlineLevel="0" collapsed="false">
      <c r="A171" s="33"/>
      <c r="B171" s="18" t="s">
        <v>20</v>
      </c>
      <c r="C171" s="29"/>
      <c r="D171" s="29"/>
      <c r="E171" s="29"/>
      <c r="F171" s="29"/>
      <c r="G171" s="34"/>
      <c r="H171" s="29"/>
      <c r="I171" s="35"/>
      <c r="J171" s="29"/>
      <c r="K171" s="29"/>
      <c r="L171" s="36"/>
      <c r="M171" s="29"/>
      <c r="N171" s="37"/>
      <c r="O171" s="30" t="n">
        <f aca="false">N171*J171</f>
        <v>0</v>
      </c>
    </row>
    <row r="172" customFormat="false" ht="15" hidden="false" customHeight="false" outlineLevel="0" collapsed="false">
      <c r="A172" s="33"/>
      <c r="B172" s="18" t="s">
        <v>20</v>
      </c>
      <c r="C172" s="29"/>
      <c r="D172" s="29"/>
      <c r="E172" s="29"/>
      <c r="F172" s="29"/>
      <c r="G172" s="34"/>
      <c r="H172" s="29"/>
      <c r="I172" s="35"/>
      <c r="J172" s="29"/>
      <c r="K172" s="29"/>
      <c r="L172" s="36"/>
      <c r="M172" s="29"/>
      <c r="N172" s="37"/>
      <c r="O172" s="30" t="n">
        <f aca="false">N172*J172</f>
        <v>0</v>
      </c>
    </row>
    <row r="173" customFormat="false" ht="15" hidden="false" customHeight="false" outlineLevel="0" collapsed="false">
      <c r="A173" s="33"/>
      <c r="B173" s="18" t="s">
        <v>20</v>
      </c>
      <c r="C173" s="29"/>
      <c r="D173" s="29"/>
      <c r="E173" s="29"/>
      <c r="F173" s="29"/>
      <c r="G173" s="34"/>
      <c r="H173" s="29"/>
      <c r="I173" s="35"/>
      <c r="J173" s="29"/>
      <c r="K173" s="29"/>
      <c r="L173" s="36"/>
      <c r="M173" s="29"/>
      <c r="N173" s="37"/>
      <c r="O173" s="30" t="n">
        <f aca="false">N173*J173</f>
        <v>0</v>
      </c>
    </row>
    <row r="174" customFormat="false" ht="15" hidden="false" customHeight="false" outlineLevel="0" collapsed="false">
      <c r="A174" s="33"/>
      <c r="B174" s="18" t="s">
        <v>20</v>
      </c>
      <c r="C174" s="29"/>
      <c r="D174" s="29"/>
      <c r="E174" s="29"/>
      <c r="F174" s="29"/>
      <c r="G174" s="34"/>
      <c r="H174" s="29"/>
      <c r="I174" s="35"/>
      <c r="J174" s="29"/>
      <c r="K174" s="29"/>
      <c r="L174" s="36"/>
      <c r="M174" s="29"/>
      <c r="N174" s="37"/>
      <c r="O174" s="30" t="n">
        <f aca="false">N174*J174</f>
        <v>0</v>
      </c>
    </row>
    <row r="175" customFormat="false" ht="15" hidden="false" customHeight="false" outlineLevel="0" collapsed="false">
      <c r="A175" s="33"/>
      <c r="B175" s="18" t="s">
        <v>20</v>
      </c>
      <c r="C175" s="29"/>
      <c r="D175" s="29"/>
      <c r="E175" s="29"/>
      <c r="F175" s="29"/>
      <c r="G175" s="34"/>
      <c r="H175" s="29"/>
      <c r="I175" s="35"/>
      <c r="J175" s="29"/>
      <c r="K175" s="29"/>
      <c r="L175" s="36"/>
      <c r="M175" s="29"/>
      <c r="N175" s="37"/>
      <c r="O175" s="30" t="n">
        <f aca="false">N175*J175</f>
        <v>0</v>
      </c>
    </row>
    <row r="176" customFormat="false" ht="15" hidden="false" customHeight="false" outlineLevel="0" collapsed="false">
      <c r="A176" s="33"/>
      <c r="B176" s="18" t="s">
        <v>20</v>
      </c>
      <c r="C176" s="29"/>
      <c r="D176" s="29"/>
      <c r="E176" s="29"/>
      <c r="F176" s="29"/>
      <c r="G176" s="34"/>
      <c r="H176" s="29"/>
      <c r="I176" s="35"/>
      <c r="J176" s="29"/>
      <c r="K176" s="29"/>
      <c r="L176" s="36"/>
      <c r="M176" s="29"/>
      <c r="N176" s="37"/>
      <c r="O176" s="30" t="n">
        <f aca="false">N176*J176</f>
        <v>0</v>
      </c>
    </row>
    <row r="177" customFormat="false" ht="15" hidden="false" customHeight="false" outlineLevel="0" collapsed="false">
      <c r="A177" s="33"/>
      <c r="B177" s="18" t="s">
        <v>20</v>
      </c>
      <c r="C177" s="29"/>
      <c r="D177" s="29"/>
      <c r="E177" s="29"/>
      <c r="F177" s="29"/>
      <c r="G177" s="34"/>
      <c r="H177" s="29"/>
      <c r="I177" s="35"/>
      <c r="J177" s="29"/>
      <c r="K177" s="29"/>
      <c r="L177" s="36"/>
      <c r="M177" s="29"/>
      <c r="N177" s="37"/>
      <c r="O177" s="30" t="n">
        <f aca="false">N177*J177</f>
        <v>0</v>
      </c>
    </row>
    <row r="178" customFormat="false" ht="15" hidden="false" customHeight="false" outlineLevel="0" collapsed="false">
      <c r="A178" s="33"/>
      <c r="B178" s="18" t="s">
        <v>20</v>
      </c>
      <c r="C178" s="29"/>
      <c r="D178" s="29"/>
      <c r="E178" s="29"/>
      <c r="F178" s="29"/>
      <c r="G178" s="34"/>
      <c r="H178" s="29"/>
      <c r="I178" s="35"/>
      <c r="J178" s="29"/>
      <c r="K178" s="29"/>
      <c r="L178" s="36"/>
      <c r="M178" s="29"/>
      <c r="N178" s="39"/>
      <c r="O178" s="40" t="n">
        <f aca="false">N178*J178</f>
        <v>0</v>
      </c>
      <c r="P178" s="39"/>
    </row>
    <row r="179" customFormat="false" ht="15" hidden="false" customHeight="false" outlineLevel="0" collapsed="false">
      <c r="A179" s="33"/>
      <c r="B179" s="18" t="s">
        <v>20</v>
      </c>
      <c r="C179" s="29"/>
      <c r="D179" s="29"/>
      <c r="E179" s="29"/>
      <c r="F179" s="29"/>
      <c r="G179" s="34"/>
      <c r="H179" s="29"/>
      <c r="I179" s="35"/>
      <c r="J179" s="29"/>
      <c r="K179" s="29"/>
      <c r="L179" s="36"/>
      <c r="M179" s="29"/>
      <c r="N179" s="39"/>
      <c r="O179" s="40" t="n">
        <f aca="false">N179*J179</f>
        <v>0</v>
      </c>
      <c r="P179" s="39"/>
    </row>
    <row r="180" customFormat="false" ht="15" hidden="false" customHeight="false" outlineLevel="0" collapsed="false">
      <c r="A180" s="33"/>
      <c r="B180" s="18" t="s">
        <v>20</v>
      </c>
      <c r="C180" s="29"/>
      <c r="D180" s="29"/>
      <c r="E180" s="29"/>
      <c r="F180" s="29"/>
      <c r="G180" s="34"/>
      <c r="H180" s="29"/>
      <c r="I180" s="35"/>
      <c r="J180" s="29"/>
      <c r="K180" s="29"/>
      <c r="L180" s="36"/>
      <c r="M180" s="29"/>
      <c r="N180" s="39"/>
      <c r="O180" s="40" t="n">
        <f aca="false">N180*J180</f>
        <v>0</v>
      </c>
      <c r="P180" s="39"/>
    </row>
    <row r="181" customFormat="false" ht="15" hidden="false" customHeight="false" outlineLevel="0" collapsed="false">
      <c r="A181" s="33"/>
      <c r="B181" s="18" t="s">
        <v>20</v>
      </c>
      <c r="C181" s="29"/>
      <c r="D181" s="29"/>
      <c r="E181" s="29"/>
      <c r="F181" s="29"/>
      <c r="G181" s="34"/>
      <c r="H181" s="29"/>
      <c r="I181" s="35"/>
      <c r="J181" s="29"/>
      <c r="K181" s="29"/>
      <c r="L181" s="36"/>
      <c r="M181" s="29"/>
      <c r="N181" s="37"/>
      <c r="O181" s="30" t="n">
        <f aca="false">N181*J181</f>
        <v>0</v>
      </c>
    </row>
    <row r="182" customFormat="false" ht="15" hidden="false" customHeight="false" outlineLevel="0" collapsed="false">
      <c r="A182" s="33"/>
      <c r="B182" s="18" t="s">
        <v>20</v>
      </c>
      <c r="C182" s="29"/>
      <c r="D182" s="29"/>
      <c r="E182" s="29"/>
      <c r="F182" s="29"/>
      <c r="G182" s="34"/>
      <c r="H182" s="29"/>
      <c r="I182" s="35"/>
      <c r="J182" s="29"/>
      <c r="K182" s="29"/>
      <c r="L182" s="36"/>
      <c r="M182" s="29"/>
      <c r="N182" s="37"/>
      <c r="O182" s="30" t="n">
        <f aca="false">N182*J182</f>
        <v>0</v>
      </c>
    </row>
    <row r="183" customFormat="false" ht="15" hidden="false" customHeight="false" outlineLevel="0" collapsed="false">
      <c r="A183" s="33"/>
      <c r="B183" s="18" t="s">
        <v>20</v>
      </c>
      <c r="C183" s="29"/>
      <c r="D183" s="29"/>
      <c r="E183" s="29"/>
      <c r="F183" s="29"/>
      <c r="G183" s="34"/>
      <c r="H183" s="29"/>
      <c r="I183" s="35"/>
      <c r="J183" s="29"/>
      <c r="K183" s="29"/>
      <c r="L183" s="36"/>
      <c r="M183" s="29"/>
      <c r="N183" s="37"/>
      <c r="O183" s="30" t="n">
        <f aca="false">N183*J183</f>
        <v>0</v>
      </c>
    </row>
    <row r="184" customFormat="false" ht="15" hidden="false" customHeight="false" outlineLevel="0" collapsed="false">
      <c r="A184" s="33"/>
      <c r="B184" s="18" t="s">
        <v>20</v>
      </c>
      <c r="C184" s="29"/>
      <c r="D184" s="29"/>
      <c r="E184" s="29"/>
      <c r="F184" s="29"/>
      <c r="G184" s="34"/>
      <c r="H184" s="29"/>
      <c r="I184" s="35"/>
      <c r="J184" s="29"/>
      <c r="K184" s="29"/>
      <c r="L184" s="36"/>
      <c r="M184" s="29"/>
      <c r="N184" s="37"/>
      <c r="O184" s="30" t="n">
        <f aca="false">N184*J184</f>
        <v>0</v>
      </c>
    </row>
    <row r="185" customFormat="false" ht="15" hidden="false" customHeight="false" outlineLevel="0" collapsed="false">
      <c r="A185" s="33"/>
      <c r="B185" s="18" t="s">
        <v>20</v>
      </c>
      <c r="C185" s="29"/>
      <c r="D185" s="29"/>
      <c r="E185" s="29"/>
      <c r="F185" s="29"/>
      <c r="G185" s="34"/>
      <c r="H185" s="29"/>
      <c r="I185" s="35"/>
      <c r="J185" s="29"/>
      <c r="K185" s="29"/>
      <c r="L185" s="36"/>
      <c r="M185" s="29"/>
      <c r="N185" s="37"/>
      <c r="O185" s="30" t="n">
        <f aca="false">N185*J185</f>
        <v>0</v>
      </c>
    </row>
    <row r="186" customFormat="false" ht="15" hidden="false" customHeight="false" outlineLevel="0" collapsed="false">
      <c r="A186" s="33"/>
      <c r="B186" s="18" t="s">
        <v>20</v>
      </c>
      <c r="C186" s="29"/>
      <c r="D186" s="29"/>
      <c r="E186" s="29"/>
      <c r="F186" s="29"/>
      <c r="G186" s="34"/>
      <c r="H186" s="29"/>
      <c r="I186" s="35"/>
      <c r="J186" s="29"/>
      <c r="K186" s="29"/>
      <c r="L186" s="36"/>
      <c r="M186" s="29"/>
      <c r="N186" s="37"/>
      <c r="O186" s="30" t="n">
        <f aca="false">N186*J186</f>
        <v>0</v>
      </c>
    </row>
    <row r="187" customFormat="false" ht="15" hidden="false" customHeight="false" outlineLevel="0" collapsed="false">
      <c r="A187" s="33"/>
      <c r="B187" s="18" t="s">
        <v>20</v>
      </c>
      <c r="C187" s="29"/>
      <c r="D187" s="29"/>
      <c r="E187" s="29"/>
      <c r="F187" s="29"/>
      <c r="G187" s="34"/>
      <c r="H187" s="29"/>
      <c r="I187" s="35"/>
      <c r="J187" s="29"/>
      <c r="K187" s="29"/>
      <c r="L187" s="36"/>
      <c r="M187" s="29"/>
      <c r="N187" s="37"/>
      <c r="O187" s="30" t="n">
        <f aca="false">N187*J187</f>
        <v>0</v>
      </c>
    </row>
    <row r="188" customFormat="false" ht="15" hidden="false" customHeight="false" outlineLevel="0" collapsed="false">
      <c r="A188" s="33"/>
      <c r="B188" s="18" t="s">
        <v>20</v>
      </c>
      <c r="C188" s="29"/>
      <c r="D188" s="29"/>
      <c r="E188" s="29"/>
      <c r="F188" s="29"/>
      <c r="G188" s="34"/>
      <c r="H188" s="29"/>
      <c r="I188" s="35"/>
      <c r="J188" s="29"/>
      <c r="K188" s="29"/>
      <c r="L188" s="36"/>
      <c r="M188" s="29"/>
      <c r="N188" s="37"/>
      <c r="O188" s="30" t="n">
        <f aca="false">N188*J188</f>
        <v>0</v>
      </c>
    </row>
    <row r="189" customFormat="false" ht="15" hidden="false" customHeight="false" outlineLevel="0" collapsed="false">
      <c r="A189" s="33"/>
      <c r="B189" s="18" t="s">
        <v>20</v>
      </c>
      <c r="C189" s="29"/>
      <c r="D189" s="29"/>
      <c r="E189" s="29"/>
      <c r="F189" s="29"/>
      <c r="G189" s="34"/>
      <c r="H189" s="29"/>
      <c r="I189" s="35"/>
      <c r="J189" s="29"/>
      <c r="K189" s="29"/>
      <c r="L189" s="36"/>
      <c r="M189" s="29"/>
      <c r="N189" s="39"/>
      <c r="O189" s="40" t="n">
        <f aca="false">N189*J189</f>
        <v>0</v>
      </c>
      <c r="P189" s="39"/>
    </row>
    <row r="190" customFormat="false" ht="15" hidden="false" customHeight="false" outlineLevel="0" collapsed="false">
      <c r="A190" s="33"/>
      <c r="B190" s="18" t="s">
        <v>20</v>
      </c>
      <c r="C190" s="29"/>
      <c r="D190" s="29"/>
      <c r="E190" s="29"/>
      <c r="F190" s="29"/>
      <c r="G190" s="34"/>
      <c r="H190" s="29"/>
      <c r="I190" s="35"/>
      <c r="J190" s="29"/>
      <c r="K190" s="29"/>
      <c r="L190" s="36"/>
      <c r="M190" s="29"/>
      <c r="N190" s="39"/>
      <c r="O190" s="40" t="n">
        <f aca="false">N190*J190</f>
        <v>0</v>
      </c>
      <c r="P190" s="39"/>
    </row>
    <row r="191" customFormat="false" ht="15" hidden="false" customHeight="false" outlineLevel="0" collapsed="false">
      <c r="A191" s="33"/>
      <c r="B191" s="18" t="s">
        <v>20</v>
      </c>
      <c r="C191" s="29"/>
      <c r="D191" s="29"/>
      <c r="E191" s="29"/>
      <c r="F191" s="29"/>
      <c r="G191" s="34"/>
      <c r="H191" s="29"/>
      <c r="I191" s="35"/>
      <c r="J191" s="29"/>
      <c r="K191" s="29"/>
      <c r="L191" s="36"/>
      <c r="M191" s="29"/>
      <c r="N191" s="39"/>
      <c r="O191" s="40" t="n">
        <f aca="false">N191*J191</f>
        <v>0</v>
      </c>
      <c r="P191" s="39"/>
    </row>
    <row r="192" customFormat="false" ht="15" hidden="false" customHeight="false" outlineLevel="0" collapsed="false">
      <c r="A192" s="33"/>
      <c r="B192" s="18" t="s">
        <v>20</v>
      </c>
      <c r="C192" s="33"/>
      <c r="D192" s="29"/>
      <c r="E192" s="29"/>
      <c r="F192" s="29"/>
      <c r="G192" s="34"/>
      <c r="H192" s="29"/>
      <c r="I192" s="35"/>
      <c r="J192" s="29"/>
      <c r="K192" s="29"/>
      <c r="L192" s="36"/>
      <c r="M192" s="29"/>
      <c r="N192" s="39"/>
      <c r="O192" s="40" t="n">
        <f aca="false">N192*J192</f>
        <v>0</v>
      </c>
      <c r="P192" s="39"/>
    </row>
    <row r="193" customFormat="false" ht="15" hidden="false" customHeight="false" outlineLevel="0" collapsed="false">
      <c r="A193" s="33"/>
      <c r="B193" s="18" t="s">
        <v>20</v>
      </c>
      <c r="C193" s="29"/>
      <c r="D193" s="29"/>
      <c r="E193" s="29"/>
      <c r="F193" s="29"/>
      <c r="G193" s="34"/>
      <c r="H193" s="29"/>
      <c r="I193" s="35"/>
      <c r="J193" s="29"/>
      <c r="K193" s="29"/>
      <c r="L193" s="36"/>
      <c r="M193" s="29"/>
      <c r="N193" s="37"/>
      <c r="O193" s="30" t="n">
        <f aca="false">N193*J193</f>
        <v>0</v>
      </c>
    </row>
    <row r="194" customFormat="false" ht="15" hidden="false" customHeight="false" outlineLevel="0" collapsed="false">
      <c r="A194" s="33"/>
      <c r="B194" s="18" t="s">
        <v>20</v>
      </c>
      <c r="C194" s="29"/>
      <c r="D194" s="29"/>
      <c r="E194" s="29"/>
      <c r="F194" s="29"/>
      <c r="G194" s="34"/>
      <c r="H194" s="29"/>
      <c r="I194" s="35"/>
      <c r="J194" s="29"/>
      <c r="K194" s="29"/>
      <c r="L194" s="36"/>
      <c r="M194" s="29"/>
      <c r="N194" s="37"/>
      <c r="O194" s="30" t="n">
        <f aca="false">N194*J194</f>
        <v>0</v>
      </c>
    </row>
    <row r="195" customFormat="false" ht="15" hidden="false" customHeight="false" outlineLevel="0" collapsed="false">
      <c r="A195" s="33"/>
      <c r="B195" s="18" t="s">
        <v>20</v>
      </c>
      <c r="C195" s="29"/>
      <c r="D195" s="29"/>
      <c r="E195" s="29"/>
      <c r="F195" s="29"/>
      <c r="G195" s="34"/>
      <c r="H195" s="29"/>
      <c r="I195" s="35"/>
      <c r="J195" s="29"/>
      <c r="K195" s="29"/>
      <c r="L195" s="36"/>
      <c r="M195" s="29"/>
      <c r="N195" s="37"/>
      <c r="O195" s="30" t="n">
        <f aca="false">N195*J195</f>
        <v>0</v>
      </c>
    </row>
    <row r="196" customFormat="false" ht="15" hidden="false" customHeight="false" outlineLevel="0" collapsed="false">
      <c r="A196" s="33"/>
      <c r="B196" s="18" t="s">
        <v>20</v>
      </c>
      <c r="C196" s="29"/>
      <c r="D196" s="29"/>
      <c r="E196" s="29"/>
      <c r="F196" s="29"/>
      <c r="G196" s="34"/>
      <c r="H196" s="29"/>
      <c r="I196" s="35"/>
      <c r="J196" s="29"/>
      <c r="K196" s="29"/>
      <c r="L196" s="36"/>
      <c r="M196" s="29"/>
      <c r="N196" s="39"/>
      <c r="O196" s="40" t="n">
        <f aca="false">N196*J196</f>
        <v>0</v>
      </c>
      <c r="P196" s="39"/>
    </row>
    <row r="197" customFormat="false" ht="15" hidden="false" customHeight="false" outlineLevel="0" collapsed="false">
      <c r="A197" s="33"/>
      <c r="B197" s="18" t="s">
        <v>20</v>
      </c>
      <c r="C197" s="29"/>
      <c r="D197" s="29"/>
      <c r="E197" s="29"/>
      <c r="F197" s="29"/>
      <c r="G197" s="34"/>
      <c r="H197" s="29"/>
      <c r="I197" s="35"/>
      <c r="J197" s="29"/>
      <c r="K197" s="29"/>
      <c r="L197" s="36"/>
      <c r="M197" s="29"/>
      <c r="N197" s="39"/>
      <c r="O197" s="40" t="n">
        <f aca="false">N197*J197</f>
        <v>0</v>
      </c>
      <c r="P197" s="39"/>
    </row>
    <row r="198" customFormat="false" ht="15" hidden="false" customHeight="false" outlineLevel="0" collapsed="false">
      <c r="A198" s="33"/>
      <c r="B198" s="18" t="s">
        <v>20</v>
      </c>
      <c r="C198" s="33"/>
      <c r="D198" s="29"/>
      <c r="E198" s="29"/>
      <c r="F198" s="29"/>
      <c r="G198" s="34"/>
      <c r="H198" s="29"/>
      <c r="I198" s="35"/>
      <c r="J198" s="29"/>
      <c r="K198" s="29"/>
      <c r="L198" s="36"/>
      <c r="M198" s="29"/>
      <c r="N198" s="39"/>
      <c r="O198" s="40" t="n">
        <f aca="false">N198*J198</f>
        <v>0</v>
      </c>
      <c r="P198" s="39"/>
    </row>
    <row r="199" customFormat="false" ht="15" hidden="false" customHeight="false" outlineLevel="0" collapsed="false">
      <c r="A199" s="33"/>
      <c r="B199" s="18" t="s">
        <v>20</v>
      </c>
      <c r="C199" s="29"/>
      <c r="D199" s="29"/>
      <c r="E199" s="29"/>
      <c r="F199" s="29"/>
      <c r="G199" s="34"/>
      <c r="H199" s="29"/>
      <c r="I199" s="35"/>
      <c r="J199" s="29"/>
      <c r="K199" s="29"/>
      <c r="L199" s="36"/>
      <c r="M199" s="29"/>
      <c r="N199" s="37"/>
      <c r="O199" s="30" t="n">
        <f aca="false">N199*J199</f>
        <v>0</v>
      </c>
    </row>
    <row r="200" customFormat="false" ht="15" hidden="false" customHeight="false" outlineLevel="0" collapsed="false">
      <c r="A200" s="33"/>
      <c r="B200" s="18" t="s">
        <v>20</v>
      </c>
      <c r="C200" s="41"/>
      <c r="D200" s="41"/>
      <c r="E200" s="41"/>
      <c r="F200" s="34"/>
      <c r="G200" s="34"/>
      <c r="H200" s="29"/>
      <c r="I200" s="35"/>
      <c r="J200" s="29"/>
      <c r="K200" s="29"/>
      <c r="L200" s="36"/>
      <c r="M200" s="29"/>
      <c r="N200" s="37"/>
      <c r="O200" s="30" t="n">
        <f aca="false">N200*J200</f>
        <v>0</v>
      </c>
    </row>
    <row r="201" customFormat="false" ht="15" hidden="false" customHeight="false" outlineLevel="0" collapsed="false">
      <c r="A201" s="33"/>
      <c r="B201" s="18" t="s">
        <v>20</v>
      </c>
      <c r="C201" s="29"/>
      <c r="D201" s="29"/>
      <c r="E201" s="29"/>
      <c r="F201" s="29"/>
      <c r="G201" s="34"/>
      <c r="H201" s="29"/>
      <c r="I201" s="35"/>
      <c r="J201" s="29"/>
      <c r="K201" s="29"/>
      <c r="L201" s="36"/>
      <c r="M201" s="29"/>
      <c r="N201" s="37"/>
      <c r="O201" s="30" t="n">
        <f aca="false">N201*J201</f>
        <v>0</v>
      </c>
    </row>
    <row r="202" customFormat="false" ht="15" hidden="false" customHeight="false" outlineLevel="0" collapsed="false">
      <c r="A202" s="33"/>
      <c r="B202" s="18" t="s">
        <v>20</v>
      </c>
      <c r="C202" s="29"/>
      <c r="D202" s="29"/>
      <c r="E202" s="29"/>
      <c r="F202" s="29"/>
      <c r="G202" s="34"/>
      <c r="H202" s="29"/>
      <c r="I202" s="35"/>
      <c r="J202" s="29"/>
      <c r="K202" s="29"/>
      <c r="L202" s="36"/>
      <c r="M202" s="29"/>
      <c r="N202" s="37"/>
      <c r="O202" s="30" t="n">
        <f aca="false">N202*J202</f>
        <v>0</v>
      </c>
    </row>
    <row r="203" customFormat="false" ht="15" hidden="false" customHeight="false" outlineLevel="0" collapsed="false">
      <c r="A203" s="33"/>
      <c r="B203" s="18" t="s">
        <v>20</v>
      </c>
      <c r="C203" s="29"/>
      <c r="D203" s="29"/>
      <c r="E203" s="29"/>
      <c r="F203" s="29"/>
      <c r="G203" s="34"/>
      <c r="H203" s="29"/>
      <c r="I203" s="35"/>
      <c r="J203" s="29"/>
      <c r="K203" s="29"/>
      <c r="L203" s="36"/>
      <c r="M203" s="29"/>
      <c r="N203" s="37"/>
      <c r="O203" s="30" t="n">
        <f aca="false">N203*J203</f>
        <v>0</v>
      </c>
    </row>
    <row r="204" customFormat="false" ht="15" hidden="false" customHeight="false" outlineLevel="0" collapsed="false">
      <c r="A204" s="33"/>
      <c r="B204" s="18" t="s">
        <v>20</v>
      </c>
      <c r="C204" s="29"/>
      <c r="D204" s="29"/>
      <c r="E204" s="29"/>
      <c r="F204" s="29"/>
      <c r="G204" s="34"/>
      <c r="H204" s="29"/>
      <c r="I204" s="35"/>
      <c r="J204" s="29"/>
      <c r="K204" s="29"/>
      <c r="L204" s="36"/>
      <c r="M204" s="29"/>
      <c r="N204" s="39"/>
      <c r="O204" s="40" t="n">
        <f aca="false">N204*J204</f>
        <v>0</v>
      </c>
      <c r="P204" s="39"/>
    </row>
    <row r="205" customFormat="false" ht="15" hidden="false" customHeight="false" outlineLevel="0" collapsed="false">
      <c r="A205" s="33"/>
      <c r="B205" s="18" t="s">
        <v>20</v>
      </c>
      <c r="C205" s="29"/>
      <c r="D205" s="29"/>
      <c r="E205" s="29"/>
      <c r="F205" s="29"/>
      <c r="G205" s="34"/>
      <c r="H205" s="29"/>
      <c r="I205" s="35"/>
      <c r="J205" s="29"/>
      <c r="K205" s="29"/>
      <c r="L205" s="36"/>
      <c r="M205" s="29"/>
      <c r="N205" s="39"/>
      <c r="O205" s="40" t="n">
        <f aca="false">N205*J205</f>
        <v>0</v>
      </c>
      <c r="P205" s="39"/>
    </row>
    <row r="206" customFormat="false" ht="15" hidden="false" customHeight="false" outlineLevel="0" collapsed="false">
      <c r="A206" s="33"/>
      <c r="B206" s="18" t="s">
        <v>20</v>
      </c>
      <c r="C206" s="29"/>
      <c r="D206" s="29"/>
      <c r="E206" s="29"/>
      <c r="F206" s="29"/>
      <c r="G206" s="34"/>
      <c r="H206" s="29"/>
      <c r="I206" s="35"/>
      <c r="J206" s="29"/>
      <c r="K206" s="29"/>
      <c r="L206" s="36"/>
      <c r="M206" s="29"/>
      <c r="N206" s="39"/>
      <c r="O206" s="40" t="n">
        <f aca="false">N206*J206</f>
        <v>0</v>
      </c>
      <c r="P206" s="39"/>
    </row>
    <row r="207" customFormat="false" ht="15" hidden="false" customHeight="false" outlineLevel="0" collapsed="false">
      <c r="A207" s="33"/>
      <c r="B207" s="18" t="s">
        <v>20</v>
      </c>
      <c r="C207" s="29"/>
      <c r="D207" s="29"/>
      <c r="E207" s="29"/>
      <c r="F207" s="29"/>
      <c r="G207" s="34"/>
      <c r="H207" s="29"/>
      <c r="I207" s="35"/>
      <c r="J207" s="29"/>
      <c r="K207" s="29"/>
      <c r="L207" s="36"/>
      <c r="M207" s="29"/>
      <c r="N207" s="37"/>
      <c r="O207" s="30" t="n">
        <f aca="false">N207*J207</f>
        <v>0</v>
      </c>
    </row>
    <row r="208" customFormat="false" ht="15" hidden="false" customHeight="false" outlineLevel="0" collapsed="false">
      <c r="A208" s="33"/>
      <c r="B208" s="18" t="s">
        <v>20</v>
      </c>
      <c r="C208" s="29"/>
      <c r="D208" s="29"/>
      <c r="E208" s="29"/>
      <c r="F208" s="29"/>
      <c r="G208" s="34"/>
      <c r="H208" s="29"/>
      <c r="I208" s="35"/>
      <c r="J208" s="29"/>
      <c r="K208" s="29"/>
      <c r="L208" s="36"/>
      <c r="M208" s="29"/>
      <c r="N208" s="37"/>
      <c r="O208" s="30" t="n">
        <f aca="false">N208*J208</f>
        <v>0</v>
      </c>
    </row>
    <row r="209" customFormat="false" ht="15" hidden="false" customHeight="false" outlineLevel="0" collapsed="false">
      <c r="A209" s="33"/>
      <c r="B209" s="18" t="s">
        <v>20</v>
      </c>
      <c r="C209" s="29"/>
      <c r="D209" s="29"/>
      <c r="E209" s="29"/>
      <c r="F209" s="29"/>
      <c r="G209" s="34"/>
      <c r="H209" s="29"/>
      <c r="I209" s="35"/>
      <c r="J209" s="29"/>
      <c r="K209" s="29"/>
      <c r="L209" s="36"/>
      <c r="M209" s="29"/>
      <c r="N209" s="37"/>
      <c r="O209" s="30" t="n">
        <f aca="false">N209*J209</f>
        <v>0</v>
      </c>
    </row>
    <row r="210" customFormat="false" ht="15" hidden="false" customHeight="false" outlineLevel="0" collapsed="false">
      <c r="A210" s="33"/>
      <c r="B210" s="18" t="s">
        <v>20</v>
      </c>
      <c r="C210" s="29"/>
      <c r="D210" s="29"/>
      <c r="E210" s="29"/>
      <c r="F210" s="29"/>
      <c r="G210" s="34"/>
      <c r="H210" s="29"/>
      <c r="I210" s="35"/>
      <c r="J210" s="29"/>
      <c r="K210" s="29"/>
      <c r="L210" s="36"/>
      <c r="M210" s="29"/>
      <c r="N210" s="37"/>
      <c r="O210" s="30" t="n">
        <f aca="false">N210*J210</f>
        <v>0</v>
      </c>
    </row>
    <row r="211" customFormat="false" ht="15" hidden="false" customHeight="false" outlineLevel="0" collapsed="false">
      <c r="A211" s="33"/>
      <c r="B211" s="18" t="s">
        <v>20</v>
      </c>
      <c r="C211" s="29"/>
      <c r="D211" s="29"/>
      <c r="E211" s="29"/>
      <c r="F211" s="29"/>
      <c r="G211" s="34"/>
      <c r="H211" s="29"/>
      <c r="I211" s="35"/>
      <c r="J211" s="29"/>
      <c r="K211" s="29"/>
      <c r="L211" s="36"/>
      <c r="M211" s="29"/>
      <c r="N211" s="37"/>
      <c r="O211" s="30" t="n">
        <f aca="false">N211*J211</f>
        <v>0</v>
      </c>
    </row>
    <row r="212" customFormat="false" ht="15" hidden="false" customHeight="false" outlineLevel="0" collapsed="false">
      <c r="A212" s="33"/>
      <c r="B212" s="18" t="s">
        <v>20</v>
      </c>
      <c r="C212" s="29"/>
      <c r="D212" s="29"/>
      <c r="E212" s="29"/>
      <c r="F212" s="29"/>
      <c r="G212" s="34"/>
      <c r="H212" s="29"/>
      <c r="I212" s="35"/>
      <c r="J212" s="29"/>
      <c r="K212" s="29"/>
      <c r="L212" s="36"/>
      <c r="M212" s="29"/>
      <c r="N212" s="39"/>
      <c r="O212" s="40" t="n">
        <f aca="false">N212*J212</f>
        <v>0</v>
      </c>
      <c r="P212" s="39"/>
    </row>
    <row r="213" customFormat="false" ht="15" hidden="false" customHeight="false" outlineLevel="0" collapsed="false">
      <c r="A213" s="33"/>
      <c r="B213" s="18" t="s">
        <v>20</v>
      </c>
      <c r="C213" s="29"/>
      <c r="D213" s="29"/>
      <c r="E213" s="29"/>
      <c r="F213" s="29"/>
      <c r="G213" s="34"/>
      <c r="H213" s="29"/>
      <c r="I213" s="35"/>
      <c r="J213" s="29"/>
      <c r="K213" s="29"/>
      <c r="L213" s="36"/>
      <c r="M213" s="29"/>
      <c r="N213" s="39"/>
      <c r="O213" s="40" t="n">
        <f aca="false">N213*J213</f>
        <v>0</v>
      </c>
      <c r="P213" s="39"/>
    </row>
    <row r="214" customFormat="false" ht="15" hidden="false" customHeight="false" outlineLevel="0" collapsed="false">
      <c r="A214" s="33"/>
      <c r="B214" s="18" t="s">
        <v>20</v>
      </c>
      <c r="C214" s="29"/>
      <c r="D214" s="29"/>
      <c r="E214" s="29"/>
      <c r="F214" s="29"/>
      <c r="G214" s="34"/>
      <c r="H214" s="29"/>
      <c r="I214" s="35"/>
      <c r="J214" s="29"/>
      <c r="K214" s="29"/>
      <c r="L214" s="36"/>
      <c r="M214" s="29"/>
      <c r="N214" s="39"/>
      <c r="O214" s="40" t="n">
        <f aca="false">N214*J214</f>
        <v>0</v>
      </c>
      <c r="P214" s="39"/>
    </row>
    <row r="215" customFormat="false" ht="15" hidden="false" customHeight="false" outlineLevel="0" collapsed="false">
      <c r="A215" s="33"/>
      <c r="B215" s="18" t="s">
        <v>20</v>
      </c>
      <c r="C215" s="29"/>
      <c r="D215" s="29"/>
      <c r="E215" s="29"/>
      <c r="F215" s="29"/>
      <c r="G215" s="34"/>
      <c r="H215" s="29"/>
      <c r="I215" s="35"/>
      <c r="J215" s="29"/>
      <c r="K215" s="29"/>
      <c r="L215" s="36"/>
      <c r="M215" s="29"/>
      <c r="N215" s="37"/>
      <c r="O215" s="30" t="n">
        <f aca="false">N215*J215</f>
        <v>0</v>
      </c>
    </row>
    <row r="216" customFormat="false" ht="15" hidden="false" customHeight="false" outlineLevel="0" collapsed="false">
      <c r="A216" s="33"/>
      <c r="B216" s="18" t="s">
        <v>20</v>
      </c>
      <c r="C216" s="29"/>
      <c r="D216" s="29"/>
      <c r="E216" s="29"/>
      <c r="F216" s="29"/>
      <c r="G216" s="34"/>
      <c r="H216" s="29"/>
      <c r="I216" s="35"/>
      <c r="J216" s="29"/>
      <c r="K216" s="29"/>
      <c r="L216" s="36"/>
      <c r="M216" s="29"/>
      <c r="N216" s="37"/>
      <c r="O216" s="30" t="n">
        <f aca="false">N216*J216</f>
        <v>0</v>
      </c>
    </row>
    <row r="217" customFormat="false" ht="15" hidden="false" customHeight="false" outlineLevel="0" collapsed="false">
      <c r="A217" s="33"/>
      <c r="B217" s="18" t="s">
        <v>20</v>
      </c>
      <c r="C217" s="29"/>
      <c r="D217" s="29"/>
      <c r="E217" s="29"/>
      <c r="F217" s="29"/>
      <c r="G217" s="34"/>
      <c r="H217" s="29"/>
      <c r="I217" s="35"/>
      <c r="J217" s="29"/>
      <c r="K217" s="29"/>
      <c r="L217" s="36"/>
      <c r="M217" s="29"/>
      <c r="N217" s="37"/>
      <c r="O217" s="30" t="n">
        <f aca="false">N217*J217</f>
        <v>0</v>
      </c>
    </row>
    <row r="218" customFormat="false" ht="15" hidden="false" customHeight="false" outlineLevel="0" collapsed="false">
      <c r="A218" s="33"/>
      <c r="B218" s="18" t="s">
        <v>20</v>
      </c>
      <c r="C218" s="29"/>
      <c r="D218" s="29"/>
      <c r="E218" s="29"/>
      <c r="F218" s="29"/>
      <c r="G218" s="34"/>
      <c r="H218" s="29"/>
      <c r="I218" s="35"/>
      <c r="J218" s="29"/>
      <c r="K218" s="29"/>
      <c r="L218" s="36"/>
      <c r="M218" s="29"/>
      <c r="N218" s="37"/>
      <c r="O218" s="30" t="n">
        <f aca="false">N218*J218</f>
        <v>0</v>
      </c>
    </row>
    <row r="219" customFormat="false" ht="15" hidden="false" customHeight="false" outlineLevel="0" collapsed="false">
      <c r="A219" s="33"/>
      <c r="B219" s="18" t="s">
        <v>20</v>
      </c>
      <c r="C219" s="29"/>
      <c r="D219" s="29"/>
      <c r="E219" s="29"/>
      <c r="F219" s="29"/>
      <c r="G219" s="34"/>
      <c r="H219" s="29"/>
      <c r="I219" s="35"/>
      <c r="J219" s="29"/>
      <c r="K219" s="29"/>
      <c r="L219" s="36"/>
      <c r="M219" s="29"/>
      <c r="N219" s="37"/>
      <c r="O219" s="30" t="n">
        <f aca="false">N219*J219</f>
        <v>0</v>
      </c>
    </row>
    <row r="220" customFormat="false" ht="15" hidden="false" customHeight="false" outlineLevel="0" collapsed="false">
      <c r="A220" s="33"/>
      <c r="B220" s="18" t="s">
        <v>20</v>
      </c>
      <c r="C220" s="29"/>
      <c r="D220" s="29"/>
      <c r="E220" s="29"/>
      <c r="F220" s="29"/>
      <c r="G220" s="34"/>
      <c r="H220" s="29"/>
      <c r="I220" s="35"/>
      <c r="J220" s="29"/>
      <c r="K220" s="29"/>
      <c r="L220" s="36"/>
      <c r="M220" s="29"/>
      <c r="N220" s="37"/>
      <c r="O220" s="30" t="n">
        <f aca="false">N220*J220</f>
        <v>0</v>
      </c>
    </row>
    <row r="221" customFormat="false" ht="15" hidden="false" customHeight="false" outlineLevel="0" collapsed="false">
      <c r="A221" s="33"/>
      <c r="B221" s="18" t="s">
        <v>20</v>
      </c>
      <c r="C221" s="29"/>
      <c r="D221" s="29"/>
      <c r="E221" s="29"/>
      <c r="F221" s="29"/>
      <c r="G221" s="34"/>
      <c r="H221" s="29"/>
      <c r="I221" s="35"/>
      <c r="J221" s="29"/>
      <c r="K221" s="29"/>
      <c r="L221" s="36"/>
      <c r="M221" s="29"/>
      <c r="N221" s="37"/>
      <c r="O221" s="30" t="n">
        <f aca="false">N221*J221</f>
        <v>0</v>
      </c>
    </row>
    <row r="222" customFormat="false" ht="15" hidden="false" customHeight="false" outlineLevel="0" collapsed="false">
      <c r="A222" s="33"/>
      <c r="B222" s="18" t="s">
        <v>20</v>
      </c>
      <c r="C222" s="29"/>
      <c r="D222" s="29"/>
      <c r="E222" s="29"/>
      <c r="F222" s="29"/>
      <c r="G222" s="34"/>
      <c r="H222" s="29"/>
      <c r="I222" s="35"/>
      <c r="J222" s="29"/>
      <c r="K222" s="29"/>
      <c r="L222" s="36"/>
      <c r="M222" s="29"/>
      <c r="N222" s="39"/>
      <c r="O222" s="40" t="n">
        <f aca="false">N222*J222</f>
        <v>0</v>
      </c>
      <c r="P222" s="39"/>
    </row>
    <row r="223" customFormat="false" ht="15" hidden="false" customHeight="false" outlineLevel="0" collapsed="false">
      <c r="A223" s="33"/>
      <c r="B223" s="18" t="s">
        <v>20</v>
      </c>
      <c r="C223" s="29"/>
      <c r="D223" s="29"/>
      <c r="E223" s="29"/>
      <c r="F223" s="29"/>
      <c r="G223" s="34"/>
      <c r="H223" s="29"/>
      <c r="I223" s="35"/>
      <c r="J223" s="29"/>
      <c r="K223" s="29"/>
      <c r="L223" s="36"/>
      <c r="M223" s="29"/>
      <c r="N223" s="39"/>
      <c r="O223" s="40" t="n">
        <f aca="false">N223*J223</f>
        <v>0</v>
      </c>
      <c r="P223" s="39"/>
    </row>
    <row r="224" customFormat="false" ht="15" hidden="false" customHeight="false" outlineLevel="0" collapsed="false">
      <c r="A224" s="33"/>
      <c r="B224" s="18" t="s">
        <v>20</v>
      </c>
      <c r="C224" s="29"/>
      <c r="D224" s="29"/>
      <c r="E224" s="29"/>
      <c r="F224" s="29"/>
      <c r="G224" s="34"/>
      <c r="H224" s="29"/>
      <c r="I224" s="35"/>
      <c r="J224" s="29"/>
      <c r="K224" s="29"/>
      <c r="L224" s="36"/>
      <c r="M224" s="29"/>
      <c r="N224" s="39"/>
      <c r="O224" s="40" t="n">
        <f aca="false">N224*J224</f>
        <v>0</v>
      </c>
      <c r="P224" s="39"/>
    </row>
    <row r="225" customFormat="false" ht="15" hidden="false" customHeight="false" outlineLevel="0" collapsed="false">
      <c r="A225" s="33"/>
      <c r="B225" s="18" t="s">
        <v>20</v>
      </c>
      <c r="C225" s="29"/>
      <c r="D225" s="29"/>
      <c r="E225" s="29"/>
      <c r="F225" s="29"/>
      <c r="G225" s="34"/>
      <c r="H225" s="29"/>
      <c r="I225" s="35"/>
      <c r="J225" s="29"/>
      <c r="K225" s="29"/>
      <c r="L225" s="36"/>
      <c r="M225" s="29"/>
      <c r="N225" s="37"/>
      <c r="O225" s="30" t="n">
        <f aca="false">N225*J225</f>
        <v>0</v>
      </c>
    </row>
    <row r="226" customFormat="false" ht="15" hidden="false" customHeight="false" outlineLevel="0" collapsed="false">
      <c r="A226" s="33"/>
      <c r="B226" s="18" t="s">
        <v>20</v>
      </c>
      <c r="C226" s="29"/>
      <c r="D226" s="29"/>
      <c r="E226" s="29"/>
      <c r="F226" s="29"/>
      <c r="G226" s="34"/>
      <c r="H226" s="29"/>
      <c r="I226" s="35"/>
      <c r="J226" s="29"/>
      <c r="K226" s="29"/>
      <c r="L226" s="36"/>
      <c r="M226" s="29"/>
      <c r="N226" s="37"/>
      <c r="O226" s="30" t="n">
        <f aca="false">N226*J226</f>
        <v>0</v>
      </c>
    </row>
    <row r="227" customFormat="false" ht="15" hidden="false" customHeight="false" outlineLevel="0" collapsed="false">
      <c r="A227" s="33"/>
      <c r="B227" s="18" t="s">
        <v>20</v>
      </c>
      <c r="C227" s="29"/>
      <c r="D227" s="29"/>
      <c r="E227" s="29"/>
      <c r="F227" s="29"/>
      <c r="G227" s="34"/>
      <c r="H227" s="29"/>
      <c r="I227" s="35"/>
      <c r="J227" s="29"/>
      <c r="K227" s="29"/>
      <c r="L227" s="36"/>
      <c r="M227" s="29"/>
      <c r="N227" s="37"/>
      <c r="O227" s="30" t="n">
        <f aca="false">N227*J227</f>
        <v>0</v>
      </c>
    </row>
    <row r="228" customFormat="false" ht="15" hidden="false" customHeight="false" outlineLevel="0" collapsed="false">
      <c r="A228" s="33"/>
      <c r="B228" s="18" t="s">
        <v>20</v>
      </c>
      <c r="C228" s="29"/>
      <c r="D228" s="29"/>
      <c r="E228" s="29"/>
      <c r="F228" s="29"/>
      <c r="G228" s="34"/>
      <c r="H228" s="29"/>
      <c r="I228" s="35"/>
      <c r="J228" s="29"/>
      <c r="K228" s="29"/>
      <c r="L228" s="36"/>
      <c r="M228" s="29"/>
      <c r="N228" s="37"/>
      <c r="O228" s="30" t="n">
        <f aca="false">N228*J228</f>
        <v>0</v>
      </c>
    </row>
    <row r="229" customFormat="false" ht="15" hidden="false" customHeight="false" outlineLevel="0" collapsed="false">
      <c r="A229" s="33"/>
      <c r="B229" s="18" t="s">
        <v>20</v>
      </c>
      <c r="C229" s="29"/>
      <c r="D229" s="29"/>
      <c r="E229" s="29"/>
      <c r="F229" s="29"/>
      <c r="G229" s="34"/>
      <c r="H229" s="29"/>
      <c r="I229" s="35"/>
      <c r="J229" s="29"/>
      <c r="K229" s="29"/>
      <c r="L229" s="36"/>
      <c r="M229" s="29"/>
      <c r="N229" s="37"/>
      <c r="O229" s="30" t="n">
        <f aca="false">N229*J229</f>
        <v>0</v>
      </c>
    </row>
    <row r="230" customFormat="false" ht="15" hidden="false" customHeight="false" outlineLevel="0" collapsed="false">
      <c r="A230" s="33"/>
      <c r="B230" s="18" t="s">
        <v>20</v>
      </c>
      <c r="C230" s="29"/>
      <c r="D230" s="29"/>
      <c r="E230" s="29"/>
      <c r="F230" s="29"/>
      <c r="G230" s="34"/>
      <c r="H230" s="29"/>
      <c r="I230" s="35"/>
      <c r="J230" s="29"/>
      <c r="K230" s="29"/>
      <c r="L230" s="36"/>
      <c r="M230" s="29"/>
      <c r="N230" s="37"/>
      <c r="O230" s="30" t="n">
        <f aca="false">N230*J230</f>
        <v>0</v>
      </c>
    </row>
    <row r="231" customFormat="false" ht="15" hidden="false" customHeight="false" outlineLevel="0" collapsed="false">
      <c r="A231" s="33"/>
      <c r="B231" s="18" t="s">
        <v>20</v>
      </c>
      <c r="C231" s="29"/>
      <c r="D231" s="29"/>
      <c r="E231" s="29"/>
      <c r="F231" s="29"/>
      <c r="G231" s="34"/>
      <c r="H231" s="29"/>
      <c r="I231" s="35"/>
      <c r="J231" s="29"/>
      <c r="K231" s="29"/>
      <c r="L231" s="36"/>
      <c r="M231" s="29"/>
      <c r="N231" s="37"/>
      <c r="O231" s="30" t="n">
        <f aca="false">N231*J231</f>
        <v>0</v>
      </c>
    </row>
    <row r="232" customFormat="false" ht="15" hidden="false" customHeight="false" outlineLevel="0" collapsed="false">
      <c r="A232" s="33"/>
      <c r="B232" s="18" t="s">
        <v>20</v>
      </c>
      <c r="C232" s="29"/>
      <c r="D232" s="29"/>
      <c r="E232" s="29"/>
      <c r="F232" s="29"/>
      <c r="G232" s="34"/>
      <c r="H232" s="29"/>
      <c r="I232" s="35"/>
      <c r="J232" s="29"/>
      <c r="K232" s="29"/>
      <c r="L232" s="36"/>
      <c r="M232" s="29"/>
      <c r="N232" s="37"/>
      <c r="O232" s="30" t="n">
        <f aca="false">N232*J232</f>
        <v>0</v>
      </c>
    </row>
    <row r="233" customFormat="false" ht="15" hidden="false" customHeight="false" outlineLevel="0" collapsed="false">
      <c r="A233" s="33"/>
      <c r="B233" s="18" t="s">
        <v>20</v>
      </c>
      <c r="C233" s="29"/>
      <c r="D233" s="29"/>
      <c r="E233" s="29"/>
      <c r="F233" s="29"/>
      <c r="G233" s="34"/>
      <c r="H233" s="29"/>
      <c r="I233" s="35"/>
      <c r="J233" s="29"/>
      <c r="K233" s="29"/>
      <c r="L233" s="36"/>
      <c r="M233" s="29"/>
      <c r="N233" s="37"/>
      <c r="O233" s="30" t="n">
        <f aca="false">N233*J233</f>
        <v>0</v>
      </c>
    </row>
    <row r="234" customFormat="false" ht="15" hidden="false" customHeight="false" outlineLevel="0" collapsed="false">
      <c r="A234" s="33"/>
      <c r="B234" s="18" t="s">
        <v>20</v>
      </c>
      <c r="C234" s="29"/>
      <c r="D234" s="29"/>
      <c r="E234" s="29"/>
      <c r="F234" s="29"/>
      <c r="G234" s="34"/>
      <c r="H234" s="29"/>
      <c r="I234" s="35"/>
      <c r="J234" s="29"/>
      <c r="K234" s="29"/>
      <c r="L234" s="36"/>
      <c r="M234" s="29"/>
      <c r="N234" s="37"/>
      <c r="O234" s="30" t="n">
        <f aca="false">N234*J234</f>
        <v>0</v>
      </c>
    </row>
    <row r="235" customFormat="false" ht="15" hidden="false" customHeight="false" outlineLevel="0" collapsed="false">
      <c r="A235" s="33"/>
      <c r="B235" s="18" t="s">
        <v>20</v>
      </c>
      <c r="C235" s="29"/>
      <c r="D235" s="29"/>
      <c r="E235" s="29"/>
      <c r="F235" s="29"/>
      <c r="G235" s="34"/>
      <c r="H235" s="29"/>
      <c r="I235" s="35"/>
      <c r="J235" s="29"/>
      <c r="K235" s="29"/>
      <c r="L235" s="36"/>
      <c r="M235" s="29"/>
      <c r="N235" s="37"/>
      <c r="O235" s="30" t="n">
        <f aca="false">N235*J235</f>
        <v>0</v>
      </c>
    </row>
    <row r="236" customFormat="false" ht="15" hidden="false" customHeight="false" outlineLevel="0" collapsed="false">
      <c r="A236" s="33"/>
      <c r="B236" s="18" t="s">
        <v>20</v>
      </c>
      <c r="C236" s="29"/>
      <c r="D236" s="29"/>
      <c r="E236" s="29"/>
      <c r="F236" s="29"/>
      <c r="G236" s="34"/>
      <c r="H236" s="29"/>
      <c r="I236" s="35"/>
      <c r="J236" s="29"/>
      <c r="K236" s="29"/>
      <c r="L236" s="36"/>
      <c r="M236" s="29"/>
      <c r="N236" s="37"/>
      <c r="O236" s="30" t="n">
        <f aca="false">N236*J236</f>
        <v>0</v>
      </c>
    </row>
    <row r="237" customFormat="false" ht="15" hidden="false" customHeight="false" outlineLevel="0" collapsed="false">
      <c r="A237" s="33"/>
      <c r="B237" s="18" t="s">
        <v>20</v>
      </c>
      <c r="C237" s="29"/>
      <c r="D237" s="29"/>
      <c r="E237" s="29"/>
      <c r="F237" s="29"/>
      <c r="G237" s="34"/>
      <c r="H237" s="29"/>
      <c r="I237" s="35"/>
      <c r="J237" s="29"/>
      <c r="K237" s="29"/>
      <c r="L237" s="36"/>
      <c r="M237" s="29"/>
      <c r="N237" s="37"/>
      <c r="O237" s="30" t="n">
        <f aca="false">N237*J237</f>
        <v>0</v>
      </c>
    </row>
    <row r="238" customFormat="false" ht="15" hidden="false" customHeight="false" outlineLevel="0" collapsed="false">
      <c r="A238" s="33"/>
      <c r="B238" s="18" t="s">
        <v>20</v>
      </c>
      <c r="C238" s="29"/>
      <c r="D238" s="29"/>
      <c r="E238" s="29"/>
      <c r="F238" s="29"/>
      <c r="G238" s="34"/>
      <c r="H238" s="29"/>
      <c r="I238" s="35"/>
      <c r="J238" s="29"/>
      <c r="K238" s="29"/>
      <c r="L238" s="36"/>
      <c r="M238" s="29"/>
      <c r="N238" s="37"/>
      <c r="O238" s="30" t="n">
        <f aca="false">N238*J238</f>
        <v>0</v>
      </c>
    </row>
    <row r="239" customFormat="false" ht="15" hidden="false" customHeight="false" outlineLevel="0" collapsed="false">
      <c r="A239" s="33"/>
      <c r="B239" s="18" t="s">
        <v>20</v>
      </c>
      <c r="C239" s="29"/>
      <c r="D239" s="29"/>
      <c r="E239" s="29"/>
      <c r="F239" s="29"/>
      <c r="G239" s="34"/>
      <c r="H239" s="29"/>
      <c r="I239" s="35"/>
      <c r="J239" s="29"/>
      <c r="K239" s="29"/>
      <c r="L239" s="36"/>
      <c r="M239" s="29"/>
      <c r="N239" s="37"/>
      <c r="O239" s="30" t="n">
        <f aca="false">N239*J239</f>
        <v>0</v>
      </c>
    </row>
    <row r="240" customFormat="false" ht="15" hidden="false" customHeight="false" outlineLevel="0" collapsed="false">
      <c r="A240" s="33"/>
      <c r="B240" s="18" t="s">
        <v>20</v>
      </c>
      <c r="C240" s="29"/>
      <c r="D240" s="29"/>
      <c r="E240" s="29"/>
      <c r="F240" s="29"/>
      <c r="G240" s="34"/>
      <c r="H240" s="29"/>
      <c r="I240" s="35"/>
      <c r="J240" s="29"/>
      <c r="K240" s="29"/>
      <c r="L240" s="36"/>
      <c r="M240" s="29"/>
      <c r="N240" s="37"/>
      <c r="O240" s="30" t="n">
        <f aca="false">N240*J240</f>
        <v>0</v>
      </c>
    </row>
    <row r="241" customFormat="false" ht="15" hidden="false" customHeight="false" outlineLevel="0" collapsed="false">
      <c r="A241" s="33"/>
      <c r="B241" s="18" t="s">
        <v>20</v>
      </c>
      <c r="C241" s="29"/>
      <c r="D241" s="29"/>
      <c r="E241" s="29"/>
      <c r="F241" s="29"/>
      <c r="G241" s="34"/>
      <c r="H241" s="29"/>
      <c r="I241" s="35"/>
      <c r="J241" s="29"/>
      <c r="K241" s="29"/>
      <c r="L241" s="36"/>
      <c r="M241" s="29"/>
      <c r="N241" s="37"/>
      <c r="O241" s="30" t="n">
        <f aca="false">N241*J241</f>
        <v>0</v>
      </c>
    </row>
    <row r="242" customFormat="false" ht="15" hidden="false" customHeight="false" outlineLevel="0" collapsed="false">
      <c r="A242" s="33"/>
      <c r="B242" s="18" t="s">
        <v>20</v>
      </c>
      <c r="C242" s="29"/>
      <c r="D242" s="29"/>
      <c r="E242" s="29"/>
      <c r="F242" s="29"/>
      <c r="G242" s="34"/>
      <c r="H242" s="29"/>
      <c r="I242" s="35"/>
      <c r="J242" s="29"/>
      <c r="K242" s="29"/>
      <c r="L242" s="36"/>
      <c r="M242" s="29"/>
      <c r="N242" s="37"/>
      <c r="O242" s="30" t="n">
        <f aca="false">N242*J242</f>
        <v>0</v>
      </c>
    </row>
    <row r="243" customFormat="false" ht="15" hidden="false" customHeight="false" outlineLevel="0" collapsed="false">
      <c r="A243" s="33"/>
      <c r="B243" s="18" t="s">
        <v>20</v>
      </c>
      <c r="C243" s="29"/>
      <c r="D243" s="29"/>
      <c r="E243" s="29"/>
      <c r="F243" s="29"/>
      <c r="G243" s="34"/>
      <c r="H243" s="29"/>
      <c r="I243" s="35"/>
      <c r="J243" s="29"/>
      <c r="K243" s="29"/>
      <c r="L243" s="36"/>
      <c r="M243" s="29"/>
      <c r="N243" s="37"/>
      <c r="O243" s="30" t="n">
        <f aca="false">N243*J243</f>
        <v>0</v>
      </c>
    </row>
    <row r="244" customFormat="false" ht="15" hidden="false" customHeight="false" outlineLevel="0" collapsed="false">
      <c r="A244" s="33"/>
      <c r="B244" s="18" t="s">
        <v>20</v>
      </c>
      <c r="C244" s="29"/>
      <c r="D244" s="29"/>
      <c r="E244" s="29"/>
      <c r="F244" s="29"/>
      <c r="G244" s="34"/>
      <c r="H244" s="29"/>
      <c r="I244" s="35"/>
      <c r="J244" s="29"/>
      <c r="K244" s="29"/>
      <c r="L244" s="36"/>
      <c r="M244" s="29"/>
      <c r="N244" s="37"/>
      <c r="O244" s="30" t="n">
        <f aca="false">N244*J244</f>
        <v>0</v>
      </c>
    </row>
    <row r="245" customFormat="false" ht="15" hidden="false" customHeight="false" outlineLevel="0" collapsed="false">
      <c r="A245" s="33"/>
      <c r="B245" s="18" t="s">
        <v>20</v>
      </c>
      <c r="C245" s="29"/>
      <c r="D245" s="29"/>
      <c r="E245" s="29"/>
      <c r="F245" s="29"/>
      <c r="G245" s="34"/>
      <c r="H245" s="29"/>
      <c r="I245" s="35"/>
      <c r="J245" s="29"/>
      <c r="K245" s="29"/>
      <c r="L245" s="36"/>
      <c r="M245" s="29"/>
      <c r="N245" s="37"/>
      <c r="O245" s="30" t="n">
        <f aca="false">N245*J245</f>
        <v>0</v>
      </c>
    </row>
    <row r="246" customFormat="false" ht="15" hidden="false" customHeight="false" outlineLevel="0" collapsed="false">
      <c r="A246" s="33"/>
      <c r="B246" s="18" t="s">
        <v>20</v>
      </c>
      <c r="C246" s="29"/>
      <c r="D246" s="29"/>
      <c r="E246" s="29"/>
      <c r="F246" s="29"/>
      <c r="G246" s="34"/>
      <c r="H246" s="29"/>
      <c r="I246" s="35"/>
      <c r="J246" s="29"/>
      <c r="K246" s="29"/>
      <c r="L246" s="36"/>
      <c r="M246" s="29"/>
      <c r="N246" s="37"/>
      <c r="O246" s="30" t="n">
        <f aca="false">N246*J246</f>
        <v>0</v>
      </c>
    </row>
    <row r="247" customFormat="false" ht="15" hidden="false" customHeight="false" outlineLevel="0" collapsed="false">
      <c r="A247" s="33"/>
      <c r="B247" s="18" t="s">
        <v>20</v>
      </c>
      <c r="C247" s="29"/>
      <c r="D247" s="29"/>
      <c r="E247" s="29"/>
      <c r="F247" s="29"/>
      <c r="G247" s="34"/>
      <c r="H247" s="29"/>
      <c r="I247" s="35"/>
      <c r="J247" s="29"/>
      <c r="K247" s="29"/>
      <c r="L247" s="36"/>
      <c r="M247" s="29"/>
      <c r="N247" s="37"/>
      <c r="O247" s="30" t="n">
        <f aca="false">N247*J247</f>
        <v>0</v>
      </c>
    </row>
    <row r="248" customFormat="false" ht="15" hidden="false" customHeight="false" outlineLevel="0" collapsed="false">
      <c r="A248" s="33"/>
      <c r="B248" s="18" t="s">
        <v>20</v>
      </c>
      <c r="C248" s="29"/>
      <c r="D248" s="29"/>
      <c r="E248" s="29"/>
      <c r="F248" s="29"/>
      <c r="G248" s="34"/>
      <c r="H248" s="29"/>
      <c r="I248" s="35"/>
      <c r="J248" s="29"/>
      <c r="K248" s="29"/>
      <c r="L248" s="36"/>
      <c r="M248" s="29"/>
      <c r="N248" s="37"/>
      <c r="O248" s="30" t="n">
        <f aca="false">N248*J248</f>
        <v>0</v>
      </c>
    </row>
    <row r="249" customFormat="false" ht="15" hidden="false" customHeight="false" outlineLevel="0" collapsed="false">
      <c r="A249" s="33"/>
      <c r="B249" s="18" t="s">
        <v>20</v>
      </c>
      <c r="C249" s="29"/>
      <c r="D249" s="29"/>
      <c r="E249" s="29"/>
      <c r="F249" s="29"/>
      <c r="G249" s="34"/>
      <c r="H249" s="29"/>
      <c r="I249" s="35"/>
      <c r="J249" s="29"/>
      <c r="K249" s="29"/>
      <c r="L249" s="36"/>
      <c r="M249" s="29"/>
      <c r="N249" s="37"/>
      <c r="O249" s="30" t="n">
        <f aca="false">N249*J249</f>
        <v>0</v>
      </c>
    </row>
    <row r="250" customFormat="false" ht="15" hidden="false" customHeight="false" outlineLevel="0" collapsed="false">
      <c r="A250" s="33"/>
      <c r="B250" s="18" t="s">
        <v>20</v>
      </c>
      <c r="C250" s="29"/>
      <c r="D250" s="29"/>
      <c r="E250" s="29"/>
      <c r="F250" s="29"/>
      <c r="G250" s="34"/>
      <c r="H250" s="29"/>
      <c r="I250" s="35"/>
      <c r="J250" s="29"/>
      <c r="K250" s="29"/>
      <c r="L250" s="36"/>
      <c r="M250" s="29"/>
      <c r="N250" s="37"/>
      <c r="O250" s="30" t="n">
        <f aca="false">N250*J250</f>
        <v>0</v>
      </c>
    </row>
    <row r="251" customFormat="false" ht="15" hidden="false" customHeight="false" outlineLevel="0" collapsed="false">
      <c r="A251" s="33"/>
      <c r="B251" s="18" t="s">
        <v>20</v>
      </c>
      <c r="C251" s="29"/>
      <c r="D251" s="29"/>
      <c r="E251" s="29"/>
      <c r="F251" s="29"/>
      <c r="G251" s="34"/>
      <c r="H251" s="29"/>
      <c r="I251" s="35"/>
      <c r="J251" s="29"/>
      <c r="K251" s="29"/>
      <c r="L251" s="36"/>
      <c r="M251" s="29"/>
      <c r="N251" s="37"/>
      <c r="O251" s="30" t="n">
        <f aca="false">N251*J251</f>
        <v>0</v>
      </c>
    </row>
    <row r="252" customFormat="false" ht="15" hidden="false" customHeight="false" outlineLevel="0" collapsed="false">
      <c r="A252" s="33"/>
      <c r="B252" s="18" t="s">
        <v>20</v>
      </c>
      <c r="C252" s="29"/>
      <c r="D252" s="29"/>
      <c r="E252" s="29"/>
      <c r="F252" s="29"/>
      <c r="G252" s="34"/>
      <c r="H252" s="29"/>
      <c r="I252" s="35"/>
      <c r="J252" s="29"/>
      <c r="K252" s="29"/>
      <c r="L252" s="36"/>
      <c r="M252" s="29"/>
      <c r="N252" s="37"/>
      <c r="O252" s="30" t="n">
        <f aca="false">N252*J252</f>
        <v>0</v>
      </c>
    </row>
    <row r="253" customFormat="false" ht="15" hidden="false" customHeight="false" outlineLevel="0" collapsed="false">
      <c r="A253" s="33"/>
      <c r="B253" s="18" t="s">
        <v>20</v>
      </c>
      <c r="C253" s="29"/>
      <c r="D253" s="29"/>
      <c r="E253" s="29"/>
      <c r="F253" s="29"/>
      <c r="G253" s="34"/>
      <c r="H253" s="29"/>
      <c r="I253" s="35"/>
      <c r="J253" s="29"/>
      <c r="K253" s="29"/>
      <c r="L253" s="36"/>
      <c r="M253" s="29"/>
      <c r="N253" s="37"/>
      <c r="O253" s="30" t="n">
        <f aca="false">N253*J253</f>
        <v>0</v>
      </c>
    </row>
    <row r="254" customFormat="false" ht="15" hidden="false" customHeight="false" outlineLevel="0" collapsed="false">
      <c r="A254" s="33"/>
      <c r="B254" s="18" t="s">
        <v>20</v>
      </c>
      <c r="C254" s="29"/>
      <c r="D254" s="29"/>
      <c r="E254" s="29"/>
      <c r="F254" s="29"/>
      <c r="G254" s="34"/>
      <c r="H254" s="29"/>
      <c r="I254" s="35"/>
      <c r="J254" s="29"/>
      <c r="K254" s="29"/>
      <c r="L254" s="36"/>
      <c r="M254" s="29"/>
      <c r="N254" s="37"/>
      <c r="O254" s="30" t="n">
        <f aca="false">N254*J254</f>
        <v>0</v>
      </c>
    </row>
    <row r="255" customFormat="false" ht="15" hidden="false" customHeight="false" outlineLevel="0" collapsed="false">
      <c r="A255" s="33"/>
      <c r="B255" s="18" t="s">
        <v>20</v>
      </c>
      <c r="C255" s="29"/>
      <c r="D255" s="29"/>
      <c r="E255" s="29"/>
      <c r="F255" s="29"/>
      <c r="G255" s="34"/>
      <c r="H255" s="29"/>
      <c r="I255" s="35"/>
      <c r="J255" s="29"/>
      <c r="K255" s="29"/>
      <c r="L255" s="36"/>
      <c r="M255" s="29"/>
      <c r="N255" s="37"/>
      <c r="O255" s="30" t="n">
        <f aca="false">N255*J255</f>
        <v>0</v>
      </c>
    </row>
    <row r="256" customFormat="false" ht="15" hidden="false" customHeight="false" outlineLevel="0" collapsed="false">
      <c r="A256" s="33"/>
      <c r="B256" s="18" t="s">
        <v>20</v>
      </c>
      <c r="C256" s="29"/>
      <c r="D256" s="29"/>
      <c r="E256" s="29"/>
      <c r="F256" s="29"/>
      <c r="G256" s="34"/>
      <c r="H256" s="29"/>
      <c r="I256" s="35"/>
      <c r="J256" s="29"/>
      <c r="K256" s="29"/>
      <c r="L256" s="36"/>
      <c r="M256" s="29"/>
      <c r="N256" s="37"/>
      <c r="O256" s="30" t="n">
        <f aca="false">N256*J256</f>
        <v>0</v>
      </c>
    </row>
    <row r="257" customFormat="false" ht="15" hidden="false" customHeight="false" outlineLevel="0" collapsed="false">
      <c r="A257" s="33"/>
      <c r="B257" s="18" t="s">
        <v>20</v>
      </c>
      <c r="C257" s="29"/>
      <c r="D257" s="29"/>
      <c r="E257" s="29"/>
      <c r="F257" s="29"/>
      <c r="G257" s="34"/>
      <c r="H257" s="29"/>
      <c r="I257" s="35"/>
      <c r="J257" s="29"/>
      <c r="K257" s="29"/>
      <c r="L257" s="36"/>
      <c r="M257" s="29"/>
      <c r="N257" s="37"/>
      <c r="O257" s="30" t="n">
        <f aca="false">N257*J257</f>
        <v>0</v>
      </c>
    </row>
    <row r="258" customFormat="false" ht="15" hidden="false" customHeight="false" outlineLevel="0" collapsed="false">
      <c r="A258" s="33"/>
      <c r="B258" s="18" t="s">
        <v>20</v>
      </c>
      <c r="C258" s="29"/>
      <c r="D258" s="29"/>
      <c r="E258" s="29"/>
      <c r="F258" s="29"/>
      <c r="G258" s="34"/>
      <c r="H258" s="29"/>
      <c r="I258" s="35"/>
      <c r="J258" s="29"/>
      <c r="K258" s="29"/>
      <c r="L258" s="36"/>
      <c r="M258" s="29"/>
      <c r="N258" s="37"/>
      <c r="O258" s="30" t="n">
        <f aca="false">N258*J258</f>
        <v>0</v>
      </c>
    </row>
    <row r="259" customFormat="false" ht="15" hidden="false" customHeight="false" outlineLevel="0" collapsed="false">
      <c r="A259" s="33"/>
      <c r="B259" s="18" t="s">
        <v>20</v>
      </c>
      <c r="C259" s="29"/>
      <c r="D259" s="29"/>
      <c r="E259" s="29"/>
      <c r="F259" s="29"/>
      <c r="G259" s="34"/>
      <c r="H259" s="29"/>
      <c r="I259" s="35"/>
      <c r="J259" s="29"/>
      <c r="K259" s="29"/>
      <c r="L259" s="36"/>
      <c r="M259" s="29"/>
      <c r="N259" s="37"/>
      <c r="O259" s="30" t="n">
        <f aca="false">N259*J259</f>
        <v>0</v>
      </c>
    </row>
    <row r="260" customFormat="false" ht="15" hidden="false" customHeight="false" outlineLevel="0" collapsed="false">
      <c r="A260" s="33"/>
      <c r="B260" s="18" t="s">
        <v>20</v>
      </c>
      <c r="C260" s="29"/>
      <c r="D260" s="29"/>
      <c r="E260" s="29"/>
      <c r="F260" s="29"/>
      <c r="G260" s="34"/>
      <c r="H260" s="29"/>
      <c r="I260" s="35"/>
      <c r="J260" s="29"/>
      <c r="K260" s="29"/>
      <c r="L260" s="36"/>
      <c r="M260" s="29"/>
      <c r="N260" s="37"/>
      <c r="O260" s="30" t="n">
        <f aca="false">N260*J260</f>
        <v>0</v>
      </c>
    </row>
    <row r="261" customFormat="false" ht="15" hidden="false" customHeight="false" outlineLevel="0" collapsed="false">
      <c r="A261" s="33"/>
      <c r="B261" s="18" t="s">
        <v>20</v>
      </c>
      <c r="C261" s="29"/>
      <c r="D261" s="29"/>
      <c r="E261" s="29"/>
      <c r="F261" s="29"/>
      <c r="G261" s="34"/>
      <c r="H261" s="29"/>
      <c r="I261" s="35"/>
      <c r="J261" s="29"/>
      <c r="K261" s="29"/>
      <c r="L261" s="36"/>
      <c r="M261" s="29"/>
      <c r="N261" s="37"/>
      <c r="O261" s="30" t="n">
        <f aca="false">N261*J261</f>
        <v>0</v>
      </c>
    </row>
    <row r="262" customFormat="false" ht="15" hidden="false" customHeight="false" outlineLevel="0" collapsed="false">
      <c r="A262" s="33"/>
      <c r="B262" s="18" t="s">
        <v>20</v>
      </c>
      <c r="C262" s="29"/>
      <c r="D262" s="29"/>
      <c r="E262" s="29"/>
      <c r="F262" s="29"/>
      <c r="G262" s="34"/>
      <c r="H262" s="29"/>
      <c r="I262" s="35"/>
      <c r="J262" s="29"/>
      <c r="K262" s="29"/>
      <c r="L262" s="36"/>
      <c r="M262" s="29"/>
      <c r="N262" s="37"/>
      <c r="O262" s="30" t="n">
        <f aca="false">N262*J262</f>
        <v>0</v>
      </c>
    </row>
    <row r="263" customFormat="false" ht="15" hidden="false" customHeight="false" outlineLevel="0" collapsed="false">
      <c r="A263" s="33"/>
      <c r="B263" s="18" t="s">
        <v>20</v>
      </c>
      <c r="C263" s="29"/>
      <c r="D263" s="29"/>
      <c r="E263" s="29"/>
      <c r="F263" s="29"/>
      <c r="G263" s="34"/>
      <c r="H263" s="29"/>
      <c r="I263" s="35"/>
      <c r="J263" s="29"/>
      <c r="K263" s="29"/>
      <c r="L263" s="36"/>
      <c r="M263" s="29"/>
      <c r="N263" s="37"/>
      <c r="O263" s="30" t="n">
        <f aca="false">N263*J263</f>
        <v>0</v>
      </c>
    </row>
    <row r="264" customFormat="false" ht="15" hidden="false" customHeight="false" outlineLevel="0" collapsed="false">
      <c r="A264" s="33"/>
      <c r="B264" s="18" t="s">
        <v>20</v>
      </c>
      <c r="C264" s="29"/>
      <c r="D264" s="29"/>
      <c r="E264" s="29"/>
      <c r="F264" s="29"/>
      <c r="G264" s="34"/>
      <c r="H264" s="29"/>
      <c r="I264" s="35"/>
      <c r="J264" s="29"/>
      <c r="K264" s="29"/>
      <c r="L264" s="36"/>
      <c r="M264" s="29"/>
      <c r="N264" s="37"/>
      <c r="O264" s="30" t="n">
        <f aca="false">N264*J264</f>
        <v>0</v>
      </c>
    </row>
    <row r="265" customFormat="false" ht="15" hidden="false" customHeight="false" outlineLevel="0" collapsed="false">
      <c r="A265" s="33"/>
      <c r="B265" s="18" t="s">
        <v>20</v>
      </c>
      <c r="C265" s="29"/>
      <c r="D265" s="29"/>
      <c r="E265" s="29"/>
      <c r="F265" s="29"/>
      <c r="G265" s="34"/>
      <c r="H265" s="29"/>
      <c r="I265" s="35"/>
      <c r="J265" s="29"/>
      <c r="K265" s="29"/>
      <c r="L265" s="36"/>
      <c r="M265" s="29"/>
      <c r="N265" s="37"/>
      <c r="O265" s="30" t="n">
        <f aca="false">N265*J265</f>
        <v>0</v>
      </c>
    </row>
    <row r="266" customFormat="false" ht="15" hidden="false" customHeight="false" outlineLevel="0" collapsed="false">
      <c r="A266" s="33"/>
      <c r="B266" s="18" t="s">
        <v>20</v>
      </c>
      <c r="C266" s="29"/>
      <c r="D266" s="29"/>
      <c r="E266" s="29"/>
      <c r="F266" s="29"/>
      <c r="G266" s="34"/>
      <c r="H266" s="29"/>
      <c r="I266" s="35"/>
      <c r="J266" s="29"/>
      <c r="K266" s="29"/>
      <c r="L266" s="36"/>
      <c r="M266" s="29"/>
      <c r="N266" s="37"/>
      <c r="O266" s="30" t="n">
        <f aca="false">N266*J266</f>
        <v>0</v>
      </c>
    </row>
    <row r="267" customFormat="false" ht="15" hidden="false" customHeight="false" outlineLevel="0" collapsed="false">
      <c r="A267" s="33"/>
      <c r="B267" s="18" t="s">
        <v>20</v>
      </c>
      <c r="C267" s="29"/>
      <c r="D267" s="29"/>
      <c r="E267" s="29"/>
      <c r="F267" s="29"/>
      <c r="G267" s="34"/>
      <c r="H267" s="29"/>
      <c r="I267" s="35"/>
      <c r="J267" s="29"/>
      <c r="K267" s="29"/>
      <c r="L267" s="36"/>
      <c r="M267" s="29"/>
      <c r="N267" s="37"/>
      <c r="O267" s="30" t="n">
        <f aca="false">N267*J267</f>
        <v>0</v>
      </c>
    </row>
    <row r="268" customFormat="false" ht="15" hidden="false" customHeight="false" outlineLevel="0" collapsed="false">
      <c r="A268" s="33"/>
      <c r="B268" s="18" t="s">
        <v>20</v>
      </c>
      <c r="C268" s="29"/>
      <c r="D268" s="29"/>
      <c r="E268" s="29"/>
      <c r="F268" s="29"/>
      <c r="G268" s="34"/>
      <c r="H268" s="29"/>
      <c r="I268" s="35"/>
      <c r="J268" s="29"/>
      <c r="K268" s="29"/>
      <c r="L268" s="36"/>
      <c r="M268" s="29"/>
      <c r="N268" s="37"/>
      <c r="O268" s="30" t="n">
        <f aca="false">N268*J268</f>
        <v>0</v>
      </c>
    </row>
    <row r="269" customFormat="false" ht="15" hidden="false" customHeight="false" outlineLevel="0" collapsed="false">
      <c r="A269" s="33"/>
      <c r="B269" s="18" t="s">
        <v>20</v>
      </c>
      <c r="C269" s="29"/>
      <c r="D269" s="29"/>
      <c r="E269" s="29"/>
      <c r="F269" s="29"/>
      <c r="G269" s="34"/>
      <c r="H269" s="29"/>
      <c r="I269" s="35"/>
      <c r="J269" s="29"/>
      <c r="K269" s="29"/>
      <c r="L269" s="36"/>
      <c r="M269" s="29"/>
      <c r="N269" s="37"/>
      <c r="O269" s="30" t="n">
        <f aca="false">N269*J269</f>
        <v>0</v>
      </c>
    </row>
    <row r="270" customFormat="false" ht="15" hidden="false" customHeight="false" outlineLevel="0" collapsed="false">
      <c r="A270" s="33"/>
      <c r="B270" s="18" t="s">
        <v>20</v>
      </c>
      <c r="C270" s="29"/>
      <c r="D270" s="29"/>
      <c r="E270" s="29"/>
      <c r="F270" s="29"/>
      <c r="G270" s="34"/>
      <c r="H270" s="29"/>
      <c r="I270" s="35"/>
      <c r="J270" s="29"/>
      <c r="K270" s="29"/>
      <c r="L270" s="36"/>
      <c r="M270" s="29"/>
      <c r="N270" s="37"/>
      <c r="O270" s="30" t="n">
        <f aca="false">N270*J270</f>
        <v>0</v>
      </c>
    </row>
    <row r="271" customFormat="false" ht="15" hidden="false" customHeight="false" outlineLevel="0" collapsed="false">
      <c r="A271" s="33"/>
      <c r="B271" s="18" t="s">
        <v>20</v>
      </c>
      <c r="C271" s="29"/>
      <c r="D271" s="29"/>
      <c r="E271" s="29"/>
      <c r="F271" s="29"/>
      <c r="G271" s="34"/>
      <c r="H271" s="29"/>
      <c r="I271" s="35"/>
      <c r="J271" s="29"/>
      <c r="K271" s="29"/>
      <c r="L271" s="36"/>
      <c r="M271" s="29"/>
      <c r="N271" s="37"/>
      <c r="O271" s="30" t="n">
        <f aca="false">N271*J271</f>
        <v>0</v>
      </c>
    </row>
    <row r="272" customFormat="false" ht="15" hidden="false" customHeight="false" outlineLevel="0" collapsed="false">
      <c r="A272" s="33"/>
      <c r="B272" s="18" t="s">
        <v>20</v>
      </c>
      <c r="C272" s="29"/>
      <c r="D272" s="29"/>
      <c r="E272" s="29"/>
      <c r="F272" s="29"/>
      <c r="G272" s="34"/>
      <c r="H272" s="29"/>
      <c r="I272" s="35"/>
      <c r="J272" s="29"/>
      <c r="K272" s="29"/>
      <c r="L272" s="36"/>
      <c r="M272" s="29"/>
      <c r="N272" s="37"/>
      <c r="O272" s="30" t="n">
        <f aca="false">N272*J272</f>
        <v>0</v>
      </c>
    </row>
    <row r="273" customFormat="false" ht="15" hidden="false" customHeight="false" outlineLevel="0" collapsed="false">
      <c r="A273" s="33"/>
      <c r="B273" s="18" t="s">
        <v>20</v>
      </c>
      <c r="C273" s="29"/>
      <c r="D273" s="29"/>
      <c r="E273" s="29"/>
      <c r="F273" s="29"/>
      <c r="G273" s="34"/>
      <c r="H273" s="29"/>
      <c r="I273" s="35"/>
      <c r="J273" s="29"/>
      <c r="K273" s="29"/>
      <c r="L273" s="36"/>
      <c r="M273" s="29"/>
      <c r="N273" s="37"/>
      <c r="O273" s="30" t="n">
        <f aca="false">N273*J273</f>
        <v>0</v>
      </c>
    </row>
    <row r="274" customFormat="false" ht="15" hidden="false" customHeight="false" outlineLevel="0" collapsed="false">
      <c r="A274" s="33"/>
      <c r="B274" s="18" t="s">
        <v>20</v>
      </c>
      <c r="C274" s="29"/>
      <c r="D274" s="29"/>
      <c r="E274" s="29"/>
      <c r="F274" s="29"/>
      <c r="G274" s="34"/>
      <c r="H274" s="29"/>
      <c r="I274" s="35"/>
      <c r="J274" s="29"/>
      <c r="K274" s="29"/>
      <c r="L274" s="36"/>
      <c r="M274" s="29"/>
      <c r="N274" s="37"/>
      <c r="O274" s="30" t="n">
        <f aca="false">N274*J274</f>
        <v>0</v>
      </c>
    </row>
    <row r="275" customFormat="false" ht="15" hidden="false" customHeight="false" outlineLevel="0" collapsed="false">
      <c r="A275" s="33"/>
      <c r="B275" s="18" t="s">
        <v>20</v>
      </c>
      <c r="C275" s="29"/>
      <c r="D275" s="29"/>
      <c r="E275" s="29"/>
      <c r="F275" s="29"/>
      <c r="G275" s="34"/>
      <c r="H275" s="29"/>
      <c r="I275" s="35"/>
      <c r="J275" s="29"/>
      <c r="K275" s="29"/>
      <c r="L275" s="36"/>
      <c r="M275" s="29"/>
      <c r="N275" s="37"/>
      <c r="O275" s="30" t="n">
        <f aca="false">N275*J275</f>
        <v>0</v>
      </c>
    </row>
    <row r="276" customFormat="false" ht="15" hidden="false" customHeight="false" outlineLevel="0" collapsed="false">
      <c r="A276" s="33"/>
      <c r="B276" s="18" t="s">
        <v>20</v>
      </c>
      <c r="C276" s="29"/>
      <c r="D276" s="29"/>
      <c r="E276" s="29"/>
      <c r="F276" s="29"/>
      <c r="G276" s="34"/>
      <c r="H276" s="29"/>
      <c r="I276" s="35"/>
      <c r="J276" s="29"/>
      <c r="K276" s="29"/>
      <c r="L276" s="36"/>
      <c r="M276" s="29"/>
      <c r="N276" s="37"/>
      <c r="O276" s="30" t="n">
        <f aca="false">N276*J276</f>
        <v>0</v>
      </c>
    </row>
    <row r="277" customFormat="false" ht="15" hidden="false" customHeight="false" outlineLevel="0" collapsed="false">
      <c r="A277" s="33"/>
      <c r="B277" s="18" t="s">
        <v>20</v>
      </c>
      <c r="C277" s="29"/>
      <c r="D277" s="29"/>
      <c r="E277" s="29"/>
      <c r="F277" s="29"/>
      <c r="G277" s="34"/>
      <c r="H277" s="29"/>
      <c r="I277" s="35"/>
      <c r="J277" s="29"/>
      <c r="K277" s="29"/>
      <c r="L277" s="36"/>
      <c r="M277" s="29"/>
      <c r="N277" s="37"/>
      <c r="O277" s="30" t="n">
        <f aca="false">N277*J277</f>
        <v>0</v>
      </c>
    </row>
    <row r="278" customFormat="false" ht="15" hidden="false" customHeight="false" outlineLevel="0" collapsed="false">
      <c r="A278" s="33"/>
      <c r="B278" s="18" t="s">
        <v>20</v>
      </c>
      <c r="C278" s="29"/>
      <c r="D278" s="29"/>
      <c r="E278" s="29"/>
      <c r="F278" s="29"/>
      <c r="G278" s="34"/>
      <c r="H278" s="29"/>
      <c r="I278" s="35"/>
      <c r="J278" s="29"/>
      <c r="K278" s="29"/>
      <c r="L278" s="36"/>
      <c r="M278" s="29"/>
      <c r="N278" s="37"/>
      <c r="O278" s="30" t="n">
        <f aca="false">N278*J278</f>
        <v>0</v>
      </c>
    </row>
    <row r="279" customFormat="false" ht="15" hidden="false" customHeight="false" outlineLevel="0" collapsed="false">
      <c r="A279" s="33"/>
      <c r="B279" s="18" t="s">
        <v>20</v>
      </c>
      <c r="C279" s="29"/>
      <c r="D279" s="29"/>
      <c r="E279" s="29"/>
      <c r="F279" s="29"/>
      <c r="G279" s="34"/>
      <c r="H279" s="29"/>
      <c r="I279" s="35"/>
      <c r="J279" s="29"/>
      <c r="K279" s="29"/>
      <c r="L279" s="36"/>
      <c r="M279" s="29"/>
      <c r="N279" s="37"/>
      <c r="O279" s="30" t="n">
        <f aca="false">N279*J279</f>
        <v>0</v>
      </c>
    </row>
    <row r="280" customFormat="false" ht="15" hidden="false" customHeight="false" outlineLevel="0" collapsed="false">
      <c r="A280" s="33"/>
      <c r="B280" s="18" t="s">
        <v>20</v>
      </c>
      <c r="C280" s="29"/>
      <c r="D280" s="29"/>
      <c r="E280" s="29"/>
      <c r="F280" s="29"/>
      <c r="G280" s="34"/>
      <c r="H280" s="29"/>
      <c r="I280" s="35"/>
      <c r="J280" s="29"/>
      <c r="K280" s="29"/>
      <c r="L280" s="36"/>
      <c r="M280" s="29"/>
      <c r="N280" s="37"/>
      <c r="O280" s="30" t="n">
        <f aca="false">N280*J280</f>
        <v>0</v>
      </c>
    </row>
    <row r="281" customFormat="false" ht="15" hidden="false" customHeight="false" outlineLevel="0" collapsed="false">
      <c r="A281" s="33"/>
      <c r="B281" s="18" t="s">
        <v>20</v>
      </c>
      <c r="C281" s="29"/>
      <c r="D281" s="29"/>
      <c r="E281" s="29"/>
      <c r="F281" s="29"/>
      <c r="G281" s="34"/>
      <c r="H281" s="29"/>
      <c r="I281" s="35"/>
      <c r="J281" s="29"/>
      <c r="K281" s="29"/>
      <c r="L281" s="36"/>
      <c r="M281" s="29"/>
      <c r="N281" s="37"/>
      <c r="O281" s="30" t="n">
        <f aca="false">N281*J281</f>
        <v>0</v>
      </c>
    </row>
    <row r="282" customFormat="false" ht="15" hidden="false" customHeight="false" outlineLevel="0" collapsed="false">
      <c r="A282" s="33"/>
      <c r="B282" s="18" t="s">
        <v>20</v>
      </c>
      <c r="C282" s="29"/>
      <c r="D282" s="29"/>
      <c r="E282" s="29"/>
      <c r="F282" s="29"/>
      <c r="G282" s="34"/>
      <c r="H282" s="29"/>
      <c r="I282" s="35"/>
      <c r="J282" s="29"/>
      <c r="K282" s="29"/>
      <c r="L282" s="36"/>
      <c r="M282" s="29"/>
      <c r="N282" s="37"/>
      <c r="O282" s="30" t="n">
        <f aca="false">N282*J282</f>
        <v>0</v>
      </c>
    </row>
    <row r="283" customFormat="false" ht="15" hidden="false" customHeight="false" outlineLevel="0" collapsed="false">
      <c r="A283" s="33"/>
      <c r="B283" s="18" t="s">
        <v>20</v>
      </c>
      <c r="C283" s="29"/>
      <c r="D283" s="29"/>
      <c r="E283" s="29"/>
      <c r="F283" s="29"/>
      <c r="G283" s="34"/>
      <c r="H283" s="29"/>
      <c r="I283" s="35"/>
      <c r="J283" s="29"/>
      <c r="K283" s="29"/>
      <c r="L283" s="36"/>
      <c r="M283" s="29"/>
      <c r="N283" s="37"/>
      <c r="O283" s="30" t="n">
        <f aca="false">N283*J283</f>
        <v>0</v>
      </c>
    </row>
    <row r="284" customFormat="false" ht="15" hidden="false" customHeight="false" outlineLevel="0" collapsed="false">
      <c r="A284" s="33"/>
      <c r="B284" s="18" t="s">
        <v>20</v>
      </c>
      <c r="C284" s="29"/>
      <c r="D284" s="29"/>
      <c r="E284" s="29"/>
      <c r="F284" s="29"/>
      <c r="G284" s="34"/>
      <c r="H284" s="29"/>
      <c r="I284" s="35"/>
      <c r="J284" s="29"/>
      <c r="K284" s="29"/>
      <c r="L284" s="36"/>
      <c r="M284" s="29"/>
      <c r="N284" s="37"/>
      <c r="O284" s="30" t="n">
        <f aca="false">N284*J284</f>
        <v>0</v>
      </c>
    </row>
    <row r="285" customFormat="false" ht="15" hidden="false" customHeight="false" outlineLevel="0" collapsed="false">
      <c r="A285" s="33"/>
      <c r="B285" s="18" t="s">
        <v>20</v>
      </c>
      <c r="C285" s="29"/>
      <c r="D285" s="29"/>
      <c r="E285" s="29"/>
      <c r="F285" s="29"/>
      <c r="G285" s="34"/>
      <c r="H285" s="29"/>
      <c r="I285" s="35"/>
      <c r="J285" s="29"/>
      <c r="K285" s="29"/>
      <c r="L285" s="36"/>
      <c r="M285" s="29"/>
      <c r="N285" s="37"/>
      <c r="O285" s="30" t="n">
        <f aca="false">N285*J285</f>
        <v>0</v>
      </c>
    </row>
    <row r="286" customFormat="false" ht="15" hidden="false" customHeight="false" outlineLevel="0" collapsed="false">
      <c r="A286" s="33"/>
      <c r="B286" s="18" t="s">
        <v>20</v>
      </c>
      <c r="C286" s="29"/>
      <c r="D286" s="29"/>
      <c r="E286" s="29"/>
      <c r="F286" s="29"/>
      <c r="G286" s="34"/>
      <c r="H286" s="29"/>
      <c r="I286" s="35"/>
      <c r="J286" s="29"/>
      <c r="K286" s="29"/>
      <c r="L286" s="36"/>
      <c r="M286" s="29"/>
      <c r="N286" s="37"/>
      <c r="O286" s="30" t="n">
        <f aca="false">N286*J286</f>
        <v>0</v>
      </c>
    </row>
    <row r="287" customFormat="false" ht="15" hidden="false" customHeight="false" outlineLevel="0" collapsed="false">
      <c r="A287" s="33"/>
      <c r="B287" s="18" t="s">
        <v>20</v>
      </c>
      <c r="C287" s="29"/>
      <c r="D287" s="29"/>
      <c r="E287" s="29"/>
      <c r="F287" s="29"/>
      <c r="G287" s="34"/>
      <c r="H287" s="29"/>
      <c r="I287" s="35"/>
      <c r="J287" s="29"/>
      <c r="K287" s="29"/>
      <c r="L287" s="36"/>
      <c r="M287" s="29"/>
      <c r="N287" s="37"/>
      <c r="O287" s="30" t="n">
        <f aca="false">N287*J287</f>
        <v>0</v>
      </c>
    </row>
    <row r="288" customFormat="false" ht="15" hidden="false" customHeight="false" outlineLevel="0" collapsed="false">
      <c r="A288" s="33"/>
      <c r="B288" s="18" t="s">
        <v>20</v>
      </c>
      <c r="C288" s="29"/>
      <c r="D288" s="29"/>
      <c r="E288" s="29"/>
      <c r="F288" s="29"/>
      <c r="G288" s="34"/>
      <c r="H288" s="29"/>
      <c r="I288" s="35"/>
      <c r="J288" s="29"/>
      <c r="K288" s="29"/>
      <c r="L288" s="36"/>
      <c r="M288" s="29"/>
      <c r="N288" s="37"/>
      <c r="O288" s="30" t="n">
        <f aca="false">N288*J288</f>
        <v>0</v>
      </c>
    </row>
    <row r="289" customFormat="false" ht="15" hidden="false" customHeight="false" outlineLevel="0" collapsed="false">
      <c r="A289" s="33"/>
      <c r="B289" s="18" t="s">
        <v>20</v>
      </c>
      <c r="C289" s="29"/>
      <c r="D289" s="29"/>
      <c r="E289" s="29"/>
      <c r="F289" s="29"/>
      <c r="G289" s="34"/>
      <c r="H289" s="29"/>
      <c r="I289" s="35"/>
      <c r="J289" s="29"/>
      <c r="K289" s="29"/>
      <c r="L289" s="36"/>
      <c r="M289" s="29"/>
      <c r="N289" s="37"/>
      <c r="O289" s="30" t="n">
        <f aca="false">N289*J289</f>
        <v>0</v>
      </c>
    </row>
    <row r="290" customFormat="false" ht="15" hidden="false" customHeight="false" outlineLevel="0" collapsed="false">
      <c r="A290" s="33"/>
      <c r="B290" s="18" t="s">
        <v>20</v>
      </c>
      <c r="C290" s="29"/>
      <c r="D290" s="29"/>
      <c r="E290" s="29"/>
      <c r="F290" s="29"/>
      <c r="G290" s="34"/>
      <c r="H290" s="29"/>
      <c r="I290" s="35"/>
      <c r="J290" s="29"/>
      <c r="K290" s="29"/>
      <c r="L290" s="36"/>
      <c r="M290" s="29"/>
      <c r="N290" s="37"/>
      <c r="O290" s="30" t="n">
        <f aca="false">N290*J290</f>
        <v>0</v>
      </c>
    </row>
    <row r="291" customFormat="false" ht="15" hidden="false" customHeight="false" outlineLevel="0" collapsed="false">
      <c r="A291" s="33"/>
      <c r="B291" s="18" t="s">
        <v>20</v>
      </c>
      <c r="C291" s="29"/>
      <c r="D291" s="29"/>
      <c r="E291" s="29"/>
      <c r="F291" s="29"/>
      <c r="G291" s="34"/>
      <c r="H291" s="29"/>
      <c r="I291" s="35"/>
      <c r="J291" s="29"/>
      <c r="K291" s="29"/>
      <c r="L291" s="36"/>
      <c r="M291" s="29"/>
      <c r="N291" s="37"/>
      <c r="O291" s="30" t="n">
        <f aca="false">N291*J291</f>
        <v>0</v>
      </c>
    </row>
    <row r="292" customFormat="false" ht="15" hidden="false" customHeight="false" outlineLevel="0" collapsed="false">
      <c r="A292" s="33"/>
      <c r="B292" s="18" t="s">
        <v>20</v>
      </c>
      <c r="C292" s="29"/>
      <c r="D292" s="29"/>
      <c r="E292" s="29"/>
      <c r="F292" s="29"/>
      <c r="G292" s="34"/>
      <c r="H292" s="29"/>
      <c r="I292" s="35"/>
      <c r="J292" s="29"/>
      <c r="K292" s="29"/>
      <c r="L292" s="36"/>
      <c r="M292" s="29"/>
      <c r="N292" s="37"/>
      <c r="O292" s="30" t="n">
        <f aca="false">N292*J292</f>
        <v>0</v>
      </c>
    </row>
    <row r="293" customFormat="false" ht="15" hidden="false" customHeight="false" outlineLevel="0" collapsed="false">
      <c r="A293" s="33"/>
      <c r="B293" s="18" t="s">
        <v>20</v>
      </c>
      <c r="C293" s="29"/>
      <c r="D293" s="29"/>
      <c r="E293" s="29"/>
      <c r="F293" s="29"/>
      <c r="G293" s="34"/>
      <c r="H293" s="29"/>
      <c r="I293" s="35"/>
      <c r="J293" s="29"/>
      <c r="K293" s="29"/>
      <c r="L293" s="36"/>
      <c r="M293" s="29"/>
      <c r="N293" s="37"/>
      <c r="O293" s="30" t="n">
        <f aca="false">N293*J293</f>
        <v>0</v>
      </c>
    </row>
    <row r="294" customFormat="false" ht="15" hidden="false" customHeight="false" outlineLevel="0" collapsed="false">
      <c r="A294" s="33"/>
      <c r="B294" s="18" t="s">
        <v>20</v>
      </c>
      <c r="C294" s="29"/>
      <c r="D294" s="29"/>
      <c r="E294" s="29"/>
      <c r="F294" s="29"/>
      <c r="G294" s="34"/>
      <c r="H294" s="29"/>
      <c r="I294" s="35"/>
      <c r="J294" s="29"/>
      <c r="K294" s="29"/>
      <c r="L294" s="36"/>
      <c r="M294" s="29"/>
      <c r="N294" s="37"/>
      <c r="O294" s="30" t="n">
        <f aca="false">N294*J294</f>
        <v>0</v>
      </c>
    </row>
    <row r="295" customFormat="false" ht="15" hidden="false" customHeight="false" outlineLevel="0" collapsed="false">
      <c r="A295" s="33"/>
      <c r="B295" s="18" t="s">
        <v>20</v>
      </c>
      <c r="C295" s="29"/>
      <c r="D295" s="29"/>
      <c r="E295" s="29"/>
      <c r="F295" s="29"/>
      <c r="G295" s="34"/>
      <c r="H295" s="29"/>
      <c r="I295" s="35"/>
      <c r="J295" s="29"/>
      <c r="K295" s="29"/>
      <c r="L295" s="36"/>
      <c r="M295" s="29"/>
      <c r="N295" s="37"/>
      <c r="O295" s="30" t="n">
        <f aca="false">N295*J295</f>
        <v>0</v>
      </c>
    </row>
    <row r="296" customFormat="false" ht="15" hidden="false" customHeight="false" outlineLevel="0" collapsed="false">
      <c r="A296" s="33"/>
      <c r="B296" s="18" t="s">
        <v>20</v>
      </c>
      <c r="C296" s="29"/>
      <c r="D296" s="29"/>
      <c r="E296" s="29"/>
      <c r="F296" s="29"/>
      <c r="G296" s="34"/>
      <c r="H296" s="29"/>
      <c r="I296" s="35"/>
      <c r="J296" s="29"/>
      <c r="K296" s="29"/>
      <c r="L296" s="36"/>
      <c r="M296" s="29"/>
      <c r="N296" s="37"/>
      <c r="O296" s="30" t="n">
        <f aca="false">N296*J296</f>
        <v>0</v>
      </c>
    </row>
    <row r="297" customFormat="false" ht="15" hidden="false" customHeight="false" outlineLevel="0" collapsed="false">
      <c r="A297" s="33"/>
      <c r="B297" s="18" t="s">
        <v>20</v>
      </c>
      <c r="C297" s="29"/>
      <c r="D297" s="29"/>
      <c r="E297" s="29"/>
      <c r="F297" s="29"/>
      <c r="G297" s="34"/>
      <c r="H297" s="29"/>
      <c r="I297" s="35"/>
      <c r="J297" s="29"/>
      <c r="K297" s="29"/>
      <c r="L297" s="36"/>
      <c r="M297" s="29"/>
      <c r="N297" s="37"/>
      <c r="O297" s="30" t="n">
        <f aca="false">N297*J297</f>
        <v>0</v>
      </c>
    </row>
    <row r="298" customFormat="false" ht="15" hidden="false" customHeight="false" outlineLevel="0" collapsed="false">
      <c r="A298" s="33"/>
      <c r="B298" s="18" t="s">
        <v>20</v>
      </c>
      <c r="C298" s="29"/>
      <c r="D298" s="29"/>
      <c r="E298" s="29"/>
      <c r="F298" s="29"/>
      <c r="G298" s="36"/>
      <c r="H298" s="29"/>
      <c r="I298" s="35"/>
      <c r="J298" s="29"/>
      <c r="K298" s="29"/>
      <c r="L298" s="36"/>
      <c r="M298" s="29"/>
      <c r="N298" s="37"/>
      <c r="O298" s="30" t="n">
        <f aca="false">N298*J298</f>
        <v>0</v>
      </c>
    </row>
    <row r="299" customFormat="false" ht="15" hidden="false" customHeight="false" outlineLevel="0" collapsed="false">
      <c r="A299" s="33"/>
      <c r="B299" s="18" t="s">
        <v>20</v>
      </c>
      <c r="C299" s="29"/>
      <c r="D299" s="29"/>
      <c r="E299" s="29"/>
      <c r="F299" s="29"/>
      <c r="G299" s="36"/>
      <c r="H299" s="29"/>
      <c r="I299" s="35"/>
      <c r="J299" s="29"/>
      <c r="K299" s="29"/>
      <c r="L299" s="36"/>
      <c r="M299" s="29"/>
      <c r="N299" s="37"/>
      <c r="O299" s="30" t="n">
        <f aca="false">N299*J299</f>
        <v>0</v>
      </c>
    </row>
    <row r="300" customFormat="false" ht="15" hidden="false" customHeight="false" outlineLevel="0" collapsed="false">
      <c r="A300" s="33"/>
      <c r="B300" s="18" t="s">
        <v>20</v>
      </c>
      <c r="C300" s="29"/>
      <c r="D300" s="29"/>
      <c r="E300" s="29"/>
      <c r="F300" s="29"/>
      <c r="G300" s="36"/>
      <c r="H300" s="29"/>
      <c r="I300" s="35"/>
      <c r="J300" s="29"/>
      <c r="K300" s="29"/>
      <c r="L300" s="36"/>
      <c r="M300" s="29"/>
      <c r="N300" s="37"/>
      <c r="O300" s="30" t="n">
        <f aca="false">N300*J300</f>
        <v>0</v>
      </c>
    </row>
    <row r="301" customFormat="false" ht="15" hidden="false" customHeight="false" outlineLevel="0" collapsed="false">
      <c r="A301" s="33"/>
      <c r="B301" s="18" t="s">
        <v>20</v>
      </c>
      <c r="C301" s="29"/>
      <c r="D301" s="29"/>
      <c r="E301" s="29"/>
      <c r="F301" s="29"/>
      <c r="G301" s="36"/>
      <c r="H301" s="29"/>
      <c r="I301" s="35"/>
      <c r="J301" s="29"/>
      <c r="K301" s="29"/>
      <c r="L301" s="36"/>
      <c r="M301" s="29"/>
      <c r="N301" s="37"/>
      <c r="O301" s="30" t="n">
        <f aca="false">N301*J301</f>
        <v>0</v>
      </c>
    </row>
    <row r="302" customFormat="false" ht="15" hidden="false" customHeight="false" outlineLevel="0" collapsed="false">
      <c r="A302" s="33"/>
      <c r="B302" s="18" t="s">
        <v>20</v>
      </c>
      <c r="C302" s="29"/>
      <c r="D302" s="29"/>
      <c r="E302" s="29"/>
      <c r="F302" s="29"/>
      <c r="G302" s="36"/>
      <c r="H302" s="29"/>
      <c r="I302" s="35"/>
      <c r="J302" s="29"/>
      <c r="K302" s="29"/>
      <c r="L302" s="36"/>
      <c r="M302" s="29"/>
      <c r="N302" s="37"/>
      <c r="O302" s="30" t="n">
        <f aca="false">N302*J302</f>
        <v>0</v>
      </c>
    </row>
    <row r="303" customFormat="false" ht="15" hidden="false" customHeight="false" outlineLevel="0" collapsed="false">
      <c r="A303" s="33"/>
      <c r="B303" s="18" t="s">
        <v>20</v>
      </c>
      <c r="C303" s="29"/>
      <c r="D303" s="29"/>
      <c r="E303" s="29"/>
      <c r="F303" s="29"/>
      <c r="G303" s="36"/>
      <c r="H303" s="29"/>
      <c r="I303" s="35"/>
      <c r="J303" s="29"/>
      <c r="K303" s="29"/>
      <c r="L303" s="36"/>
      <c r="M303" s="29"/>
      <c r="N303" s="37"/>
      <c r="O303" s="30" t="n">
        <f aca="false">N303*J303</f>
        <v>0</v>
      </c>
    </row>
    <row r="304" customFormat="false" ht="15" hidden="false" customHeight="false" outlineLevel="0" collapsed="false">
      <c r="A304" s="33"/>
      <c r="B304" s="18" t="s">
        <v>20</v>
      </c>
      <c r="C304" s="29"/>
      <c r="D304" s="29"/>
      <c r="E304" s="29"/>
      <c r="F304" s="29"/>
      <c r="G304" s="36"/>
      <c r="H304" s="29"/>
      <c r="I304" s="35"/>
      <c r="J304" s="29"/>
      <c r="K304" s="29"/>
      <c r="L304" s="36"/>
      <c r="M304" s="29"/>
      <c r="N304" s="37"/>
      <c r="O304" s="30" t="n">
        <f aca="false">N304*J304</f>
        <v>0</v>
      </c>
    </row>
    <row r="305" customFormat="false" ht="15" hidden="false" customHeight="false" outlineLevel="0" collapsed="false">
      <c r="A305" s="33"/>
      <c r="B305" s="18" t="s">
        <v>20</v>
      </c>
      <c r="C305" s="29"/>
      <c r="D305" s="29"/>
      <c r="E305" s="29"/>
      <c r="F305" s="29"/>
      <c r="G305" s="36"/>
      <c r="H305" s="29"/>
      <c r="I305" s="35"/>
      <c r="J305" s="29"/>
      <c r="K305" s="29"/>
      <c r="L305" s="36"/>
      <c r="M305" s="29"/>
      <c r="N305" s="37"/>
      <c r="O305" s="30" t="n">
        <f aca="false">N305*J305</f>
        <v>0</v>
      </c>
    </row>
    <row r="306" customFormat="false" ht="15" hidden="false" customHeight="false" outlineLevel="0" collapsed="false">
      <c r="A306" s="33"/>
      <c r="B306" s="18" t="s">
        <v>20</v>
      </c>
      <c r="C306" s="29"/>
      <c r="D306" s="29"/>
      <c r="E306" s="29"/>
      <c r="F306" s="29"/>
      <c r="G306" s="36"/>
      <c r="H306" s="29"/>
      <c r="I306" s="35"/>
      <c r="J306" s="29"/>
      <c r="K306" s="29"/>
      <c r="L306" s="36"/>
      <c r="M306" s="29"/>
      <c r="N306" s="37"/>
      <c r="O306" s="30" t="n">
        <f aca="false">N306*J306</f>
        <v>0</v>
      </c>
    </row>
    <row r="307" customFormat="false" ht="15" hidden="false" customHeight="false" outlineLevel="0" collapsed="false">
      <c r="A307" s="33"/>
      <c r="B307" s="18" t="s">
        <v>20</v>
      </c>
      <c r="C307" s="29"/>
      <c r="D307" s="29"/>
      <c r="E307" s="29"/>
      <c r="F307" s="29"/>
      <c r="G307" s="36"/>
      <c r="H307" s="29"/>
      <c r="I307" s="35"/>
      <c r="J307" s="29"/>
      <c r="K307" s="29"/>
      <c r="L307" s="36"/>
      <c r="M307" s="29"/>
      <c r="N307" s="37"/>
      <c r="O307" s="30" t="n">
        <f aca="false">N307*J307</f>
        <v>0</v>
      </c>
    </row>
    <row r="308" customFormat="false" ht="15" hidden="false" customHeight="false" outlineLevel="0" collapsed="false">
      <c r="A308" s="33"/>
      <c r="B308" s="18" t="s">
        <v>20</v>
      </c>
      <c r="C308" s="29"/>
      <c r="D308" s="29"/>
      <c r="E308" s="29"/>
      <c r="F308" s="29"/>
      <c r="G308" s="36"/>
      <c r="H308" s="29"/>
      <c r="I308" s="35"/>
      <c r="J308" s="29"/>
      <c r="K308" s="29"/>
      <c r="L308" s="36"/>
      <c r="M308" s="29"/>
      <c r="N308" s="37"/>
      <c r="O308" s="30" t="n">
        <f aca="false">N308*J308</f>
        <v>0</v>
      </c>
    </row>
    <row r="309" customFormat="false" ht="15" hidden="false" customHeight="false" outlineLevel="0" collapsed="false">
      <c r="A309" s="33"/>
      <c r="B309" s="18" t="s">
        <v>20</v>
      </c>
      <c r="C309" s="29"/>
      <c r="D309" s="29"/>
      <c r="E309" s="29"/>
      <c r="F309" s="29"/>
      <c r="G309" s="36"/>
      <c r="H309" s="29"/>
      <c r="I309" s="35"/>
      <c r="J309" s="29"/>
      <c r="K309" s="29"/>
      <c r="L309" s="36"/>
      <c r="M309" s="29"/>
      <c r="N309" s="37"/>
      <c r="O309" s="30" t="n">
        <f aca="false">N309*J309</f>
        <v>0</v>
      </c>
    </row>
    <row r="310" customFormat="false" ht="15" hidden="false" customHeight="false" outlineLevel="0" collapsed="false">
      <c r="A310" s="33"/>
      <c r="B310" s="28" t="s">
        <v>21</v>
      </c>
      <c r="C310" s="29"/>
      <c r="D310" s="29"/>
      <c r="E310" s="29"/>
      <c r="F310" s="29"/>
      <c r="G310" s="36"/>
      <c r="H310" s="29"/>
      <c r="I310" s="35"/>
      <c r="J310" s="29"/>
      <c r="K310" s="29"/>
      <c r="L310" s="36"/>
      <c r="M310" s="29"/>
      <c r="N310" s="37"/>
      <c r="O310" s="30" t="n">
        <f aca="false">N310*J310</f>
        <v>0</v>
      </c>
    </row>
    <row r="311" customFormat="false" ht="15" hidden="false" customHeight="false" outlineLevel="0" collapsed="false">
      <c r="A311" s="33"/>
      <c r="B311" s="28" t="s">
        <v>21</v>
      </c>
      <c r="C311" s="29"/>
      <c r="D311" s="29"/>
      <c r="E311" s="29"/>
      <c r="F311" s="29"/>
      <c r="G311" s="36"/>
      <c r="H311" s="29"/>
      <c r="I311" s="35"/>
      <c r="J311" s="29"/>
      <c r="K311" s="29"/>
      <c r="L311" s="36"/>
      <c r="M311" s="29"/>
      <c r="N311" s="37"/>
      <c r="O311" s="30" t="n">
        <f aca="false">N311*J311</f>
        <v>0</v>
      </c>
    </row>
    <row r="312" customFormat="false" ht="15" hidden="false" customHeight="false" outlineLevel="0" collapsed="false">
      <c r="A312" s="42"/>
      <c r="B312" s="28" t="s">
        <v>21</v>
      </c>
      <c r="C312" s="41"/>
      <c r="D312" s="41"/>
      <c r="E312" s="41"/>
      <c r="F312" s="41"/>
      <c r="G312" s="34"/>
      <c r="H312" s="41"/>
      <c r="I312" s="43"/>
      <c r="J312" s="41"/>
      <c r="K312" s="41"/>
      <c r="L312" s="36"/>
      <c r="M312" s="29"/>
      <c r="N312" s="37"/>
      <c r="O312" s="30" t="n">
        <f aca="false">N312*J312</f>
        <v>0</v>
      </c>
    </row>
    <row r="313" customFormat="false" ht="15" hidden="false" customHeight="false" outlineLevel="0" collapsed="false">
      <c r="A313" s="33"/>
      <c r="B313" s="28" t="s">
        <v>21</v>
      </c>
      <c r="C313" s="29"/>
      <c r="D313" s="29"/>
      <c r="E313" s="29"/>
      <c r="F313" s="29"/>
      <c r="G313" s="36"/>
      <c r="H313" s="29"/>
      <c r="I313" s="35"/>
      <c r="J313" s="29"/>
      <c r="K313" s="29"/>
      <c r="L313" s="36"/>
      <c r="M313" s="29"/>
      <c r="N313" s="37"/>
      <c r="O313" s="30" t="n">
        <f aca="false">N313*J313</f>
        <v>0</v>
      </c>
    </row>
    <row r="314" customFormat="false" ht="15" hidden="false" customHeight="false" outlineLevel="0" collapsed="false">
      <c r="A314" s="33"/>
      <c r="B314" s="28" t="s">
        <v>21</v>
      </c>
      <c r="C314" s="29"/>
      <c r="D314" s="29"/>
      <c r="E314" s="29"/>
      <c r="F314" s="29"/>
      <c r="G314" s="36"/>
      <c r="H314" s="29"/>
      <c r="I314" s="35"/>
      <c r="J314" s="29"/>
      <c r="K314" s="29"/>
      <c r="L314" s="36"/>
      <c r="M314" s="29"/>
      <c r="N314" s="37"/>
      <c r="O314" s="30" t="n">
        <f aca="false">N314*J314</f>
        <v>0</v>
      </c>
    </row>
    <row r="315" customFormat="false" ht="15" hidden="false" customHeight="false" outlineLevel="0" collapsed="false">
      <c r="A315" s="33"/>
      <c r="B315" s="28" t="s">
        <v>21</v>
      </c>
      <c r="C315" s="29"/>
      <c r="D315" s="29"/>
      <c r="E315" s="29"/>
      <c r="F315" s="29"/>
      <c r="G315" s="36"/>
      <c r="H315" s="29"/>
      <c r="I315" s="35"/>
      <c r="J315" s="29"/>
      <c r="K315" s="29"/>
      <c r="L315" s="36"/>
      <c r="M315" s="29"/>
      <c r="N315" s="37"/>
      <c r="O315" s="30" t="n">
        <f aca="false">N315*J315</f>
        <v>0</v>
      </c>
    </row>
    <row r="316" customFormat="false" ht="15" hidden="false" customHeight="false" outlineLevel="0" collapsed="false">
      <c r="A316" s="33"/>
      <c r="B316" s="28" t="s">
        <v>21</v>
      </c>
      <c r="C316" s="29"/>
      <c r="D316" s="29"/>
      <c r="E316" s="29"/>
      <c r="F316" s="29"/>
      <c r="G316" s="36"/>
      <c r="H316" s="29"/>
      <c r="I316" s="35"/>
      <c r="J316" s="29"/>
      <c r="K316" s="29"/>
      <c r="L316" s="36"/>
      <c r="M316" s="29"/>
      <c r="N316" s="37"/>
      <c r="O316" s="30" t="n">
        <f aca="false">N316*J316</f>
        <v>0</v>
      </c>
    </row>
    <row r="317" customFormat="false" ht="15" hidden="false" customHeight="false" outlineLevel="0" collapsed="false">
      <c r="A317" s="33"/>
      <c r="B317" s="28" t="s">
        <v>21</v>
      </c>
      <c r="C317" s="29"/>
      <c r="D317" s="29"/>
      <c r="E317" s="29"/>
      <c r="F317" s="29"/>
      <c r="G317" s="36"/>
      <c r="H317" s="29"/>
      <c r="I317" s="35"/>
      <c r="J317" s="29"/>
      <c r="K317" s="29"/>
      <c r="L317" s="36"/>
      <c r="M317" s="29"/>
      <c r="N317" s="37"/>
      <c r="O317" s="30" t="n">
        <f aca="false">N317*J317</f>
        <v>0</v>
      </c>
    </row>
    <row r="318" customFormat="false" ht="15" hidden="false" customHeight="false" outlineLevel="0" collapsed="false">
      <c r="A318" s="33"/>
      <c r="B318" s="28" t="s">
        <v>21</v>
      </c>
      <c r="C318" s="29"/>
      <c r="D318" s="29"/>
      <c r="E318" s="29"/>
      <c r="F318" s="29"/>
      <c r="G318" s="36"/>
      <c r="H318" s="29"/>
      <c r="I318" s="35"/>
      <c r="J318" s="29"/>
      <c r="K318" s="29"/>
      <c r="L318" s="36"/>
      <c r="M318" s="29"/>
      <c r="N318" s="37"/>
      <c r="O318" s="30" t="n">
        <f aca="false">N318*J318</f>
        <v>0</v>
      </c>
    </row>
    <row r="319" customFormat="false" ht="15" hidden="false" customHeight="false" outlineLevel="0" collapsed="false">
      <c r="A319" s="33"/>
      <c r="B319" s="28" t="s">
        <v>21</v>
      </c>
      <c r="C319" s="29"/>
      <c r="D319" s="29"/>
      <c r="E319" s="29"/>
      <c r="F319" s="29"/>
      <c r="G319" s="36"/>
      <c r="H319" s="29"/>
      <c r="I319" s="35"/>
      <c r="J319" s="29"/>
      <c r="K319" s="29"/>
      <c r="L319" s="36"/>
      <c r="M319" s="29"/>
      <c r="N319" s="37"/>
      <c r="O319" s="30" t="n">
        <f aca="false">N319*J319</f>
        <v>0</v>
      </c>
    </row>
    <row r="320" customFormat="false" ht="15" hidden="false" customHeight="false" outlineLevel="0" collapsed="false">
      <c r="A320" s="33"/>
      <c r="B320" s="28" t="s">
        <v>21</v>
      </c>
      <c r="C320" s="29"/>
      <c r="D320" s="29"/>
      <c r="E320" s="29"/>
      <c r="F320" s="29"/>
      <c r="G320" s="36"/>
      <c r="H320" s="29"/>
      <c r="I320" s="35"/>
      <c r="J320" s="29"/>
      <c r="K320" s="29"/>
      <c r="L320" s="36"/>
      <c r="M320" s="29"/>
      <c r="N320" s="37"/>
      <c r="O320" s="30" t="n">
        <f aca="false">N320*J320</f>
        <v>0</v>
      </c>
    </row>
    <row r="321" customFormat="false" ht="15" hidden="false" customHeight="false" outlineLevel="0" collapsed="false">
      <c r="A321" s="33"/>
      <c r="B321" s="28" t="s">
        <v>21</v>
      </c>
      <c r="C321" s="29"/>
      <c r="D321" s="29"/>
      <c r="E321" s="29"/>
      <c r="F321" s="29"/>
      <c r="G321" s="36"/>
      <c r="H321" s="29"/>
      <c r="I321" s="35"/>
      <c r="J321" s="29"/>
      <c r="K321" s="29"/>
      <c r="L321" s="36"/>
      <c r="M321" s="29"/>
      <c r="N321" s="37"/>
      <c r="O321" s="30" t="n">
        <f aca="false">N321*J321</f>
        <v>0</v>
      </c>
    </row>
    <row r="322" customFormat="false" ht="15" hidden="false" customHeight="false" outlineLevel="0" collapsed="false">
      <c r="A322" s="33"/>
      <c r="B322" s="28" t="s">
        <v>21</v>
      </c>
      <c r="C322" s="29"/>
      <c r="D322" s="29"/>
      <c r="E322" s="29"/>
      <c r="F322" s="29"/>
      <c r="G322" s="36"/>
      <c r="H322" s="29"/>
      <c r="I322" s="35"/>
      <c r="J322" s="29"/>
      <c r="K322" s="29"/>
      <c r="L322" s="36"/>
      <c r="M322" s="29"/>
      <c r="N322" s="37"/>
      <c r="O322" s="30" t="n">
        <f aca="false">N322*J322</f>
        <v>0</v>
      </c>
    </row>
    <row r="323" customFormat="false" ht="15" hidden="false" customHeight="false" outlineLevel="0" collapsed="false">
      <c r="A323" s="33"/>
      <c r="B323" s="28" t="s">
        <v>21</v>
      </c>
      <c r="C323" s="29"/>
      <c r="D323" s="29"/>
      <c r="E323" s="29"/>
      <c r="F323" s="29"/>
      <c r="G323" s="36"/>
      <c r="H323" s="29"/>
      <c r="I323" s="35"/>
      <c r="J323" s="29"/>
      <c r="K323" s="29"/>
      <c r="L323" s="36"/>
      <c r="M323" s="29"/>
      <c r="N323" s="37"/>
      <c r="O323" s="30" t="n">
        <f aca="false">N323*J323</f>
        <v>0</v>
      </c>
    </row>
    <row r="324" customFormat="false" ht="15" hidden="false" customHeight="false" outlineLevel="0" collapsed="false">
      <c r="A324" s="33"/>
      <c r="B324" s="28" t="s">
        <v>21</v>
      </c>
      <c r="C324" s="29"/>
      <c r="D324" s="29"/>
      <c r="E324" s="29"/>
      <c r="F324" s="29"/>
      <c r="G324" s="36"/>
      <c r="H324" s="29"/>
      <c r="I324" s="35"/>
      <c r="J324" s="29"/>
      <c r="K324" s="29"/>
      <c r="L324" s="36"/>
      <c r="M324" s="29"/>
      <c r="N324" s="37"/>
      <c r="O324" s="30" t="n">
        <f aca="false">N324*J324</f>
        <v>0</v>
      </c>
    </row>
    <row r="325" customFormat="false" ht="15" hidden="false" customHeight="false" outlineLevel="0" collapsed="false">
      <c r="A325" s="33"/>
      <c r="B325" s="28" t="s">
        <v>21</v>
      </c>
      <c r="C325" s="29"/>
      <c r="D325" s="29"/>
      <c r="E325" s="29"/>
      <c r="F325" s="29"/>
      <c r="G325" s="36"/>
      <c r="H325" s="29"/>
      <c r="I325" s="35"/>
      <c r="J325" s="29"/>
      <c r="K325" s="29"/>
      <c r="L325" s="36"/>
      <c r="M325" s="29"/>
      <c r="N325" s="37"/>
      <c r="O325" s="30" t="n">
        <f aca="false">N325*J325</f>
        <v>0</v>
      </c>
    </row>
    <row r="326" customFormat="false" ht="15" hidden="false" customHeight="false" outlineLevel="0" collapsed="false">
      <c r="A326" s="33"/>
      <c r="B326" s="28" t="s">
        <v>21</v>
      </c>
      <c r="C326" s="29"/>
      <c r="D326" s="29"/>
      <c r="E326" s="29"/>
      <c r="F326" s="29"/>
      <c r="G326" s="36"/>
      <c r="H326" s="29"/>
      <c r="I326" s="35"/>
      <c r="J326" s="29"/>
      <c r="K326" s="29"/>
      <c r="L326" s="36"/>
      <c r="M326" s="29"/>
      <c r="N326" s="37"/>
      <c r="O326" s="30" t="n">
        <f aca="false">N326*J326</f>
        <v>0</v>
      </c>
    </row>
    <row r="327" customFormat="false" ht="15" hidden="false" customHeight="false" outlineLevel="0" collapsed="false">
      <c r="A327" s="33"/>
      <c r="B327" s="28" t="s">
        <v>21</v>
      </c>
      <c r="C327" s="29"/>
      <c r="D327" s="29"/>
      <c r="E327" s="29"/>
      <c r="F327" s="29"/>
      <c r="G327" s="36"/>
      <c r="H327" s="29"/>
      <c r="I327" s="35"/>
      <c r="J327" s="29"/>
      <c r="K327" s="29"/>
      <c r="L327" s="36"/>
      <c r="M327" s="29"/>
      <c r="N327" s="37"/>
      <c r="O327" s="30" t="n">
        <f aca="false">N327*J327</f>
        <v>0</v>
      </c>
    </row>
    <row r="328" customFormat="false" ht="15" hidden="false" customHeight="false" outlineLevel="0" collapsed="false">
      <c r="A328" s="33"/>
      <c r="B328" s="28" t="s">
        <v>21</v>
      </c>
      <c r="C328" s="29"/>
      <c r="D328" s="29"/>
      <c r="E328" s="29"/>
      <c r="F328" s="29"/>
      <c r="G328" s="36"/>
      <c r="H328" s="29"/>
      <c r="I328" s="35"/>
      <c r="J328" s="29"/>
      <c r="K328" s="29"/>
      <c r="L328" s="36"/>
      <c r="M328" s="29"/>
      <c r="N328" s="37"/>
      <c r="O328" s="30" t="n">
        <f aca="false">N328*J328</f>
        <v>0</v>
      </c>
    </row>
    <row r="329" customFormat="false" ht="15" hidden="false" customHeight="false" outlineLevel="0" collapsed="false">
      <c r="A329" s="33"/>
      <c r="B329" s="28" t="s">
        <v>21</v>
      </c>
      <c r="C329" s="29"/>
      <c r="D329" s="29"/>
      <c r="E329" s="29"/>
      <c r="F329" s="29"/>
      <c r="G329" s="36"/>
      <c r="H329" s="29"/>
      <c r="I329" s="35"/>
      <c r="J329" s="29"/>
      <c r="K329" s="29"/>
      <c r="L329" s="36"/>
      <c r="M329" s="29"/>
      <c r="N329" s="37"/>
      <c r="O329" s="30" t="n">
        <f aca="false">N329*J329</f>
        <v>0</v>
      </c>
    </row>
    <row r="330" customFormat="false" ht="15" hidden="false" customHeight="false" outlineLevel="0" collapsed="false">
      <c r="A330" s="33"/>
      <c r="B330" s="28" t="s">
        <v>21</v>
      </c>
      <c r="C330" s="29"/>
      <c r="D330" s="29"/>
      <c r="E330" s="29"/>
      <c r="F330" s="29"/>
      <c r="G330" s="36"/>
      <c r="H330" s="29"/>
      <c r="I330" s="35"/>
      <c r="J330" s="29"/>
      <c r="K330" s="29"/>
      <c r="L330" s="36"/>
      <c r="M330" s="29"/>
      <c r="N330" s="37"/>
      <c r="O330" s="30" t="n">
        <f aca="false">N330*J330</f>
        <v>0</v>
      </c>
    </row>
    <row r="331" customFormat="false" ht="15" hidden="false" customHeight="false" outlineLevel="0" collapsed="false">
      <c r="A331" s="33"/>
      <c r="B331" s="28" t="s">
        <v>21</v>
      </c>
      <c r="C331" s="29"/>
      <c r="D331" s="29"/>
      <c r="E331" s="29"/>
      <c r="F331" s="29"/>
      <c r="G331" s="36"/>
      <c r="H331" s="29"/>
      <c r="I331" s="35"/>
      <c r="J331" s="29"/>
      <c r="K331" s="29"/>
      <c r="L331" s="36"/>
      <c r="M331" s="29"/>
      <c r="N331" s="37"/>
      <c r="O331" s="30" t="n">
        <f aca="false">N331*J331</f>
        <v>0</v>
      </c>
    </row>
    <row r="332" customFormat="false" ht="15" hidden="false" customHeight="false" outlineLevel="0" collapsed="false">
      <c r="A332" s="33"/>
      <c r="B332" s="28" t="s">
        <v>21</v>
      </c>
      <c r="C332" s="29"/>
      <c r="D332" s="29"/>
      <c r="E332" s="29"/>
      <c r="F332" s="29"/>
      <c r="G332" s="36"/>
      <c r="H332" s="29"/>
      <c r="I332" s="35"/>
      <c r="J332" s="29"/>
      <c r="K332" s="29"/>
      <c r="L332" s="36"/>
      <c r="M332" s="29"/>
      <c r="N332" s="37"/>
      <c r="O332" s="30" t="n">
        <f aca="false">N332*J332</f>
        <v>0</v>
      </c>
    </row>
    <row r="333" customFormat="false" ht="15" hidden="false" customHeight="false" outlineLevel="0" collapsed="false">
      <c r="A333" s="33"/>
      <c r="B333" s="28" t="s">
        <v>21</v>
      </c>
      <c r="C333" s="29"/>
      <c r="D333" s="29"/>
      <c r="E333" s="29"/>
      <c r="F333" s="29"/>
      <c r="G333" s="36"/>
      <c r="H333" s="29"/>
      <c r="I333" s="35"/>
      <c r="J333" s="29"/>
      <c r="K333" s="29"/>
      <c r="L333" s="36"/>
      <c r="M333" s="29"/>
      <c r="N333" s="37"/>
      <c r="O333" s="30" t="n">
        <f aca="false">N333*J333</f>
        <v>0</v>
      </c>
    </row>
    <row r="334" customFormat="false" ht="15" hidden="false" customHeight="false" outlineLevel="0" collapsed="false">
      <c r="A334" s="33"/>
      <c r="B334" s="28" t="s">
        <v>21</v>
      </c>
      <c r="C334" s="29"/>
      <c r="D334" s="29"/>
      <c r="E334" s="29"/>
      <c r="F334" s="29"/>
      <c r="G334" s="36"/>
      <c r="H334" s="29"/>
      <c r="I334" s="35"/>
      <c r="J334" s="29"/>
      <c r="K334" s="29"/>
      <c r="L334" s="36"/>
      <c r="M334" s="29"/>
      <c r="N334" s="37"/>
      <c r="O334" s="30" t="n">
        <f aca="false">N334*J334</f>
        <v>0</v>
      </c>
    </row>
    <row r="335" customFormat="false" ht="15" hidden="false" customHeight="false" outlineLevel="0" collapsed="false">
      <c r="A335" s="33"/>
      <c r="B335" s="28" t="s">
        <v>21</v>
      </c>
      <c r="C335" s="29"/>
      <c r="D335" s="29"/>
      <c r="E335" s="29"/>
      <c r="F335" s="29"/>
      <c r="G335" s="36"/>
      <c r="H335" s="29"/>
      <c r="I335" s="35"/>
      <c r="J335" s="29"/>
      <c r="K335" s="29"/>
      <c r="L335" s="36"/>
      <c r="M335" s="29"/>
      <c r="N335" s="37"/>
      <c r="O335" s="30" t="n">
        <f aca="false">N335*J335</f>
        <v>0</v>
      </c>
    </row>
    <row r="336" customFormat="false" ht="15" hidden="false" customHeight="false" outlineLevel="0" collapsed="false">
      <c r="A336" s="33"/>
      <c r="B336" s="28" t="s">
        <v>21</v>
      </c>
      <c r="C336" s="29"/>
      <c r="D336" s="29"/>
      <c r="E336" s="29"/>
      <c r="F336" s="29"/>
      <c r="G336" s="36"/>
      <c r="H336" s="29"/>
      <c r="I336" s="35"/>
      <c r="J336" s="29"/>
      <c r="K336" s="29"/>
      <c r="L336" s="36"/>
      <c r="M336" s="29"/>
      <c r="N336" s="37"/>
      <c r="O336" s="30" t="n">
        <f aca="false">N336*J336</f>
        <v>0</v>
      </c>
    </row>
    <row r="337" customFormat="false" ht="15" hidden="false" customHeight="false" outlineLevel="0" collapsed="false">
      <c r="A337" s="33"/>
      <c r="B337" s="28" t="s">
        <v>21</v>
      </c>
      <c r="C337" s="29"/>
      <c r="D337" s="29"/>
      <c r="E337" s="29"/>
      <c r="F337" s="29"/>
      <c r="G337" s="36"/>
      <c r="H337" s="29"/>
      <c r="I337" s="35"/>
      <c r="J337" s="29"/>
      <c r="K337" s="29"/>
      <c r="L337" s="36"/>
      <c r="M337" s="29"/>
      <c r="N337" s="37"/>
      <c r="O337" s="30" t="n">
        <f aca="false">N337*J337</f>
        <v>0</v>
      </c>
    </row>
    <row r="338" customFormat="false" ht="15" hidden="false" customHeight="false" outlineLevel="0" collapsed="false">
      <c r="A338" s="33"/>
      <c r="B338" s="28" t="s">
        <v>21</v>
      </c>
      <c r="C338" s="29"/>
      <c r="D338" s="29"/>
      <c r="E338" s="29"/>
      <c r="F338" s="29"/>
      <c r="G338" s="36"/>
      <c r="H338" s="29"/>
      <c r="I338" s="35"/>
      <c r="J338" s="29"/>
      <c r="K338" s="29"/>
      <c r="L338" s="36"/>
      <c r="M338" s="29"/>
      <c r="N338" s="37"/>
      <c r="O338" s="30" t="n">
        <f aca="false">N338*J338</f>
        <v>0</v>
      </c>
    </row>
    <row r="339" customFormat="false" ht="15" hidden="false" customHeight="false" outlineLevel="0" collapsed="false">
      <c r="A339" s="33"/>
      <c r="B339" s="28" t="s">
        <v>21</v>
      </c>
      <c r="C339" s="29"/>
      <c r="D339" s="29"/>
      <c r="E339" s="29"/>
      <c r="F339" s="29"/>
      <c r="G339" s="36"/>
      <c r="H339" s="29"/>
      <c r="I339" s="35"/>
      <c r="J339" s="29"/>
      <c r="K339" s="29"/>
      <c r="L339" s="36"/>
      <c r="M339" s="29"/>
      <c r="N339" s="37"/>
      <c r="O339" s="30" t="n">
        <f aca="false">N339*J339</f>
        <v>0</v>
      </c>
    </row>
    <row r="340" customFormat="false" ht="15" hidden="false" customHeight="false" outlineLevel="0" collapsed="false">
      <c r="A340" s="33"/>
      <c r="B340" s="28" t="s">
        <v>21</v>
      </c>
      <c r="C340" s="29"/>
      <c r="D340" s="29"/>
      <c r="E340" s="29"/>
      <c r="F340" s="29"/>
      <c r="G340" s="36"/>
      <c r="H340" s="29"/>
      <c r="I340" s="35"/>
      <c r="J340" s="29"/>
      <c r="K340" s="29"/>
      <c r="L340" s="36"/>
      <c r="M340" s="29"/>
      <c r="N340" s="37"/>
      <c r="O340" s="30" t="n">
        <f aca="false">N340*J340</f>
        <v>0</v>
      </c>
    </row>
    <row r="341" customFormat="false" ht="15" hidden="false" customHeight="false" outlineLevel="0" collapsed="false">
      <c r="A341" s="33"/>
      <c r="B341" s="28" t="s">
        <v>21</v>
      </c>
      <c r="C341" s="29"/>
      <c r="D341" s="29"/>
      <c r="E341" s="29"/>
      <c r="F341" s="29"/>
      <c r="G341" s="36"/>
      <c r="H341" s="29"/>
      <c r="I341" s="35"/>
      <c r="J341" s="29"/>
      <c r="K341" s="29"/>
      <c r="L341" s="36"/>
      <c r="M341" s="29"/>
      <c r="N341" s="37"/>
      <c r="O341" s="30" t="n">
        <f aca="false">N341*J341</f>
        <v>0</v>
      </c>
    </row>
    <row r="342" customFormat="false" ht="15" hidden="false" customHeight="false" outlineLevel="0" collapsed="false">
      <c r="A342" s="33"/>
      <c r="B342" s="28" t="s">
        <v>21</v>
      </c>
      <c r="C342" s="29"/>
      <c r="D342" s="29"/>
      <c r="E342" s="29"/>
      <c r="F342" s="29"/>
      <c r="G342" s="36"/>
      <c r="H342" s="29"/>
      <c r="I342" s="35"/>
      <c r="J342" s="29"/>
      <c r="K342" s="29"/>
      <c r="L342" s="36"/>
      <c r="M342" s="29"/>
      <c r="N342" s="37"/>
      <c r="O342" s="30" t="n">
        <f aca="false">N342*J342</f>
        <v>0</v>
      </c>
    </row>
    <row r="343" customFormat="false" ht="15" hidden="false" customHeight="false" outlineLevel="0" collapsed="false">
      <c r="A343" s="33"/>
      <c r="B343" s="28" t="s">
        <v>21</v>
      </c>
      <c r="C343" s="29"/>
      <c r="D343" s="29"/>
      <c r="E343" s="29"/>
      <c r="F343" s="29"/>
      <c r="G343" s="36"/>
      <c r="H343" s="29"/>
      <c r="I343" s="35"/>
      <c r="J343" s="29"/>
      <c r="K343" s="29"/>
      <c r="L343" s="36"/>
      <c r="M343" s="29"/>
      <c r="N343" s="37"/>
      <c r="O343" s="30" t="n">
        <f aca="false">N343*J343</f>
        <v>0</v>
      </c>
    </row>
    <row r="344" customFormat="false" ht="15" hidden="false" customHeight="false" outlineLevel="0" collapsed="false">
      <c r="A344" s="33"/>
      <c r="B344" s="28" t="s">
        <v>21</v>
      </c>
      <c r="C344" s="29"/>
      <c r="D344" s="29"/>
      <c r="E344" s="29"/>
      <c r="F344" s="29"/>
      <c r="G344" s="36"/>
      <c r="H344" s="29"/>
      <c r="I344" s="35"/>
      <c r="J344" s="29"/>
      <c r="K344" s="29"/>
      <c r="L344" s="36"/>
      <c r="M344" s="29"/>
      <c r="N344" s="37"/>
      <c r="O344" s="30" t="n">
        <f aca="false">N344*J344</f>
        <v>0</v>
      </c>
    </row>
    <row r="345" customFormat="false" ht="15" hidden="false" customHeight="false" outlineLevel="0" collapsed="false">
      <c r="A345" s="33"/>
      <c r="B345" s="28" t="s">
        <v>21</v>
      </c>
      <c r="C345" s="29"/>
      <c r="D345" s="29"/>
      <c r="E345" s="29"/>
      <c r="F345" s="29"/>
      <c r="G345" s="36"/>
      <c r="H345" s="29"/>
      <c r="I345" s="35"/>
      <c r="J345" s="29"/>
      <c r="K345" s="29"/>
      <c r="L345" s="36"/>
      <c r="M345" s="29"/>
      <c r="N345" s="37"/>
      <c r="O345" s="30" t="n">
        <f aca="false">N345*J345</f>
        <v>0</v>
      </c>
    </row>
    <row r="346" customFormat="false" ht="15" hidden="false" customHeight="false" outlineLevel="0" collapsed="false">
      <c r="A346" s="33"/>
      <c r="B346" s="28" t="s">
        <v>21</v>
      </c>
      <c r="C346" s="29"/>
      <c r="D346" s="29"/>
      <c r="E346" s="29"/>
      <c r="F346" s="29"/>
      <c r="G346" s="36"/>
      <c r="H346" s="29"/>
      <c r="I346" s="35"/>
      <c r="J346" s="29"/>
      <c r="K346" s="29"/>
      <c r="L346" s="36"/>
      <c r="M346" s="29"/>
      <c r="N346" s="37"/>
      <c r="O346" s="30" t="n">
        <f aca="false">N346*J346</f>
        <v>0</v>
      </c>
    </row>
    <row r="347" customFormat="false" ht="15" hidden="false" customHeight="false" outlineLevel="0" collapsed="false">
      <c r="A347" s="42"/>
      <c r="B347" s="28" t="s">
        <v>21</v>
      </c>
      <c r="C347" s="41"/>
      <c r="D347" s="41"/>
      <c r="E347" s="41"/>
      <c r="F347" s="41"/>
      <c r="G347" s="34"/>
      <c r="H347" s="41"/>
      <c r="I347" s="43"/>
      <c r="J347" s="41"/>
      <c r="K347" s="41"/>
      <c r="L347" s="36"/>
      <c r="M347" s="29"/>
      <c r="N347" s="37"/>
      <c r="O347" s="30" t="n">
        <f aca="false">N347*J347</f>
        <v>0</v>
      </c>
    </row>
    <row r="348" customFormat="false" ht="15" hidden="false" customHeight="false" outlineLevel="0" collapsed="false">
      <c r="A348" s="33"/>
      <c r="B348" s="28" t="s">
        <v>21</v>
      </c>
      <c r="C348" s="29"/>
      <c r="D348" s="29"/>
      <c r="E348" s="29"/>
      <c r="F348" s="29"/>
      <c r="G348" s="36"/>
      <c r="H348" s="29"/>
      <c r="I348" s="35"/>
      <c r="J348" s="29"/>
      <c r="K348" s="29"/>
      <c r="L348" s="36"/>
      <c r="M348" s="29"/>
      <c r="N348" s="37"/>
      <c r="O348" s="30" t="n">
        <f aca="false">N348*J348</f>
        <v>0</v>
      </c>
    </row>
    <row r="349" customFormat="false" ht="15" hidden="false" customHeight="false" outlineLevel="0" collapsed="false">
      <c r="A349" s="33"/>
      <c r="B349" s="28" t="s">
        <v>21</v>
      </c>
      <c r="C349" s="29"/>
      <c r="D349" s="29"/>
      <c r="E349" s="29"/>
      <c r="F349" s="29"/>
      <c r="G349" s="36"/>
      <c r="H349" s="29"/>
      <c r="I349" s="35"/>
      <c r="J349" s="29"/>
      <c r="K349" s="29"/>
      <c r="L349" s="36"/>
      <c r="M349" s="29"/>
      <c r="N349" s="37"/>
      <c r="O349" s="30" t="n">
        <f aca="false">N349*J349</f>
        <v>0</v>
      </c>
    </row>
    <row r="350" customFormat="false" ht="15" hidden="false" customHeight="false" outlineLevel="0" collapsed="false">
      <c r="A350" s="33"/>
      <c r="B350" s="28" t="s">
        <v>21</v>
      </c>
      <c r="C350" s="29"/>
      <c r="D350" s="29"/>
      <c r="E350" s="29"/>
      <c r="F350" s="29"/>
      <c r="G350" s="36"/>
      <c r="H350" s="29"/>
      <c r="I350" s="35"/>
      <c r="J350" s="29"/>
      <c r="K350" s="29"/>
      <c r="L350" s="36"/>
      <c r="M350" s="29"/>
      <c r="N350" s="37"/>
      <c r="O350" s="30" t="n">
        <f aca="false">N350*J350</f>
        <v>0</v>
      </c>
    </row>
    <row r="351" customFormat="false" ht="15" hidden="false" customHeight="false" outlineLevel="0" collapsed="false">
      <c r="A351" s="33"/>
      <c r="B351" s="28" t="s">
        <v>21</v>
      </c>
      <c r="C351" s="29"/>
      <c r="D351" s="29"/>
      <c r="E351" s="29"/>
      <c r="F351" s="29"/>
      <c r="G351" s="36"/>
      <c r="H351" s="29"/>
      <c r="I351" s="35"/>
      <c r="J351" s="29"/>
      <c r="K351" s="29"/>
      <c r="L351" s="36"/>
      <c r="M351" s="29"/>
      <c r="N351" s="37"/>
      <c r="O351" s="30" t="n">
        <f aca="false">N351*J351</f>
        <v>0</v>
      </c>
    </row>
    <row r="352" customFormat="false" ht="15" hidden="false" customHeight="false" outlineLevel="0" collapsed="false">
      <c r="A352" s="33"/>
      <c r="B352" s="28" t="s">
        <v>21</v>
      </c>
      <c r="C352" s="29"/>
      <c r="D352" s="29"/>
      <c r="E352" s="29"/>
      <c r="F352" s="29"/>
      <c r="G352" s="36"/>
      <c r="H352" s="29"/>
      <c r="I352" s="35"/>
      <c r="J352" s="29"/>
      <c r="K352" s="29"/>
      <c r="L352" s="36"/>
      <c r="M352" s="29"/>
      <c r="N352" s="37"/>
      <c r="O352" s="30" t="n">
        <f aca="false">N352*J352</f>
        <v>0</v>
      </c>
    </row>
    <row r="353" customFormat="false" ht="15" hidden="false" customHeight="false" outlineLevel="0" collapsed="false">
      <c r="A353" s="33"/>
      <c r="B353" s="28" t="s">
        <v>21</v>
      </c>
      <c r="C353" s="29"/>
      <c r="D353" s="29"/>
      <c r="E353" s="29"/>
      <c r="F353" s="29"/>
      <c r="G353" s="36"/>
      <c r="H353" s="29"/>
      <c r="I353" s="35"/>
      <c r="J353" s="29"/>
      <c r="K353" s="29"/>
      <c r="L353" s="36"/>
      <c r="M353" s="29"/>
      <c r="N353" s="37"/>
      <c r="O353" s="30" t="n">
        <f aca="false">N353*J353</f>
        <v>0</v>
      </c>
    </row>
    <row r="354" customFormat="false" ht="15" hidden="false" customHeight="false" outlineLevel="0" collapsed="false">
      <c r="A354" s="33"/>
      <c r="B354" s="28" t="s">
        <v>21</v>
      </c>
      <c r="C354" s="29"/>
      <c r="D354" s="29"/>
      <c r="E354" s="29"/>
      <c r="F354" s="29"/>
      <c r="G354" s="36"/>
      <c r="H354" s="29"/>
      <c r="I354" s="35"/>
      <c r="J354" s="29"/>
      <c r="K354" s="29"/>
      <c r="L354" s="36"/>
      <c r="M354" s="29"/>
      <c r="N354" s="37"/>
      <c r="O354" s="30" t="n">
        <f aca="false">N354*J354</f>
        <v>0</v>
      </c>
    </row>
    <row r="355" customFormat="false" ht="15" hidden="false" customHeight="false" outlineLevel="0" collapsed="false">
      <c r="A355" s="33"/>
      <c r="B355" s="28" t="s">
        <v>21</v>
      </c>
      <c r="C355" s="29"/>
      <c r="D355" s="29"/>
      <c r="E355" s="29"/>
      <c r="F355" s="29"/>
      <c r="G355" s="36"/>
      <c r="H355" s="29"/>
      <c r="I355" s="35"/>
      <c r="J355" s="29"/>
      <c r="K355" s="29"/>
      <c r="L355" s="36"/>
      <c r="M355" s="29"/>
      <c r="N355" s="37"/>
      <c r="O355" s="30" t="n">
        <f aca="false">N355*J355</f>
        <v>0</v>
      </c>
    </row>
    <row r="356" customFormat="false" ht="15" hidden="false" customHeight="false" outlineLevel="0" collapsed="false">
      <c r="A356" s="33"/>
      <c r="B356" s="28" t="s">
        <v>21</v>
      </c>
      <c r="C356" s="29"/>
      <c r="D356" s="29"/>
      <c r="E356" s="29"/>
      <c r="F356" s="29"/>
      <c r="G356" s="36"/>
      <c r="H356" s="29"/>
      <c r="I356" s="35"/>
      <c r="J356" s="29"/>
      <c r="K356" s="29"/>
      <c r="L356" s="36"/>
      <c r="M356" s="29"/>
      <c r="N356" s="37"/>
      <c r="O356" s="30" t="n">
        <f aca="false">N356*J356</f>
        <v>0</v>
      </c>
    </row>
    <row r="357" customFormat="false" ht="15" hidden="false" customHeight="false" outlineLevel="0" collapsed="false">
      <c r="A357" s="33"/>
      <c r="B357" s="28" t="s">
        <v>21</v>
      </c>
      <c r="C357" s="29"/>
      <c r="D357" s="29"/>
      <c r="E357" s="29"/>
      <c r="F357" s="29"/>
      <c r="G357" s="36"/>
      <c r="H357" s="29"/>
      <c r="I357" s="35"/>
      <c r="J357" s="29"/>
      <c r="K357" s="29"/>
      <c r="L357" s="36"/>
      <c r="M357" s="29"/>
      <c r="N357" s="37"/>
      <c r="O357" s="30" t="n">
        <f aca="false">N357*J357</f>
        <v>0</v>
      </c>
    </row>
    <row r="358" customFormat="false" ht="15" hidden="false" customHeight="false" outlineLevel="0" collapsed="false">
      <c r="A358" s="33"/>
      <c r="B358" s="28" t="s">
        <v>21</v>
      </c>
      <c r="C358" s="29"/>
      <c r="D358" s="29"/>
      <c r="E358" s="29"/>
      <c r="F358" s="29"/>
      <c r="G358" s="36"/>
      <c r="H358" s="29"/>
      <c r="I358" s="35"/>
      <c r="J358" s="29"/>
      <c r="K358" s="29"/>
      <c r="L358" s="36"/>
      <c r="M358" s="29"/>
      <c r="N358" s="37"/>
      <c r="O358" s="30" t="n">
        <f aca="false">N358*J358</f>
        <v>0</v>
      </c>
    </row>
    <row r="359" customFormat="false" ht="15" hidden="false" customHeight="false" outlineLevel="0" collapsed="false">
      <c r="A359" s="33"/>
      <c r="B359" s="28" t="s">
        <v>21</v>
      </c>
      <c r="C359" s="29"/>
      <c r="D359" s="29"/>
      <c r="E359" s="29"/>
      <c r="F359" s="29"/>
      <c r="G359" s="36"/>
      <c r="H359" s="29"/>
      <c r="I359" s="35"/>
      <c r="J359" s="29"/>
      <c r="K359" s="29"/>
      <c r="L359" s="36"/>
      <c r="M359" s="29"/>
      <c r="N359" s="37"/>
      <c r="O359" s="30" t="n">
        <f aca="false">N359*J359</f>
        <v>0</v>
      </c>
    </row>
    <row r="360" customFormat="false" ht="15" hidden="false" customHeight="false" outlineLevel="0" collapsed="false">
      <c r="A360" s="33"/>
      <c r="B360" s="28" t="s">
        <v>21</v>
      </c>
      <c r="C360" s="29"/>
      <c r="D360" s="29"/>
      <c r="E360" s="29"/>
      <c r="F360" s="29"/>
      <c r="G360" s="36"/>
      <c r="H360" s="29"/>
      <c r="I360" s="35"/>
      <c r="J360" s="29"/>
      <c r="K360" s="29"/>
      <c r="L360" s="36"/>
      <c r="M360" s="29"/>
      <c r="N360" s="37"/>
      <c r="O360" s="30" t="n">
        <f aca="false">N360*J360</f>
        <v>0</v>
      </c>
    </row>
    <row r="361" customFormat="false" ht="15" hidden="false" customHeight="false" outlineLevel="0" collapsed="false">
      <c r="A361" s="33"/>
      <c r="B361" s="28" t="s">
        <v>21</v>
      </c>
      <c r="C361" s="29"/>
      <c r="D361" s="29"/>
      <c r="E361" s="29"/>
      <c r="F361" s="29"/>
      <c r="G361" s="36"/>
      <c r="H361" s="29"/>
      <c r="I361" s="35"/>
      <c r="J361" s="29"/>
      <c r="K361" s="29"/>
      <c r="L361" s="36"/>
      <c r="M361" s="29"/>
      <c r="N361" s="37"/>
      <c r="O361" s="30" t="n">
        <f aca="false">N361*J361</f>
        <v>0</v>
      </c>
    </row>
    <row r="362" customFormat="false" ht="15" hidden="false" customHeight="false" outlineLevel="0" collapsed="false">
      <c r="A362" s="33"/>
      <c r="B362" s="28" t="s">
        <v>21</v>
      </c>
      <c r="C362" s="29"/>
      <c r="D362" s="29"/>
      <c r="E362" s="29"/>
      <c r="F362" s="29"/>
      <c r="G362" s="36"/>
      <c r="H362" s="29"/>
      <c r="I362" s="35"/>
      <c r="J362" s="29"/>
      <c r="K362" s="29"/>
      <c r="L362" s="36"/>
      <c r="M362" s="29"/>
      <c r="N362" s="37"/>
      <c r="O362" s="30" t="n">
        <f aca="false">N362*J362</f>
        <v>0</v>
      </c>
    </row>
    <row r="363" customFormat="false" ht="15" hidden="false" customHeight="false" outlineLevel="0" collapsed="false">
      <c r="A363" s="33"/>
      <c r="B363" s="28" t="s">
        <v>21</v>
      </c>
      <c r="C363" s="29"/>
      <c r="D363" s="29"/>
      <c r="E363" s="29"/>
      <c r="F363" s="29"/>
      <c r="G363" s="36"/>
      <c r="H363" s="29"/>
      <c r="I363" s="35"/>
      <c r="J363" s="29"/>
      <c r="K363" s="29"/>
      <c r="L363" s="36"/>
      <c r="M363" s="29"/>
      <c r="N363" s="37"/>
      <c r="O363" s="30" t="n">
        <f aca="false">N363*J363</f>
        <v>0</v>
      </c>
    </row>
    <row r="364" customFormat="false" ht="15" hidden="false" customHeight="false" outlineLevel="0" collapsed="false">
      <c r="A364" s="33"/>
      <c r="B364" s="28" t="s">
        <v>21</v>
      </c>
      <c r="C364" s="29"/>
      <c r="D364" s="29"/>
      <c r="E364" s="29"/>
      <c r="F364" s="29"/>
      <c r="G364" s="36"/>
      <c r="H364" s="29"/>
      <c r="I364" s="35"/>
      <c r="J364" s="29"/>
      <c r="K364" s="29"/>
      <c r="L364" s="36"/>
      <c r="M364" s="29"/>
      <c r="N364" s="37"/>
      <c r="O364" s="30" t="n">
        <f aca="false">N364*J364</f>
        <v>0</v>
      </c>
    </row>
    <row r="365" customFormat="false" ht="15" hidden="false" customHeight="false" outlineLevel="0" collapsed="false">
      <c r="A365" s="33"/>
      <c r="B365" s="28" t="s">
        <v>21</v>
      </c>
      <c r="C365" s="29"/>
      <c r="D365" s="29"/>
      <c r="E365" s="29"/>
      <c r="F365" s="29"/>
      <c r="G365" s="36"/>
      <c r="H365" s="29"/>
      <c r="I365" s="35"/>
      <c r="J365" s="29"/>
      <c r="K365" s="29"/>
      <c r="L365" s="36"/>
      <c r="M365" s="29"/>
      <c r="N365" s="37"/>
      <c r="O365" s="30" t="n">
        <f aca="false">N365*J365</f>
        <v>0</v>
      </c>
    </row>
    <row r="366" customFormat="false" ht="15" hidden="false" customHeight="false" outlineLevel="0" collapsed="false">
      <c r="A366" s="33"/>
      <c r="B366" s="28" t="s">
        <v>21</v>
      </c>
      <c r="C366" s="29"/>
      <c r="D366" s="29"/>
      <c r="E366" s="29"/>
      <c r="F366" s="29"/>
      <c r="G366" s="36"/>
      <c r="H366" s="29"/>
      <c r="I366" s="35"/>
      <c r="J366" s="29"/>
      <c r="K366" s="29"/>
      <c r="L366" s="36"/>
      <c r="M366" s="29"/>
      <c r="N366" s="37"/>
      <c r="O366" s="30" t="n">
        <f aca="false">N366*J366</f>
        <v>0</v>
      </c>
    </row>
    <row r="367" customFormat="false" ht="15" hidden="false" customHeight="false" outlineLevel="0" collapsed="false">
      <c r="A367" s="33"/>
      <c r="B367" s="28" t="s">
        <v>21</v>
      </c>
      <c r="C367" s="29"/>
      <c r="D367" s="29"/>
      <c r="E367" s="29"/>
      <c r="F367" s="29"/>
      <c r="G367" s="36"/>
      <c r="H367" s="29"/>
      <c r="I367" s="35"/>
      <c r="J367" s="29"/>
      <c r="K367" s="29"/>
      <c r="L367" s="36"/>
      <c r="M367" s="29"/>
      <c r="N367" s="37"/>
      <c r="O367" s="30" t="n">
        <f aca="false">N367*J367</f>
        <v>0</v>
      </c>
    </row>
    <row r="368" customFormat="false" ht="15" hidden="false" customHeight="false" outlineLevel="0" collapsed="false">
      <c r="A368" s="33"/>
      <c r="B368" s="28" t="s">
        <v>21</v>
      </c>
      <c r="C368" s="29"/>
      <c r="D368" s="29"/>
      <c r="E368" s="29"/>
      <c r="F368" s="29"/>
      <c r="G368" s="36"/>
      <c r="H368" s="29"/>
      <c r="I368" s="35"/>
      <c r="J368" s="29"/>
      <c r="K368" s="29"/>
      <c r="L368" s="36"/>
      <c r="M368" s="29"/>
      <c r="N368" s="37"/>
      <c r="O368" s="30" t="n">
        <f aca="false">N368*J368</f>
        <v>0</v>
      </c>
    </row>
    <row r="369" customFormat="false" ht="15" hidden="false" customHeight="false" outlineLevel="0" collapsed="false">
      <c r="A369" s="33"/>
      <c r="B369" s="28" t="s">
        <v>21</v>
      </c>
      <c r="C369" s="29"/>
      <c r="D369" s="29"/>
      <c r="E369" s="29"/>
      <c r="F369" s="29"/>
      <c r="G369" s="36"/>
      <c r="H369" s="29"/>
      <c r="I369" s="35"/>
      <c r="J369" s="29"/>
      <c r="K369" s="29"/>
      <c r="L369" s="36"/>
      <c r="M369" s="29"/>
      <c r="N369" s="37"/>
      <c r="O369" s="30" t="n">
        <f aca="false">N369*J369</f>
        <v>0</v>
      </c>
    </row>
    <row r="370" customFormat="false" ht="15" hidden="false" customHeight="false" outlineLevel="0" collapsed="false">
      <c r="A370" s="33"/>
      <c r="B370" s="28" t="s">
        <v>21</v>
      </c>
      <c r="C370" s="29"/>
      <c r="D370" s="29"/>
      <c r="E370" s="29"/>
      <c r="F370" s="29"/>
      <c r="G370" s="36"/>
      <c r="H370" s="29"/>
      <c r="I370" s="35"/>
      <c r="J370" s="29"/>
      <c r="K370" s="29"/>
      <c r="L370" s="36"/>
      <c r="M370" s="29"/>
      <c r="N370" s="37"/>
      <c r="O370" s="30" t="n">
        <f aca="false">N370*J370</f>
        <v>0</v>
      </c>
    </row>
    <row r="371" customFormat="false" ht="15" hidden="false" customHeight="false" outlineLevel="0" collapsed="false">
      <c r="A371" s="33"/>
      <c r="B371" s="28" t="s">
        <v>21</v>
      </c>
      <c r="C371" s="29"/>
      <c r="D371" s="29"/>
      <c r="E371" s="29"/>
      <c r="F371" s="29"/>
      <c r="G371" s="36"/>
      <c r="H371" s="29"/>
      <c r="I371" s="35"/>
      <c r="J371" s="29"/>
      <c r="K371" s="29"/>
      <c r="L371" s="36"/>
      <c r="M371" s="29"/>
      <c r="N371" s="37"/>
      <c r="O371" s="30" t="n">
        <f aca="false">N371*J371</f>
        <v>0</v>
      </c>
    </row>
    <row r="372" customFormat="false" ht="15" hidden="false" customHeight="false" outlineLevel="0" collapsed="false">
      <c r="A372" s="33"/>
      <c r="B372" s="28" t="s">
        <v>21</v>
      </c>
      <c r="C372" s="29"/>
      <c r="D372" s="29"/>
      <c r="E372" s="29"/>
      <c r="F372" s="29"/>
      <c r="G372" s="36"/>
      <c r="H372" s="29"/>
      <c r="I372" s="35"/>
      <c r="J372" s="29"/>
      <c r="K372" s="29"/>
      <c r="L372" s="36"/>
      <c r="M372" s="29"/>
      <c r="N372" s="37"/>
      <c r="O372" s="30" t="n">
        <f aca="false">N372*J372</f>
        <v>0</v>
      </c>
    </row>
    <row r="373" customFormat="false" ht="15" hidden="false" customHeight="false" outlineLevel="0" collapsed="false">
      <c r="A373" s="33"/>
      <c r="B373" s="28" t="s">
        <v>21</v>
      </c>
      <c r="C373" s="29"/>
      <c r="D373" s="29"/>
      <c r="E373" s="29"/>
      <c r="F373" s="29"/>
      <c r="G373" s="36"/>
      <c r="H373" s="29"/>
      <c r="I373" s="35"/>
      <c r="J373" s="29"/>
      <c r="K373" s="29"/>
      <c r="L373" s="36"/>
      <c r="M373" s="29"/>
      <c r="N373" s="37"/>
      <c r="O373" s="30" t="n">
        <f aca="false">N373*J373</f>
        <v>0</v>
      </c>
    </row>
    <row r="374" customFormat="false" ht="15" hidden="false" customHeight="false" outlineLevel="0" collapsed="false">
      <c r="A374" s="33"/>
      <c r="B374" s="28" t="s">
        <v>21</v>
      </c>
      <c r="C374" s="29"/>
      <c r="D374" s="29"/>
      <c r="E374" s="29"/>
      <c r="F374" s="29"/>
      <c r="G374" s="36"/>
      <c r="H374" s="29"/>
      <c r="I374" s="35"/>
      <c r="J374" s="29"/>
      <c r="K374" s="29"/>
      <c r="L374" s="36"/>
      <c r="M374" s="29"/>
      <c r="N374" s="37"/>
      <c r="O374" s="30" t="n">
        <f aca="false">N374*J374</f>
        <v>0</v>
      </c>
    </row>
    <row r="375" customFormat="false" ht="15" hidden="false" customHeight="false" outlineLevel="0" collapsed="false">
      <c r="A375" s="33"/>
      <c r="B375" s="28" t="s">
        <v>21</v>
      </c>
      <c r="C375" s="29"/>
      <c r="D375" s="29"/>
      <c r="E375" s="29"/>
      <c r="F375" s="29"/>
      <c r="G375" s="36"/>
      <c r="H375" s="29"/>
      <c r="I375" s="35"/>
      <c r="J375" s="29"/>
      <c r="K375" s="29"/>
      <c r="L375" s="36"/>
      <c r="M375" s="29"/>
      <c r="N375" s="37"/>
      <c r="O375" s="30" t="n">
        <f aca="false">N375*J375</f>
        <v>0</v>
      </c>
    </row>
    <row r="376" customFormat="false" ht="15" hidden="false" customHeight="false" outlineLevel="0" collapsed="false">
      <c r="A376" s="33"/>
      <c r="B376" s="28" t="s">
        <v>21</v>
      </c>
      <c r="C376" s="29"/>
      <c r="D376" s="29"/>
      <c r="E376" s="29"/>
      <c r="F376" s="29"/>
      <c r="G376" s="36"/>
      <c r="H376" s="29"/>
      <c r="I376" s="35"/>
      <c r="J376" s="29"/>
      <c r="K376" s="29"/>
      <c r="L376" s="36"/>
      <c r="M376" s="29"/>
      <c r="N376" s="37"/>
      <c r="O376" s="30" t="n">
        <f aca="false">N376*J376</f>
        <v>0</v>
      </c>
    </row>
    <row r="377" customFormat="false" ht="15" hidden="false" customHeight="false" outlineLevel="0" collapsed="false">
      <c r="A377" s="33"/>
      <c r="B377" s="28" t="s">
        <v>21</v>
      </c>
      <c r="C377" s="29"/>
      <c r="D377" s="29"/>
      <c r="E377" s="29"/>
      <c r="F377" s="29"/>
      <c r="G377" s="36"/>
      <c r="H377" s="29"/>
      <c r="I377" s="35"/>
      <c r="J377" s="29"/>
      <c r="K377" s="29"/>
      <c r="L377" s="36"/>
      <c r="M377" s="29"/>
      <c r="N377" s="37"/>
      <c r="O377" s="30" t="n">
        <f aca="false">N377*J377</f>
        <v>0</v>
      </c>
    </row>
    <row r="378" customFormat="false" ht="15" hidden="false" customHeight="false" outlineLevel="0" collapsed="false">
      <c r="A378" s="33"/>
      <c r="B378" s="28" t="s">
        <v>21</v>
      </c>
      <c r="C378" s="29"/>
      <c r="D378" s="29"/>
      <c r="E378" s="29"/>
      <c r="F378" s="29"/>
      <c r="G378" s="36"/>
      <c r="H378" s="29"/>
      <c r="I378" s="35"/>
      <c r="J378" s="29"/>
      <c r="K378" s="29"/>
      <c r="L378" s="36"/>
      <c r="M378" s="29"/>
      <c r="N378" s="37"/>
      <c r="O378" s="30" t="n">
        <f aca="false">N378*J378</f>
        <v>0</v>
      </c>
    </row>
    <row r="379" customFormat="false" ht="15" hidden="false" customHeight="false" outlineLevel="0" collapsed="false">
      <c r="A379" s="33"/>
      <c r="B379" s="28" t="s">
        <v>21</v>
      </c>
      <c r="C379" s="29"/>
      <c r="D379" s="29"/>
      <c r="E379" s="29"/>
      <c r="F379" s="29"/>
      <c r="G379" s="36"/>
      <c r="H379" s="29"/>
      <c r="I379" s="35"/>
      <c r="J379" s="29"/>
      <c r="K379" s="29"/>
      <c r="L379" s="36"/>
      <c r="M379" s="29"/>
      <c r="N379" s="37"/>
      <c r="O379" s="30" t="n">
        <f aca="false">N379*J379</f>
        <v>0</v>
      </c>
    </row>
    <row r="380" customFormat="false" ht="15" hidden="false" customHeight="false" outlineLevel="0" collapsed="false">
      <c r="A380" s="33"/>
      <c r="B380" s="28" t="s">
        <v>21</v>
      </c>
      <c r="C380" s="29"/>
      <c r="D380" s="29"/>
      <c r="E380" s="29"/>
      <c r="F380" s="29"/>
      <c r="G380" s="36"/>
      <c r="H380" s="29"/>
      <c r="I380" s="35"/>
      <c r="J380" s="29"/>
      <c r="K380" s="29"/>
      <c r="L380" s="36"/>
      <c r="M380" s="29"/>
      <c r="N380" s="37"/>
      <c r="O380" s="30" t="n">
        <f aca="false">N380*J380</f>
        <v>0</v>
      </c>
    </row>
    <row r="381" customFormat="false" ht="15" hidden="false" customHeight="false" outlineLevel="0" collapsed="false">
      <c r="A381" s="33"/>
      <c r="B381" s="28" t="s">
        <v>21</v>
      </c>
      <c r="C381" s="29"/>
      <c r="D381" s="29"/>
      <c r="E381" s="29"/>
      <c r="F381" s="29"/>
      <c r="G381" s="36"/>
      <c r="H381" s="29"/>
      <c r="I381" s="35"/>
      <c r="J381" s="29"/>
      <c r="K381" s="29"/>
      <c r="L381" s="36"/>
      <c r="M381" s="29"/>
      <c r="N381" s="37"/>
      <c r="O381" s="30" t="n">
        <f aca="false">N381*J381</f>
        <v>0</v>
      </c>
    </row>
    <row r="382" customFormat="false" ht="15" hidden="false" customHeight="false" outlineLevel="0" collapsed="false">
      <c r="A382" s="33"/>
      <c r="B382" s="28" t="s">
        <v>21</v>
      </c>
      <c r="C382" s="29"/>
      <c r="D382" s="29"/>
      <c r="E382" s="29"/>
      <c r="F382" s="29"/>
      <c r="G382" s="36"/>
      <c r="H382" s="29"/>
      <c r="I382" s="35"/>
      <c r="J382" s="29"/>
      <c r="K382" s="29"/>
      <c r="L382" s="36"/>
      <c r="M382" s="29"/>
      <c r="N382" s="37"/>
      <c r="O382" s="30" t="n">
        <f aca="false">N382*J382</f>
        <v>0</v>
      </c>
    </row>
    <row r="383" customFormat="false" ht="15" hidden="false" customHeight="false" outlineLevel="0" collapsed="false">
      <c r="A383" s="33"/>
      <c r="B383" s="28" t="s">
        <v>21</v>
      </c>
      <c r="C383" s="29"/>
      <c r="D383" s="29"/>
      <c r="E383" s="29"/>
      <c r="F383" s="29"/>
      <c r="G383" s="36"/>
      <c r="H383" s="29"/>
      <c r="I383" s="35"/>
      <c r="J383" s="29"/>
      <c r="K383" s="29"/>
      <c r="L383" s="36"/>
      <c r="M383" s="29"/>
      <c r="N383" s="37"/>
      <c r="O383" s="30" t="n">
        <f aca="false">N383*J383</f>
        <v>0</v>
      </c>
    </row>
    <row r="384" customFormat="false" ht="15" hidden="false" customHeight="false" outlineLevel="0" collapsed="false">
      <c r="A384" s="33"/>
      <c r="B384" s="28" t="s">
        <v>21</v>
      </c>
      <c r="C384" s="29"/>
      <c r="D384" s="29"/>
      <c r="E384" s="29"/>
      <c r="F384" s="29"/>
      <c r="G384" s="36"/>
      <c r="H384" s="29"/>
      <c r="I384" s="35"/>
      <c r="J384" s="29"/>
      <c r="K384" s="29"/>
      <c r="L384" s="36"/>
      <c r="M384" s="29"/>
      <c r="N384" s="37"/>
      <c r="O384" s="30" t="n">
        <f aca="false">N384*J384</f>
        <v>0</v>
      </c>
    </row>
    <row r="385" customFormat="false" ht="15" hidden="false" customHeight="false" outlineLevel="0" collapsed="false">
      <c r="A385" s="33"/>
      <c r="B385" s="28" t="s">
        <v>21</v>
      </c>
      <c r="C385" s="29"/>
      <c r="D385" s="29"/>
      <c r="E385" s="29"/>
      <c r="F385" s="29"/>
      <c r="G385" s="36"/>
      <c r="H385" s="29"/>
      <c r="I385" s="35"/>
      <c r="J385" s="29"/>
      <c r="K385" s="29"/>
      <c r="L385" s="36"/>
      <c r="M385" s="29"/>
      <c r="N385" s="37"/>
      <c r="O385" s="30" t="n">
        <f aca="false">N385*J385</f>
        <v>0</v>
      </c>
    </row>
    <row r="386" customFormat="false" ht="15" hidden="false" customHeight="false" outlineLevel="0" collapsed="false">
      <c r="A386" s="33"/>
      <c r="B386" s="28" t="s">
        <v>21</v>
      </c>
      <c r="C386" s="29"/>
      <c r="D386" s="29"/>
      <c r="E386" s="29"/>
      <c r="F386" s="29"/>
      <c r="G386" s="36"/>
      <c r="H386" s="29"/>
      <c r="I386" s="35"/>
      <c r="J386" s="29"/>
      <c r="K386" s="29"/>
      <c r="L386" s="36"/>
      <c r="M386" s="29"/>
      <c r="N386" s="37"/>
      <c r="O386" s="30" t="n">
        <f aca="false">N386*J386</f>
        <v>0</v>
      </c>
    </row>
    <row r="387" customFormat="false" ht="15" hidden="false" customHeight="false" outlineLevel="0" collapsed="false">
      <c r="A387" s="33"/>
      <c r="B387" s="28" t="s">
        <v>21</v>
      </c>
      <c r="C387" s="29"/>
      <c r="D387" s="29"/>
      <c r="E387" s="29"/>
      <c r="F387" s="29"/>
      <c r="G387" s="36"/>
      <c r="H387" s="29"/>
      <c r="I387" s="35"/>
      <c r="J387" s="29"/>
      <c r="K387" s="29"/>
      <c r="L387" s="36"/>
      <c r="M387" s="29"/>
      <c r="N387" s="37"/>
      <c r="O387" s="30" t="n">
        <f aca="false">N387*J387</f>
        <v>0</v>
      </c>
    </row>
    <row r="388" customFormat="false" ht="15" hidden="false" customHeight="false" outlineLevel="0" collapsed="false">
      <c r="A388" s="33"/>
      <c r="B388" s="28" t="s">
        <v>21</v>
      </c>
      <c r="C388" s="29"/>
      <c r="D388" s="29"/>
      <c r="E388" s="29"/>
      <c r="F388" s="29"/>
      <c r="G388" s="36"/>
      <c r="H388" s="29"/>
      <c r="I388" s="35"/>
      <c r="J388" s="29"/>
      <c r="K388" s="29"/>
      <c r="L388" s="36"/>
      <c r="M388" s="29"/>
      <c r="N388" s="37"/>
      <c r="O388" s="30" t="n">
        <f aca="false">N388*J388</f>
        <v>0</v>
      </c>
    </row>
    <row r="389" customFormat="false" ht="15" hidden="false" customHeight="false" outlineLevel="0" collapsed="false">
      <c r="A389" s="33"/>
      <c r="B389" s="28" t="s">
        <v>21</v>
      </c>
      <c r="C389" s="29"/>
      <c r="D389" s="29"/>
      <c r="E389" s="29"/>
      <c r="F389" s="29"/>
      <c r="G389" s="36"/>
      <c r="H389" s="29"/>
      <c r="I389" s="35"/>
      <c r="J389" s="29"/>
      <c r="K389" s="29"/>
      <c r="L389" s="36"/>
      <c r="M389" s="29"/>
      <c r="N389" s="37"/>
      <c r="O389" s="30" t="n">
        <f aca="false">N389*J389</f>
        <v>0</v>
      </c>
    </row>
    <row r="390" customFormat="false" ht="15" hidden="false" customHeight="false" outlineLevel="0" collapsed="false">
      <c r="A390" s="33"/>
      <c r="B390" s="28" t="s">
        <v>21</v>
      </c>
      <c r="C390" s="29"/>
      <c r="D390" s="29"/>
      <c r="E390" s="29"/>
      <c r="F390" s="29"/>
      <c r="G390" s="36"/>
      <c r="H390" s="29"/>
      <c r="I390" s="35"/>
      <c r="J390" s="29"/>
      <c r="K390" s="29"/>
      <c r="L390" s="36"/>
      <c r="M390" s="29"/>
      <c r="N390" s="37"/>
      <c r="O390" s="30" t="n">
        <f aca="false">N390*J390</f>
        <v>0</v>
      </c>
    </row>
    <row r="391" customFormat="false" ht="15" hidden="false" customHeight="false" outlineLevel="0" collapsed="false">
      <c r="A391" s="33"/>
      <c r="B391" s="28" t="s">
        <v>21</v>
      </c>
      <c r="C391" s="29"/>
      <c r="D391" s="29"/>
      <c r="E391" s="29"/>
      <c r="F391" s="29"/>
      <c r="G391" s="36"/>
      <c r="H391" s="29"/>
      <c r="I391" s="35"/>
      <c r="J391" s="29"/>
      <c r="K391" s="29"/>
      <c r="L391" s="36"/>
      <c r="M391" s="29"/>
      <c r="N391" s="37"/>
      <c r="O391" s="30" t="n">
        <f aca="false">N391*J391</f>
        <v>0</v>
      </c>
    </row>
    <row r="392" customFormat="false" ht="15" hidden="false" customHeight="false" outlineLevel="0" collapsed="false">
      <c r="A392" s="33"/>
      <c r="B392" s="28" t="s">
        <v>21</v>
      </c>
      <c r="C392" s="29"/>
      <c r="D392" s="29"/>
      <c r="E392" s="29"/>
      <c r="F392" s="29"/>
      <c r="G392" s="36"/>
      <c r="H392" s="29"/>
      <c r="I392" s="35"/>
      <c r="J392" s="29"/>
      <c r="K392" s="29"/>
      <c r="L392" s="36"/>
      <c r="M392" s="29"/>
      <c r="N392" s="37"/>
      <c r="O392" s="30" t="n">
        <f aca="false">N392*J392</f>
        <v>0</v>
      </c>
    </row>
    <row r="393" customFormat="false" ht="15" hidden="false" customHeight="false" outlineLevel="0" collapsed="false">
      <c r="A393" s="33"/>
      <c r="B393" s="28" t="s">
        <v>21</v>
      </c>
      <c r="C393" s="29"/>
      <c r="D393" s="29"/>
      <c r="E393" s="29"/>
      <c r="F393" s="29"/>
      <c r="G393" s="36"/>
      <c r="H393" s="29"/>
      <c r="I393" s="35"/>
      <c r="J393" s="29"/>
      <c r="K393" s="29"/>
      <c r="L393" s="36"/>
      <c r="M393" s="29"/>
      <c r="N393" s="37"/>
      <c r="O393" s="30" t="n">
        <f aca="false">N393*J393</f>
        <v>0</v>
      </c>
    </row>
    <row r="394" customFormat="false" ht="15" hidden="false" customHeight="false" outlineLevel="0" collapsed="false">
      <c r="A394" s="33"/>
      <c r="B394" s="28" t="s">
        <v>21</v>
      </c>
      <c r="C394" s="29"/>
      <c r="D394" s="29"/>
      <c r="E394" s="29"/>
      <c r="F394" s="29"/>
      <c r="G394" s="36"/>
      <c r="H394" s="29"/>
      <c r="I394" s="35"/>
      <c r="J394" s="29"/>
      <c r="K394" s="29"/>
      <c r="L394" s="36"/>
      <c r="M394" s="29"/>
      <c r="N394" s="37"/>
      <c r="O394" s="30" t="n">
        <f aca="false">N394*J394</f>
        <v>0</v>
      </c>
    </row>
    <row r="395" customFormat="false" ht="15" hidden="false" customHeight="false" outlineLevel="0" collapsed="false">
      <c r="A395" s="33"/>
      <c r="B395" s="28" t="s">
        <v>21</v>
      </c>
      <c r="C395" s="29"/>
      <c r="D395" s="29"/>
      <c r="E395" s="29"/>
      <c r="F395" s="29"/>
      <c r="G395" s="36"/>
      <c r="H395" s="29"/>
      <c r="I395" s="35"/>
      <c r="J395" s="29"/>
      <c r="K395" s="29"/>
      <c r="L395" s="36"/>
      <c r="M395" s="29"/>
      <c r="N395" s="37"/>
      <c r="O395" s="30" t="n">
        <f aca="false">N395*J395</f>
        <v>0</v>
      </c>
    </row>
    <row r="396" customFormat="false" ht="15" hidden="false" customHeight="false" outlineLevel="0" collapsed="false">
      <c r="A396" s="33"/>
      <c r="B396" s="28" t="s">
        <v>21</v>
      </c>
      <c r="C396" s="29"/>
      <c r="D396" s="29"/>
      <c r="E396" s="29"/>
      <c r="F396" s="29"/>
      <c r="G396" s="36"/>
      <c r="H396" s="29"/>
      <c r="I396" s="35"/>
      <c r="J396" s="29"/>
      <c r="K396" s="29"/>
      <c r="L396" s="36"/>
      <c r="M396" s="29"/>
      <c r="N396" s="37"/>
      <c r="O396" s="30" t="n">
        <f aca="false">N396*J396</f>
        <v>0</v>
      </c>
    </row>
    <row r="397" customFormat="false" ht="15" hidden="false" customHeight="false" outlineLevel="0" collapsed="false">
      <c r="A397" s="33"/>
      <c r="B397" s="28" t="s">
        <v>21</v>
      </c>
      <c r="C397" s="29"/>
      <c r="D397" s="29"/>
      <c r="E397" s="29"/>
      <c r="F397" s="29"/>
      <c r="G397" s="36"/>
      <c r="H397" s="29"/>
      <c r="I397" s="35"/>
      <c r="J397" s="29"/>
      <c r="K397" s="29"/>
      <c r="L397" s="36"/>
      <c r="M397" s="29"/>
      <c r="N397" s="37"/>
      <c r="O397" s="30" t="n">
        <f aca="false">N397*J397</f>
        <v>0</v>
      </c>
    </row>
    <row r="398" customFormat="false" ht="15" hidden="false" customHeight="false" outlineLevel="0" collapsed="false">
      <c r="A398" s="33"/>
      <c r="B398" s="28" t="s">
        <v>21</v>
      </c>
      <c r="C398" s="29"/>
      <c r="D398" s="29"/>
      <c r="E398" s="29"/>
      <c r="F398" s="29"/>
      <c r="G398" s="36"/>
      <c r="H398" s="29"/>
      <c r="I398" s="35"/>
      <c r="J398" s="29"/>
      <c r="K398" s="29"/>
      <c r="L398" s="36"/>
      <c r="M398" s="29"/>
      <c r="N398" s="37"/>
      <c r="O398" s="30" t="n">
        <f aca="false">N398*J398</f>
        <v>0</v>
      </c>
    </row>
    <row r="399" customFormat="false" ht="15" hidden="false" customHeight="false" outlineLevel="0" collapsed="false">
      <c r="A399" s="33"/>
      <c r="B399" s="28" t="s">
        <v>21</v>
      </c>
      <c r="C399" s="29"/>
      <c r="D399" s="29"/>
      <c r="E399" s="29"/>
      <c r="F399" s="29"/>
      <c r="G399" s="36"/>
      <c r="H399" s="29"/>
      <c r="I399" s="35"/>
      <c r="J399" s="29"/>
      <c r="K399" s="29"/>
      <c r="L399" s="36"/>
      <c r="M399" s="29"/>
      <c r="N399" s="37"/>
      <c r="O399" s="30" t="n">
        <f aca="false">N399*J399</f>
        <v>0</v>
      </c>
    </row>
    <row r="400" customFormat="false" ht="15" hidden="false" customHeight="false" outlineLevel="0" collapsed="false">
      <c r="A400" s="33"/>
      <c r="B400" s="28" t="s">
        <v>21</v>
      </c>
      <c r="C400" s="29"/>
      <c r="D400" s="29"/>
      <c r="E400" s="29"/>
      <c r="F400" s="29"/>
      <c r="G400" s="36"/>
      <c r="H400" s="29"/>
      <c r="I400" s="35"/>
      <c r="J400" s="29"/>
      <c r="K400" s="29"/>
      <c r="L400" s="36"/>
      <c r="M400" s="29"/>
      <c r="N400" s="37"/>
      <c r="O400" s="30" t="n">
        <f aca="false">N400*J400</f>
        <v>0</v>
      </c>
    </row>
    <row r="401" customFormat="false" ht="15" hidden="false" customHeight="false" outlineLevel="0" collapsed="false">
      <c r="A401" s="33"/>
      <c r="B401" s="28" t="s">
        <v>21</v>
      </c>
      <c r="C401" s="29"/>
      <c r="D401" s="29"/>
      <c r="E401" s="29"/>
      <c r="F401" s="29"/>
      <c r="G401" s="36"/>
      <c r="H401" s="29"/>
      <c r="I401" s="35"/>
      <c r="J401" s="29"/>
      <c r="K401" s="29"/>
      <c r="L401" s="36"/>
      <c r="M401" s="29"/>
      <c r="N401" s="37"/>
      <c r="O401" s="30" t="n">
        <f aca="false">N401*J401</f>
        <v>0</v>
      </c>
    </row>
    <row r="402" customFormat="false" ht="15" hidden="false" customHeight="false" outlineLevel="0" collapsed="false">
      <c r="A402" s="33"/>
      <c r="B402" s="28" t="s">
        <v>21</v>
      </c>
      <c r="C402" s="29"/>
      <c r="D402" s="29"/>
      <c r="E402" s="29"/>
      <c r="F402" s="29"/>
      <c r="G402" s="36"/>
      <c r="H402" s="29"/>
      <c r="I402" s="35"/>
      <c r="J402" s="29"/>
      <c r="K402" s="29"/>
      <c r="L402" s="36"/>
      <c r="M402" s="29"/>
      <c r="N402" s="37"/>
      <c r="O402" s="30" t="n">
        <f aca="false">N402*J402</f>
        <v>0</v>
      </c>
    </row>
    <row r="403" customFormat="false" ht="15" hidden="false" customHeight="false" outlineLevel="0" collapsed="false">
      <c r="A403" s="33"/>
      <c r="B403" s="28" t="s">
        <v>21</v>
      </c>
      <c r="C403" s="29"/>
      <c r="D403" s="29"/>
      <c r="E403" s="29"/>
      <c r="F403" s="29"/>
      <c r="G403" s="36"/>
      <c r="H403" s="29"/>
      <c r="I403" s="35"/>
      <c r="J403" s="29"/>
      <c r="K403" s="29"/>
      <c r="L403" s="36"/>
      <c r="M403" s="29"/>
      <c r="N403" s="37"/>
      <c r="O403" s="30" t="n">
        <f aca="false">N403*J403</f>
        <v>0</v>
      </c>
    </row>
    <row r="404" customFormat="false" ht="15" hidden="false" customHeight="false" outlineLevel="0" collapsed="false">
      <c r="A404" s="33"/>
      <c r="B404" s="28" t="s">
        <v>21</v>
      </c>
      <c r="C404" s="29"/>
      <c r="D404" s="29"/>
      <c r="E404" s="29"/>
      <c r="F404" s="29"/>
      <c r="G404" s="36"/>
      <c r="H404" s="29"/>
      <c r="I404" s="35"/>
      <c r="J404" s="29"/>
      <c r="K404" s="29"/>
      <c r="L404" s="36"/>
      <c r="M404" s="29"/>
      <c r="N404" s="37"/>
      <c r="O404" s="30" t="n">
        <f aca="false">N404*J404</f>
        <v>0</v>
      </c>
    </row>
    <row r="405" customFormat="false" ht="15" hidden="false" customHeight="false" outlineLevel="0" collapsed="false">
      <c r="A405" s="33"/>
      <c r="B405" s="28" t="s">
        <v>21</v>
      </c>
      <c r="C405" s="29"/>
      <c r="D405" s="29"/>
      <c r="E405" s="29"/>
      <c r="F405" s="29"/>
      <c r="G405" s="36"/>
      <c r="H405" s="29"/>
      <c r="I405" s="35"/>
      <c r="J405" s="29"/>
      <c r="K405" s="29"/>
      <c r="L405" s="36"/>
      <c r="M405" s="29"/>
      <c r="N405" s="37"/>
      <c r="O405" s="30" t="n">
        <f aca="false">N405*J405</f>
        <v>0</v>
      </c>
    </row>
    <row r="406" customFormat="false" ht="15" hidden="false" customHeight="false" outlineLevel="0" collapsed="false">
      <c r="A406" s="33"/>
      <c r="B406" s="28" t="s">
        <v>21</v>
      </c>
      <c r="C406" s="29"/>
      <c r="D406" s="29"/>
      <c r="E406" s="29"/>
      <c r="F406" s="29"/>
      <c r="G406" s="36"/>
      <c r="H406" s="29"/>
      <c r="I406" s="35"/>
      <c r="J406" s="29"/>
      <c r="K406" s="29"/>
      <c r="L406" s="36"/>
      <c r="M406" s="29"/>
      <c r="N406" s="37"/>
      <c r="O406" s="30" t="n">
        <f aca="false">N406*J406</f>
        <v>0</v>
      </c>
    </row>
    <row r="407" customFormat="false" ht="15" hidden="false" customHeight="false" outlineLevel="0" collapsed="false">
      <c r="A407" s="33"/>
      <c r="B407" s="28" t="s">
        <v>21</v>
      </c>
      <c r="C407" s="29"/>
      <c r="D407" s="29"/>
      <c r="E407" s="29"/>
      <c r="F407" s="29"/>
      <c r="G407" s="36"/>
      <c r="H407" s="29"/>
      <c r="I407" s="35"/>
      <c r="J407" s="29"/>
      <c r="K407" s="29"/>
      <c r="L407" s="36"/>
      <c r="M407" s="29"/>
      <c r="N407" s="37"/>
      <c r="O407" s="30" t="n">
        <f aca="false">N407*J407</f>
        <v>0</v>
      </c>
    </row>
    <row r="408" customFormat="false" ht="15" hidden="false" customHeight="false" outlineLevel="0" collapsed="false">
      <c r="A408" s="33"/>
      <c r="B408" s="28" t="s">
        <v>21</v>
      </c>
      <c r="C408" s="29"/>
      <c r="D408" s="29"/>
      <c r="E408" s="29"/>
      <c r="F408" s="29"/>
      <c r="G408" s="36"/>
      <c r="H408" s="29"/>
      <c r="I408" s="35"/>
      <c r="J408" s="29"/>
      <c r="K408" s="29"/>
      <c r="L408" s="36"/>
      <c r="M408" s="29"/>
      <c r="N408" s="37"/>
      <c r="O408" s="30" t="n">
        <f aca="false">N408*J408</f>
        <v>0</v>
      </c>
    </row>
    <row r="409" customFormat="false" ht="15" hidden="false" customHeight="false" outlineLevel="0" collapsed="false">
      <c r="A409" s="33"/>
      <c r="B409" s="28" t="s">
        <v>21</v>
      </c>
      <c r="C409" s="29"/>
      <c r="D409" s="29"/>
      <c r="E409" s="29"/>
      <c r="F409" s="29"/>
      <c r="G409" s="36"/>
      <c r="H409" s="29"/>
      <c r="I409" s="35"/>
      <c r="J409" s="29"/>
      <c r="K409" s="29"/>
      <c r="L409" s="36"/>
      <c r="M409" s="29"/>
      <c r="N409" s="37"/>
      <c r="O409" s="30" t="n">
        <f aca="false">N409*J409</f>
        <v>0</v>
      </c>
    </row>
    <row r="410" customFormat="false" ht="15" hidden="false" customHeight="false" outlineLevel="0" collapsed="false">
      <c r="A410" s="33"/>
      <c r="B410" s="28" t="s">
        <v>21</v>
      </c>
      <c r="C410" s="29"/>
      <c r="D410" s="29"/>
      <c r="E410" s="29"/>
      <c r="F410" s="29"/>
      <c r="G410" s="36"/>
      <c r="H410" s="29"/>
      <c r="I410" s="35"/>
      <c r="J410" s="29"/>
      <c r="K410" s="29"/>
      <c r="L410" s="36"/>
      <c r="M410" s="29"/>
      <c r="N410" s="37"/>
      <c r="O410" s="30" t="n">
        <f aca="false">N410*J410</f>
        <v>0</v>
      </c>
    </row>
    <row r="411" customFormat="false" ht="15" hidden="false" customHeight="false" outlineLevel="0" collapsed="false">
      <c r="A411" s="33"/>
      <c r="B411" s="28" t="s">
        <v>21</v>
      </c>
      <c r="C411" s="29"/>
      <c r="D411" s="29"/>
      <c r="E411" s="29"/>
      <c r="F411" s="29"/>
      <c r="G411" s="36"/>
      <c r="H411" s="29"/>
      <c r="I411" s="35"/>
      <c r="J411" s="29"/>
      <c r="K411" s="29"/>
      <c r="L411" s="36"/>
      <c r="M411" s="29"/>
      <c r="N411" s="37"/>
      <c r="O411" s="30" t="n">
        <f aca="false">N411*J411</f>
        <v>0</v>
      </c>
    </row>
    <row r="412" customFormat="false" ht="15" hidden="false" customHeight="false" outlineLevel="0" collapsed="false">
      <c r="A412" s="33"/>
      <c r="B412" s="28" t="s">
        <v>21</v>
      </c>
      <c r="C412" s="29"/>
      <c r="D412" s="29"/>
      <c r="E412" s="29"/>
      <c r="F412" s="29"/>
      <c r="G412" s="36"/>
      <c r="H412" s="29"/>
      <c r="I412" s="35"/>
      <c r="J412" s="29"/>
      <c r="K412" s="29"/>
      <c r="L412" s="36"/>
      <c r="M412" s="29"/>
      <c r="N412" s="37"/>
      <c r="O412" s="30" t="n">
        <f aca="false">N412*J412</f>
        <v>0</v>
      </c>
    </row>
    <row r="413" customFormat="false" ht="15" hidden="false" customHeight="false" outlineLevel="0" collapsed="false">
      <c r="A413" s="33"/>
      <c r="B413" s="28" t="s">
        <v>21</v>
      </c>
      <c r="C413" s="29"/>
      <c r="D413" s="29"/>
      <c r="E413" s="29"/>
      <c r="F413" s="29"/>
      <c r="G413" s="36"/>
      <c r="H413" s="29"/>
      <c r="I413" s="35"/>
      <c r="J413" s="29"/>
      <c r="K413" s="29"/>
      <c r="L413" s="36"/>
      <c r="M413" s="29"/>
      <c r="N413" s="37"/>
      <c r="O413" s="30" t="n">
        <f aca="false">N413*J413</f>
        <v>0</v>
      </c>
    </row>
    <row r="414" customFormat="false" ht="15" hidden="false" customHeight="false" outlineLevel="0" collapsed="false">
      <c r="A414" s="33"/>
      <c r="B414" s="28" t="s">
        <v>21</v>
      </c>
      <c r="C414" s="29"/>
      <c r="D414" s="29"/>
      <c r="E414" s="29"/>
      <c r="F414" s="29"/>
      <c r="G414" s="36"/>
      <c r="H414" s="29"/>
      <c r="I414" s="35"/>
      <c r="J414" s="29"/>
      <c r="K414" s="29"/>
      <c r="L414" s="36"/>
      <c r="M414" s="29"/>
      <c r="N414" s="37"/>
      <c r="O414" s="30" t="n">
        <f aca="false">N414*J414</f>
        <v>0</v>
      </c>
    </row>
    <row r="415" customFormat="false" ht="15" hidden="false" customHeight="false" outlineLevel="0" collapsed="false">
      <c r="A415" s="33"/>
      <c r="B415" s="28" t="s">
        <v>21</v>
      </c>
      <c r="C415" s="29"/>
      <c r="D415" s="29"/>
      <c r="E415" s="29"/>
      <c r="F415" s="29"/>
      <c r="G415" s="36"/>
      <c r="H415" s="29"/>
      <c r="I415" s="35"/>
      <c r="J415" s="29"/>
      <c r="K415" s="29"/>
      <c r="L415" s="36"/>
      <c r="M415" s="29"/>
      <c r="N415" s="37"/>
      <c r="O415" s="30" t="n">
        <f aca="false">N415*J415</f>
        <v>0</v>
      </c>
    </row>
    <row r="416" customFormat="false" ht="15" hidden="false" customHeight="false" outlineLevel="0" collapsed="false">
      <c r="A416" s="33"/>
      <c r="B416" s="28" t="s">
        <v>21</v>
      </c>
      <c r="C416" s="29"/>
      <c r="D416" s="29"/>
      <c r="E416" s="29"/>
      <c r="F416" s="29"/>
      <c r="G416" s="36"/>
      <c r="H416" s="29"/>
      <c r="I416" s="35"/>
      <c r="J416" s="29"/>
      <c r="K416" s="29"/>
      <c r="L416" s="36"/>
      <c r="M416" s="29"/>
      <c r="N416" s="37"/>
      <c r="O416" s="30" t="n">
        <f aca="false">N416*J416</f>
        <v>0</v>
      </c>
    </row>
    <row r="417" customFormat="false" ht="15" hidden="false" customHeight="false" outlineLevel="0" collapsed="false">
      <c r="A417" s="33"/>
      <c r="B417" s="28" t="s">
        <v>21</v>
      </c>
      <c r="C417" s="29"/>
      <c r="D417" s="29"/>
      <c r="E417" s="29"/>
      <c r="F417" s="29"/>
      <c r="G417" s="36"/>
      <c r="H417" s="29"/>
      <c r="I417" s="35"/>
      <c r="J417" s="29"/>
      <c r="K417" s="29"/>
      <c r="L417" s="36"/>
      <c r="M417" s="29"/>
      <c r="N417" s="37"/>
      <c r="O417" s="30" t="n">
        <f aca="false">N417*J417</f>
        <v>0</v>
      </c>
    </row>
    <row r="418" customFormat="false" ht="15" hidden="false" customHeight="false" outlineLevel="0" collapsed="false">
      <c r="A418" s="33"/>
      <c r="B418" s="28" t="s">
        <v>21</v>
      </c>
      <c r="C418" s="29"/>
      <c r="D418" s="29"/>
      <c r="E418" s="29"/>
      <c r="F418" s="29"/>
      <c r="G418" s="36"/>
      <c r="H418" s="29"/>
      <c r="I418" s="35"/>
      <c r="J418" s="29"/>
      <c r="K418" s="29"/>
      <c r="L418" s="36"/>
      <c r="M418" s="29"/>
      <c r="N418" s="37"/>
      <c r="O418" s="30" t="n">
        <f aca="false">N418*J418</f>
        <v>0</v>
      </c>
    </row>
    <row r="419" customFormat="false" ht="15" hidden="false" customHeight="false" outlineLevel="0" collapsed="false">
      <c r="A419" s="33"/>
      <c r="B419" s="28" t="s">
        <v>21</v>
      </c>
      <c r="C419" s="29"/>
      <c r="D419" s="29"/>
      <c r="E419" s="29"/>
      <c r="F419" s="29"/>
      <c r="G419" s="36"/>
      <c r="H419" s="29"/>
      <c r="I419" s="35"/>
      <c r="J419" s="29"/>
      <c r="K419" s="29"/>
      <c r="L419" s="36"/>
      <c r="M419" s="29"/>
      <c r="N419" s="37"/>
      <c r="O419" s="30" t="n">
        <f aca="false">N419*J419</f>
        <v>0</v>
      </c>
    </row>
    <row r="420" customFormat="false" ht="15" hidden="false" customHeight="false" outlineLevel="0" collapsed="false">
      <c r="A420" s="33"/>
      <c r="B420" s="28" t="s">
        <v>21</v>
      </c>
      <c r="C420" s="29"/>
      <c r="D420" s="29"/>
      <c r="E420" s="29"/>
      <c r="F420" s="29"/>
      <c r="G420" s="36"/>
      <c r="H420" s="29"/>
      <c r="I420" s="35"/>
      <c r="J420" s="29"/>
      <c r="K420" s="29"/>
      <c r="L420" s="36"/>
      <c r="M420" s="29"/>
      <c r="N420" s="37"/>
      <c r="O420" s="30" t="n">
        <f aca="false">N420*J420</f>
        <v>0</v>
      </c>
    </row>
    <row r="421" customFormat="false" ht="15" hidden="false" customHeight="false" outlineLevel="0" collapsed="false">
      <c r="A421" s="33"/>
      <c r="B421" s="28" t="s">
        <v>21</v>
      </c>
      <c r="C421" s="29"/>
      <c r="D421" s="29"/>
      <c r="E421" s="29"/>
      <c r="F421" s="29"/>
      <c r="G421" s="36"/>
      <c r="H421" s="29"/>
      <c r="I421" s="35"/>
      <c r="J421" s="29"/>
      <c r="K421" s="29"/>
      <c r="L421" s="36"/>
      <c r="M421" s="29"/>
      <c r="N421" s="37"/>
      <c r="O421" s="30" t="n">
        <f aca="false">N421*J421</f>
        <v>0</v>
      </c>
    </row>
    <row r="422" customFormat="false" ht="15" hidden="false" customHeight="false" outlineLevel="0" collapsed="false">
      <c r="A422" s="33"/>
      <c r="B422" s="28" t="s">
        <v>21</v>
      </c>
      <c r="C422" s="29"/>
      <c r="D422" s="29"/>
      <c r="E422" s="29"/>
      <c r="F422" s="29"/>
      <c r="G422" s="36"/>
      <c r="H422" s="29"/>
      <c r="I422" s="35"/>
      <c r="J422" s="29"/>
      <c r="K422" s="29"/>
      <c r="L422" s="36"/>
      <c r="M422" s="29"/>
      <c r="N422" s="37"/>
      <c r="O422" s="30" t="n">
        <f aca="false">N422*J422</f>
        <v>0</v>
      </c>
    </row>
    <row r="423" customFormat="false" ht="15" hidden="false" customHeight="false" outlineLevel="0" collapsed="false">
      <c r="A423" s="33"/>
      <c r="B423" s="28" t="s">
        <v>21</v>
      </c>
      <c r="C423" s="29"/>
      <c r="D423" s="29"/>
      <c r="E423" s="29"/>
      <c r="F423" s="29"/>
      <c r="G423" s="36"/>
      <c r="H423" s="29"/>
      <c r="I423" s="35"/>
      <c r="J423" s="29"/>
      <c r="K423" s="29"/>
      <c r="L423" s="36"/>
      <c r="M423" s="29"/>
      <c r="N423" s="37"/>
      <c r="O423" s="30" t="n">
        <f aca="false">N423*J423</f>
        <v>0</v>
      </c>
    </row>
    <row r="424" customFormat="false" ht="15" hidden="false" customHeight="false" outlineLevel="0" collapsed="false">
      <c r="A424" s="33"/>
      <c r="B424" s="28" t="s">
        <v>21</v>
      </c>
      <c r="C424" s="29"/>
      <c r="D424" s="29"/>
      <c r="E424" s="29"/>
      <c r="F424" s="29"/>
      <c r="G424" s="36"/>
      <c r="H424" s="29"/>
      <c r="I424" s="35"/>
      <c r="J424" s="29"/>
      <c r="K424" s="29"/>
      <c r="L424" s="36"/>
      <c r="M424" s="29"/>
      <c r="N424" s="37"/>
      <c r="O424" s="30" t="n">
        <f aca="false">N424*J424</f>
        <v>0</v>
      </c>
    </row>
    <row r="425" customFormat="false" ht="15" hidden="false" customHeight="false" outlineLevel="0" collapsed="false">
      <c r="A425" s="33"/>
      <c r="B425" s="28"/>
      <c r="C425" s="29"/>
      <c r="D425" s="29"/>
      <c r="E425" s="29"/>
      <c r="F425" s="29"/>
      <c r="G425" s="36"/>
      <c r="H425" s="29"/>
      <c r="I425" s="35"/>
      <c r="J425" s="29"/>
      <c r="K425" s="29"/>
      <c r="L425" s="36"/>
      <c r="M425" s="29"/>
      <c r="N425" s="37"/>
      <c r="O425" s="30" t="n">
        <f aca="false">N425*J425</f>
        <v>0</v>
      </c>
    </row>
    <row r="426" customFormat="false" ht="15" hidden="false" customHeight="false" outlineLevel="0" collapsed="false">
      <c r="A426" s="33"/>
      <c r="B426" s="28"/>
      <c r="C426" s="29"/>
      <c r="D426" s="29"/>
      <c r="E426" s="29"/>
      <c r="F426" s="29"/>
      <c r="G426" s="36"/>
      <c r="H426" s="29"/>
      <c r="I426" s="35"/>
      <c r="J426" s="29"/>
      <c r="K426" s="29"/>
      <c r="L426" s="36"/>
      <c r="M426" s="29"/>
      <c r="N426" s="37"/>
      <c r="O426" s="30" t="n">
        <f aca="false">N426*J426</f>
        <v>0</v>
      </c>
    </row>
    <row r="427" customFormat="false" ht="15" hidden="false" customHeight="false" outlineLevel="0" collapsed="false">
      <c r="A427" s="33"/>
      <c r="B427" s="28"/>
      <c r="C427" s="29"/>
      <c r="D427" s="29"/>
      <c r="E427" s="29"/>
      <c r="F427" s="29"/>
      <c r="G427" s="36"/>
      <c r="H427" s="29"/>
      <c r="I427" s="35"/>
      <c r="J427" s="29"/>
      <c r="K427" s="29"/>
      <c r="L427" s="36"/>
      <c r="M427" s="29"/>
      <c r="N427" s="37"/>
      <c r="O427" s="30" t="n">
        <f aca="false">N427*J427</f>
        <v>0</v>
      </c>
    </row>
    <row r="428" customFormat="false" ht="15" hidden="false" customHeight="false" outlineLevel="0" collapsed="false">
      <c r="A428" s="33"/>
      <c r="B428" s="28"/>
      <c r="C428" s="29"/>
      <c r="D428" s="29"/>
      <c r="E428" s="29"/>
      <c r="F428" s="29"/>
      <c r="G428" s="36"/>
      <c r="H428" s="29"/>
      <c r="I428" s="35"/>
      <c r="J428" s="29"/>
      <c r="K428" s="29"/>
      <c r="L428" s="36"/>
      <c r="M428" s="29"/>
      <c r="N428" s="37"/>
      <c r="O428" s="30" t="n">
        <f aca="false">N428*J428</f>
        <v>0</v>
      </c>
    </row>
    <row r="429" customFormat="false" ht="15" hidden="false" customHeight="false" outlineLevel="0" collapsed="false">
      <c r="A429" s="33"/>
      <c r="B429" s="28"/>
      <c r="C429" s="29"/>
      <c r="D429" s="29"/>
      <c r="E429" s="29"/>
      <c r="F429" s="29"/>
      <c r="G429" s="36"/>
      <c r="H429" s="29"/>
      <c r="I429" s="35"/>
      <c r="J429" s="29"/>
      <c r="K429" s="29"/>
      <c r="L429" s="36"/>
      <c r="M429" s="29"/>
      <c r="N429" s="37"/>
      <c r="O429" s="30" t="n">
        <f aca="false">N429*J429</f>
        <v>0</v>
      </c>
    </row>
    <row r="430" customFormat="false" ht="15" hidden="false" customHeight="false" outlineLevel="0" collapsed="false">
      <c r="A430" s="33"/>
      <c r="B430" s="28"/>
      <c r="C430" s="29"/>
      <c r="D430" s="29"/>
      <c r="E430" s="29"/>
      <c r="F430" s="29"/>
      <c r="G430" s="36"/>
      <c r="H430" s="29"/>
      <c r="I430" s="35"/>
      <c r="J430" s="29"/>
      <c r="K430" s="29"/>
      <c r="L430" s="36"/>
      <c r="M430" s="29"/>
      <c r="N430" s="37"/>
      <c r="O430" s="30" t="n">
        <f aca="false">N430*J430</f>
        <v>0</v>
      </c>
    </row>
    <row r="431" customFormat="false" ht="15" hidden="false" customHeight="false" outlineLevel="0" collapsed="false">
      <c r="A431" s="33"/>
      <c r="B431" s="28"/>
      <c r="C431" s="29"/>
      <c r="D431" s="29"/>
      <c r="E431" s="29"/>
      <c r="F431" s="29"/>
      <c r="G431" s="36"/>
      <c r="H431" s="29"/>
      <c r="I431" s="35"/>
      <c r="J431" s="29"/>
      <c r="K431" s="29"/>
      <c r="L431" s="36"/>
      <c r="M431" s="29"/>
      <c r="N431" s="37"/>
      <c r="O431" s="30" t="n">
        <f aca="false">N431*J431</f>
        <v>0</v>
      </c>
    </row>
    <row r="432" customFormat="false" ht="15" hidden="false" customHeight="false" outlineLevel="0" collapsed="false">
      <c r="A432" s="33"/>
      <c r="B432" s="28"/>
      <c r="C432" s="29"/>
      <c r="D432" s="29"/>
      <c r="E432" s="29"/>
      <c r="F432" s="29"/>
      <c r="G432" s="36"/>
      <c r="H432" s="29"/>
      <c r="I432" s="35"/>
      <c r="J432" s="29"/>
      <c r="K432" s="29"/>
      <c r="L432" s="36"/>
      <c r="M432" s="29"/>
      <c r="N432" s="37"/>
      <c r="O432" s="30" t="n">
        <f aca="false">N432*J432</f>
        <v>0</v>
      </c>
    </row>
    <row r="433" customFormat="false" ht="15" hidden="false" customHeight="false" outlineLevel="0" collapsed="false">
      <c r="A433" s="33"/>
      <c r="B433" s="28"/>
      <c r="C433" s="29"/>
      <c r="D433" s="29"/>
      <c r="E433" s="29"/>
      <c r="F433" s="29"/>
      <c r="G433" s="36"/>
      <c r="H433" s="29"/>
      <c r="I433" s="35"/>
      <c r="J433" s="29"/>
      <c r="K433" s="29"/>
      <c r="L433" s="36"/>
      <c r="M433" s="29"/>
      <c r="N433" s="37"/>
      <c r="O433" s="30" t="n">
        <f aca="false">N433*J433</f>
        <v>0</v>
      </c>
    </row>
    <row r="434" customFormat="false" ht="15" hidden="false" customHeight="false" outlineLevel="0" collapsed="false">
      <c r="A434" s="33"/>
      <c r="B434" s="28"/>
      <c r="C434" s="29"/>
      <c r="D434" s="29"/>
      <c r="E434" s="29"/>
      <c r="F434" s="29"/>
      <c r="G434" s="36"/>
      <c r="H434" s="29"/>
      <c r="I434" s="35"/>
      <c r="J434" s="29"/>
      <c r="K434" s="29"/>
      <c r="L434" s="36"/>
      <c r="M434" s="29"/>
      <c r="N434" s="37"/>
      <c r="O434" s="30" t="n">
        <f aca="false">N434*J434</f>
        <v>0</v>
      </c>
    </row>
    <row r="435" customFormat="false" ht="15" hidden="false" customHeight="false" outlineLevel="0" collapsed="false">
      <c r="A435" s="33"/>
      <c r="B435" s="28"/>
      <c r="C435" s="29"/>
      <c r="D435" s="29"/>
      <c r="E435" s="29"/>
      <c r="F435" s="29"/>
      <c r="G435" s="36"/>
      <c r="H435" s="29"/>
      <c r="I435" s="35"/>
      <c r="J435" s="29"/>
      <c r="K435" s="29"/>
      <c r="L435" s="36"/>
      <c r="M435" s="29"/>
      <c r="N435" s="37"/>
      <c r="O435" s="30" t="n">
        <f aca="false">N435*J435</f>
        <v>0</v>
      </c>
    </row>
    <row r="436" customFormat="false" ht="15" hidden="false" customHeight="false" outlineLevel="0" collapsed="false">
      <c r="A436" s="33"/>
      <c r="B436" s="28"/>
      <c r="C436" s="29"/>
      <c r="D436" s="29"/>
      <c r="E436" s="29"/>
      <c r="F436" s="29"/>
      <c r="G436" s="36"/>
      <c r="H436" s="29"/>
      <c r="I436" s="35"/>
      <c r="J436" s="29"/>
      <c r="K436" s="29"/>
      <c r="L436" s="36"/>
      <c r="M436" s="29"/>
      <c r="N436" s="37"/>
      <c r="O436" s="30" t="n">
        <f aca="false">N436*J436</f>
        <v>0</v>
      </c>
    </row>
    <row r="437" customFormat="false" ht="15" hidden="false" customHeight="false" outlineLevel="0" collapsed="false">
      <c r="A437" s="33"/>
      <c r="B437" s="28"/>
      <c r="C437" s="29"/>
      <c r="D437" s="29"/>
      <c r="E437" s="29"/>
      <c r="F437" s="29"/>
      <c r="G437" s="36"/>
      <c r="H437" s="29"/>
      <c r="I437" s="35"/>
      <c r="J437" s="29"/>
      <c r="K437" s="29"/>
      <c r="L437" s="36"/>
      <c r="M437" s="29"/>
      <c r="N437" s="37"/>
      <c r="O437" s="30" t="n">
        <f aca="false">N437*J437</f>
        <v>0</v>
      </c>
    </row>
    <row r="438" customFormat="false" ht="15" hidden="false" customHeight="false" outlineLevel="0" collapsed="false">
      <c r="A438" s="33"/>
      <c r="B438" s="28"/>
      <c r="C438" s="29"/>
      <c r="D438" s="29"/>
      <c r="E438" s="29"/>
      <c r="F438" s="29"/>
      <c r="G438" s="36"/>
      <c r="H438" s="29"/>
      <c r="I438" s="35"/>
      <c r="J438" s="29"/>
      <c r="K438" s="29"/>
      <c r="L438" s="36"/>
      <c r="M438" s="29"/>
      <c r="N438" s="37"/>
      <c r="O438" s="30" t="n">
        <f aca="false">N438*J438</f>
        <v>0</v>
      </c>
    </row>
    <row r="439" customFormat="false" ht="15" hidden="false" customHeight="false" outlineLevel="0" collapsed="false">
      <c r="A439" s="33"/>
      <c r="B439" s="28"/>
      <c r="C439" s="29"/>
      <c r="D439" s="29"/>
      <c r="E439" s="29"/>
      <c r="F439" s="29"/>
      <c r="G439" s="36"/>
      <c r="H439" s="29"/>
      <c r="I439" s="35"/>
      <c r="J439" s="29"/>
      <c r="K439" s="29"/>
      <c r="L439" s="36"/>
      <c r="M439" s="29"/>
      <c r="N439" s="37"/>
      <c r="O439" s="30" t="n">
        <f aca="false">N439*J439</f>
        <v>0</v>
      </c>
    </row>
    <row r="440" customFormat="false" ht="15" hidden="false" customHeight="false" outlineLevel="0" collapsed="false">
      <c r="A440" s="33"/>
      <c r="B440" s="28"/>
      <c r="C440" s="29"/>
      <c r="D440" s="29"/>
      <c r="E440" s="29"/>
      <c r="F440" s="29"/>
      <c r="G440" s="36"/>
      <c r="H440" s="29"/>
      <c r="I440" s="35"/>
      <c r="J440" s="29"/>
      <c r="K440" s="29"/>
      <c r="L440" s="36"/>
      <c r="M440" s="29"/>
      <c r="N440" s="37"/>
      <c r="O440" s="30" t="n">
        <f aca="false">N440*J440</f>
        <v>0</v>
      </c>
    </row>
    <row r="441" customFormat="false" ht="15" hidden="false" customHeight="false" outlineLevel="0" collapsed="false">
      <c r="A441" s="33"/>
      <c r="B441" s="28"/>
      <c r="C441" s="29"/>
      <c r="D441" s="29"/>
      <c r="E441" s="29"/>
      <c r="F441" s="29"/>
      <c r="G441" s="36"/>
      <c r="H441" s="29"/>
      <c r="I441" s="35"/>
      <c r="J441" s="29"/>
      <c r="K441" s="29"/>
      <c r="L441" s="36"/>
      <c r="M441" s="29"/>
      <c r="N441" s="37"/>
      <c r="O441" s="30" t="n">
        <f aca="false">N441*J441</f>
        <v>0</v>
      </c>
    </row>
    <row r="442" customFormat="false" ht="15" hidden="false" customHeight="false" outlineLevel="0" collapsed="false">
      <c r="A442" s="33"/>
      <c r="B442" s="28"/>
      <c r="C442" s="29"/>
      <c r="D442" s="29"/>
      <c r="E442" s="29"/>
      <c r="F442" s="29"/>
      <c r="G442" s="36"/>
      <c r="H442" s="29"/>
      <c r="I442" s="35"/>
      <c r="J442" s="29"/>
      <c r="K442" s="29"/>
      <c r="L442" s="36"/>
      <c r="M442" s="29"/>
      <c r="N442" s="37"/>
      <c r="O442" s="30" t="n">
        <f aca="false">N442*J442</f>
        <v>0</v>
      </c>
    </row>
    <row r="443" customFormat="false" ht="15" hidden="false" customHeight="false" outlineLevel="0" collapsed="false">
      <c r="A443" s="33"/>
      <c r="B443" s="28"/>
      <c r="C443" s="29"/>
      <c r="D443" s="29"/>
      <c r="E443" s="29"/>
      <c r="F443" s="29"/>
      <c r="G443" s="36"/>
      <c r="H443" s="29"/>
      <c r="I443" s="35"/>
      <c r="J443" s="29"/>
      <c r="K443" s="29"/>
      <c r="L443" s="36"/>
      <c r="M443" s="29"/>
      <c r="N443" s="37"/>
      <c r="O443" s="30" t="n">
        <f aca="false">N443*J443</f>
        <v>0</v>
      </c>
    </row>
    <row r="444" customFormat="false" ht="15" hidden="false" customHeight="false" outlineLevel="0" collapsed="false">
      <c r="A444" s="33"/>
      <c r="B444" s="28"/>
      <c r="C444" s="29"/>
      <c r="D444" s="29"/>
      <c r="E444" s="29"/>
      <c r="F444" s="29"/>
      <c r="G444" s="36"/>
      <c r="H444" s="29"/>
      <c r="I444" s="35"/>
      <c r="J444" s="29"/>
      <c r="K444" s="29"/>
      <c r="L444" s="36"/>
      <c r="M444" s="29"/>
      <c r="N444" s="37"/>
      <c r="O444" s="30" t="n">
        <f aca="false">N444*J444</f>
        <v>0</v>
      </c>
    </row>
    <row r="445" customFormat="false" ht="15" hidden="false" customHeight="false" outlineLevel="0" collapsed="false">
      <c r="A445" s="33"/>
      <c r="B445" s="28"/>
      <c r="C445" s="29"/>
      <c r="D445" s="29"/>
      <c r="E445" s="29"/>
      <c r="F445" s="29"/>
      <c r="G445" s="36"/>
      <c r="H445" s="29"/>
      <c r="I445" s="35"/>
      <c r="J445" s="29"/>
      <c r="K445" s="29"/>
      <c r="L445" s="36"/>
      <c r="M445" s="29"/>
      <c r="N445" s="37"/>
      <c r="O445" s="30" t="n">
        <f aca="false">N445*J445</f>
        <v>0</v>
      </c>
    </row>
    <row r="446" customFormat="false" ht="15" hidden="false" customHeight="false" outlineLevel="0" collapsed="false">
      <c r="A446" s="33"/>
      <c r="B446" s="28"/>
      <c r="C446" s="29"/>
      <c r="D446" s="29"/>
      <c r="E446" s="29"/>
      <c r="F446" s="29"/>
      <c r="G446" s="36"/>
      <c r="H446" s="29"/>
      <c r="I446" s="35"/>
      <c r="J446" s="29"/>
      <c r="K446" s="29"/>
      <c r="L446" s="36"/>
      <c r="M446" s="29"/>
      <c r="N446" s="37"/>
      <c r="O446" s="30" t="n">
        <f aca="false">N446*J446</f>
        <v>0</v>
      </c>
    </row>
    <row r="447" customFormat="false" ht="15" hidden="false" customHeight="false" outlineLevel="0" collapsed="false">
      <c r="A447" s="33"/>
      <c r="B447" s="28"/>
      <c r="C447" s="29"/>
      <c r="D447" s="29"/>
      <c r="E447" s="29"/>
      <c r="F447" s="29"/>
      <c r="G447" s="36"/>
      <c r="H447" s="29"/>
      <c r="I447" s="35"/>
      <c r="J447" s="29"/>
      <c r="K447" s="29"/>
      <c r="L447" s="36"/>
      <c r="M447" s="29"/>
      <c r="N447" s="37"/>
      <c r="O447" s="30" t="n">
        <f aca="false">N447*J447</f>
        <v>0</v>
      </c>
    </row>
    <row r="448" customFormat="false" ht="15" hidden="false" customHeight="false" outlineLevel="0" collapsed="false">
      <c r="A448" s="33"/>
      <c r="B448" s="28"/>
      <c r="C448" s="29"/>
      <c r="D448" s="29"/>
      <c r="E448" s="29"/>
      <c r="F448" s="29"/>
      <c r="G448" s="36"/>
      <c r="H448" s="29"/>
      <c r="I448" s="35"/>
      <c r="J448" s="29"/>
      <c r="K448" s="29"/>
      <c r="L448" s="36"/>
      <c r="M448" s="29"/>
      <c r="N448" s="37"/>
      <c r="O448" s="30" t="n">
        <f aca="false">N448*J448</f>
        <v>0</v>
      </c>
    </row>
    <row r="449" customFormat="false" ht="15" hidden="false" customHeight="false" outlineLevel="0" collapsed="false">
      <c r="A449" s="33"/>
      <c r="B449" s="28"/>
      <c r="C449" s="29"/>
      <c r="D449" s="29"/>
      <c r="E449" s="29"/>
      <c r="F449" s="29"/>
      <c r="G449" s="36"/>
      <c r="H449" s="29"/>
      <c r="I449" s="35"/>
      <c r="J449" s="29"/>
      <c r="K449" s="29"/>
      <c r="L449" s="36"/>
      <c r="M449" s="29"/>
      <c r="N449" s="37"/>
      <c r="O449" s="30" t="n">
        <f aca="false">N449*J449</f>
        <v>0</v>
      </c>
    </row>
    <row r="450" customFormat="false" ht="15" hidden="false" customHeight="false" outlineLevel="0" collapsed="false">
      <c r="A450" s="33"/>
      <c r="B450" s="28"/>
      <c r="C450" s="29"/>
      <c r="D450" s="29"/>
      <c r="E450" s="29"/>
      <c r="F450" s="29"/>
      <c r="G450" s="36"/>
      <c r="H450" s="29"/>
      <c r="I450" s="35"/>
      <c r="J450" s="29"/>
      <c r="K450" s="29"/>
      <c r="L450" s="36"/>
      <c r="M450" s="29"/>
      <c r="N450" s="37"/>
      <c r="O450" s="30" t="n">
        <f aca="false">N450*J450</f>
        <v>0</v>
      </c>
    </row>
    <row r="451" customFormat="false" ht="15" hidden="false" customHeight="false" outlineLevel="0" collapsed="false">
      <c r="A451" s="33"/>
      <c r="B451" s="28"/>
      <c r="C451" s="29"/>
      <c r="D451" s="29"/>
      <c r="E451" s="29"/>
      <c r="F451" s="29"/>
      <c r="G451" s="36"/>
      <c r="H451" s="29"/>
      <c r="I451" s="35"/>
      <c r="J451" s="29"/>
      <c r="K451" s="29"/>
      <c r="L451" s="36"/>
      <c r="M451" s="29"/>
      <c r="N451" s="37"/>
      <c r="O451" s="30" t="n">
        <f aca="false">N451*J451</f>
        <v>0</v>
      </c>
    </row>
    <row r="452" customFormat="false" ht="15" hidden="false" customHeight="false" outlineLevel="0" collapsed="false">
      <c r="A452" s="33"/>
      <c r="B452" s="28"/>
      <c r="C452" s="29"/>
      <c r="D452" s="29"/>
      <c r="E452" s="29"/>
      <c r="F452" s="29"/>
      <c r="G452" s="36"/>
      <c r="H452" s="29"/>
      <c r="I452" s="35"/>
      <c r="J452" s="29"/>
      <c r="K452" s="29"/>
      <c r="L452" s="36"/>
      <c r="M452" s="29"/>
      <c r="N452" s="37"/>
      <c r="O452" s="30" t="n">
        <f aca="false">N452*J452</f>
        <v>0</v>
      </c>
    </row>
    <row r="453" customFormat="false" ht="15" hidden="false" customHeight="false" outlineLevel="0" collapsed="false">
      <c r="A453" s="33"/>
      <c r="B453" s="28"/>
      <c r="C453" s="29"/>
      <c r="D453" s="29"/>
      <c r="E453" s="29"/>
      <c r="F453" s="29"/>
      <c r="G453" s="36"/>
      <c r="H453" s="29"/>
      <c r="I453" s="35"/>
      <c r="J453" s="29"/>
      <c r="K453" s="29"/>
      <c r="L453" s="36"/>
      <c r="M453" s="29"/>
      <c r="N453" s="37"/>
      <c r="O453" s="30" t="n">
        <f aca="false">N453*J453</f>
        <v>0</v>
      </c>
    </row>
    <row r="454" customFormat="false" ht="15" hidden="false" customHeight="false" outlineLevel="0" collapsed="false">
      <c r="A454" s="33"/>
      <c r="B454" s="28"/>
      <c r="C454" s="29"/>
      <c r="D454" s="29"/>
      <c r="E454" s="29"/>
      <c r="F454" s="29"/>
      <c r="G454" s="36"/>
      <c r="H454" s="29"/>
      <c r="I454" s="35"/>
      <c r="J454" s="29"/>
      <c r="K454" s="29"/>
      <c r="L454" s="36"/>
      <c r="M454" s="29"/>
      <c r="N454" s="37"/>
      <c r="O454" s="30" t="n">
        <f aca="false">N454*J454</f>
        <v>0</v>
      </c>
    </row>
    <row r="455" customFormat="false" ht="15" hidden="false" customHeight="false" outlineLevel="0" collapsed="false">
      <c r="A455" s="33"/>
      <c r="B455" s="28"/>
      <c r="C455" s="29"/>
      <c r="D455" s="29"/>
      <c r="E455" s="29"/>
      <c r="F455" s="29"/>
      <c r="G455" s="36"/>
      <c r="H455" s="29"/>
      <c r="I455" s="35"/>
      <c r="J455" s="29"/>
      <c r="K455" s="29"/>
      <c r="L455" s="36"/>
      <c r="M455" s="29"/>
      <c r="N455" s="37"/>
      <c r="O455" s="30" t="n">
        <f aca="false">N455*J455</f>
        <v>0</v>
      </c>
    </row>
    <row r="456" customFormat="false" ht="15" hidden="false" customHeight="false" outlineLevel="0" collapsed="false">
      <c r="A456" s="33"/>
      <c r="B456" s="28"/>
      <c r="C456" s="29"/>
      <c r="D456" s="29"/>
      <c r="E456" s="29"/>
      <c r="F456" s="29"/>
      <c r="G456" s="36"/>
      <c r="H456" s="29"/>
      <c r="I456" s="35"/>
      <c r="J456" s="29"/>
      <c r="K456" s="29"/>
      <c r="L456" s="36"/>
      <c r="M456" s="29"/>
      <c r="N456" s="37"/>
      <c r="O456" s="30" t="n">
        <f aca="false">N456*J456</f>
        <v>0</v>
      </c>
    </row>
    <row r="457" customFormat="false" ht="15" hidden="false" customHeight="false" outlineLevel="0" collapsed="false">
      <c r="A457" s="33"/>
      <c r="B457" s="28"/>
      <c r="C457" s="29"/>
      <c r="D457" s="29"/>
      <c r="E457" s="29"/>
      <c r="F457" s="29"/>
      <c r="G457" s="36"/>
      <c r="H457" s="29"/>
      <c r="I457" s="35"/>
      <c r="J457" s="29"/>
      <c r="K457" s="29"/>
      <c r="L457" s="36"/>
      <c r="M457" s="29"/>
      <c r="N457" s="37"/>
      <c r="O457" s="30" t="n">
        <f aca="false">N457*J457</f>
        <v>0</v>
      </c>
    </row>
    <row r="458" customFormat="false" ht="15" hidden="false" customHeight="false" outlineLevel="0" collapsed="false">
      <c r="A458" s="33"/>
      <c r="B458" s="28"/>
      <c r="C458" s="29"/>
      <c r="D458" s="29"/>
      <c r="E458" s="29"/>
      <c r="F458" s="29"/>
      <c r="G458" s="36"/>
      <c r="H458" s="29"/>
      <c r="I458" s="35"/>
      <c r="J458" s="29"/>
      <c r="K458" s="29"/>
      <c r="L458" s="36"/>
      <c r="M458" s="29"/>
      <c r="N458" s="37"/>
      <c r="O458" s="30" t="n">
        <f aca="false">N458*J458</f>
        <v>0</v>
      </c>
    </row>
    <row r="459" customFormat="false" ht="15" hidden="false" customHeight="false" outlineLevel="0" collapsed="false">
      <c r="A459" s="33"/>
      <c r="B459" s="28"/>
      <c r="C459" s="29"/>
      <c r="D459" s="29"/>
      <c r="E459" s="29"/>
      <c r="F459" s="29"/>
      <c r="G459" s="36"/>
      <c r="H459" s="29"/>
      <c r="I459" s="35"/>
      <c r="J459" s="29"/>
      <c r="K459" s="29"/>
      <c r="L459" s="36"/>
      <c r="M459" s="29"/>
      <c r="N459" s="37"/>
      <c r="O459" s="30" t="n">
        <f aca="false">N459*J459</f>
        <v>0</v>
      </c>
    </row>
    <row r="460" customFormat="false" ht="15" hidden="false" customHeight="false" outlineLevel="0" collapsed="false">
      <c r="A460" s="33"/>
      <c r="B460" s="28"/>
      <c r="C460" s="29"/>
      <c r="D460" s="29"/>
      <c r="E460" s="29"/>
      <c r="F460" s="29"/>
      <c r="G460" s="36"/>
      <c r="H460" s="29"/>
      <c r="I460" s="35"/>
      <c r="J460" s="29"/>
      <c r="K460" s="29"/>
      <c r="L460" s="36"/>
      <c r="M460" s="29"/>
      <c r="N460" s="37"/>
      <c r="O460" s="30" t="n">
        <f aca="false">N460*J460</f>
        <v>0</v>
      </c>
    </row>
    <row r="461" customFormat="false" ht="15" hidden="false" customHeight="false" outlineLevel="0" collapsed="false">
      <c r="A461" s="33"/>
      <c r="B461" s="28"/>
      <c r="C461" s="29"/>
      <c r="D461" s="29"/>
      <c r="E461" s="29"/>
      <c r="F461" s="29"/>
      <c r="G461" s="36"/>
      <c r="H461" s="29"/>
      <c r="I461" s="35"/>
      <c r="J461" s="29"/>
      <c r="K461" s="29"/>
      <c r="L461" s="36"/>
      <c r="M461" s="29"/>
      <c r="N461" s="37"/>
      <c r="O461" s="30" t="n">
        <f aca="false">N461*J461</f>
        <v>0</v>
      </c>
    </row>
    <row r="462" customFormat="false" ht="15" hidden="false" customHeight="false" outlineLevel="0" collapsed="false">
      <c r="A462" s="33"/>
      <c r="B462" s="28"/>
      <c r="C462" s="29"/>
      <c r="D462" s="29"/>
      <c r="E462" s="29"/>
      <c r="F462" s="29"/>
      <c r="G462" s="36"/>
      <c r="H462" s="29"/>
      <c r="I462" s="35"/>
      <c r="J462" s="29"/>
      <c r="K462" s="29"/>
      <c r="L462" s="36"/>
      <c r="M462" s="29"/>
      <c r="N462" s="37"/>
      <c r="O462" s="30" t="n">
        <f aca="false">N462*J462</f>
        <v>0</v>
      </c>
    </row>
    <row r="463" customFormat="false" ht="15" hidden="false" customHeight="false" outlineLevel="0" collapsed="false">
      <c r="A463" s="33"/>
      <c r="B463" s="28"/>
      <c r="C463" s="29"/>
      <c r="D463" s="29"/>
      <c r="E463" s="29"/>
      <c r="F463" s="29"/>
      <c r="G463" s="36"/>
      <c r="H463" s="29"/>
      <c r="I463" s="35"/>
      <c r="J463" s="29"/>
      <c r="K463" s="29"/>
      <c r="L463" s="36"/>
      <c r="M463" s="29"/>
      <c r="N463" s="37"/>
      <c r="O463" s="30" t="n">
        <f aca="false">N463*J463</f>
        <v>0</v>
      </c>
    </row>
    <row r="464" customFormat="false" ht="15" hidden="false" customHeight="false" outlineLevel="0" collapsed="false">
      <c r="A464" s="33"/>
      <c r="B464" s="28"/>
      <c r="C464" s="29"/>
      <c r="D464" s="29"/>
      <c r="E464" s="29"/>
      <c r="F464" s="29"/>
      <c r="G464" s="36"/>
      <c r="H464" s="29"/>
      <c r="I464" s="35"/>
      <c r="J464" s="29"/>
      <c r="K464" s="29"/>
      <c r="L464" s="36"/>
      <c r="M464" s="29"/>
      <c r="N464" s="37"/>
      <c r="O464" s="30" t="n">
        <f aca="false">N464*J464</f>
        <v>0</v>
      </c>
    </row>
    <row r="465" customFormat="false" ht="15" hidden="false" customHeight="false" outlineLevel="0" collapsed="false">
      <c r="A465" s="33"/>
      <c r="B465" s="28"/>
      <c r="C465" s="29"/>
      <c r="D465" s="29"/>
      <c r="E465" s="29"/>
      <c r="F465" s="29"/>
      <c r="G465" s="36"/>
      <c r="H465" s="29"/>
      <c r="I465" s="35"/>
      <c r="J465" s="29"/>
      <c r="K465" s="29"/>
      <c r="L465" s="36"/>
      <c r="M465" s="29"/>
      <c r="N465" s="37"/>
      <c r="O465" s="30" t="n">
        <f aca="false">N465*J465</f>
        <v>0</v>
      </c>
    </row>
    <row r="466" customFormat="false" ht="15" hidden="false" customHeight="false" outlineLevel="0" collapsed="false">
      <c r="A466" s="33"/>
      <c r="B466" s="28"/>
      <c r="C466" s="29"/>
      <c r="D466" s="29"/>
      <c r="E466" s="29"/>
      <c r="F466" s="29"/>
      <c r="G466" s="36"/>
      <c r="H466" s="29"/>
      <c r="I466" s="35"/>
      <c r="J466" s="29"/>
      <c r="K466" s="29"/>
      <c r="L466" s="36"/>
      <c r="M466" s="29"/>
      <c r="N466" s="37"/>
      <c r="O466" s="30" t="n">
        <f aca="false">N466*J466</f>
        <v>0</v>
      </c>
    </row>
    <row r="467" customFormat="false" ht="15" hidden="false" customHeight="false" outlineLevel="0" collapsed="false">
      <c r="A467" s="33"/>
      <c r="B467" s="28"/>
      <c r="C467" s="29"/>
      <c r="D467" s="29"/>
      <c r="E467" s="29"/>
      <c r="F467" s="29"/>
      <c r="G467" s="36"/>
      <c r="H467" s="29"/>
      <c r="I467" s="35"/>
      <c r="J467" s="29"/>
      <c r="K467" s="29"/>
      <c r="L467" s="36"/>
      <c r="M467" s="29"/>
      <c r="N467" s="37"/>
      <c r="O467" s="30" t="n">
        <f aca="false">N467*J467</f>
        <v>0</v>
      </c>
    </row>
    <row r="468" customFormat="false" ht="15" hidden="false" customHeight="false" outlineLevel="0" collapsed="false">
      <c r="A468" s="33"/>
      <c r="B468" s="28"/>
      <c r="C468" s="29"/>
      <c r="D468" s="29"/>
      <c r="E468" s="29"/>
      <c r="F468" s="29"/>
      <c r="G468" s="36"/>
      <c r="H468" s="29"/>
      <c r="I468" s="35"/>
      <c r="J468" s="29"/>
      <c r="K468" s="29"/>
      <c r="L468" s="36"/>
      <c r="M468" s="29"/>
      <c r="N468" s="37"/>
      <c r="O468" s="30" t="n">
        <f aca="false">N468*J468</f>
        <v>0</v>
      </c>
    </row>
    <row r="469" customFormat="false" ht="15" hidden="false" customHeight="false" outlineLevel="0" collapsed="false">
      <c r="A469" s="33"/>
      <c r="B469" s="28"/>
      <c r="C469" s="29"/>
      <c r="D469" s="29"/>
      <c r="E469" s="29"/>
      <c r="F469" s="29"/>
      <c r="G469" s="36"/>
      <c r="H469" s="29"/>
      <c r="I469" s="35"/>
      <c r="J469" s="29"/>
      <c r="K469" s="29"/>
      <c r="L469" s="36"/>
      <c r="M469" s="29"/>
      <c r="N469" s="37"/>
      <c r="O469" s="30" t="n">
        <f aca="false">N469*J469</f>
        <v>0</v>
      </c>
    </row>
    <row r="470" customFormat="false" ht="15" hidden="false" customHeight="false" outlineLevel="0" collapsed="false">
      <c r="A470" s="33"/>
      <c r="B470" s="28"/>
      <c r="C470" s="29"/>
      <c r="D470" s="29"/>
      <c r="E470" s="29"/>
      <c r="F470" s="29"/>
      <c r="G470" s="36"/>
      <c r="H470" s="29"/>
      <c r="I470" s="35"/>
      <c r="J470" s="29"/>
      <c r="K470" s="29"/>
      <c r="L470" s="36"/>
      <c r="M470" s="29"/>
      <c r="N470" s="37"/>
      <c r="O470" s="30" t="n">
        <f aca="false">N470*J470</f>
        <v>0</v>
      </c>
    </row>
    <row r="471" customFormat="false" ht="15" hidden="false" customHeight="false" outlineLevel="0" collapsed="false">
      <c r="A471" s="33"/>
      <c r="B471" s="28"/>
      <c r="C471" s="29"/>
      <c r="D471" s="29"/>
      <c r="E471" s="29"/>
      <c r="F471" s="29"/>
      <c r="G471" s="36"/>
      <c r="H471" s="29"/>
      <c r="I471" s="35"/>
      <c r="J471" s="29"/>
      <c r="K471" s="29"/>
      <c r="L471" s="36"/>
      <c r="M471" s="29"/>
      <c r="N471" s="37"/>
      <c r="O471" s="30" t="n">
        <f aca="false">N471*J471</f>
        <v>0</v>
      </c>
    </row>
    <row r="472" customFormat="false" ht="15" hidden="false" customHeight="false" outlineLevel="0" collapsed="false">
      <c r="A472" s="33"/>
      <c r="B472" s="28"/>
      <c r="C472" s="29"/>
      <c r="D472" s="29"/>
      <c r="E472" s="29"/>
      <c r="F472" s="29"/>
      <c r="G472" s="36"/>
      <c r="H472" s="29"/>
      <c r="I472" s="35"/>
      <c r="J472" s="29"/>
      <c r="K472" s="29"/>
      <c r="L472" s="36"/>
      <c r="M472" s="29"/>
      <c r="N472" s="37"/>
      <c r="O472" s="30" t="n">
        <f aca="false">N472*J472</f>
        <v>0</v>
      </c>
    </row>
    <row r="473" customFormat="false" ht="15" hidden="false" customHeight="false" outlineLevel="0" collapsed="false">
      <c r="A473" s="33"/>
      <c r="B473" s="28"/>
      <c r="C473" s="29"/>
      <c r="D473" s="29"/>
      <c r="E473" s="29"/>
      <c r="F473" s="29"/>
      <c r="G473" s="36"/>
      <c r="H473" s="29"/>
      <c r="I473" s="35"/>
      <c r="J473" s="29"/>
      <c r="K473" s="29"/>
      <c r="L473" s="36"/>
      <c r="M473" s="29"/>
      <c r="N473" s="37"/>
      <c r="O473" s="30" t="n">
        <f aca="false">N473*J473</f>
        <v>0</v>
      </c>
    </row>
    <row r="474" customFormat="false" ht="15" hidden="false" customHeight="false" outlineLevel="0" collapsed="false">
      <c r="A474" s="33"/>
      <c r="B474" s="28"/>
      <c r="C474" s="29"/>
      <c r="D474" s="29"/>
      <c r="E474" s="29"/>
      <c r="F474" s="29"/>
      <c r="G474" s="36"/>
      <c r="H474" s="29"/>
      <c r="I474" s="35"/>
      <c r="J474" s="29"/>
      <c r="K474" s="29"/>
      <c r="L474" s="36"/>
      <c r="M474" s="29"/>
      <c r="N474" s="37"/>
      <c r="O474" s="30" t="n">
        <f aca="false">N474*J474</f>
        <v>0</v>
      </c>
    </row>
    <row r="475" customFormat="false" ht="15" hidden="false" customHeight="false" outlineLevel="0" collapsed="false">
      <c r="A475" s="33"/>
      <c r="B475" s="28"/>
      <c r="C475" s="29"/>
      <c r="D475" s="29"/>
      <c r="E475" s="29"/>
      <c r="F475" s="29"/>
      <c r="G475" s="36"/>
      <c r="H475" s="29"/>
      <c r="I475" s="35"/>
      <c r="J475" s="29"/>
      <c r="K475" s="29"/>
      <c r="L475" s="36"/>
      <c r="M475" s="29"/>
      <c r="N475" s="37"/>
      <c r="O475" s="30" t="n">
        <f aca="false">N475*J475</f>
        <v>0</v>
      </c>
    </row>
    <row r="476" customFormat="false" ht="15" hidden="false" customHeight="false" outlineLevel="0" collapsed="false">
      <c r="A476" s="33"/>
      <c r="B476" s="28"/>
      <c r="C476" s="29"/>
      <c r="D476" s="29"/>
      <c r="E476" s="29"/>
      <c r="F476" s="29"/>
      <c r="G476" s="36"/>
      <c r="H476" s="29"/>
      <c r="I476" s="35"/>
      <c r="J476" s="29"/>
      <c r="K476" s="29"/>
      <c r="L476" s="36"/>
      <c r="M476" s="29"/>
      <c r="N476" s="37"/>
      <c r="O476" s="30" t="n">
        <f aca="false">N476*J476</f>
        <v>0</v>
      </c>
    </row>
    <row r="477" customFormat="false" ht="15" hidden="false" customHeight="false" outlineLevel="0" collapsed="false">
      <c r="A477" s="33"/>
      <c r="B477" s="28"/>
      <c r="C477" s="29"/>
      <c r="D477" s="29"/>
      <c r="E477" s="29"/>
      <c r="F477" s="29"/>
      <c r="G477" s="36"/>
      <c r="H477" s="29"/>
      <c r="I477" s="35"/>
      <c r="J477" s="29"/>
      <c r="K477" s="29"/>
      <c r="L477" s="36"/>
      <c r="M477" s="29"/>
      <c r="N477" s="37"/>
      <c r="O477" s="30" t="n">
        <f aca="false">N477*J477</f>
        <v>0</v>
      </c>
    </row>
    <row r="478" customFormat="false" ht="15" hidden="false" customHeight="false" outlineLevel="0" collapsed="false">
      <c r="A478" s="33"/>
      <c r="B478" s="28"/>
      <c r="C478" s="29"/>
      <c r="D478" s="29"/>
      <c r="E478" s="29"/>
      <c r="F478" s="29"/>
      <c r="G478" s="36"/>
      <c r="H478" s="29"/>
      <c r="I478" s="35"/>
      <c r="J478" s="29"/>
      <c r="K478" s="29"/>
      <c r="L478" s="36"/>
      <c r="M478" s="29"/>
      <c r="N478" s="37"/>
      <c r="O478" s="30" t="n">
        <f aca="false">N478*J478</f>
        <v>0</v>
      </c>
    </row>
    <row r="479" customFormat="false" ht="15" hidden="false" customHeight="false" outlineLevel="0" collapsed="false">
      <c r="A479" s="33"/>
      <c r="B479" s="28"/>
      <c r="C479" s="29"/>
      <c r="D479" s="29"/>
      <c r="E479" s="29"/>
      <c r="F479" s="29"/>
      <c r="G479" s="36"/>
      <c r="H479" s="29"/>
      <c r="I479" s="35"/>
      <c r="J479" s="29"/>
      <c r="K479" s="29"/>
      <c r="L479" s="36"/>
      <c r="M479" s="29"/>
      <c r="N479" s="37"/>
      <c r="O479" s="30" t="n">
        <f aca="false">N479*J479</f>
        <v>0</v>
      </c>
    </row>
    <row r="480" customFormat="false" ht="15" hidden="false" customHeight="false" outlineLevel="0" collapsed="false">
      <c r="A480" s="33"/>
      <c r="B480" s="28"/>
      <c r="C480" s="29"/>
      <c r="D480" s="29"/>
      <c r="E480" s="29"/>
      <c r="F480" s="29"/>
      <c r="G480" s="36"/>
      <c r="H480" s="29"/>
      <c r="I480" s="35"/>
      <c r="J480" s="29"/>
      <c r="K480" s="29"/>
      <c r="L480" s="36"/>
      <c r="M480" s="29"/>
      <c r="N480" s="37"/>
      <c r="O480" s="30" t="n">
        <f aca="false">N480*J480</f>
        <v>0</v>
      </c>
    </row>
    <row r="481" customFormat="false" ht="15" hidden="false" customHeight="false" outlineLevel="0" collapsed="false">
      <c r="A481" s="33"/>
      <c r="B481" s="28"/>
      <c r="C481" s="29"/>
      <c r="D481" s="29"/>
      <c r="E481" s="29"/>
      <c r="F481" s="29"/>
      <c r="G481" s="36"/>
      <c r="H481" s="29"/>
      <c r="I481" s="35"/>
      <c r="J481" s="29"/>
      <c r="K481" s="29"/>
      <c r="L481" s="36"/>
      <c r="M481" s="29"/>
      <c r="N481" s="37"/>
      <c r="O481" s="30" t="n">
        <f aca="false">N481*J481</f>
        <v>0</v>
      </c>
    </row>
    <row r="482" customFormat="false" ht="15" hidden="false" customHeight="false" outlineLevel="0" collapsed="false">
      <c r="A482" s="33"/>
      <c r="B482" s="28"/>
      <c r="C482" s="29"/>
      <c r="D482" s="29"/>
      <c r="E482" s="29"/>
      <c r="F482" s="29"/>
      <c r="G482" s="36"/>
      <c r="H482" s="29"/>
      <c r="I482" s="35"/>
      <c r="J482" s="29"/>
      <c r="K482" s="29"/>
      <c r="L482" s="36"/>
      <c r="M482" s="29"/>
      <c r="N482" s="37"/>
      <c r="O482" s="30" t="n">
        <f aca="false">N482*J482</f>
        <v>0</v>
      </c>
    </row>
    <row r="483" customFormat="false" ht="15" hidden="false" customHeight="false" outlineLevel="0" collapsed="false">
      <c r="A483" s="33"/>
      <c r="B483" s="28"/>
      <c r="C483" s="29"/>
      <c r="D483" s="29"/>
      <c r="E483" s="29"/>
      <c r="F483" s="29"/>
      <c r="G483" s="36"/>
      <c r="H483" s="29"/>
      <c r="I483" s="35"/>
      <c r="J483" s="29"/>
      <c r="K483" s="29"/>
      <c r="L483" s="36"/>
      <c r="M483" s="29"/>
      <c r="N483" s="37"/>
      <c r="O483" s="30" t="n">
        <f aca="false">N483*J483</f>
        <v>0</v>
      </c>
    </row>
    <row r="484" customFormat="false" ht="15" hidden="false" customHeight="false" outlineLevel="0" collapsed="false">
      <c r="A484" s="33"/>
      <c r="B484" s="28"/>
      <c r="C484" s="29"/>
      <c r="D484" s="29"/>
      <c r="E484" s="29"/>
      <c r="F484" s="29"/>
      <c r="G484" s="36"/>
      <c r="H484" s="29"/>
      <c r="I484" s="35"/>
      <c r="J484" s="29"/>
      <c r="K484" s="29"/>
      <c r="L484" s="36"/>
      <c r="M484" s="29"/>
      <c r="N484" s="37"/>
      <c r="O484" s="30" t="n">
        <f aca="false">N484*J484</f>
        <v>0</v>
      </c>
    </row>
    <row r="485" customFormat="false" ht="15" hidden="false" customHeight="false" outlineLevel="0" collapsed="false">
      <c r="A485" s="33"/>
      <c r="B485" s="28"/>
      <c r="C485" s="29"/>
      <c r="D485" s="29"/>
      <c r="E485" s="29"/>
      <c r="F485" s="29"/>
      <c r="G485" s="36"/>
      <c r="H485" s="29"/>
      <c r="I485" s="35"/>
      <c r="J485" s="29"/>
      <c r="K485" s="29"/>
      <c r="L485" s="36"/>
      <c r="M485" s="29"/>
      <c r="N485" s="37"/>
      <c r="O485" s="30" t="n">
        <f aca="false">N485*J485</f>
        <v>0</v>
      </c>
    </row>
    <row r="486" customFormat="false" ht="15" hidden="false" customHeight="false" outlineLevel="0" collapsed="false">
      <c r="A486" s="33"/>
      <c r="B486" s="28"/>
      <c r="C486" s="29"/>
      <c r="D486" s="29"/>
      <c r="E486" s="29"/>
      <c r="F486" s="29"/>
      <c r="G486" s="36"/>
      <c r="H486" s="29"/>
      <c r="I486" s="35"/>
      <c r="J486" s="29"/>
      <c r="K486" s="29"/>
      <c r="L486" s="36"/>
      <c r="M486" s="29"/>
      <c r="N486" s="37"/>
      <c r="O486" s="30" t="n">
        <f aca="false">N486*J486</f>
        <v>0</v>
      </c>
    </row>
    <row r="487" customFormat="false" ht="15" hidden="false" customHeight="false" outlineLevel="0" collapsed="false">
      <c r="A487" s="33"/>
      <c r="B487" s="28"/>
      <c r="C487" s="29"/>
      <c r="D487" s="29"/>
      <c r="E487" s="29"/>
      <c r="F487" s="29"/>
      <c r="G487" s="36"/>
      <c r="H487" s="29"/>
      <c r="I487" s="35"/>
      <c r="J487" s="29"/>
      <c r="K487" s="29"/>
      <c r="L487" s="36"/>
      <c r="M487" s="29"/>
      <c r="N487" s="37"/>
      <c r="O487" s="30" t="n">
        <f aca="false">N487*J487</f>
        <v>0</v>
      </c>
    </row>
    <row r="488" customFormat="false" ht="15" hidden="false" customHeight="false" outlineLevel="0" collapsed="false">
      <c r="A488" s="33"/>
      <c r="B488" s="28"/>
      <c r="C488" s="29"/>
      <c r="D488" s="29"/>
      <c r="E488" s="29"/>
      <c r="F488" s="29"/>
      <c r="G488" s="36"/>
      <c r="H488" s="29"/>
      <c r="I488" s="35"/>
      <c r="J488" s="29"/>
      <c r="K488" s="29"/>
      <c r="L488" s="36"/>
      <c r="M488" s="29"/>
      <c r="N488" s="37"/>
      <c r="O488" s="30" t="n">
        <f aca="false">N488*J488</f>
        <v>0</v>
      </c>
    </row>
    <row r="489" customFormat="false" ht="15" hidden="false" customHeight="false" outlineLevel="0" collapsed="false">
      <c r="A489" s="33"/>
      <c r="B489" s="28"/>
      <c r="C489" s="29"/>
      <c r="D489" s="29"/>
      <c r="E489" s="29"/>
      <c r="F489" s="29"/>
      <c r="G489" s="36"/>
      <c r="H489" s="29"/>
      <c r="I489" s="35"/>
      <c r="J489" s="29"/>
      <c r="K489" s="29"/>
      <c r="L489" s="36"/>
      <c r="M489" s="29"/>
      <c r="N489" s="37"/>
      <c r="O489" s="30" t="n">
        <f aca="false">N489*J489</f>
        <v>0</v>
      </c>
    </row>
    <row r="490" customFormat="false" ht="15" hidden="false" customHeight="false" outlineLevel="0" collapsed="false">
      <c r="A490" s="33"/>
      <c r="B490" s="28"/>
      <c r="C490" s="29"/>
      <c r="D490" s="29"/>
      <c r="E490" s="29"/>
      <c r="F490" s="29"/>
      <c r="G490" s="36"/>
      <c r="H490" s="29"/>
      <c r="I490" s="35"/>
      <c r="J490" s="29"/>
      <c r="K490" s="29"/>
      <c r="L490" s="36"/>
      <c r="M490" s="29"/>
      <c r="N490" s="37"/>
      <c r="O490" s="30" t="n">
        <f aca="false">N490*J490</f>
        <v>0</v>
      </c>
    </row>
    <row r="491" customFormat="false" ht="15" hidden="false" customHeight="false" outlineLevel="0" collapsed="false">
      <c r="A491" s="33"/>
      <c r="B491" s="28"/>
      <c r="C491" s="29"/>
      <c r="D491" s="29"/>
      <c r="E491" s="29"/>
      <c r="F491" s="29"/>
      <c r="G491" s="36"/>
      <c r="H491" s="29"/>
      <c r="I491" s="35"/>
      <c r="J491" s="29"/>
      <c r="K491" s="29"/>
      <c r="L491" s="36"/>
      <c r="M491" s="29"/>
      <c r="N491" s="37"/>
      <c r="O491" s="30" t="n">
        <f aca="false">N491*J491</f>
        <v>0</v>
      </c>
    </row>
    <row r="492" customFormat="false" ht="15" hidden="false" customHeight="false" outlineLevel="0" collapsed="false">
      <c r="A492" s="33"/>
      <c r="B492" s="28"/>
      <c r="C492" s="29"/>
      <c r="D492" s="29"/>
      <c r="E492" s="29"/>
      <c r="F492" s="29"/>
      <c r="G492" s="36"/>
      <c r="H492" s="29"/>
      <c r="I492" s="35"/>
      <c r="J492" s="29"/>
      <c r="K492" s="29"/>
      <c r="L492" s="36"/>
      <c r="M492" s="29"/>
      <c r="N492" s="37"/>
      <c r="O492" s="30" t="n">
        <f aca="false">N492*J492</f>
        <v>0</v>
      </c>
    </row>
    <row r="493" customFormat="false" ht="15" hidden="false" customHeight="false" outlineLevel="0" collapsed="false">
      <c r="A493" s="33"/>
      <c r="B493" s="28"/>
      <c r="C493" s="29"/>
      <c r="D493" s="29"/>
      <c r="E493" s="29"/>
      <c r="F493" s="29"/>
      <c r="G493" s="36"/>
      <c r="H493" s="29"/>
      <c r="I493" s="35"/>
      <c r="J493" s="29"/>
      <c r="K493" s="29"/>
      <c r="L493" s="36"/>
      <c r="M493" s="29"/>
      <c r="N493" s="37"/>
      <c r="O493" s="30" t="n">
        <f aca="false">N493*J493</f>
        <v>0</v>
      </c>
    </row>
    <row r="494" customFormat="false" ht="15" hidden="false" customHeight="false" outlineLevel="0" collapsed="false">
      <c r="A494" s="33"/>
      <c r="B494" s="28"/>
      <c r="C494" s="29"/>
      <c r="D494" s="29"/>
      <c r="E494" s="29"/>
      <c r="F494" s="29"/>
      <c r="G494" s="36"/>
      <c r="H494" s="29"/>
      <c r="I494" s="35"/>
      <c r="J494" s="29"/>
      <c r="K494" s="29"/>
      <c r="L494" s="36"/>
      <c r="M494" s="29"/>
      <c r="N494" s="37"/>
      <c r="O494" s="30" t="n">
        <f aca="false">N494*J494</f>
        <v>0</v>
      </c>
    </row>
    <row r="495" customFormat="false" ht="15" hidden="false" customHeight="false" outlineLevel="0" collapsed="false">
      <c r="A495" s="33"/>
      <c r="B495" s="28"/>
      <c r="C495" s="29"/>
      <c r="D495" s="29"/>
      <c r="E495" s="29"/>
      <c r="F495" s="29"/>
      <c r="G495" s="36"/>
      <c r="H495" s="29"/>
      <c r="I495" s="35"/>
      <c r="J495" s="29"/>
      <c r="K495" s="29"/>
      <c r="L495" s="36"/>
      <c r="M495" s="29"/>
      <c r="N495" s="37"/>
      <c r="O495" s="30" t="n">
        <f aca="false">N495*J495</f>
        <v>0</v>
      </c>
    </row>
    <row r="496" customFormat="false" ht="15" hidden="false" customHeight="false" outlineLevel="0" collapsed="false">
      <c r="A496" s="33"/>
      <c r="B496" s="28"/>
      <c r="C496" s="29"/>
      <c r="D496" s="29"/>
      <c r="E496" s="29"/>
      <c r="F496" s="29"/>
      <c r="G496" s="36"/>
      <c r="H496" s="29"/>
      <c r="I496" s="35"/>
      <c r="J496" s="29"/>
      <c r="K496" s="29"/>
      <c r="L496" s="29"/>
      <c r="M496" s="29"/>
      <c r="N496" s="37"/>
      <c r="O496" s="30" t="n">
        <f aca="false">N496*J496</f>
        <v>0</v>
      </c>
    </row>
    <row r="497" customFormat="false" ht="15" hidden="false" customHeight="false" outlineLevel="0" collapsed="false">
      <c r="A497" s="29"/>
      <c r="B497" s="28"/>
      <c r="C497" s="29"/>
      <c r="D497" s="29"/>
      <c r="E497" s="29"/>
      <c r="F497" s="29"/>
      <c r="G497" s="36"/>
      <c r="H497" s="29"/>
      <c r="I497" s="35"/>
      <c r="J497" s="29"/>
      <c r="K497" s="29"/>
      <c r="L497" s="29"/>
      <c r="M497" s="29"/>
      <c r="N497" s="37"/>
      <c r="O497" s="30" t="n">
        <f aca="false">N497*J497</f>
        <v>0</v>
      </c>
    </row>
    <row r="498" customFormat="false" ht="15" hidden="false" customHeight="false" outlineLevel="0" collapsed="false">
      <c r="A498" s="29"/>
      <c r="B498" s="28"/>
      <c r="C498" s="29"/>
      <c r="D498" s="29"/>
      <c r="E498" s="29"/>
      <c r="F498" s="29"/>
      <c r="G498" s="36"/>
      <c r="H498" s="29"/>
      <c r="I498" s="35"/>
      <c r="J498" s="29"/>
      <c r="K498" s="29"/>
      <c r="L498" s="29"/>
      <c r="M498" s="29"/>
      <c r="N498" s="37"/>
      <c r="O498" s="30" t="n">
        <f aca="false">N498*J498</f>
        <v>0</v>
      </c>
    </row>
    <row r="499" customFormat="false" ht="15" hidden="false" customHeight="false" outlineLevel="0" collapsed="false">
      <c r="A499" s="29"/>
      <c r="B499" s="28"/>
      <c r="C499" s="29"/>
      <c r="D499" s="29"/>
      <c r="E499" s="29"/>
      <c r="F499" s="29"/>
      <c r="G499" s="36"/>
      <c r="H499" s="29"/>
      <c r="I499" s="35"/>
      <c r="J499" s="29"/>
      <c r="K499" s="29"/>
      <c r="L499" s="29"/>
      <c r="M499" s="29"/>
      <c r="N499" s="37"/>
      <c r="O499" s="30" t="n">
        <f aca="false">N499*J499</f>
        <v>0</v>
      </c>
    </row>
    <row r="500" customFormat="false" ht="15" hidden="false" customHeight="false" outlineLevel="0" collapsed="false">
      <c r="A500" s="29"/>
      <c r="B500" s="28"/>
      <c r="C500" s="29"/>
      <c r="D500" s="29"/>
      <c r="E500" s="29"/>
      <c r="F500" s="29"/>
      <c r="G500" s="36"/>
      <c r="H500" s="29"/>
      <c r="I500" s="35"/>
      <c r="J500" s="29"/>
      <c r="K500" s="29"/>
      <c r="L500" s="29"/>
      <c r="M500" s="29"/>
      <c r="N500" s="37"/>
      <c r="O500" s="30" t="n">
        <f aca="false">N500*J500</f>
        <v>0</v>
      </c>
    </row>
    <row r="501" customFormat="false" ht="15" hidden="false" customHeight="false" outlineLevel="0" collapsed="false">
      <c r="A501" s="29"/>
      <c r="B501" s="28"/>
      <c r="C501" s="29"/>
      <c r="D501" s="29"/>
      <c r="E501" s="29"/>
      <c r="F501" s="29"/>
      <c r="G501" s="36"/>
      <c r="H501" s="29"/>
      <c r="I501" s="35"/>
      <c r="J501" s="29"/>
      <c r="K501" s="29"/>
      <c r="L501" s="29"/>
      <c r="M501" s="29"/>
      <c r="N501" s="37"/>
      <c r="O501" s="30" t="n">
        <f aca="false">N501*J501</f>
        <v>0</v>
      </c>
    </row>
    <row r="502" customFormat="false" ht="15" hidden="false" customHeight="false" outlineLevel="0" collapsed="false">
      <c r="A502" s="29"/>
      <c r="B502" s="28"/>
      <c r="C502" s="29"/>
      <c r="D502" s="29"/>
      <c r="E502" s="29"/>
      <c r="F502" s="29"/>
      <c r="G502" s="36"/>
      <c r="H502" s="29"/>
      <c r="I502" s="35"/>
      <c r="J502" s="29"/>
      <c r="K502" s="29"/>
      <c r="L502" s="29"/>
      <c r="M502" s="29"/>
      <c r="N502" s="37"/>
      <c r="O502" s="30" t="n">
        <f aca="false">N502*J502</f>
        <v>0</v>
      </c>
    </row>
    <row r="503" customFormat="false" ht="15" hidden="false" customHeight="false" outlineLevel="0" collapsed="false">
      <c r="A503" s="29"/>
      <c r="B503" s="28"/>
      <c r="C503" s="29"/>
      <c r="D503" s="29"/>
      <c r="E503" s="29"/>
      <c r="F503" s="29"/>
      <c r="G503" s="36"/>
      <c r="H503" s="29"/>
      <c r="I503" s="35"/>
      <c r="J503" s="29"/>
      <c r="K503" s="29"/>
      <c r="L503" s="29"/>
      <c r="M503" s="29"/>
      <c r="N503" s="37"/>
      <c r="O503" s="30" t="n">
        <f aca="false">N503*J503</f>
        <v>0</v>
      </c>
    </row>
    <row r="504" customFormat="false" ht="15" hidden="false" customHeight="false" outlineLevel="0" collapsed="false">
      <c r="A504" s="29"/>
      <c r="B504" s="28"/>
      <c r="C504" s="29"/>
      <c r="D504" s="29"/>
      <c r="E504" s="29"/>
      <c r="F504" s="29"/>
      <c r="G504" s="36"/>
      <c r="H504" s="29"/>
      <c r="I504" s="35"/>
      <c r="J504" s="29"/>
      <c r="K504" s="29"/>
      <c r="L504" s="29"/>
      <c r="M504" s="29"/>
      <c r="N504" s="37"/>
      <c r="O504" s="30" t="n">
        <f aca="false">N504*J504</f>
        <v>0</v>
      </c>
    </row>
    <row r="505" customFormat="false" ht="15" hidden="false" customHeight="false" outlineLevel="0" collapsed="false">
      <c r="A505" s="29"/>
      <c r="B505" s="28"/>
      <c r="C505" s="29"/>
      <c r="D505" s="29"/>
      <c r="E505" s="29"/>
      <c r="F505" s="29"/>
      <c r="G505" s="36"/>
      <c r="H505" s="29"/>
      <c r="I505" s="35"/>
      <c r="J505" s="29"/>
      <c r="K505" s="29"/>
      <c r="L505" s="29"/>
      <c r="M505" s="29"/>
      <c r="N505" s="37"/>
      <c r="O505" s="30" t="n">
        <f aca="false">N505*J505</f>
        <v>0</v>
      </c>
    </row>
    <row r="506" customFormat="false" ht="15" hidden="false" customHeight="false" outlineLevel="0" collapsed="false">
      <c r="A506" s="29"/>
      <c r="B506" s="28"/>
      <c r="C506" s="29"/>
      <c r="D506" s="29"/>
      <c r="E506" s="29"/>
      <c r="F506" s="29"/>
      <c r="G506" s="36"/>
      <c r="H506" s="29"/>
      <c r="I506" s="35"/>
      <c r="J506" s="29"/>
      <c r="K506" s="29"/>
      <c r="L506" s="29"/>
      <c r="M506" s="29"/>
      <c r="N506" s="37"/>
      <c r="O506" s="30" t="n">
        <f aca="false">N506*J506</f>
        <v>0</v>
      </c>
    </row>
    <row r="507" customFormat="false" ht="15" hidden="false" customHeight="false" outlineLevel="0" collapsed="false">
      <c r="A507" s="29"/>
      <c r="B507" s="28"/>
      <c r="C507" s="29"/>
      <c r="D507" s="29"/>
      <c r="E507" s="29"/>
      <c r="F507" s="29"/>
      <c r="G507" s="36"/>
      <c r="H507" s="29"/>
      <c r="I507" s="35"/>
      <c r="J507" s="29"/>
      <c r="K507" s="29"/>
      <c r="L507" s="29"/>
      <c r="M507" s="29"/>
      <c r="N507" s="37"/>
      <c r="O507" s="30" t="n">
        <f aca="false">N507*J507</f>
        <v>0</v>
      </c>
    </row>
    <row r="508" customFormat="false" ht="15" hidden="false" customHeight="false" outlineLevel="0" collapsed="false">
      <c r="A508" s="29"/>
      <c r="B508" s="28"/>
      <c r="C508" s="29"/>
      <c r="D508" s="29"/>
      <c r="E508" s="29"/>
      <c r="F508" s="29"/>
      <c r="G508" s="36"/>
      <c r="H508" s="29"/>
      <c r="I508" s="35"/>
      <c r="J508" s="29"/>
      <c r="K508" s="29"/>
      <c r="L508" s="29"/>
      <c r="M508" s="29"/>
      <c r="N508" s="37"/>
      <c r="O508" s="30" t="n">
        <f aca="false">N508*J508</f>
        <v>0</v>
      </c>
    </row>
    <row r="509" customFormat="false" ht="15" hidden="false" customHeight="false" outlineLevel="0" collapsed="false">
      <c r="A509" s="29"/>
      <c r="B509" s="28"/>
      <c r="C509" s="29"/>
      <c r="D509" s="29"/>
      <c r="E509" s="29"/>
      <c r="F509" s="29"/>
      <c r="G509" s="36"/>
      <c r="H509" s="29"/>
      <c r="I509" s="35"/>
      <c r="J509" s="29"/>
      <c r="K509" s="29"/>
      <c r="L509" s="29"/>
      <c r="M509" s="29"/>
      <c r="N509" s="37"/>
      <c r="O509" s="30" t="n">
        <f aca="false">N509*J509</f>
        <v>0</v>
      </c>
    </row>
    <row r="510" customFormat="false" ht="15" hidden="false" customHeight="false" outlineLevel="0" collapsed="false">
      <c r="A510" s="29"/>
      <c r="B510" s="28"/>
      <c r="C510" s="29"/>
      <c r="D510" s="29"/>
      <c r="E510" s="29"/>
      <c r="F510" s="29"/>
      <c r="G510" s="36"/>
      <c r="H510" s="29"/>
      <c r="I510" s="35"/>
      <c r="J510" s="29"/>
      <c r="K510" s="29"/>
      <c r="L510" s="29"/>
      <c r="M510" s="29"/>
      <c r="N510" s="37"/>
      <c r="O510" s="30" t="n">
        <f aca="false">N510*J510</f>
        <v>0</v>
      </c>
    </row>
    <row r="511" customFormat="false" ht="15" hidden="false" customHeight="false" outlineLevel="0" collapsed="false">
      <c r="A511" s="29"/>
      <c r="B511" s="28"/>
      <c r="C511" s="29"/>
      <c r="D511" s="29"/>
      <c r="E511" s="29"/>
      <c r="F511" s="29"/>
      <c r="G511" s="36"/>
      <c r="H511" s="29"/>
      <c r="I511" s="35"/>
      <c r="J511" s="29"/>
      <c r="K511" s="29"/>
      <c r="L511" s="29"/>
      <c r="M511" s="29"/>
      <c r="N511" s="37"/>
      <c r="O511" s="30" t="n">
        <f aca="false">N511*J511</f>
        <v>0</v>
      </c>
    </row>
    <row r="512" customFormat="false" ht="15" hidden="false" customHeight="false" outlineLevel="0" collapsed="false">
      <c r="A512" s="29"/>
      <c r="B512" s="28"/>
      <c r="C512" s="29"/>
      <c r="D512" s="29"/>
      <c r="E512" s="29"/>
      <c r="F512" s="29"/>
      <c r="G512" s="36"/>
      <c r="H512" s="29"/>
      <c r="I512" s="35"/>
      <c r="J512" s="29"/>
      <c r="K512" s="29"/>
      <c r="L512" s="29"/>
      <c r="M512" s="29"/>
      <c r="N512" s="37"/>
      <c r="O512" s="30" t="n">
        <f aca="false">N512*J512</f>
        <v>0</v>
      </c>
    </row>
    <row r="513" customFormat="false" ht="15" hidden="false" customHeight="false" outlineLevel="0" collapsed="false">
      <c r="A513" s="29"/>
      <c r="B513" s="28"/>
      <c r="C513" s="29"/>
      <c r="D513" s="29"/>
      <c r="E513" s="29"/>
      <c r="F513" s="29"/>
      <c r="G513" s="36"/>
      <c r="H513" s="29"/>
      <c r="I513" s="35"/>
      <c r="J513" s="29"/>
      <c r="K513" s="29"/>
      <c r="L513" s="29"/>
      <c r="M513" s="29"/>
      <c r="N513" s="37"/>
      <c r="O513" s="30" t="n">
        <f aca="false">N513*J513</f>
        <v>0</v>
      </c>
    </row>
    <row r="514" customFormat="false" ht="15" hidden="false" customHeight="false" outlineLevel="0" collapsed="false">
      <c r="A514" s="29"/>
      <c r="B514" s="28"/>
      <c r="C514" s="29"/>
      <c r="D514" s="29"/>
      <c r="E514" s="29"/>
      <c r="F514" s="29"/>
      <c r="G514" s="36"/>
      <c r="H514" s="29"/>
      <c r="I514" s="35"/>
      <c r="J514" s="29"/>
      <c r="K514" s="29"/>
      <c r="L514" s="29"/>
      <c r="M514" s="29"/>
      <c r="N514" s="37"/>
      <c r="O514" s="30" t="n">
        <f aca="false">N514*J514</f>
        <v>0</v>
      </c>
    </row>
    <row r="515" customFormat="false" ht="15" hidden="false" customHeight="false" outlineLevel="0" collapsed="false">
      <c r="A515" s="29"/>
      <c r="B515" s="28"/>
      <c r="C515" s="29"/>
      <c r="D515" s="29"/>
      <c r="E515" s="29"/>
      <c r="F515" s="29"/>
      <c r="G515" s="36"/>
      <c r="H515" s="29"/>
      <c r="I515" s="35"/>
      <c r="J515" s="29"/>
      <c r="K515" s="29"/>
      <c r="L515" s="29"/>
      <c r="M515" s="29"/>
      <c r="N515" s="37"/>
      <c r="O515" s="30" t="n">
        <f aca="false">N515*J515</f>
        <v>0</v>
      </c>
    </row>
    <row r="516" customFormat="false" ht="15" hidden="false" customHeight="false" outlineLevel="0" collapsed="false">
      <c r="A516" s="29"/>
      <c r="B516" s="28"/>
      <c r="C516" s="29"/>
      <c r="D516" s="29"/>
      <c r="E516" s="29"/>
      <c r="F516" s="29"/>
      <c r="G516" s="36"/>
      <c r="H516" s="29"/>
      <c r="I516" s="35"/>
      <c r="J516" s="29"/>
      <c r="K516" s="29"/>
      <c r="L516" s="29"/>
      <c r="M516" s="29"/>
      <c r="N516" s="37"/>
      <c r="O516" s="30" t="n">
        <f aca="false">N516*J516</f>
        <v>0</v>
      </c>
    </row>
    <row r="517" customFormat="false" ht="15" hidden="false" customHeight="false" outlineLevel="0" collapsed="false">
      <c r="A517" s="29"/>
      <c r="B517" s="28"/>
      <c r="C517" s="29"/>
      <c r="D517" s="29"/>
      <c r="E517" s="29"/>
      <c r="F517" s="29"/>
      <c r="G517" s="36"/>
      <c r="H517" s="29"/>
      <c r="I517" s="35"/>
      <c r="J517" s="29"/>
      <c r="K517" s="29"/>
      <c r="L517" s="29"/>
      <c r="M517" s="29"/>
      <c r="N517" s="37"/>
      <c r="O517" s="30" t="n">
        <f aca="false">N517*J517</f>
        <v>0</v>
      </c>
    </row>
    <row r="518" customFormat="false" ht="15" hidden="false" customHeight="false" outlineLevel="0" collapsed="false">
      <c r="A518" s="29"/>
      <c r="B518" s="28"/>
      <c r="C518" s="29"/>
      <c r="D518" s="29"/>
      <c r="E518" s="29"/>
      <c r="F518" s="29"/>
      <c r="G518" s="36"/>
      <c r="H518" s="29"/>
      <c r="I518" s="35"/>
      <c r="J518" s="29"/>
      <c r="K518" s="29"/>
      <c r="L518" s="29"/>
      <c r="M518" s="29"/>
      <c r="N518" s="37"/>
      <c r="O518" s="30" t="n">
        <f aca="false">N518*J518</f>
        <v>0</v>
      </c>
    </row>
    <row r="519" customFormat="false" ht="15" hidden="false" customHeight="false" outlineLevel="0" collapsed="false">
      <c r="A519" s="29"/>
      <c r="B519" s="28"/>
      <c r="C519" s="29"/>
      <c r="D519" s="29"/>
      <c r="E519" s="29"/>
      <c r="F519" s="29"/>
      <c r="G519" s="36"/>
      <c r="H519" s="29"/>
      <c r="I519" s="35"/>
      <c r="J519" s="29"/>
      <c r="K519" s="29"/>
      <c r="L519" s="29"/>
      <c r="M519" s="29"/>
      <c r="N519" s="37"/>
      <c r="O519" s="30" t="n">
        <f aca="false">N519*J519</f>
        <v>0</v>
      </c>
    </row>
    <row r="520" customFormat="false" ht="15" hidden="false" customHeight="false" outlineLevel="0" collapsed="false">
      <c r="A520" s="29"/>
      <c r="B520" s="28"/>
      <c r="C520" s="29"/>
      <c r="D520" s="29"/>
      <c r="E520" s="29"/>
      <c r="F520" s="29"/>
      <c r="G520" s="36"/>
      <c r="H520" s="29"/>
      <c r="I520" s="35"/>
      <c r="J520" s="29"/>
      <c r="K520" s="29"/>
      <c r="L520" s="29"/>
      <c r="M520" s="29"/>
      <c r="N520" s="37"/>
      <c r="O520" s="30" t="n">
        <f aca="false">N520*J520</f>
        <v>0</v>
      </c>
    </row>
    <row r="521" customFormat="false" ht="15" hidden="false" customHeight="false" outlineLevel="0" collapsed="false">
      <c r="A521" s="29"/>
      <c r="B521" s="28"/>
      <c r="C521" s="29"/>
      <c r="D521" s="29"/>
      <c r="E521" s="29"/>
      <c r="F521" s="29"/>
      <c r="G521" s="36"/>
      <c r="H521" s="29"/>
      <c r="I521" s="35"/>
      <c r="J521" s="29"/>
      <c r="K521" s="29"/>
      <c r="L521" s="29"/>
      <c r="M521" s="29"/>
      <c r="N521" s="37"/>
      <c r="O521" s="30" t="n">
        <f aca="false">N521*J521</f>
        <v>0</v>
      </c>
    </row>
    <row r="522" customFormat="false" ht="15" hidden="false" customHeight="false" outlineLevel="0" collapsed="false">
      <c r="A522" s="29"/>
      <c r="B522" s="28"/>
      <c r="C522" s="29"/>
      <c r="D522" s="29"/>
      <c r="E522" s="29"/>
      <c r="F522" s="29"/>
      <c r="G522" s="36"/>
      <c r="H522" s="29"/>
      <c r="I522" s="35"/>
      <c r="J522" s="29"/>
      <c r="K522" s="29"/>
      <c r="L522" s="29"/>
      <c r="M522" s="29"/>
      <c r="N522" s="37"/>
      <c r="O522" s="30" t="n">
        <f aca="false">N522*J522</f>
        <v>0</v>
      </c>
    </row>
    <row r="523" customFormat="false" ht="15" hidden="false" customHeight="false" outlineLevel="0" collapsed="false">
      <c r="A523" s="29"/>
      <c r="B523" s="28"/>
      <c r="C523" s="29"/>
      <c r="D523" s="29"/>
      <c r="E523" s="29"/>
      <c r="F523" s="29"/>
      <c r="G523" s="36"/>
      <c r="H523" s="29"/>
      <c r="I523" s="35"/>
      <c r="J523" s="29"/>
      <c r="K523" s="29"/>
      <c r="L523" s="29"/>
      <c r="M523" s="29"/>
      <c r="N523" s="37"/>
      <c r="O523" s="30" t="n">
        <f aca="false">N523*J523</f>
        <v>0</v>
      </c>
    </row>
    <row r="524" customFormat="false" ht="15" hidden="false" customHeight="false" outlineLevel="0" collapsed="false">
      <c r="A524" s="29"/>
      <c r="B524" s="28"/>
      <c r="C524" s="29"/>
      <c r="D524" s="29"/>
      <c r="E524" s="29"/>
      <c r="F524" s="29"/>
      <c r="G524" s="36"/>
      <c r="H524" s="29"/>
      <c r="I524" s="35"/>
      <c r="J524" s="29"/>
      <c r="K524" s="29"/>
      <c r="L524" s="29"/>
      <c r="M524" s="29"/>
      <c r="N524" s="37"/>
      <c r="O524" s="30" t="n">
        <f aca="false">N524*J524</f>
        <v>0</v>
      </c>
    </row>
    <row r="525" customFormat="false" ht="15" hidden="false" customHeight="false" outlineLevel="0" collapsed="false">
      <c r="A525" s="29"/>
      <c r="B525" s="28"/>
      <c r="C525" s="29"/>
      <c r="D525" s="29"/>
      <c r="E525" s="29"/>
      <c r="F525" s="29"/>
      <c r="G525" s="36"/>
      <c r="H525" s="29"/>
      <c r="I525" s="35"/>
      <c r="J525" s="29"/>
      <c r="K525" s="29"/>
      <c r="L525" s="29"/>
      <c r="M525" s="29"/>
      <c r="N525" s="37"/>
      <c r="O525" s="30" t="n">
        <f aca="false">N525*J525</f>
        <v>0</v>
      </c>
    </row>
    <row r="526" customFormat="false" ht="15" hidden="false" customHeight="false" outlineLevel="0" collapsed="false">
      <c r="A526" s="29"/>
      <c r="B526" s="28"/>
      <c r="C526" s="29"/>
      <c r="D526" s="29"/>
      <c r="E526" s="29"/>
      <c r="F526" s="29"/>
      <c r="G526" s="36"/>
      <c r="H526" s="29"/>
      <c r="I526" s="35"/>
      <c r="J526" s="29"/>
      <c r="K526" s="29"/>
      <c r="L526" s="29"/>
      <c r="M526" s="29"/>
      <c r="N526" s="37"/>
      <c r="O526" s="30" t="n">
        <f aca="false">N526*J526</f>
        <v>0</v>
      </c>
    </row>
    <row r="527" customFormat="false" ht="15" hidden="false" customHeight="false" outlineLevel="0" collapsed="false">
      <c r="A527" s="29"/>
      <c r="B527" s="28"/>
      <c r="C527" s="29"/>
      <c r="D527" s="29"/>
      <c r="E527" s="29"/>
      <c r="F527" s="29"/>
      <c r="G527" s="36"/>
      <c r="H527" s="29"/>
      <c r="I527" s="35"/>
      <c r="J527" s="29"/>
      <c r="K527" s="29"/>
      <c r="L527" s="29"/>
      <c r="M527" s="29"/>
      <c r="N527" s="37"/>
      <c r="O527" s="30" t="n">
        <f aca="false">N527*J527</f>
        <v>0</v>
      </c>
    </row>
    <row r="528" customFormat="false" ht="15" hidden="false" customHeight="false" outlineLevel="0" collapsed="false">
      <c r="A528" s="29"/>
      <c r="B528" s="28"/>
      <c r="C528" s="29"/>
      <c r="D528" s="29"/>
      <c r="E528" s="29"/>
      <c r="F528" s="29"/>
      <c r="G528" s="36"/>
      <c r="H528" s="29"/>
      <c r="I528" s="35"/>
      <c r="J528" s="29"/>
      <c r="K528" s="29"/>
      <c r="L528" s="29"/>
      <c r="M528" s="29"/>
      <c r="N528" s="37"/>
      <c r="O528" s="30" t="n">
        <f aca="false">N528*J528</f>
        <v>0</v>
      </c>
    </row>
    <row r="529" customFormat="false" ht="15" hidden="false" customHeight="false" outlineLevel="0" collapsed="false">
      <c r="A529" s="29"/>
      <c r="B529" s="28"/>
      <c r="C529" s="29"/>
      <c r="D529" s="29"/>
      <c r="E529" s="29"/>
      <c r="F529" s="29"/>
      <c r="G529" s="36"/>
      <c r="H529" s="29"/>
      <c r="I529" s="35"/>
      <c r="J529" s="29"/>
      <c r="K529" s="29"/>
      <c r="L529" s="29"/>
      <c r="M529" s="29"/>
      <c r="N529" s="37"/>
      <c r="O529" s="30" t="n">
        <f aca="false">N529*J529</f>
        <v>0</v>
      </c>
    </row>
    <row r="530" customFormat="false" ht="15" hidden="false" customHeight="false" outlineLevel="0" collapsed="false">
      <c r="A530" s="29"/>
      <c r="B530" s="28"/>
      <c r="C530" s="29"/>
      <c r="D530" s="29"/>
      <c r="E530" s="29"/>
      <c r="F530" s="29"/>
      <c r="G530" s="36"/>
      <c r="H530" s="29"/>
      <c r="I530" s="35"/>
      <c r="J530" s="29"/>
      <c r="K530" s="29"/>
      <c r="L530" s="29"/>
      <c r="M530" s="29"/>
      <c r="N530" s="37"/>
      <c r="O530" s="30" t="n">
        <f aca="false">N530*J530</f>
        <v>0</v>
      </c>
    </row>
    <row r="531" customFormat="false" ht="15" hidden="false" customHeight="false" outlineLevel="0" collapsed="false">
      <c r="A531" s="29"/>
      <c r="B531" s="28"/>
      <c r="C531" s="29"/>
      <c r="D531" s="29"/>
      <c r="E531" s="29"/>
      <c r="F531" s="29"/>
      <c r="G531" s="36"/>
      <c r="H531" s="29"/>
      <c r="I531" s="35"/>
      <c r="J531" s="29"/>
      <c r="K531" s="29"/>
      <c r="L531" s="29"/>
      <c r="M531" s="29"/>
      <c r="N531" s="37"/>
      <c r="O531" s="30" t="n">
        <f aca="false">N531*J531</f>
        <v>0</v>
      </c>
    </row>
    <row r="532" customFormat="false" ht="15" hidden="false" customHeight="false" outlineLevel="0" collapsed="false">
      <c r="A532" s="29"/>
      <c r="B532" s="28"/>
      <c r="C532" s="29"/>
      <c r="D532" s="29"/>
      <c r="E532" s="29"/>
      <c r="F532" s="29"/>
      <c r="G532" s="36"/>
      <c r="H532" s="29"/>
      <c r="I532" s="35"/>
      <c r="J532" s="29"/>
      <c r="K532" s="29"/>
      <c r="L532" s="29"/>
      <c r="M532" s="29"/>
      <c r="N532" s="37"/>
      <c r="O532" s="30" t="n">
        <f aca="false">N532*J532</f>
        <v>0</v>
      </c>
    </row>
    <row r="533" customFormat="false" ht="15" hidden="false" customHeight="false" outlineLevel="0" collapsed="false">
      <c r="A533" s="29"/>
      <c r="B533" s="28"/>
      <c r="C533" s="29"/>
      <c r="D533" s="29"/>
      <c r="E533" s="29"/>
      <c r="F533" s="29"/>
      <c r="G533" s="36"/>
      <c r="H533" s="29"/>
      <c r="I533" s="35"/>
      <c r="J533" s="29"/>
      <c r="K533" s="29"/>
      <c r="L533" s="29"/>
      <c r="M533" s="29"/>
      <c r="N533" s="37"/>
      <c r="O533" s="30" t="n">
        <f aca="false">N533*J533</f>
        <v>0</v>
      </c>
    </row>
    <row r="534" customFormat="false" ht="15" hidden="false" customHeight="false" outlineLevel="0" collapsed="false">
      <c r="A534" s="29"/>
      <c r="B534" s="28"/>
      <c r="C534" s="29"/>
      <c r="D534" s="29"/>
      <c r="E534" s="29"/>
      <c r="F534" s="29"/>
      <c r="G534" s="36"/>
      <c r="H534" s="29"/>
      <c r="I534" s="35"/>
      <c r="J534" s="29"/>
      <c r="K534" s="29"/>
      <c r="L534" s="29"/>
      <c r="M534" s="29"/>
      <c r="N534" s="37"/>
      <c r="O534" s="30" t="n">
        <f aca="false">N534*J534</f>
        <v>0</v>
      </c>
    </row>
    <row r="535" customFormat="false" ht="15" hidden="false" customHeight="false" outlineLevel="0" collapsed="false">
      <c r="A535" s="29"/>
      <c r="B535" s="28"/>
      <c r="C535" s="29"/>
      <c r="D535" s="29"/>
      <c r="E535" s="29"/>
      <c r="F535" s="29"/>
      <c r="G535" s="36"/>
      <c r="H535" s="29"/>
      <c r="I535" s="35"/>
      <c r="J535" s="29"/>
      <c r="K535" s="29"/>
      <c r="L535" s="29"/>
      <c r="M535" s="29"/>
      <c r="N535" s="37"/>
      <c r="O535" s="30" t="n">
        <f aca="false">N535*J535</f>
        <v>0</v>
      </c>
    </row>
    <row r="536" customFormat="false" ht="15" hidden="false" customHeight="false" outlineLevel="0" collapsed="false">
      <c r="A536" s="29"/>
      <c r="B536" s="28"/>
      <c r="C536" s="29"/>
      <c r="D536" s="29"/>
      <c r="E536" s="29"/>
      <c r="F536" s="29"/>
      <c r="G536" s="36"/>
      <c r="H536" s="29"/>
      <c r="I536" s="35"/>
      <c r="J536" s="29"/>
      <c r="K536" s="29"/>
      <c r="L536" s="29"/>
      <c r="M536" s="29"/>
      <c r="N536" s="37"/>
      <c r="O536" s="30" t="n">
        <f aca="false">N536*J536</f>
        <v>0</v>
      </c>
    </row>
    <row r="537" customFormat="false" ht="15" hidden="false" customHeight="false" outlineLevel="0" collapsed="false">
      <c r="A537" s="29"/>
      <c r="B537" s="28"/>
      <c r="C537" s="29"/>
      <c r="D537" s="29"/>
      <c r="E537" s="29"/>
      <c r="F537" s="29"/>
      <c r="G537" s="36"/>
      <c r="H537" s="29"/>
      <c r="I537" s="35"/>
      <c r="J537" s="29"/>
      <c r="K537" s="29"/>
      <c r="L537" s="29"/>
      <c r="M537" s="29"/>
      <c r="N537" s="37"/>
      <c r="O537" s="30" t="n">
        <f aca="false">N537*J537</f>
        <v>0</v>
      </c>
    </row>
    <row r="538" customFormat="false" ht="15" hidden="false" customHeight="false" outlineLevel="0" collapsed="false">
      <c r="A538" s="29"/>
      <c r="B538" s="28"/>
      <c r="C538" s="29"/>
      <c r="D538" s="29"/>
      <c r="E538" s="29"/>
      <c r="F538" s="29"/>
      <c r="G538" s="36"/>
      <c r="H538" s="29"/>
      <c r="I538" s="35"/>
      <c r="J538" s="29"/>
      <c r="K538" s="29"/>
      <c r="L538" s="29"/>
      <c r="M538" s="29"/>
      <c r="N538" s="37"/>
      <c r="O538" s="30" t="n">
        <f aca="false">N538*J538</f>
        <v>0</v>
      </c>
    </row>
    <row r="539" customFormat="false" ht="15" hidden="false" customHeight="false" outlineLevel="0" collapsed="false">
      <c r="A539" s="29"/>
      <c r="B539" s="28"/>
      <c r="C539" s="29"/>
      <c r="D539" s="29"/>
      <c r="E539" s="29"/>
      <c r="F539" s="29"/>
      <c r="G539" s="36"/>
      <c r="H539" s="29"/>
      <c r="I539" s="35"/>
      <c r="J539" s="29"/>
      <c r="K539" s="29"/>
      <c r="L539" s="29"/>
      <c r="M539" s="29"/>
      <c r="N539" s="37"/>
      <c r="O539" s="30" t="n">
        <f aca="false">N539*J539</f>
        <v>0</v>
      </c>
    </row>
    <row r="540" customFormat="false" ht="15" hidden="false" customHeight="false" outlineLevel="0" collapsed="false">
      <c r="A540" s="29"/>
      <c r="B540" s="28"/>
      <c r="C540" s="29"/>
      <c r="D540" s="29"/>
      <c r="E540" s="29"/>
      <c r="F540" s="29"/>
      <c r="G540" s="36"/>
      <c r="H540" s="29"/>
      <c r="I540" s="35"/>
      <c r="J540" s="29"/>
      <c r="K540" s="29"/>
      <c r="L540" s="29"/>
      <c r="M540" s="29"/>
      <c r="N540" s="37"/>
      <c r="O540" s="30" t="n">
        <f aca="false">N540*J540</f>
        <v>0</v>
      </c>
    </row>
    <row r="541" customFormat="false" ht="15" hidden="false" customHeight="false" outlineLevel="0" collapsed="false">
      <c r="A541" s="29"/>
      <c r="B541" s="28"/>
      <c r="C541" s="29"/>
      <c r="D541" s="29"/>
      <c r="E541" s="29"/>
      <c r="F541" s="29"/>
      <c r="G541" s="36"/>
      <c r="H541" s="29"/>
      <c r="I541" s="35"/>
      <c r="J541" s="29"/>
      <c r="K541" s="29"/>
      <c r="L541" s="29"/>
      <c r="M541" s="29"/>
      <c r="N541" s="37"/>
      <c r="O541" s="30" t="n">
        <f aca="false">N541*J541</f>
        <v>0</v>
      </c>
    </row>
    <row r="542" customFormat="false" ht="15" hidden="false" customHeight="false" outlineLevel="0" collapsed="false">
      <c r="A542" s="29"/>
      <c r="B542" s="28"/>
      <c r="C542" s="29"/>
      <c r="D542" s="29"/>
      <c r="E542" s="29"/>
      <c r="F542" s="29"/>
      <c r="G542" s="36"/>
      <c r="H542" s="29"/>
      <c r="I542" s="35"/>
      <c r="J542" s="29"/>
      <c r="K542" s="29"/>
      <c r="L542" s="29"/>
      <c r="M542" s="29"/>
      <c r="N542" s="37"/>
      <c r="O542" s="30" t="n">
        <f aca="false">N542*J542</f>
        <v>0</v>
      </c>
    </row>
    <row r="543" customFormat="false" ht="15" hidden="false" customHeight="false" outlineLevel="0" collapsed="false">
      <c r="A543" s="29"/>
      <c r="B543" s="28"/>
      <c r="C543" s="29"/>
      <c r="D543" s="29"/>
      <c r="E543" s="29"/>
      <c r="F543" s="29"/>
      <c r="G543" s="36"/>
      <c r="H543" s="29"/>
      <c r="I543" s="35"/>
      <c r="J543" s="29"/>
      <c r="K543" s="29"/>
      <c r="L543" s="29"/>
      <c r="M543" s="29"/>
      <c r="N543" s="37"/>
      <c r="O543" s="30" t="n">
        <f aca="false">N543*J543</f>
        <v>0</v>
      </c>
    </row>
    <row r="544" customFormat="false" ht="15" hidden="false" customHeight="false" outlineLevel="0" collapsed="false">
      <c r="A544" s="29"/>
      <c r="B544" s="28"/>
      <c r="C544" s="29"/>
      <c r="D544" s="29"/>
      <c r="E544" s="29"/>
      <c r="F544" s="29"/>
      <c r="G544" s="36"/>
      <c r="H544" s="29"/>
      <c r="I544" s="35"/>
      <c r="J544" s="29"/>
      <c r="K544" s="29"/>
      <c r="L544" s="29"/>
      <c r="M544" s="29"/>
      <c r="N544" s="37"/>
      <c r="O544" s="30" t="n">
        <f aca="false">N544*J544</f>
        <v>0</v>
      </c>
    </row>
    <row r="545" customFormat="false" ht="15" hidden="false" customHeight="false" outlineLevel="0" collapsed="false">
      <c r="A545" s="29"/>
      <c r="B545" s="28"/>
      <c r="C545" s="29"/>
      <c r="D545" s="29"/>
      <c r="E545" s="29"/>
      <c r="F545" s="29"/>
      <c r="G545" s="36"/>
      <c r="H545" s="29"/>
      <c r="I545" s="35"/>
      <c r="J545" s="29"/>
      <c r="K545" s="29"/>
      <c r="L545" s="29"/>
      <c r="M545" s="29"/>
      <c r="N545" s="37"/>
      <c r="O545" s="30" t="n">
        <f aca="false">N545*J545</f>
        <v>0</v>
      </c>
    </row>
    <row r="546" customFormat="false" ht="15" hidden="false" customHeight="false" outlineLevel="0" collapsed="false">
      <c r="A546" s="29"/>
      <c r="B546" s="28"/>
      <c r="C546" s="29"/>
      <c r="D546" s="29"/>
      <c r="E546" s="29"/>
      <c r="F546" s="29"/>
      <c r="G546" s="36"/>
      <c r="H546" s="29"/>
      <c r="I546" s="35"/>
      <c r="J546" s="29"/>
      <c r="K546" s="29"/>
      <c r="L546" s="29"/>
      <c r="M546" s="29"/>
      <c r="N546" s="37"/>
      <c r="O546" s="30" t="n">
        <f aca="false">N546*J546</f>
        <v>0</v>
      </c>
    </row>
    <row r="547" customFormat="false" ht="15" hidden="false" customHeight="false" outlineLevel="0" collapsed="false">
      <c r="A547" s="29"/>
      <c r="B547" s="28"/>
      <c r="C547" s="29"/>
      <c r="D547" s="29"/>
      <c r="E547" s="29"/>
      <c r="F547" s="29"/>
      <c r="G547" s="36"/>
      <c r="H547" s="29"/>
      <c r="I547" s="35"/>
      <c r="J547" s="29"/>
      <c r="K547" s="29"/>
      <c r="L547" s="29"/>
      <c r="M547" s="29"/>
      <c r="N547" s="37"/>
      <c r="O547" s="30" t="n">
        <f aca="false">N547*J547</f>
        <v>0</v>
      </c>
    </row>
    <row r="548" customFormat="false" ht="15" hidden="false" customHeight="false" outlineLevel="0" collapsed="false">
      <c r="A548" s="29"/>
      <c r="B548" s="28"/>
      <c r="C548" s="29"/>
      <c r="D548" s="29"/>
      <c r="E548" s="29"/>
      <c r="F548" s="29"/>
      <c r="G548" s="36"/>
      <c r="H548" s="29"/>
      <c r="I548" s="35"/>
      <c r="J548" s="29"/>
      <c r="K548" s="29"/>
      <c r="L548" s="29"/>
      <c r="M548" s="29"/>
      <c r="N548" s="37"/>
      <c r="O548" s="30" t="n">
        <f aca="false">N548*J548</f>
        <v>0</v>
      </c>
    </row>
    <row r="549" customFormat="false" ht="15" hidden="false" customHeight="false" outlineLevel="0" collapsed="false">
      <c r="A549" s="29"/>
      <c r="B549" s="28"/>
      <c r="C549" s="29"/>
      <c r="D549" s="29"/>
      <c r="E549" s="29"/>
      <c r="F549" s="29"/>
      <c r="G549" s="36"/>
      <c r="H549" s="29"/>
      <c r="I549" s="35"/>
      <c r="J549" s="29"/>
      <c r="K549" s="29"/>
      <c r="L549" s="29"/>
      <c r="M549" s="29"/>
      <c r="N549" s="37"/>
      <c r="O549" s="30" t="n">
        <f aca="false">N549*J549</f>
        <v>0</v>
      </c>
    </row>
    <row r="550" customFormat="false" ht="15" hidden="false" customHeight="false" outlineLevel="0" collapsed="false">
      <c r="A550" s="29"/>
      <c r="B550" s="28"/>
      <c r="C550" s="29"/>
      <c r="D550" s="29"/>
      <c r="E550" s="29"/>
      <c r="F550" s="29"/>
      <c r="G550" s="36"/>
      <c r="H550" s="29"/>
      <c r="I550" s="35"/>
      <c r="J550" s="29"/>
      <c r="K550" s="29"/>
      <c r="L550" s="29"/>
      <c r="M550" s="29"/>
      <c r="N550" s="37"/>
      <c r="O550" s="30" t="n">
        <f aca="false">N550*J550</f>
        <v>0</v>
      </c>
    </row>
    <row r="551" customFormat="false" ht="15" hidden="false" customHeight="false" outlineLevel="0" collapsed="false">
      <c r="A551" s="29"/>
      <c r="B551" s="28"/>
      <c r="C551" s="29"/>
      <c r="D551" s="29"/>
      <c r="E551" s="29"/>
      <c r="F551" s="29"/>
      <c r="G551" s="36"/>
      <c r="H551" s="29"/>
      <c r="I551" s="35"/>
      <c r="J551" s="29"/>
      <c r="K551" s="29"/>
      <c r="L551" s="29"/>
      <c r="M551" s="29"/>
      <c r="N551" s="37"/>
      <c r="O551" s="30" t="n">
        <f aca="false">N551*J551</f>
        <v>0</v>
      </c>
    </row>
    <row r="552" customFormat="false" ht="15" hidden="false" customHeight="false" outlineLevel="0" collapsed="false">
      <c r="A552" s="29"/>
      <c r="B552" s="28"/>
      <c r="C552" s="29"/>
      <c r="D552" s="29"/>
      <c r="E552" s="29"/>
      <c r="F552" s="29"/>
      <c r="G552" s="36"/>
      <c r="H552" s="29"/>
      <c r="I552" s="35"/>
      <c r="J552" s="29"/>
      <c r="K552" s="29"/>
      <c r="L552" s="29"/>
      <c r="M552" s="29"/>
      <c r="N552" s="37"/>
      <c r="O552" s="30" t="n">
        <f aca="false">N552*J552</f>
        <v>0</v>
      </c>
    </row>
    <row r="553" customFormat="false" ht="15" hidden="false" customHeight="false" outlineLevel="0" collapsed="false">
      <c r="A553" s="29"/>
      <c r="B553" s="28"/>
      <c r="C553" s="29"/>
      <c r="D553" s="29"/>
      <c r="E553" s="29"/>
      <c r="F553" s="29"/>
      <c r="G553" s="36"/>
      <c r="H553" s="29"/>
      <c r="I553" s="35"/>
      <c r="J553" s="29"/>
      <c r="K553" s="29"/>
      <c r="L553" s="29"/>
      <c r="M553" s="29"/>
      <c r="N553" s="37"/>
      <c r="O553" s="30" t="n">
        <f aca="false">N553*J553</f>
        <v>0</v>
      </c>
    </row>
    <row r="554" customFormat="false" ht="15" hidden="false" customHeight="false" outlineLevel="0" collapsed="false">
      <c r="A554" s="29"/>
      <c r="B554" s="28"/>
      <c r="C554" s="29"/>
      <c r="D554" s="29"/>
      <c r="E554" s="29"/>
      <c r="F554" s="29"/>
      <c r="G554" s="36"/>
      <c r="H554" s="29"/>
      <c r="I554" s="35"/>
      <c r="J554" s="29"/>
      <c r="K554" s="29"/>
      <c r="L554" s="29"/>
      <c r="M554" s="29"/>
      <c r="N554" s="37"/>
      <c r="O554" s="30" t="n">
        <f aca="false">N554*J554</f>
        <v>0</v>
      </c>
    </row>
    <row r="555" customFormat="false" ht="15" hidden="false" customHeight="false" outlineLevel="0" collapsed="false">
      <c r="A555" s="29"/>
      <c r="B555" s="28"/>
      <c r="C555" s="29"/>
      <c r="D555" s="29"/>
      <c r="E555" s="29"/>
      <c r="F555" s="29"/>
      <c r="G555" s="36"/>
      <c r="H555" s="29"/>
      <c r="I555" s="35"/>
      <c r="J555" s="29"/>
      <c r="K555" s="29"/>
      <c r="L555" s="29"/>
      <c r="M555" s="29"/>
      <c r="N555" s="37"/>
      <c r="O555" s="30" t="n">
        <f aca="false">N555*J555</f>
        <v>0</v>
      </c>
    </row>
    <row r="556" customFormat="false" ht="15" hidden="false" customHeight="false" outlineLevel="0" collapsed="false">
      <c r="A556" s="29"/>
      <c r="B556" s="28"/>
      <c r="C556" s="29"/>
      <c r="D556" s="29"/>
      <c r="E556" s="29"/>
      <c r="F556" s="29"/>
      <c r="G556" s="36"/>
      <c r="H556" s="29"/>
      <c r="I556" s="35"/>
      <c r="J556" s="29"/>
      <c r="K556" s="29"/>
      <c r="L556" s="29"/>
      <c r="M556" s="29"/>
      <c r="N556" s="37"/>
      <c r="O556" s="30" t="n">
        <f aca="false">N556*J556</f>
        <v>0</v>
      </c>
    </row>
    <row r="557" customFormat="false" ht="15" hidden="false" customHeight="false" outlineLevel="0" collapsed="false">
      <c r="A557" s="29"/>
      <c r="B557" s="28"/>
      <c r="C557" s="29"/>
      <c r="D557" s="29"/>
      <c r="E557" s="29"/>
      <c r="F557" s="29"/>
      <c r="G557" s="36"/>
      <c r="H557" s="29"/>
      <c r="I557" s="35"/>
      <c r="J557" s="29"/>
      <c r="K557" s="29"/>
      <c r="L557" s="29"/>
      <c r="M557" s="29"/>
      <c r="N557" s="37"/>
      <c r="O557" s="30" t="n">
        <f aca="false">N557*J557</f>
        <v>0</v>
      </c>
    </row>
    <row r="558" customFormat="false" ht="15" hidden="false" customHeight="false" outlineLevel="0" collapsed="false">
      <c r="A558" s="29"/>
      <c r="B558" s="28"/>
      <c r="C558" s="29"/>
      <c r="D558" s="29"/>
      <c r="E558" s="29"/>
      <c r="F558" s="29"/>
      <c r="G558" s="36"/>
      <c r="H558" s="29"/>
      <c r="I558" s="35"/>
      <c r="J558" s="29"/>
      <c r="K558" s="29"/>
      <c r="L558" s="29"/>
      <c r="M558" s="29"/>
      <c r="N558" s="37"/>
      <c r="O558" s="30" t="n">
        <f aca="false">N558*J558</f>
        <v>0</v>
      </c>
    </row>
    <row r="559" customFormat="false" ht="15" hidden="false" customHeight="false" outlineLevel="0" collapsed="false">
      <c r="A559" s="29"/>
      <c r="B559" s="28"/>
      <c r="C559" s="29"/>
      <c r="D559" s="29"/>
      <c r="E559" s="29"/>
      <c r="F559" s="29"/>
      <c r="G559" s="36"/>
      <c r="H559" s="29"/>
      <c r="I559" s="35"/>
      <c r="J559" s="29"/>
      <c r="K559" s="29"/>
      <c r="L559" s="29"/>
      <c r="M559" s="29"/>
      <c r="N559" s="37"/>
      <c r="O559" s="30" t="n">
        <f aca="false">N559*J559</f>
        <v>0</v>
      </c>
    </row>
    <row r="560" customFormat="false" ht="15" hidden="false" customHeight="false" outlineLevel="0" collapsed="false">
      <c r="A560" s="29"/>
      <c r="B560" s="28"/>
      <c r="C560" s="29"/>
      <c r="D560" s="29"/>
      <c r="E560" s="29"/>
      <c r="F560" s="29"/>
      <c r="G560" s="36"/>
      <c r="H560" s="29"/>
      <c r="I560" s="35"/>
      <c r="J560" s="29"/>
      <c r="K560" s="29"/>
      <c r="L560" s="29"/>
      <c r="M560" s="29"/>
      <c r="N560" s="37"/>
      <c r="O560" s="30" t="n">
        <f aca="false">N560*J560</f>
        <v>0</v>
      </c>
    </row>
    <row r="561" customFormat="false" ht="15" hidden="false" customHeight="false" outlineLevel="0" collapsed="false">
      <c r="A561" s="29"/>
      <c r="B561" s="28"/>
      <c r="C561" s="29"/>
      <c r="D561" s="29"/>
      <c r="E561" s="29"/>
      <c r="F561" s="29"/>
      <c r="G561" s="36"/>
      <c r="H561" s="29"/>
      <c r="I561" s="35"/>
      <c r="J561" s="29"/>
      <c r="K561" s="29"/>
      <c r="L561" s="29"/>
      <c r="M561" s="29"/>
      <c r="N561" s="37"/>
      <c r="O561" s="30" t="n">
        <f aca="false">N561*J561</f>
        <v>0</v>
      </c>
    </row>
    <row r="562" customFormat="false" ht="15" hidden="false" customHeight="false" outlineLevel="0" collapsed="false">
      <c r="A562" s="29"/>
      <c r="B562" s="28"/>
      <c r="C562" s="29"/>
      <c r="D562" s="29"/>
      <c r="E562" s="29"/>
      <c r="F562" s="29"/>
      <c r="G562" s="36"/>
      <c r="H562" s="29"/>
      <c r="I562" s="35"/>
      <c r="J562" s="29"/>
      <c r="K562" s="29"/>
      <c r="L562" s="29"/>
      <c r="M562" s="29"/>
      <c r="N562" s="37"/>
      <c r="O562" s="30" t="n">
        <f aca="false">N562*J562</f>
        <v>0</v>
      </c>
    </row>
    <row r="563" customFormat="false" ht="15" hidden="false" customHeight="false" outlineLevel="0" collapsed="false">
      <c r="A563" s="29"/>
      <c r="B563" s="28"/>
      <c r="C563" s="29"/>
      <c r="D563" s="29"/>
      <c r="E563" s="29"/>
      <c r="F563" s="29"/>
      <c r="G563" s="36"/>
      <c r="H563" s="29"/>
      <c r="I563" s="35"/>
      <c r="J563" s="29"/>
      <c r="K563" s="29"/>
      <c r="L563" s="29"/>
      <c r="M563" s="29"/>
      <c r="N563" s="37"/>
      <c r="O563" s="30" t="n">
        <f aca="false">N563*J563</f>
        <v>0</v>
      </c>
    </row>
    <row r="564" customFormat="false" ht="15" hidden="false" customHeight="false" outlineLevel="0" collapsed="false">
      <c r="A564" s="29"/>
      <c r="B564" s="28"/>
      <c r="C564" s="29"/>
      <c r="D564" s="29"/>
      <c r="E564" s="29"/>
      <c r="F564" s="29"/>
      <c r="G564" s="36"/>
      <c r="H564" s="29"/>
      <c r="I564" s="35"/>
      <c r="J564" s="29"/>
      <c r="K564" s="29"/>
      <c r="L564" s="29"/>
      <c r="M564" s="29"/>
      <c r="N564" s="37"/>
      <c r="O564" s="30" t="n">
        <f aca="false">N564*J564</f>
        <v>0</v>
      </c>
    </row>
    <row r="565" customFormat="false" ht="15" hidden="false" customHeight="false" outlineLevel="0" collapsed="false">
      <c r="A565" s="29"/>
      <c r="B565" s="28"/>
      <c r="C565" s="29"/>
      <c r="D565" s="29"/>
      <c r="E565" s="29"/>
      <c r="F565" s="29"/>
      <c r="G565" s="36"/>
      <c r="H565" s="29"/>
      <c r="I565" s="35"/>
      <c r="J565" s="29"/>
      <c r="K565" s="29"/>
      <c r="L565" s="29"/>
      <c r="M565" s="29"/>
      <c r="N565" s="37"/>
      <c r="O565" s="30" t="n">
        <f aca="false">N565*J565</f>
        <v>0</v>
      </c>
    </row>
    <row r="566" customFormat="false" ht="15" hidden="false" customHeight="false" outlineLevel="0" collapsed="false">
      <c r="A566" s="29"/>
      <c r="B566" s="28"/>
      <c r="C566" s="29"/>
      <c r="D566" s="29"/>
      <c r="E566" s="29"/>
      <c r="F566" s="29"/>
      <c r="G566" s="36"/>
      <c r="H566" s="29"/>
      <c r="I566" s="35"/>
      <c r="J566" s="29"/>
      <c r="K566" s="29"/>
      <c r="L566" s="29"/>
      <c r="M566" s="29"/>
      <c r="N566" s="37"/>
      <c r="O566" s="30" t="n">
        <f aca="false">N566*J566</f>
        <v>0</v>
      </c>
    </row>
    <row r="567" customFormat="false" ht="15" hidden="false" customHeight="false" outlineLevel="0" collapsed="false">
      <c r="N567" s="37"/>
      <c r="O567" s="30" t="n">
        <f aca="false">N567*J567</f>
        <v>0</v>
      </c>
    </row>
    <row r="568" customFormat="false" ht="15" hidden="false" customHeight="false" outlineLevel="0" collapsed="false">
      <c r="N568" s="37"/>
      <c r="O568" s="30" t="n">
        <f aca="false">N568*J568</f>
        <v>0</v>
      </c>
    </row>
    <row r="569" customFormat="false" ht="15" hidden="false" customHeight="false" outlineLevel="0" collapsed="false">
      <c r="N569" s="37"/>
      <c r="O569" s="30" t="n">
        <f aca="false">N569*J569</f>
        <v>0</v>
      </c>
    </row>
    <row r="570" customFormat="false" ht="15" hidden="false" customHeight="false" outlineLevel="0" collapsed="false">
      <c r="N570" s="37"/>
      <c r="O570" s="30" t="n">
        <f aca="false">N570*J570</f>
        <v>0</v>
      </c>
    </row>
    <row r="571" customFormat="false" ht="15" hidden="false" customHeight="false" outlineLevel="0" collapsed="false">
      <c r="N571" s="37"/>
      <c r="O571" s="30" t="n">
        <f aca="false">N571*J571</f>
        <v>0</v>
      </c>
    </row>
    <row r="572" customFormat="false" ht="15" hidden="false" customHeight="false" outlineLevel="0" collapsed="false">
      <c r="N572" s="37"/>
      <c r="O572" s="30" t="n">
        <f aca="false">N572*J572</f>
        <v>0</v>
      </c>
    </row>
    <row r="573" customFormat="false" ht="15" hidden="false" customHeight="false" outlineLevel="0" collapsed="false">
      <c r="N573" s="37"/>
      <c r="O573" s="30" t="n">
        <f aca="false">N573*J573</f>
        <v>0</v>
      </c>
    </row>
    <row r="574" customFormat="false" ht="15" hidden="false" customHeight="false" outlineLevel="0" collapsed="false">
      <c r="N574" s="37"/>
      <c r="O574" s="30" t="n">
        <f aca="false">N574*J574</f>
        <v>0</v>
      </c>
    </row>
    <row r="575" customFormat="false" ht="15" hidden="false" customHeight="false" outlineLevel="0" collapsed="false">
      <c r="N575" s="37"/>
      <c r="O575" s="30" t="n">
        <f aca="false">N575*J575</f>
        <v>0</v>
      </c>
    </row>
    <row r="576" customFormat="false" ht="15" hidden="false" customHeight="false" outlineLevel="0" collapsed="false">
      <c r="N576" s="37"/>
      <c r="O576" s="30" t="n">
        <f aca="false">N576*J576</f>
        <v>0</v>
      </c>
    </row>
    <row r="577" customFormat="false" ht="15" hidden="false" customHeight="false" outlineLevel="0" collapsed="false">
      <c r="N577" s="37"/>
      <c r="O577" s="30" t="n">
        <f aca="false">N577*J577</f>
        <v>0</v>
      </c>
    </row>
    <row r="578" customFormat="false" ht="15" hidden="false" customHeight="false" outlineLevel="0" collapsed="false">
      <c r="N578" s="37"/>
      <c r="O578" s="30" t="n">
        <f aca="false">N578*J578</f>
        <v>0</v>
      </c>
    </row>
    <row r="579" customFormat="false" ht="15" hidden="false" customHeight="false" outlineLevel="0" collapsed="false">
      <c r="N579" s="37"/>
      <c r="O579" s="30" t="n">
        <f aca="false">N579*J579</f>
        <v>0</v>
      </c>
    </row>
    <row r="580" customFormat="false" ht="15" hidden="false" customHeight="false" outlineLevel="0" collapsed="false">
      <c r="N580" s="37"/>
      <c r="O580" s="30" t="n">
        <f aca="false">N580*J580</f>
        <v>0</v>
      </c>
    </row>
    <row r="581" customFormat="false" ht="15" hidden="false" customHeight="false" outlineLevel="0" collapsed="false">
      <c r="N581" s="37"/>
      <c r="O581" s="30" t="n">
        <f aca="false">N581*J581</f>
        <v>0</v>
      </c>
    </row>
    <row r="582" customFormat="false" ht="15" hidden="false" customHeight="false" outlineLevel="0" collapsed="false">
      <c r="N582" s="37"/>
      <c r="O582" s="30" t="n">
        <f aca="false">N582*J582</f>
        <v>0</v>
      </c>
    </row>
    <row r="583" customFormat="false" ht="15" hidden="false" customHeight="false" outlineLevel="0" collapsed="false">
      <c r="N583" s="37"/>
      <c r="O583" s="30" t="n">
        <f aca="false">N583*J583</f>
        <v>0</v>
      </c>
    </row>
    <row r="584" customFormat="false" ht="15" hidden="false" customHeight="false" outlineLevel="0" collapsed="false">
      <c r="N584" s="37"/>
      <c r="O584" s="30" t="n">
        <f aca="false">N584*J584</f>
        <v>0</v>
      </c>
    </row>
    <row r="585" customFormat="false" ht="15" hidden="false" customHeight="false" outlineLevel="0" collapsed="false">
      <c r="N585" s="37"/>
      <c r="O585" s="30" t="n">
        <f aca="false">N585*J585</f>
        <v>0</v>
      </c>
    </row>
    <row r="586" customFormat="false" ht="15" hidden="false" customHeight="false" outlineLevel="0" collapsed="false">
      <c r="O586" s="30" t="n">
        <f aca="false">N586*J586</f>
        <v>0</v>
      </c>
    </row>
    <row r="587" customFormat="false" ht="15" hidden="false" customHeight="false" outlineLevel="0" collapsed="false">
      <c r="O587" s="30" t="n">
        <f aca="false">N587*J587</f>
        <v>0</v>
      </c>
    </row>
    <row r="588" customFormat="false" ht="15" hidden="false" customHeight="false" outlineLevel="0" collapsed="false">
      <c r="O588" s="30" t="n">
        <f aca="false">N588*J588</f>
        <v>0</v>
      </c>
    </row>
    <row r="589" customFormat="false" ht="15" hidden="false" customHeight="false" outlineLevel="0" collapsed="false">
      <c r="O589" s="30" t="n">
        <f aca="false">N589*J589</f>
        <v>0</v>
      </c>
    </row>
    <row r="590" customFormat="false" ht="15" hidden="false" customHeight="false" outlineLevel="0" collapsed="false">
      <c r="O590" s="30" t="n">
        <f aca="false">N590*J590</f>
        <v>0</v>
      </c>
    </row>
    <row r="591" customFormat="false" ht="15" hidden="false" customHeight="false" outlineLevel="0" collapsed="false">
      <c r="O591" s="30" t="n">
        <f aca="false">N591*J591</f>
        <v>0</v>
      </c>
    </row>
    <row r="592" customFormat="false" ht="15" hidden="false" customHeight="false" outlineLevel="0" collapsed="false">
      <c r="O592" s="30" t="n">
        <f aca="false">N592*J592</f>
        <v>0</v>
      </c>
    </row>
    <row r="593" customFormat="false" ht="15" hidden="false" customHeight="false" outlineLevel="0" collapsed="false">
      <c r="O593" s="30" t="n">
        <f aca="false">N593*J593</f>
        <v>0</v>
      </c>
    </row>
    <row r="594" customFormat="false" ht="15" hidden="false" customHeight="false" outlineLevel="0" collapsed="false">
      <c r="O594" s="30" t="n">
        <f aca="false">N594*J594</f>
        <v>0</v>
      </c>
    </row>
    <row r="595" customFormat="false" ht="15" hidden="false" customHeight="false" outlineLevel="0" collapsed="false">
      <c r="O595" s="30" t="n">
        <f aca="false">N595*J595</f>
        <v>0</v>
      </c>
    </row>
    <row r="596" customFormat="false" ht="15" hidden="false" customHeight="false" outlineLevel="0" collapsed="false">
      <c r="O596" s="30" t="n">
        <f aca="false">N596*J596</f>
        <v>0</v>
      </c>
    </row>
    <row r="597" customFormat="false" ht="15" hidden="false" customHeight="false" outlineLevel="0" collapsed="false">
      <c r="O597" s="30" t="n">
        <f aca="false">N597*J597</f>
        <v>0</v>
      </c>
    </row>
    <row r="598" customFormat="false" ht="15" hidden="false" customHeight="false" outlineLevel="0" collapsed="false">
      <c r="O598" s="30" t="n">
        <f aca="false">N598*J598</f>
        <v>0</v>
      </c>
    </row>
    <row r="599" customFormat="false" ht="15" hidden="false" customHeight="false" outlineLevel="0" collapsed="false">
      <c r="O599" s="30" t="n">
        <f aca="false">N599*J599</f>
        <v>0</v>
      </c>
    </row>
    <row r="600" customFormat="false" ht="15" hidden="false" customHeight="false" outlineLevel="0" collapsed="false">
      <c r="O600" s="30" t="n">
        <f aca="false">N600*J600</f>
        <v>0</v>
      </c>
    </row>
    <row r="601" customFormat="false" ht="15" hidden="false" customHeight="false" outlineLevel="0" collapsed="false">
      <c r="O601" s="30" t="n">
        <f aca="false">N601*J601</f>
        <v>0</v>
      </c>
    </row>
    <row r="602" customFormat="false" ht="15" hidden="false" customHeight="false" outlineLevel="0" collapsed="false">
      <c r="O602" s="30" t="n">
        <f aca="false">N602*J602</f>
        <v>0</v>
      </c>
    </row>
    <row r="603" customFormat="false" ht="15" hidden="false" customHeight="false" outlineLevel="0" collapsed="false">
      <c r="O603" s="30" t="n">
        <f aca="false">N603*J603</f>
        <v>0</v>
      </c>
    </row>
    <row r="604" customFormat="false" ht="15" hidden="false" customHeight="false" outlineLevel="0" collapsed="false">
      <c r="O604" s="30" t="n">
        <f aca="false">N604*J604</f>
        <v>0</v>
      </c>
    </row>
    <row r="605" customFormat="false" ht="15" hidden="false" customHeight="false" outlineLevel="0" collapsed="false">
      <c r="O605" s="30" t="n">
        <f aca="false">N605*J605</f>
        <v>0</v>
      </c>
    </row>
    <row r="606" customFormat="false" ht="15" hidden="false" customHeight="false" outlineLevel="0" collapsed="false">
      <c r="O606" s="30" t="n">
        <f aca="false">N606*J606</f>
        <v>0</v>
      </c>
    </row>
    <row r="607" customFormat="false" ht="15" hidden="false" customHeight="false" outlineLevel="0" collapsed="false">
      <c r="O607" s="30" t="n">
        <f aca="false">N607*J607</f>
        <v>0</v>
      </c>
    </row>
    <row r="608" customFormat="false" ht="15" hidden="false" customHeight="false" outlineLevel="0" collapsed="false">
      <c r="O608" s="30" t="n">
        <f aca="false">N608*J608</f>
        <v>0</v>
      </c>
    </row>
    <row r="609" customFormat="false" ht="15" hidden="false" customHeight="false" outlineLevel="0" collapsed="false">
      <c r="O609" s="30" t="n">
        <f aca="false">N609*J609</f>
        <v>0</v>
      </c>
    </row>
    <row r="610" customFormat="false" ht="15" hidden="false" customHeight="false" outlineLevel="0" collapsed="false">
      <c r="O610" s="30" t="n">
        <f aca="false">N610*J610</f>
        <v>0</v>
      </c>
    </row>
    <row r="611" customFormat="false" ht="15" hidden="false" customHeight="false" outlineLevel="0" collapsed="false">
      <c r="O611" s="30" t="n">
        <f aca="false">N611*J611</f>
        <v>0</v>
      </c>
    </row>
    <row r="612" customFormat="false" ht="15" hidden="false" customHeight="false" outlineLevel="0" collapsed="false">
      <c r="O612" s="30" t="n">
        <f aca="false">N612*J612</f>
        <v>0</v>
      </c>
    </row>
    <row r="613" customFormat="false" ht="15" hidden="false" customHeight="false" outlineLevel="0" collapsed="false">
      <c r="O613" s="30" t="n">
        <f aca="false">N613*J613</f>
        <v>0</v>
      </c>
    </row>
    <row r="614" customFormat="false" ht="15" hidden="false" customHeight="false" outlineLevel="0" collapsed="false">
      <c r="O614" s="30" t="n">
        <f aca="false">N614*J614</f>
        <v>0</v>
      </c>
    </row>
    <row r="615" customFormat="false" ht="15" hidden="false" customHeight="false" outlineLevel="0" collapsed="false">
      <c r="O615" s="30" t="n">
        <f aca="false">N615*J615</f>
        <v>0</v>
      </c>
    </row>
    <row r="616" customFormat="false" ht="15" hidden="false" customHeight="false" outlineLevel="0" collapsed="false">
      <c r="O616" s="30" t="n">
        <f aca="false">N616*J616</f>
        <v>0</v>
      </c>
    </row>
    <row r="617" customFormat="false" ht="15" hidden="false" customHeight="false" outlineLevel="0" collapsed="false">
      <c r="O617" s="30" t="n">
        <f aca="false">N617*J617</f>
        <v>0</v>
      </c>
    </row>
    <row r="618" customFormat="false" ht="15" hidden="false" customHeight="false" outlineLevel="0" collapsed="false">
      <c r="O618" s="30" t="n">
        <f aca="false">N618*J618</f>
        <v>0</v>
      </c>
    </row>
    <row r="619" customFormat="false" ht="15" hidden="false" customHeight="false" outlineLevel="0" collapsed="false">
      <c r="O619" s="30" t="n">
        <f aca="false">N619*J619</f>
        <v>0</v>
      </c>
    </row>
    <row r="620" customFormat="false" ht="15" hidden="false" customHeight="false" outlineLevel="0" collapsed="false">
      <c r="O620" s="30" t="n">
        <f aca="false">N620*J620</f>
        <v>0</v>
      </c>
    </row>
    <row r="621" customFormat="false" ht="15" hidden="false" customHeight="false" outlineLevel="0" collapsed="false">
      <c r="O621" s="30" t="n">
        <f aca="false">N621*J621</f>
        <v>0</v>
      </c>
    </row>
    <row r="622" customFormat="false" ht="15" hidden="false" customHeight="false" outlineLevel="0" collapsed="false">
      <c r="O622" s="30" t="n">
        <f aca="false">N622*J622</f>
        <v>0</v>
      </c>
    </row>
    <row r="623" customFormat="false" ht="15" hidden="false" customHeight="false" outlineLevel="0" collapsed="false">
      <c r="O623" s="30" t="n">
        <f aca="false">N623*J623</f>
        <v>0</v>
      </c>
    </row>
    <row r="624" customFormat="false" ht="15" hidden="false" customHeight="false" outlineLevel="0" collapsed="false">
      <c r="O624" s="30" t="n">
        <f aca="false">N624*J624</f>
        <v>0</v>
      </c>
    </row>
    <row r="625" customFormat="false" ht="15" hidden="false" customHeight="false" outlineLevel="0" collapsed="false">
      <c r="O625" s="30" t="n">
        <f aca="false">N625*J625</f>
        <v>0</v>
      </c>
    </row>
    <row r="626" customFormat="false" ht="15" hidden="false" customHeight="false" outlineLevel="0" collapsed="false">
      <c r="O626" s="30" t="n">
        <f aca="false">N626*J626</f>
        <v>0</v>
      </c>
    </row>
    <row r="627" customFormat="false" ht="15" hidden="false" customHeight="false" outlineLevel="0" collapsed="false">
      <c r="O627" s="30" t="n">
        <f aca="false">N627*J627</f>
        <v>0</v>
      </c>
    </row>
    <row r="628" customFormat="false" ht="15" hidden="false" customHeight="false" outlineLevel="0" collapsed="false">
      <c r="O628" s="30" t="n">
        <f aca="false">N628*J628</f>
        <v>0</v>
      </c>
    </row>
    <row r="629" customFormat="false" ht="15" hidden="false" customHeight="false" outlineLevel="0" collapsed="false">
      <c r="O629" s="30" t="n">
        <f aca="false">N629*J629</f>
        <v>0</v>
      </c>
    </row>
    <row r="630" customFormat="false" ht="15" hidden="false" customHeight="false" outlineLevel="0" collapsed="false">
      <c r="O630" s="30" t="n">
        <f aca="false">N630*J630</f>
        <v>0</v>
      </c>
    </row>
    <row r="631" customFormat="false" ht="15" hidden="false" customHeight="false" outlineLevel="0" collapsed="false">
      <c r="O631" s="30" t="n">
        <f aca="false">N631*J631</f>
        <v>0</v>
      </c>
    </row>
    <row r="632" customFormat="false" ht="15" hidden="false" customHeight="false" outlineLevel="0" collapsed="false">
      <c r="O632" s="30" t="n">
        <f aca="false">N632*J632</f>
        <v>0</v>
      </c>
    </row>
    <row r="633" customFormat="false" ht="15" hidden="false" customHeight="false" outlineLevel="0" collapsed="false">
      <c r="O633" s="30" t="n">
        <f aca="false">N633*J633</f>
        <v>0</v>
      </c>
    </row>
    <row r="634" customFormat="false" ht="15" hidden="false" customHeight="false" outlineLevel="0" collapsed="false">
      <c r="O634" s="30" t="n">
        <f aca="false">N634*J634</f>
        <v>0</v>
      </c>
    </row>
    <row r="635" customFormat="false" ht="15" hidden="false" customHeight="false" outlineLevel="0" collapsed="false">
      <c r="O635" s="30" t="n">
        <f aca="false">N635*J635</f>
        <v>0</v>
      </c>
    </row>
    <row r="636" customFormat="false" ht="15" hidden="false" customHeight="false" outlineLevel="0" collapsed="false">
      <c r="O636" s="30" t="n">
        <f aca="false">N636*J636</f>
        <v>0</v>
      </c>
    </row>
    <row r="637" customFormat="false" ht="15" hidden="false" customHeight="false" outlineLevel="0" collapsed="false">
      <c r="O637" s="30" t="n">
        <f aca="false">N637*J637</f>
        <v>0</v>
      </c>
    </row>
    <row r="638" customFormat="false" ht="15" hidden="false" customHeight="false" outlineLevel="0" collapsed="false">
      <c r="O638" s="30" t="n">
        <f aca="false">N638*J638</f>
        <v>0</v>
      </c>
    </row>
    <row r="639" customFormat="false" ht="15" hidden="false" customHeight="false" outlineLevel="0" collapsed="false">
      <c r="O639" s="30" t="n">
        <f aca="false">N639*J639</f>
        <v>0</v>
      </c>
    </row>
    <row r="640" customFormat="false" ht="15" hidden="false" customHeight="false" outlineLevel="0" collapsed="false">
      <c r="O640" s="30" t="n">
        <f aca="false">N640*J640</f>
        <v>0</v>
      </c>
    </row>
    <row r="641" customFormat="false" ht="15" hidden="false" customHeight="false" outlineLevel="0" collapsed="false">
      <c r="O641" s="30" t="n">
        <f aca="false">N641*J641</f>
        <v>0</v>
      </c>
    </row>
    <row r="642" customFormat="false" ht="15" hidden="false" customHeight="false" outlineLevel="0" collapsed="false">
      <c r="O642" s="30" t="n">
        <f aca="false">N642*J642</f>
        <v>0</v>
      </c>
    </row>
    <row r="643" customFormat="false" ht="15" hidden="false" customHeight="false" outlineLevel="0" collapsed="false">
      <c r="O643" s="30" t="n">
        <f aca="false">N643*J643</f>
        <v>0</v>
      </c>
    </row>
    <row r="644" customFormat="false" ht="15" hidden="false" customHeight="false" outlineLevel="0" collapsed="false">
      <c r="O644" s="30" t="n">
        <f aca="false">N644*J644</f>
        <v>0</v>
      </c>
    </row>
    <row r="645" customFormat="false" ht="15" hidden="false" customHeight="false" outlineLevel="0" collapsed="false">
      <c r="O645" s="30" t="n">
        <f aca="false">N645*J645</f>
        <v>0</v>
      </c>
    </row>
    <row r="646" customFormat="false" ht="15" hidden="false" customHeight="false" outlineLevel="0" collapsed="false">
      <c r="O646" s="30" t="n">
        <f aca="false">N646*J646</f>
        <v>0</v>
      </c>
    </row>
    <row r="647" customFormat="false" ht="15" hidden="false" customHeight="false" outlineLevel="0" collapsed="false">
      <c r="O647" s="30" t="n">
        <f aca="false">N647*J647</f>
        <v>0</v>
      </c>
    </row>
    <row r="648" customFormat="false" ht="15" hidden="false" customHeight="false" outlineLevel="0" collapsed="false">
      <c r="O648" s="30" t="n">
        <f aca="false">N648*J648</f>
        <v>0</v>
      </c>
    </row>
    <row r="649" customFormat="false" ht="15" hidden="false" customHeight="false" outlineLevel="0" collapsed="false">
      <c r="O649" s="30" t="n">
        <f aca="false">N649*J649</f>
        <v>0</v>
      </c>
    </row>
    <row r="650" customFormat="false" ht="15" hidden="false" customHeight="false" outlineLevel="0" collapsed="false">
      <c r="O650" s="30" t="n">
        <f aca="false">N650*J650</f>
        <v>0</v>
      </c>
    </row>
    <row r="651" customFormat="false" ht="15" hidden="false" customHeight="false" outlineLevel="0" collapsed="false">
      <c r="O651" s="30" t="n">
        <f aca="false">N651*J651</f>
        <v>0</v>
      </c>
    </row>
    <row r="652" customFormat="false" ht="15" hidden="false" customHeight="false" outlineLevel="0" collapsed="false">
      <c r="O652" s="30" t="n">
        <f aca="false">N652*J652</f>
        <v>0</v>
      </c>
    </row>
    <row r="653" customFormat="false" ht="15" hidden="false" customHeight="false" outlineLevel="0" collapsed="false">
      <c r="O653" s="30" t="n">
        <f aca="false">N653*J653</f>
        <v>0</v>
      </c>
    </row>
    <row r="654" customFormat="false" ht="15" hidden="false" customHeight="false" outlineLevel="0" collapsed="false">
      <c r="O654" s="30" t="n">
        <f aca="false">N654*J654</f>
        <v>0</v>
      </c>
    </row>
    <row r="655" customFormat="false" ht="15" hidden="false" customHeight="false" outlineLevel="0" collapsed="false">
      <c r="O655" s="30" t="n">
        <f aca="false">N655*J655</f>
        <v>0</v>
      </c>
    </row>
    <row r="656" customFormat="false" ht="15" hidden="false" customHeight="false" outlineLevel="0" collapsed="false">
      <c r="O656" s="30" t="n">
        <f aca="false">N656*J656</f>
        <v>0</v>
      </c>
    </row>
    <row r="657" customFormat="false" ht="15" hidden="false" customHeight="false" outlineLevel="0" collapsed="false">
      <c r="O657" s="30" t="n">
        <f aca="false">N657*J657</f>
        <v>0</v>
      </c>
    </row>
    <row r="658" customFormat="false" ht="15" hidden="false" customHeight="false" outlineLevel="0" collapsed="false">
      <c r="O658" s="30" t="n">
        <f aca="false">N658*J658</f>
        <v>0</v>
      </c>
    </row>
    <row r="659" customFormat="false" ht="15" hidden="false" customHeight="false" outlineLevel="0" collapsed="false">
      <c r="O659" s="30" t="n">
        <f aca="false">N659*J659</f>
        <v>0</v>
      </c>
    </row>
    <row r="660" customFormat="false" ht="15" hidden="false" customHeight="false" outlineLevel="0" collapsed="false">
      <c r="O660" s="30" t="n">
        <f aca="false">N660*J660</f>
        <v>0</v>
      </c>
    </row>
    <row r="661" customFormat="false" ht="15" hidden="false" customHeight="false" outlineLevel="0" collapsed="false">
      <c r="O661" s="30" t="n">
        <f aca="false">N661*J661</f>
        <v>0</v>
      </c>
    </row>
    <row r="662" customFormat="false" ht="15" hidden="false" customHeight="false" outlineLevel="0" collapsed="false">
      <c r="O662" s="30" t="n">
        <f aca="false">N662*J662</f>
        <v>0</v>
      </c>
    </row>
    <row r="663" customFormat="false" ht="15" hidden="false" customHeight="false" outlineLevel="0" collapsed="false">
      <c r="O663" s="30" t="n">
        <f aca="false">N663*J663</f>
        <v>0</v>
      </c>
    </row>
    <row r="664" customFormat="false" ht="15" hidden="false" customHeight="false" outlineLevel="0" collapsed="false">
      <c r="O664" s="30" t="n">
        <f aca="false">N664*J664</f>
        <v>0</v>
      </c>
    </row>
    <row r="665" customFormat="false" ht="15" hidden="false" customHeight="false" outlineLevel="0" collapsed="false">
      <c r="O665" s="30" t="n">
        <f aca="false">N665*J665</f>
        <v>0</v>
      </c>
    </row>
    <row r="666" customFormat="false" ht="15" hidden="false" customHeight="false" outlineLevel="0" collapsed="false">
      <c r="O666" s="30" t="n">
        <f aca="false">N666*J666</f>
        <v>0</v>
      </c>
    </row>
    <row r="667" customFormat="false" ht="15" hidden="false" customHeight="false" outlineLevel="0" collapsed="false">
      <c r="O667" s="30" t="n">
        <f aca="false">N667*J667</f>
        <v>0</v>
      </c>
    </row>
    <row r="668" customFormat="false" ht="15" hidden="false" customHeight="false" outlineLevel="0" collapsed="false">
      <c r="O668" s="30" t="n">
        <f aca="false">N668*J668</f>
        <v>0</v>
      </c>
    </row>
    <row r="669" customFormat="false" ht="15" hidden="false" customHeight="false" outlineLevel="0" collapsed="false">
      <c r="O669" s="30" t="n">
        <f aca="false">N669*J669</f>
        <v>0</v>
      </c>
    </row>
    <row r="670" customFormat="false" ht="15" hidden="false" customHeight="false" outlineLevel="0" collapsed="false">
      <c r="O670" s="30" t="n">
        <f aca="false">N670*J670</f>
        <v>0</v>
      </c>
    </row>
    <row r="671" customFormat="false" ht="15" hidden="false" customHeight="false" outlineLevel="0" collapsed="false">
      <c r="O671" s="30" t="n">
        <f aca="false">N671*J671</f>
        <v>0</v>
      </c>
    </row>
    <row r="672" customFormat="false" ht="15" hidden="false" customHeight="false" outlineLevel="0" collapsed="false">
      <c r="O672" s="30" t="n">
        <f aca="false">N672*J672</f>
        <v>0</v>
      </c>
    </row>
    <row r="673" customFormat="false" ht="15" hidden="false" customHeight="false" outlineLevel="0" collapsed="false">
      <c r="O673" s="30" t="n">
        <f aca="false">N673*J673</f>
        <v>0</v>
      </c>
    </row>
    <row r="674" customFormat="false" ht="15" hidden="false" customHeight="false" outlineLevel="0" collapsed="false">
      <c r="O674" s="30" t="n">
        <f aca="false">N674*J674</f>
        <v>0</v>
      </c>
    </row>
    <row r="675" customFormat="false" ht="15" hidden="false" customHeight="false" outlineLevel="0" collapsed="false">
      <c r="O675" s="30" t="n">
        <f aca="false">N675*J675</f>
        <v>0</v>
      </c>
    </row>
    <row r="676" customFormat="false" ht="15" hidden="false" customHeight="false" outlineLevel="0" collapsed="false">
      <c r="O676" s="30" t="n">
        <f aca="false">N676*J676</f>
        <v>0</v>
      </c>
    </row>
    <row r="677" customFormat="false" ht="15" hidden="false" customHeight="false" outlineLevel="0" collapsed="false">
      <c r="O677" s="30" t="n">
        <f aca="false">N677*J677</f>
        <v>0</v>
      </c>
    </row>
    <row r="678" customFormat="false" ht="15" hidden="false" customHeight="false" outlineLevel="0" collapsed="false">
      <c r="O678" s="30" t="n">
        <f aca="false">N678*J678</f>
        <v>0</v>
      </c>
    </row>
    <row r="679" customFormat="false" ht="15" hidden="false" customHeight="false" outlineLevel="0" collapsed="false">
      <c r="O679" s="30" t="n">
        <f aca="false">N679*J679</f>
        <v>0</v>
      </c>
    </row>
    <row r="680" customFormat="false" ht="15" hidden="false" customHeight="false" outlineLevel="0" collapsed="false">
      <c r="O680" s="30" t="n">
        <f aca="false">N680*J680</f>
        <v>0</v>
      </c>
    </row>
    <row r="681" customFormat="false" ht="15" hidden="false" customHeight="false" outlineLevel="0" collapsed="false">
      <c r="O681" s="30" t="n">
        <f aca="false">N681*J681</f>
        <v>0</v>
      </c>
    </row>
    <row r="682" customFormat="false" ht="15" hidden="false" customHeight="false" outlineLevel="0" collapsed="false">
      <c r="O682" s="30" t="n">
        <f aca="false">N682*J682</f>
        <v>0</v>
      </c>
    </row>
    <row r="683" customFormat="false" ht="15" hidden="false" customHeight="false" outlineLevel="0" collapsed="false">
      <c r="O683" s="30" t="n">
        <f aca="false">N683*J683</f>
        <v>0</v>
      </c>
    </row>
    <row r="684" customFormat="false" ht="15" hidden="false" customHeight="false" outlineLevel="0" collapsed="false">
      <c r="O684" s="30" t="n">
        <f aca="false">N684*J684</f>
        <v>0</v>
      </c>
    </row>
    <row r="685" customFormat="false" ht="15" hidden="false" customHeight="false" outlineLevel="0" collapsed="false">
      <c r="O685" s="30" t="n">
        <f aca="false">N685*J685</f>
        <v>0</v>
      </c>
    </row>
    <row r="686" customFormat="false" ht="15" hidden="false" customHeight="false" outlineLevel="0" collapsed="false">
      <c r="O686" s="30" t="n">
        <f aca="false">N686*J686</f>
        <v>0</v>
      </c>
    </row>
    <row r="687" customFormat="false" ht="15" hidden="false" customHeight="false" outlineLevel="0" collapsed="false">
      <c r="O687" s="30" t="n">
        <f aca="false">N687*J687</f>
        <v>0</v>
      </c>
    </row>
    <row r="688" customFormat="false" ht="15" hidden="false" customHeight="false" outlineLevel="0" collapsed="false">
      <c r="O688" s="30" t="n">
        <f aca="false">N688*J688</f>
        <v>0</v>
      </c>
    </row>
    <row r="689" customFormat="false" ht="15" hidden="false" customHeight="false" outlineLevel="0" collapsed="false">
      <c r="O689" s="30" t="n">
        <f aca="false">N689*J689</f>
        <v>0</v>
      </c>
    </row>
    <row r="690" customFormat="false" ht="15" hidden="false" customHeight="false" outlineLevel="0" collapsed="false">
      <c r="O690" s="30" t="n">
        <f aca="false">N690*J690</f>
        <v>0</v>
      </c>
    </row>
    <row r="691" customFormat="false" ht="15" hidden="false" customHeight="false" outlineLevel="0" collapsed="false">
      <c r="O691" s="30" t="n">
        <f aca="false">N691*J691</f>
        <v>0</v>
      </c>
    </row>
    <row r="692" customFormat="false" ht="15" hidden="false" customHeight="false" outlineLevel="0" collapsed="false">
      <c r="O692" s="30" t="n">
        <f aca="false">N692*J692</f>
        <v>0</v>
      </c>
    </row>
    <row r="693" customFormat="false" ht="15" hidden="false" customHeight="false" outlineLevel="0" collapsed="false">
      <c r="O693" s="30" t="n">
        <f aca="false">N693*J693</f>
        <v>0</v>
      </c>
    </row>
    <row r="694" customFormat="false" ht="15" hidden="false" customHeight="false" outlineLevel="0" collapsed="false">
      <c r="O694" s="30" t="n">
        <f aca="false">N694*J694</f>
        <v>0</v>
      </c>
    </row>
    <row r="695" customFormat="false" ht="15" hidden="false" customHeight="false" outlineLevel="0" collapsed="false">
      <c r="O695" s="30" t="n">
        <f aca="false">N695*J695</f>
        <v>0</v>
      </c>
    </row>
    <row r="696" customFormat="false" ht="15" hidden="false" customHeight="false" outlineLevel="0" collapsed="false">
      <c r="O696" s="30" t="n">
        <f aca="false">N696*J696</f>
        <v>0</v>
      </c>
    </row>
    <row r="697" customFormat="false" ht="15" hidden="false" customHeight="false" outlineLevel="0" collapsed="false">
      <c r="O697" s="30" t="n">
        <f aca="false">N697*J697</f>
        <v>0</v>
      </c>
    </row>
    <row r="698" customFormat="false" ht="15" hidden="false" customHeight="false" outlineLevel="0" collapsed="false">
      <c r="O698" s="30" t="n">
        <f aca="false">N698*J698</f>
        <v>0</v>
      </c>
    </row>
    <row r="699" customFormat="false" ht="15" hidden="false" customHeight="false" outlineLevel="0" collapsed="false">
      <c r="O699" s="30" t="n">
        <f aca="false">N699*J699</f>
        <v>0</v>
      </c>
    </row>
    <row r="700" customFormat="false" ht="15" hidden="false" customHeight="false" outlineLevel="0" collapsed="false">
      <c r="O700" s="30" t="n">
        <f aca="false">N700*J700</f>
        <v>0</v>
      </c>
    </row>
    <row r="701" customFormat="false" ht="15" hidden="false" customHeight="false" outlineLevel="0" collapsed="false">
      <c r="O701" s="30" t="n">
        <f aca="false">N701*J701</f>
        <v>0</v>
      </c>
    </row>
    <row r="702" customFormat="false" ht="15" hidden="false" customHeight="false" outlineLevel="0" collapsed="false">
      <c r="O702" s="30" t="n">
        <f aca="false">N702*J702</f>
        <v>0</v>
      </c>
    </row>
    <row r="703" customFormat="false" ht="15" hidden="false" customHeight="false" outlineLevel="0" collapsed="false">
      <c r="O703" s="30" t="n">
        <f aca="false">N703*J703</f>
        <v>0</v>
      </c>
    </row>
    <row r="704" customFormat="false" ht="15" hidden="false" customHeight="false" outlineLevel="0" collapsed="false">
      <c r="O704" s="30" t="n">
        <f aca="false">N704*J704</f>
        <v>0</v>
      </c>
    </row>
    <row r="705" customFormat="false" ht="15" hidden="false" customHeight="false" outlineLevel="0" collapsed="false">
      <c r="O705" s="5" t="e">
        <f aca="false">N705*#REF!</f>
        <v>#REF!</v>
      </c>
    </row>
    <row r="706" customFormat="false" ht="15" hidden="false" customHeight="false" outlineLevel="0" collapsed="false">
      <c r="O706" s="5" t="e">
        <f aca="false">N706*#REF!</f>
        <v>#REF!</v>
      </c>
    </row>
    <row r="707" customFormat="false" ht="15" hidden="false" customHeight="false" outlineLevel="0" collapsed="false">
      <c r="O707" s="5" t="e">
        <f aca="false">N707*#REF!</f>
        <v>#REF!</v>
      </c>
    </row>
    <row r="708" customFormat="false" ht="15" hidden="false" customHeight="false" outlineLevel="0" collapsed="false">
      <c r="O708" s="5" t="e">
        <f aca="false">N708*#REF!</f>
        <v>#REF!</v>
      </c>
    </row>
    <row r="709" customFormat="false" ht="15" hidden="false" customHeight="false" outlineLevel="0" collapsed="false">
      <c r="O709" s="5" t="e">
        <f aca="false">N709*#REF!</f>
        <v>#REF!</v>
      </c>
    </row>
    <row r="710" customFormat="false" ht="15" hidden="false" customHeight="false" outlineLevel="0" collapsed="false">
      <c r="O710" s="5" t="e">
        <f aca="false">N710*#REF!</f>
        <v>#REF!</v>
      </c>
    </row>
  </sheetData>
  <mergeCells count="1">
    <mergeCell ref="N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CCFF66"/>
    <pageSetUpPr fitToPage="false"/>
  </sheetPr>
  <dimension ref="A1:IA65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2" topLeftCell="A3" activePane="bottomLeft" state="frozen"/>
      <selection pane="topLeft" activeCell="A1" activeCellId="0" sqref="A1"/>
      <selection pane="bottomLeft" activeCell="G18" activeCellId="0" sqref="G18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5.28"/>
    <col collapsed="false" customWidth="true" hidden="false" outlineLevel="0" max="2" min="2" style="1" width="13.43"/>
    <col collapsed="false" customWidth="true" hidden="false" outlineLevel="0" max="3" min="3" style="1" width="18.85"/>
    <col collapsed="false" customWidth="true" hidden="false" outlineLevel="0" max="4" min="4" style="1" width="9.85"/>
    <col collapsed="false" customWidth="true" hidden="false" outlineLevel="0" max="5" min="5" style="1" width="15.28"/>
    <col collapsed="false" customWidth="true" hidden="false" outlineLevel="0" max="6" min="6" style="1" width="14.43"/>
    <col collapsed="false" customWidth="true" hidden="false" outlineLevel="0" max="7" min="7" style="2" width="14"/>
    <col collapsed="false" customWidth="true" hidden="false" outlineLevel="0" max="8" min="8" style="1" width="13.43"/>
    <col collapsed="false" customWidth="true" hidden="false" outlineLevel="0" max="9" min="9" style="1" width="10.43"/>
    <col collapsed="false" customWidth="true" hidden="false" outlineLevel="0" max="10" min="10" style="1" width="13.85"/>
    <col collapsed="false" customWidth="true" hidden="false" outlineLevel="0" max="11" min="11" style="1" width="12.14"/>
    <col collapsed="false" customWidth="true" hidden="false" outlineLevel="0" max="12" min="12" style="1" width="13.28"/>
    <col collapsed="false" customWidth="true" hidden="false" outlineLevel="0" max="13" min="13" style="1" width="11"/>
    <col collapsed="false" customWidth="true" hidden="false" outlineLevel="0" max="14" min="14" style="44" width="10.43"/>
    <col collapsed="false" customWidth="true" hidden="false" outlineLevel="0" max="15" min="15" style="45" width="10.71"/>
    <col collapsed="false" customWidth="false" hidden="false" outlineLevel="0" max="16" min="16" style="1" width="8.85"/>
    <col collapsed="false" customWidth="true" hidden="true" outlineLevel="0" max="17" min="17" style="46" width="12.85"/>
    <col collapsed="false" customWidth="true" hidden="true" outlineLevel="0" max="18" min="18" style="0" width="9.14"/>
  </cols>
  <sheetData>
    <row r="1" customFormat="false" ht="7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0" t="s">
        <v>13</v>
      </c>
      <c r="O1" s="10"/>
      <c r="P1" s="11" t="s">
        <v>14</v>
      </c>
      <c r="Q1" s="47" t="s">
        <v>22</v>
      </c>
    </row>
    <row r="2" customFormat="false" ht="74.25" hidden="false" customHeight="true" outlineLevel="0" collapsed="false">
      <c r="A2" s="48" t="s">
        <v>15</v>
      </c>
      <c r="B2" s="48"/>
      <c r="C2" s="48"/>
      <c r="D2" s="48"/>
      <c r="E2" s="48"/>
      <c r="F2" s="48" t="n">
        <f aca="false">SUM(F3:F430)</f>
        <v>0</v>
      </c>
      <c r="G2" s="14" t="n">
        <f aca="false">SUM(G3:G430)</f>
        <v>0</v>
      </c>
      <c r="H2" s="48"/>
      <c r="I2" s="48"/>
      <c r="J2" s="48"/>
      <c r="K2" s="48"/>
      <c r="L2" s="14" t="n">
        <f aca="false">SUM(L3:L430)</f>
        <v>0</v>
      </c>
      <c r="M2" s="14"/>
      <c r="N2" s="49" t="s">
        <v>16</v>
      </c>
      <c r="O2" s="49" t="s">
        <v>17</v>
      </c>
      <c r="P2" s="50"/>
      <c r="Q2" s="51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</row>
    <row r="3" s="6" customFormat="true" ht="15" hidden="false" customHeight="false" outlineLevel="0" collapsed="false">
      <c r="A3" s="17"/>
      <c r="B3" s="18" t="s">
        <v>23</v>
      </c>
      <c r="C3" s="29"/>
      <c r="D3" s="29"/>
      <c r="E3" s="38"/>
      <c r="F3" s="29"/>
      <c r="G3" s="34"/>
      <c r="H3" s="52"/>
      <c r="I3" s="53"/>
      <c r="J3" s="29"/>
      <c r="K3" s="29"/>
      <c r="L3" s="36"/>
      <c r="M3" s="29" t="n">
        <v>-15</v>
      </c>
      <c r="N3" s="54"/>
      <c r="O3" s="55" t="n">
        <f aca="false">N3*J3</f>
        <v>0</v>
      </c>
      <c r="P3" s="1"/>
      <c r="Q3" s="46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</row>
    <row r="4" s="6" customFormat="true" ht="15" hidden="false" customHeight="false" outlineLevel="0" collapsed="false">
      <c r="A4" s="17"/>
      <c r="B4" s="18" t="s">
        <v>23</v>
      </c>
      <c r="C4" s="29"/>
      <c r="D4" s="29"/>
      <c r="E4" s="38"/>
      <c r="F4" s="29"/>
      <c r="G4" s="34"/>
      <c r="H4" s="52"/>
      <c r="I4" s="53"/>
      <c r="J4" s="29"/>
      <c r="K4" s="29"/>
      <c r="L4" s="36"/>
      <c r="M4" s="29" t="n">
        <v>-15</v>
      </c>
      <c r="N4" s="54"/>
      <c r="O4" s="55" t="n">
        <f aca="false">N4*J4</f>
        <v>0</v>
      </c>
      <c r="P4" s="1"/>
      <c r="Q4" s="4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</row>
    <row r="5" customFormat="false" ht="15" hidden="false" customHeight="false" outlineLevel="0" collapsed="false">
      <c r="A5" s="17"/>
      <c r="B5" s="18" t="s">
        <v>23</v>
      </c>
      <c r="C5" s="29"/>
      <c r="D5" s="29"/>
      <c r="E5" s="38"/>
      <c r="F5" s="29"/>
      <c r="G5" s="34"/>
      <c r="H5" s="52"/>
      <c r="I5" s="53"/>
      <c r="J5" s="29"/>
      <c r="K5" s="29"/>
      <c r="L5" s="36"/>
      <c r="M5" s="29" t="n">
        <v>-15</v>
      </c>
      <c r="N5" s="54"/>
      <c r="O5" s="55" t="n">
        <f aca="false">N5*J5</f>
        <v>0</v>
      </c>
      <c r="R5" s="6"/>
    </row>
    <row r="6" customFormat="false" ht="15" hidden="false" customHeight="false" outlineLevel="0" collapsed="false">
      <c r="A6" s="17"/>
      <c r="B6" s="18" t="s">
        <v>23</v>
      </c>
      <c r="C6" s="29"/>
      <c r="D6" s="29"/>
      <c r="E6" s="38"/>
      <c r="F6" s="29"/>
      <c r="G6" s="34"/>
      <c r="H6" s="52"/>
      <c r="I6" s="53"/>
      <c r="J6" s="29"/>
      <c r="K6" s="53"/>
      <c r="L6" s="36"/>
      <c r="M6" s="29" t="n">
        <v>-15</v>
      </c>
      <c r="N6" s="54"/>
      <c r="O6" s="55" t="n">
        <f aca="false">N6*J6</f>
        <v>0</v>
      </c>
      <c r="R6" s="6"/>
    </row>
    <row r="7" customFormat="false" ht="15" hidden="false" customHeight="false" outlineLevel="0" collapsed="false">
      <c r="A7" s="17"/>
      <c r="B7" s="18" t="s">
        <v>23</v>
      </c>
      <c r="C7" s="29"/>
      <c r="D7" s="29"/>
      <c r="E7" s="38"/>
      <c r="F7" s="29"/>
      <c r="G7" s="34"/>
      <c r="H7" s="52"/>
      <c r="I7" s="53"/>
      <c r="J7" s="52"/>
      <c r="K7" s="29"/>
      <c r="L7" s="36"/>
      <c r="M7" s="29" t="n">
        <v>-15</v>
      </c>
      <c r="N7" s="54"/>
      <c r="O7" s="55" t="n">
        <f aca="false">N7*J7</f>
        <v>0</v>
      </c>
      <c r="R7" s="6"/>
    </row>
    <row r="8" customFormat="false" ht="15" hidden="false" customHeight="false" outlineLevel="0" collapsed="false">
      <c r="A8" s="17"/>
      <c r="B8" s="18" t="s">
        <v>23</v>
      </c>
      <c r="C8" s="29"/>
      <c r="D8" s="29"/>
      <c r="E8" s="38"/>
      <c r="F8" s="29"/>
      <c r="G8" s="34"/>
      <c r="H8" s="52"/>
      <c r="I8" s="53"/>
      <c r="J8" s="29"/>
      <c r="K8" s="29"/>
      <c r="L8" s="36"/>
      <c r="M8" s="29" t="n">
        <v>-15</v>
      </c>
      <c r="N8" s="54"/>
      <c r="O8" s="55" t="n">
        <f aca="false">N8*J8</f>
        <v>0</v>
      </c>
      <c r="R8" s="6"/>
    </row>
    <row r="9" customFormat="false" ht="15" hidden="false" customHeight="false" outlineLevel="0" collapsed="false">
      <c r="A9" s="33"/>
      <c r="B9" s="18" t="s">
        <v>23</v>
      </c>
      <c r="C9" s="29"/>
      <c r="D9" s="29"/>
      <c r="E9" s="38"/>
      <c r="F9" s="29"/>
      <c r="G9" s="34"/>
      <c r="H9" s="52"/>
      <c r="I9" s="53"/>
      <c r="J9" s="29"/>
      <c r="K9" s="29"/>
      <c r="L9" s="36"/>
      <c r="M9" s="29" t="n">
        <v>-15</v>
      </c>
      <c r="N9" s="54"/>
      <c r="O9" s="55" t="n">
        <f aca="false">N9*J9</f>
        <v>0</v>
      </c>
      <c r="R9" s="6"/>
    </row>
    <row r="10" customFormat="false" ht="15" hidden="false" customHeight="false" outlineLevel="0" collapsed="false">
      <c r="A10" s="33"/>
      <c r="B10" s="18" t="s">
        <v>23</v>
      </c>
      <c r="C10" s="29"/>
      <c r="D10" s="29"/>
      <c r="E10" s="38"/>
      <c r="F10" s="29"/>
      <c r="G10" s="34"/>
      <c r="H10" s="29"/>
      <c r="I10" s="29"/>
      <c r="J10" s="29"/>
      <c r="K10" s="29"/>
      <c r="L10" s="36"/>
      <c r="M10" s="29" t="n">
        <v>-15</v>
      </c>
      <c r="N10" s="54"/>
      <c r="O10" s="55" t="n">
        <f aca="false">N10*J10</f>
        <v>0</v>
      </c>
      <c r="R10" s="6"/>
    </row>
    <row r="11" customFormat="false" ht="15" hidden="false" customHeight="false" outlineLevel="0" collapsed="false">
      <c r="A11" s="33"/>
      <c r="B11" s="18" t="s">
        <v>23</v>
      </c>
      <c r="C11" s="29"/>
      <c r="D11" s="29"/>
      <c r="E11" s="38"/>
      <c r="F11" s="29"/>
      <c r="G11" s="34"/>
      <c r="H11" s="29"/>
      <c r="I11" s="29"/>
      <c r="J11" s="29"/>
      <c r="K11" s="29"/>
      <c r="L11" s="36"/>
      <c r="M11" s="29" t="n">
        <v>-15</v>
      </c>
      <c r="N11" s="54"/>
      <c r="O11" s="55" t="n">
        <f aca="false">N11*J11</f>
        <v>0</v>
      </c>
      <c r="R11" s="6"/>
    </row>
    <row r="12" customFormat="false" ht="15" hidden="false" customHeight="false" outlineLevel="0" collapsed="false">
      <c r="A12" s="33"/>
      <c r="B12" s="18" t="s">
        <v>23</v>
      </c>
      <c r="C12" s="29"/>
      <c r="D12" s="29"/>
      <c r="E12" s="38"/>
      <c r="F12" s="29"/>
      <c r="G12" s="34"/>
      <c r="H12" s="29"/>
      <c r="I12" s="29"/>
      <c r="J12" s="29"/>
      <c r="K12" s="29"/>
      <c r="L12" s="36"/>
      <c r="M12" s="29" t="n">
        <v>-15</v>
      </c>
      <c r="N12" s="54"/>
      <c r="O12" s="55" t="n">
        <f aca="false">N12*J12</f>
        <v>0</v>
      </c>
      <c r="R12" s="6"/>
    </row>
    <row r="13" customFormat="false" ht="15" hidden="false" customHeight="false" outlineLevel="0" collapsed="false">
      <c r="A13" s="33"/>
      <c r="B13" s="18" t="s">
        <v>23</v>
      </c>
      <c r="C13" s="29"/>
      <c r="D13" s="29"/>
      <c r="E13" s="38"/>
      <c r="F13" s="29"/>
      <c r="G13" s="34"/>
      <c r="H13" s="29"/>
      <c r="I13" s="29"/>
      <c r="J13" s="29"/>
      <c r="K13" s="29"/>
      <c r="L13" s="36"/>
      <c r="M13" s="29" t="n">
        <v>-15</v>
      </c>
      <c r="N13" s="54"/>
      <c r="O13" s="55" t="n">
        <f aca="false">N13*J13</f>
        <v>0</v>
      </c>
      <c r="R13" s="6"/>
    </row>
    <row r="14" customFormat="false" ht="15" hidden="false" customHeight="false" outlineLevel="0" collapsed="false">
      <c r="A14" s="33"/>
      <c r="B14" s="18" t="s">
        <v>23</v>
      </c>
      <c r="C14" s="29"/>
      <c r="D14" s="29"/>
      <c r="E14" s="38"/>
      <c r="F14" s="29"/>
      <c r="G14" s="34"/>
      <c r="H14" s="29"/>
      <c r="I14" s="29"/>
      <c r="J14" s="29"/>
      <c r="K14" s="29"/>
      <c r="L14" s="36"/>
      <c r="M14" s="29" t="n">
        <v>-15</v>
      </c>
      <c r="N14" s="54"/>
      <c r="O14" s="55" t="n">
        <f aca="false">N14*J14</f>
        <v>0</v>
      </c>
      <c r="R14" s="6"/>
    </row>
    <row r="15" customFormat="false" ht="15" hidden="false" customHeight="false" outlineLevel="0" collapsed="false">
      <c r="A15" s="33"/>
      <c r="B15" s="18" t="s">
        <v>23</v>
      </c>
      <c r="C15" s="29"/>
      <c r="D15" s="29"/>
      <c r="E15" s="38"/>
      <c r="F15" s="29"/>
      <c r="G15" s="34"/>
      <c r="H15" s="29"/>
      <c r="I15" s="29"/>
      <c r="J15" s="29"/>
      <c r="K15" s="29"/>
      <c r="L15" s="36"/>
      <c r="M15" s="29" t="n">
        <v>-15</v>
      </c>
      <c r="N15" s="54"/>
      <c r="O15" s="55" t="n">
        <f aca="false">N15*J15</f>
        <v>0</v>
      </c>
      <c r="R15" s="6"/>
    </row>
    <row r="16" customFormat="false" ht="15" hidden="false" customHeight="false" outlineLevel="0" collapsed="false">
      <c r="A16" s="33"/>
      <c r="B16" s="18" t="s">
        <v>23</v>
      </c>
      <c r="C16" s="29"/>
      <c r="D16" s="29"/>
      <c r="E16" s="38"/>
      <c r="F16" s="29"/>
      <c r="G16" s="34"/>
      <c r="H16" s="29"/>
      <c r="I16" s="29"/>
      <c r="J16" s="29"/>
      <c r="K16" s="29"/>
      <c r="L16" s="36"/>
      <c r="M16" s="29" t="n">
        <v>-15</v>
      </c>
      <c r="N16" s="54"/>
      <c r="O16" s="55" t="n">
        <f aca="false">N16*J16</f>
        <v>0</v>
      </c>
      <c r="R16" s="6"/>
    </row>
    <row r="17" customFormat="false" ht="15" hidden="false" customHeight="false" outlineLevel="0" collapsed="false">
      <c r="A17" s="33"/>
      <c r="B17" s="18" t="s">
        <v>23</v>
      </c>
      <c r="C17" s="29"/>
      <c r="D17" s="29"/>
      <c r="E17" s="38"/>
      <c r="F17" s="29"/>
      <c r="G17" s="34"/>
      <c r="H17" s="29"/>
      <c r="I17" s="29"/>
      <c r="J17" s="29"/>
      <c r="K17" s="29"/>
      <c r="L17" s="36"/>
      <c r="M17" s="29" t="n">
        <v>-15</v>
      </c>
      <c r="N17" s="54"/>
      <c r="O17" s="55" t="n">
        <f aca="false">N17*J17</f>
        <v>0</v>
      </c>
      <c r="R17" s="6"/>
    </row>
    <row r="18" customFormat="false" ht="15" hidden="false" customHeight="false" outlineLevel="0" collapsed="false">
      <c r="A18" s="33"/>
      <c r="B18" s="18" t="s">
        <v>23</v>
      </c>
      <c r="C18" s="29"/>
      <c r="D18" s="29"/>
      <c r="E18" s="38"/>
      <c r="F18" s="29"/>
      <c r="G18" s="34"/>
      <c r="H18" s="29"/>
      <c r="I18" s="29"/>
      <c r="J18" s="29"/>
      <c r="K18" s="29"/>
      <c r="L18" s="36"/>
      <c r="M18" s="29" t="n">
        <v>-15</v>
      </c>
      <c r="N18" s="54"/>
      <c r="O18" s="55" t="n">
        <f aca="false">N18*J18</f>
        <v>0</v>
      </c>
      <c r="R18" s="6"/>
    </row>
    <row r="19" customFormat="false" ht="15" hidden="false" customHeight="false" outlineLevel="0" collapsed="false">
      <c r="A19" s="33"/>
      <c r="B19" s="18" t="s">
        <v>23</v>
      </c>
      <c r="C19" s="29"/>
      <c r="D19" s="29"/>
      <c r="E19" s="38"/>
      <c r="F19" s="29"/>
      <c r="G19" s="34"/>
      <c r="H19" s="29"/>
      <c r="I19" s="29"/>
      <c r="J19" s="29"/>
      <c r="K19" s="29"/>
      <c r="L19" s="36"/>
      <c r="M19" s="29" t="n">
        <v>-15</v>
      </c>
      <c r="N19" s="54"/>
      <c r="O19" s="55" t="n">
        <f aca="false">N19*J19</f>
        <v>0</v>
      </c>
      <c r="R19" s="6"/>
    </row>
    <row r="20" customFormat="false" ht="15" hidden="false" customHeight="false" outlineLevel="0" collapsed="false">
      <c r="A20" s="33"/>
      <c r="B20" s="18" t="s">
        <v>23</v>
      </c>
      <c r="C20" s="29"/>
      <c r="D20" s="29"/>
      <c r="E20" s="38"/>
      <c r="F20" s="29"/>
      <c r="G20" s="34"/>
      <c r="H20" s="29"/>
      <c r="I20" s="29"/>
      <c r="J20" s="29"/>
      <c r="K20" s="29"/>
      <c r="L20" s="36"/>
      <c r="M20" s="29" t="n">
        <v>-15</v>
      </c>
      <c r="N20" s="54"/>
      <c r="O20" s="55" t="n">
        <f aca="false">N20*J20</f>
        <v>0</v>
      </c>
      <c r="R20" s="6"/>
    </row>
    <row r="21" customFormat="false" ht="15" hidden="false" customHeight="false" outlineLevel="0" collapsed="false">
      <c r="A21" s="33"/>
      <c r="B21" s="18" t="s">
        <v>23</v>
      </c>
      <c r="C21" s="29"/>
      <c r="D21" s="29"/>
      <c r="E21" s="38"/>
      <c r="F21" s="29"/>
      <c r="G21" s="34"/>
      <c r="H21" s="29"/>
      <c r="I21" s="29"/>
      <c r="J21" s="29"/>
      <c r="K21" s="29"/>
      <c r="L21" s="36"/>
      <c r="M21" s="29" t="n">
        <v>-15</v>
      </c>
      <c r="N21" s="54"/>
      <c r="O21" s="55" t="n">
        <f aca="false">N21*J21</f>
        <v>0</v>
      </c>
      <c r="R21" s="6"/>
    </row>
    <row r="22" customFormat="false" ht="15" hidden="false" customHeight="false" outlineLevel="0" collapsed="false">
      <c r="A22" s="33"/>
      <c r="B22" s="18" t="s">
        <v>23</v>
      </c>
      <c r="C22" s="29"/>
      <c r="D22" s="29"/>
      <c r="E22" s="38"/>
      <c r="F22" s="29"/>
      <c r="G22" s="34"/>
      <c r="H22" s="29"/>
      <c r="I22" s="29"/>
      <c r="J22" s="29"/>
      <c r="K22" s="29"/>
      <c r="L22" s="36"/>
      <c r="M22" s="29" t="n">
        <v>-15</v>
      </c>
      <c r="N22" s="54"/>
      <c r="O22" s="55" t="n">
        <f aca="false">N22*J22</f>
        <v>0</v>
      </c>
      <c r="R22" s="6"/>
    </row>
    <row r="23" customFormat="false" ht="15" hidden="false" customHeight="false" outlineLevel="0" collapsed="false">
      <c r="A23" s="33"/>
      <c r="B23" s="18" t="s">
        <v>23</v>
      </c>
      <c r="C23" s="29"/>
      <c r="D23" s="29"/>
      <c r="E23" s="38"/>
      <c r="F23" s="29"/>
      <c r="G23" s="34"/>
      <c r="H23" s="29"/>
      <c r="I23" s="29"/>
      <c r="J23" s="29"/>
      <c r="K23" s="29"/>
      <c r="L23" s="36"/>
      <c r="M23" s="29" t="n">
        <v>-15</v>
      </c>
      <c r="N23" s="54"/>
      <c r="O23" s="55" t="n">
        <f aca="false">N23*J23</f>
        <v>0</v>
      </c>
      <c r="R23" s="6"/>
    </row>
    <row r="24" customFormat="false" ht="15" hidden="false" customHeight="false" outlineLevel="0" collapsed="false">
      <c r="A24" s="33"/>
      <c r="B24" s="18" t="s">
        <v>23</v>
      </c>
      <c r="C24" s="29"/>
      <c r="D24" s="29"/>
      <c r="E24" s="38"/>
      <c r="F24" s="29"/>
      <c r="G24" s="34"/>
      <c r="H24" s="29"/>
      <c r="I24" s="29"/>
      <c r="J24" s="29"/>
      <c r="K24" s="29"/>
      <c r="L24" s="36"/>
      <c r="M24" s="29" t="n">
        <v>-15</v>
      </c>
      <c r="N24" s="54"/>
      <c r="O24" s="55" t="n">
        <f aca="false">N24*J24</f>
        <v>0</v>
      </c>
      <c r="R24" s="6"/>
    </row>
    <row r="25" customFormat="false" ht="15" hidden="false" customHeight="false" outlineLevel="0" collapsed="false">
      <c r="A25" s="33"/>
      <c r="B25" s="18" t="s">
        <v>23</v>
      </c>
      <c r="C25" s="29"/>
      <c r="D25" s="29"/>
      <c r="E25" s="38"/>
      <c r="F25" s="29"/>
      <c r="G25" s="34"/>
      <c r="H25" s="29"/>
      <c r="I25" s="29"/>
      <c r="J25" s="29"/>
      <c r="K25" s="29"/>
      <c r="L25" s="36"/>
      <c r="M25" s="29" t="n">
        <v>-15</v>
      </c>
      <c r="N25" s="54"/>
      <c r="O25" s="55" t="n">
        <f aca="false">N25*J25</f>
        <v>0</v>
      </c>
      <c r="R25" s="6"/>
    </row>
    <row r="26" customFormat="false" ht="15" hidden="false" customHeight="false" outlineLevel="0" collapsed="false">
      <c r="A26" s="33"/>
      <c r="B26" s="18" t="s">
        <v>23</v>
      </c>
      <c r="C26" s="29"/>
      <c r="D26" s="29"/>
      <c r="E26" s="38"/>
      <c r="F26" s="29"/>
      <c r="G26" s="34"/>
      <c r="H26" s="29"/>
      <c r="I26" s="29"/>
      <c r="J26" s="29"/>
      <c r="K26" s="53"/>
      <c r="L26" s="36"/>
      <c r="M26" s="29"/>
      <c r="N26" s="54"/>
      <c r="O26" s="55" t="n">
        <f aca="false">N26*J26</f>
        <v>0</v>
      </c>
      <c r="R26" s="6"/>
    </row>
    <row r="27" customFormat="false" ht="15" hidden="false" customHeight="false" outlineLevel="0" collapsed="false">
      <c r="A27" s="33"/>
      <c r="B27" s="18" t="s">
        <v>23</v>
      </c>
      <c r="C27" s="29"/>
      <c r="D27" s="29"/>
      <c r="E27" s="38"/>
      <c r="F27" s="29"/>
      <c r="G27" s="34"/>
      <c r="H27" s="29"/>
      <c r="I27" s="29"/>
      <c r="J27" s="29"/>
      <c r="K27" s="29"/>
      <c r="L27" s="36"/>
      <c r="M27" s="29"/>
      <c r="N27" s="54"/>
      <c r="O27" s="55" t="n">
        <f aca="false">N27*J27</f>
        <v>0</v>
      </c>
      <c r="R27" s="6"/>
    </row>
    <row r="28" customFormat="false" ht="15" hidden="false" customHeight="false" outlineLevel="0" collapsed="false">
      <c r="A28" s="33"/>
      <c r="B28" s="18" t="s">
        <v>23</v>
      </c>
      <c r="C28" s="29"/>
      <c r="D28" s="29"/>
      <c r="E28" s="38"/>
      <c r="F28" s="29"/>
      <c r="G28" s="34"/>
      <c r="H28" s="29"/>
      <c r="I28" s="29"/>
      <c r="J28" s="29"/>
      <c r="K28" s="29"/>
      <c r="L28" s="36"/>
      <c r="M28" s="29"/>
      <c r="N28" s="54"/>
      <c r="O28" s="55" t="n">
        <f aca="false">N28*J28</f>
        <v>0</v>
      </c>
      <c r="R28" s="6"/>
    </row>
    <row r="29" customFormat="false" ht="15" hidden="false" customHeight="false" outlineLevel="0" collapsed="false">
      <c r="A29" s="33"/>
      <c r="B29" s="18" t="s">
        <v>23</v>
      </c>
      <c r="C29" s="29"/>
      <c r="D29" s="29"/>
      <c r="E29" s="38"/>
      <c r="F29" s="29"/>
      <c r="G29" s="34"/>
      <c r="H29" s="29"/>
      <c r="I29" s="29"/>
      <c r="J29" s="29"/>
      <c r="K29" s="29"/>
      <c r="L29" s="36"/>
      <c r="M29" s="29"/>
      <c r="N29" s="54"/>
      <c r="O29" s="55" t="n">
        <f aca="false">N29*J29</f>
        <v>0</v>
      </c>
      <c r="R29" s="6"/>
    </row>
    <row r="30" customFormat="false" ht="15" hidden="false" customHeight="false" outlineLevel="0" collapsed="false">
      <c r="A30" s="33"/>
      <c r="B30" s="18" t="s">
        <v>23</v>
      </c>
      <c r="C30" s="29"/>
      <c r="D30" s="29"/>
      <c r="E30" s="38"/>
      <c r="F30" s="29"/>
      <c r="G30" s="34"/>
      <c r="H30" s="29"/>
      <c r="I30" s="29"/>
      <c r="J30" s="29"/>
      <c r="K30" s="29"/>
      <c r="L30" s="36"/>
      <c r="M30" s="29"/>
      <c r="N30" s="54"/>
      <c r="O30" s="55" t="n">
        <f aca="false">N30*J30</f>
        <v>0</v>
      </c>
      <c r="R30" s="6"/>
    </row>
    <row r="31" customFormat="false" ht="15" hidden="false" customHeight="false" outlineLevel="0" collapsed="false">
      <c r="A31" s="33"/>
      <c r="B31" s="18" t="s">
        <v>23</v>
      </c>
      <c r="C31" s="29"/>
      <c r="D31" s="29"/>
      <c r="E31" s="38"/>
      <c r="F31" s="29"/>
      <c r="G31" s="34"/>
      <c r="H31" s="29"/>
      <c r="I31" s="29"/>
      <c r="J31" s="29"/>
      <c r="K31" s="29"/>
      <c r="L31" s="56"/>
      <c r="M31" s="29"/>
      <c r="N31" s="54"/>
      <c r="O31" s="55" t="n">
        <f aca="false">N31*J31</f>
        <v>0</v>
      </c>
      <c r="R31" s="6"/>
    </row>
    <row r="32" customFormat="false" ht="15" hidden="false" customHeight="false" outlineLevel="0" collapsed="false">
      <c r="A32" s="33"/>
      <c r="B32" s="18" t="s">
        <v>23</v>
      </c>
      <c r="C32" s="29"/>
      <c r="D32" s="29"/>
      <c r="E32" s="38"/>
      <c r="F32" s="29"/>
      <c r="G32" s="34"/>
      <c r="H32" s="29"/>
      <c r="I32" s="29"/>
      <c r="J32" s="29"/>
      <c r="K32" s="29"/>
      <c r="L32" s="36"/>
      <c r="M32" s="29"/>
      <c r="N32" s="54"/>
      <c r="O32" s="55" t="n">
        <f aca="false">N32*J32</f>
        <v>0</v>
      </c>
      <c r="R32" s="6"/>
    </row>
    <row r="33" customFormat="false" ht="15" hidden="false" customHeight="false" outlineLevel="0" collapsed="false">
      <c r="A33" s="33"/>
      <c r="B33" s="18" t="s">
        <v>23</v>
      </c>
      <c r="C33" s="29"/>
      <c r="D33" s="29"/>
      <c r="E33" s="38"/>
      <c r="F33" s="29"/>
      <c r="G33" s="34"/>
      <c r="H33" s="29"/>
      <c r="I33" s="29"/>
      <c r="J33" s="29"/>
      <c r="K33" s="29"/>
      <c r="L33" s="36"/>
      <c r="M33" s="29"/>
      <c r="N33" s="54"/>
      <c r="O33" s="55" t="n">
        <f aca="false">N33*J33</f>
        <v>0</v>
      </c>
      <c r="R33" s="6"/>
    </row>
    <row r="34" customFormat="false" ht="15" hidden="false" customHeight="false" outlineLevel="0" collapsed="false">
      <c r="A34" s="33"/>
      <c r="B34" s="18" t="s">
        <v>23</v>
      </c>
      <c r="C34" s="29"/>
      <c r="D34" s="29"/>
      <c r="E34" s="38"/>
      <c r="F34" s="29"/>
      <c r="G34" s="34"/>
      <c r="H34" s="29"/>
      <c r="I34" s="29"/>
      <c r="J34" s="29"/>
      <c r="K34" s="29"/>
      <c r="L34" s="36"/>
      <c r="M34" s="29"/>
      <c r="N34" s="54"/>
      <c r="O34" s="55" t="n">
        <f aca="false">N34*J34</f>
        <v>0</v>
      </c>
      <c r="R34" s="6"/>
    </row>
    <row r="35" customFormat="false" ht="15" hidden="false" customHeight="false" outlineLevel="0" collapsed="false">
      <c r="A35" s="33"/>
      <c r="B35" s="18" t="s">
        <v>23</v>
      </c>
      <c r="C35" s="29"/>
      <c r="D35" s="29"/>
      <c r="E35" s="38"/>
      <c r="F35" s="29"/>
      <c r="G35" s="34"/>
      <c r="H35" s="29"/>
      <c r="I35" s="29"/>
      <c r="J35" s="29"/>
      <c r="K35" s="29"/>
      <c r="L35" s="36"/>
      <c r="M35" s="29"/>
      <c r="N35" s="54"/>
      <c r="O35" s="55" t="n">
        <f aca="false">N35*J35</f>
        <v>0</v>
      </c>
      <c r="R35" s="6"/>
    </row>
    <row r="36" customFormat="false" ht="15" hidden="false" customHeight="false" outlineLevel="0" collapsed="false">
      <c r="A36" s="33"/>
      <c r="B36" s="18" t="s">
        <v>23</v>
      </c>
      <c r="C36" s="29"/>
      <c r="D36" s="29"/>
      <c r="E36" s="38"/>
      <c r="F36" s="29"/>
      <c r="G36" s="34"/>
      <c r="H36" s="29"/>
      <c r="I36" s="29"/>
      <c r="J36" s="29"/>
      <c r="K36" s="29"/>
      <c r="L36" s="36"/>
      <c r="M36" s="29"/>
      <c r="N36" s="54"/>
      <c r="O36" s="55" t="n">
        <f aca="false">N36*J36</f>
        <v>0</v>
      </c>
      <c r="R36" s="6"/>
    </row>
    <row r="37" customFormat="false" ht="15" hidden="false" customHeight="false" outlineLevel="0" collapsed="false">
      <c r="A37" s="33"/>
      <c r="B37" s="18" t="s">
        <v>23</v>
      </c>
      <c r="C37" s="29"/>
      <c r="D37" s="29"/>
      <c r="E37" s="38"/>
      <c r="F37" s="29"/>
      <c r="G37" s="34"/>
      <c r="H37" s="29"/>
      <c r="I37" s="29"/>
      <c r="J37" s="29"/>
      <c r="K37" s="29"/>
      <c r="L37" s="36"/>
      <c r="M37" s="29"/>
      <c r="N37" s="54"/>
      <c r="O37" s="55" t="n">
        <f aca="false">N37*J37</f>
        <v>0</v>
      </c>
      <c r="R37" s="6"/>
    </row>
    <row r="38" customFormat="false" ht="15" hidden="false" customHeight="false" outlineLevel="0" collapsed="false">
      <c r="A38" s="33"/>
      <c r="B38" s="18" t="s">
        <v>23</v>
      </c>
      <c r="C38" s="29"/>
      <c r="D38" s="29"/>
      <c r="E38" s="38"/>
      <c r="F38" s="29"/>
      <c r="G38" s="34"/>
      <c r="H38" s="29"/>
      <c r="I38" s="29"/>
      <c r="J38" s="29"/>
      <c r="K38" s="29"/>
      <c r="L38" s="36"/>
      <c r="M38" s="29"/>
      <c r="N38" s="54"/>
      <c r="O38" s="55" t="n">
        <f aca="false">N38*J38</f>
        <v>0</v>
      </c>
      <c r="R38" s="6"/>
    </row>
    <row r="39" customFormat="false" ht="15" hidden="false" customHeight="false" outlineLevel="0" collapsed="false">
      <c r="A39" s="33"/>
      <c r="B39" s="18" t="s">
        <v>23</v>
      </c>
      <c r="C39" s="29"/>
      <c r="D39" s="29"/>
      <c r="E39" s="38"/>
      <c r="F39" s="29"/>
      <c r="G39" s="34"/>
      <c r="H39" s="29"/>
      <c r="I39" s="29"/>
      <c r="J39" s="29"/>
      <c r="K39" s="29"/>
      <c r="L39" s="36"/>
      <c r="M39" s="29"/>
      <c r="N39" s="54"/>
      <c r="O39" s="55" t="n">
        <f aca="false">N39*J39</f>
        <v>0</v>
      </c>
      <c r="R39" s="6"/>
    </row>
    <row r="40" customFormat="false" ht="15" hidden="false" customHeight="false" outlineLevel="0" collapsed="false">
      <c r="A40" s="33"/>
      <c r="B40" s="18" t="s">
        <v>23</v>
      </c>
      <c r="C40" s="29"/>
      <c r="D40" s="29"/>
      <c r="E40" s="29"/>
      <c r="F40" s="29"/>
      <c r="G40" s="34"/>
      <c r="H40" s="29"/>
      <c r="I40" s="29"/>
      <c r="J40" s="29"/>
      <c r="K40" s="29"/>
      <c r="L40" s="36"/>
      <c r="M40" s="29"/>
      <c r="N40" s="54"/>
      <c r="O40" s="55" t="n">
        <f aca="false">N40*J40</f>
        <v>0</v>
      </c>
      <c r="R40" s="6"/>
    </row>
    <row r="41" customFormat="false" ht="15" hidden="false" customHeight="false" outlineLevel="0" collapsed="false">
      <c r="A41" s="33"/>
      <c r="B41" s="18" t="s">
        <v>23</v>
      </c>
      <c r="C41" s="29"/>
      <c r="D41" s="29"/>
      <c r="E41" s="29"/>
      <c r="F41" s="29"/>
      <c r="G41" s="34"/>
      <c r="H41" s="29"/>
      <c r="I41" s="29"/>
      <c r="J41" s="29"/>
      <c r="K41" s="29"/>
      <c r="L41" s="36"/>
      <c r="M41" s="29"/>
      <c r="N41" s="54"/>
      <c r="O41" s="55" t="n">
        <f aca="false">N41*J41</f>
        <v>0</v>
      </c>
      <c r="R41" s="6"/>
    </row>
    <row r="42" customFormat="false" ht="15" hidden="false" customHeight="false" outlineLevel="0" collapsed="false">
      <c r="A42" s="33"/>
      <c r="B42" s="18" t="s">
        <v>23</v>
      </c>
      <c r="C42" s="29"/>
      <c r="D42" s="29"/>
      <c r="E42" s="29"/>
      <c r="F42" s="29"/>
      <c r="G42" s="34"/>
      <c r="H42" s="29"/>
      <c r="I42" s="29"/>
      <c r="J42" s="29"/>
      <c r="K42" s="29"/>
      <c r="L42" s="36"/>
      <c r="M42" s="29"/>
      <c r="N42" s="54"/>
      <c r="O42" s="55" t="n">
        <f aca="false">N42*J42</f>
        <v>0</v>
      </c>
      <c r="R42" s="6"/>
    </row>
    <row r="43" customFormat="false" ht="15" hidden="false" customHeight="false" outlineLevel="0" collapsed="false">
      <c r="A43" s="33"/>
      <c r="B43" s="18" t="s">
        <v>23</v>
      </c>
      <c r="C43" s="29"/>
      <c r="D43" s="29"/>
      <c r="E43" s="29"/>
      <c r="F43" s="29"/>
      <c r="G43" s="34"/>
      <c r="H43" s="29"/>
      <c r="I43" s="29"/>
      <c r="J43" s="29"/>
      <c r="K43" s="29"/>
      <c r="L43" s="36"/>
      <c r="M43" s="29"/>
      <c r="N43" s="54"/>
      <c r="O43" s="55" t="n">
        <f aca="false">N43*J43</f>
        <v>0</v>
      </c>
      <c r="R43" s="6"/>
    </row>
    <row r="44" customFormat="false" ht="15" hidden="false" customHeight="false" outlineLevel="0" collapsed="false">
      <c r="A44" s="33"/>
      <c r="B44" s="18" t="s">
        <v>23</v>
      </c>
      <c r="C44" s="29"/>
      <c r="D44" s="29"/>
      <c r="E44" s="29"/>
      <c r="F44" s="29"/>
      <c r="G44" s="34"/>
      <c r="H44" s="29"/>
      <c r="I44" s="29"/>
      <c r="J44" s="29"/>
      <c r="K44" s="29"/>
      <c r="L44" s="36"/>
      <c r="M44" s="29"/>
      <c r="N44" s="54"/>
      <c r="O44" s="55" t="n">
        <f aca="false">N44*J44</f>
        <v>0</v>
      </c>
      <c r="R44" s="6"/>
    </row>
    <row r="45" customFormat="false" ht="15" hidden="false" customHeight="false" outlineLevel="0" collapsed="false">
      <c r="A45" s="33"/>
      <c r="B45" s="18" t="s">
        <v>23</v>
      </c>
      <c r="C45" s="29"/>
      <c r="D45" s="29"/>
      <c r="E45" s="29"/>
      <c r="F45" s="29"/>
      <c r="G45" s="34"/>
      <c r="H45" s="29"/>
      <c r="I45" s="29"/>
      <c r="J45" s="29"/>
      <c r="K45" s="29"/>
      <c r="L45" s="36"/>
      <c r="M45" s="29"/>
      <c r="N45" s="54"/>
      <c r="O45" s="55" t="n">
        <f aca="false">N45*J45</f>
        <v>0</v>
      </c>
      <c r="R45" s="6"/>
    </row>
    <row r="46" customFormat="false" ht="15" hidden="false" customHeight="false" outlineLevel="0" collapsed="false">
      <c r="A46" s="33"/>
      <c r="B46" s="18" t="s">
        <v>23</v>
      </c>
      <c r="C46" s="29"/>
      <c r="D46" s="29"/>
      <c r="E46" s="29"/>
      <c r="F46" s="29"/>
      <c r="G46" s="34"/>
      <c r="H46" s="29"/>
      <c r="I46" s="29"/>
      <c r="J46" s="29"/>
      <c r="K46" s="29"/>
      <c r="L46" s="36"/>
      <c r="M46" s="29"/>
      <c r="N46" s="54"/>
      <c r="O46" s="55" t="n">
        <f aca="false">N46*J46</f>
        <v>0</v>
      </c>
      <c r="R46" s="6"/>
    </row>
    <row r="47" customFormat="false" ht="15" hidden="false" customHeight="false" outlineLevel="0" collapsed="false">
      <c r="A47" s="33"/>
      <c r="B47" s="18" t="s">
        <v>23</v>
      </c>
      <c r="C47" s="29"/>
      <c r="D47" s="29"/>
      <c r="E47" s="29"/>
      <c r="F47" s="29"/>
      <c r="G47" s="34"/>
      <c r="H47" s="29"/>
      <c r="I47" s="29"/>
      <c r="J47" s="29"/>
      <c r="K47" s="29"/>
      <c r="L47" s="36"/>
      <c r="M47" s="29"/>
      <c r="N47" s="54"/>
      <c r="O47" s="55" t="n">
        <f aca="false">N47*J47</f>
        <v>0</v>
      </c>
      <c r="R47" s="6"/>
    </row>
    <row r="48" customFormat="false" ht="15" hidden="false" customHeight="false" outlineLevel="0" collapsed="false">
      <c r="A48" s="33"/>
      <c r="B48" s="18" t="s">
        <v>23</v>
      </c>
      <c r="C48" s="29"/>
      <c r="D48" s="29"/>
      <c r="E48" s="29"/>
      <c r="F48" s="29"/>
      <c r="G48" s="34"/>
      <c r="H48" s="29"/>
      <c r="I48" s="29"/>
      <c r="J48" s="29"/>
      <c r="K48" s="29"/>
      <c r="L48" s="36"/>
      <c r="M48" s="29"/>
      <c r="N48" s="54"/>
      <c r="O48" s="55" t="n">
        <f aca="false">N48*J48</f>
        <v>0</v>
      </c>
      <c r="R48" s="6"/>
    </row>
    <row r="49" customFormat="false" ht="15" hidden="false" customHeight="false" outlineLevel="0" collapsed="false">
      <c r="A49" s="33"/>
      <c r="B49" s="18" t="s">
        <v>23</v>
      </c>
      <c r="C49" s="29"/>
      <c r="D49" s="29"/>
      <c r="E49" s="29"/>
      <c r="F49" s="29"/>
      <c r="G49" s="34"/>
      <c r="H49" s="29"/>
      <c r="I49" s="29"/>
      <c r="J49" s="29"/>
      <c r="K49" s="29"/>
      <c r="L49" s="36"/>
      <c r="M49" s="29"/>
      <c r="N49" s="54"/>
      <c r="O49" s="55" t="n">
        <f aca="false">N49*J49</f>
        <v>0</v>
      </c>
      <c r="R49" s="6"/>
    </row>
    <row r="50" customFormat="false" ht="15" hidden="false" customHeight="false" outlineLevel="0" collapsed="false">
      <c r="A50" s="33"/>
      <c r="B50" s="18" t="s">
        <v>23</v>
      </c>
      <c r="C50" s="29"/>
      <c r="D50" s="29"/>
      <c r="E50" s="29"/>
      <c r="F50" s="29"/>
      <c r="G50" s="34"/>
      <c r="H50" s="29"/>
      <c r="I50" s="29"/>
      <c r="J50" s="29"/>
      <c r="K50" s="29"/>
      <c r="L50" s="36"/>
      <c r="M50" s="29"/>
      <c r="N50" s="54"/>
      <c r="O50" s="55" t="n">
        <f aca="false">N50*J50</f>
        <v>0</v>
      </c>
      <c r="R50" s="6"/>
    </row>
    <row r="51" customFormat="false" ht="15" hidden="false" customHeight="false" outlineLevel="0" collapsed="false">
      <c r="A51" s="33"/>
      <c r="B51" s="18" t="s">
        <v>23</v>
      </c>
      <c r="C51" s="29"/>
      <c r="D51" s="29"/>
      <c r="E51" s="29"/>
      <c r="F51" s="29"/>
      <c r="G51" s="34"/>
      <c r="H51" s="29"/>
      <c r="I51" s="29"/>
      <c r="J51" s="29"/>
      <c r="K51" s="29"/>
      <c r="L51" s="36"/>
      <c r="M51" s="29"/>
      <c r="N51" s="54"/>
      <c r="O51" s="55" t="n">
        <f aca="false">N51*J51</f>
        <v>0</v>
      </c>
      <c r="R51" s="6"/>
    </row>
    <row r="52" customFormat="false" ht="15" hidden="false" customHeight="false" outlineLevel="0" collapsed="false">
      <c r="A52" s="33"/>
      <c r="B52" s="18" t="s">
        <v>23</v>
      </c>
      <c r="C52" s="29"/>
      <c r="D52" s="29"/>
      <c r="E52" s="29"/>
      <c r="F52" s="29"/>
      <c r="G52" s="34"/>
      <c r="H52" s="29"/>
      <c r="I52" s="29"/>
      <c r="J52" s="29"/>
      <c r="K52" s="29"/>
      <c r="L52" s="36"/>
      <c r="M52" s="29"/>
      <c r="N52" s="54"/>
      <c r="O52" s="55" t="n">
        <f aca="false">N52*J52</f>
        <v>0</v>
      </c>
      <c r="R52" s="6"/>
    </row>
    <row r="53" customFormat="false" ht="15" hidden="false" customHeight="false" outlineLevel="0" collapsed="false">
      <c r="A53" s="33"/>
      <c r="B53" s="18" t="s">
        <v>23</v>
      </c>
      <c r="C53" s="29"/>
      <c r="D53" s="29"/>
      <c r="E53" s="29"/>
      <c r="F53" s="29"/>
      <c r="G53" s="34"/>
      <c r="H53" s="29"/>
      <c r="I53" s="29"/>
      <c r="J53" s="29"/>
      <c r="K53" s="29"/>
      <c r="L53" s="36"/>
      <c r="M53" s="29"/>
      <c r="N53" s="54"/>
      <c r="O53" s="55" t="n">
        <f aca="false">N53*J53</f>
        <v>0</v>
      </c>
      <c r="R53" s="6"/>
    </row>
    <row r="54" customFormat="false" ht="15" hidden="false" customHeight="false" outlineLevel="0" collapsed="false">
      <c r="A54" s="33"/>
      <c r="B54" s="18" t="s">
        <v>23</v>
      </c>
      <c r="C54" s="29"/>
      <c r="D54" s="29"/>
      <c r="E54" s="29"/>
      <c r="F54" s="29"/>
      <c r="G54" s="34"/>
      <c r="H54" s="29"/>
      <c r="I54" s="29"/>
      <c r="J54" s="29"/>
      <c r="K54" s="29"/>
      <c r="L54" s="36"/>
      <c r="M54" s="29"/>
      <c r="N54" s="54"/>
      <c r="O54" s="55" t="n">
        <f aca="false">N54*J54</f>
        <v>0</v>
      </c>
      <c r="R54" s="6"/>
    </row>
    <row r="55" customFormat="false" ht="15" hidden="false" customHeight="false" outlineLevel="0" collapsed="false">
      <c r="A55" s="33"/>
      <c r="B55" s="18" t="s">
        <v>23</v>
      </c>
      <c r="C55" s="29"/>
      <c r="D55" s="29"/>
      <c r="E55" s="29"/>
      <c r="F55" s="29"/>
      <c r="G55" s="34"/>
      <c r="H55" s="29"/>
      <c r="I55" s="29"/>
      <c r="J55" s="29"/>
      <c r="K55" s="29"/>
      <c r="L55" s="36"/>
      <c r="M55" s="29"/>
      <c r="N55" s="54"/>
      <c r="O55" s="55" t="n">
        <f aca="false">N55*J55</f>
        <v>0</v>
      </c>
      <c r="R55" s="6"/>
    </row>
    <row r="56" customFormat="false" ht="15" hidden="false" customHeight="false" outlineLevel="0" collapsed="false">
      <c r="A56" s="33"/>
      <c r="B56" s="18" t="s">
        <v>23</v>
      </c>
      <c r="C56" s="29"/>
      <c r="D56" s="29"/>
      <c r="E56" s="29"/>
      <c r="F56" s="29"/>
      <c r="G56" s="34"/>
      <c r="H56" s="29"/>
      <c r="I56" s="29"/>
      <c r="J56" s="29"/>
      <c r="K56" s="29"/>
      <c r="L56" s="36"/>
      <c r="M56" s="29"/>
      <c r="N56" s="54"/>
      <c r="O56" s="55" t="n">
        <f aca="false">N56*J56</f>
        <v>0</v>
      </c>
      <c r="R56" s="6"/>
    </row>
    <row r="57" customFormat="false" ht="15" hidden="false" customHeight="false" outlineLevel="0" collapsed="false">
      <c r="A57" s="33"/>
      <c r="B57" s="18" t="s">
        <v>23</v>
      </c>
      <c r="C57" s="29"/>
      <c r="D57" s="29"/>
      <c r="E57" s="29"/>
      <c r="F57" s="29"/>
      <c r="G57" s="34"/>
      <c r="H57" s="29"/>
      <c r="I57" s="29"/>
      <c r="J57" s="29"/>
      <c r="K57" s="29"/>
      <c r="L57" s="36"/>
      <c r="M57" s="29"/>
      <c r="N57" s="54"/>
      <c r="O57" s="55" t="n">
        <f aca="false">N57*J57</f>
        <v>0</v>
      </c>
      <c r="R57" s="6"/>
    </row>
    <row r="58" customFormat="false" ht="15" hidden="false" customHeight="false" outlineLevel="0" collapsed="false">
      <c r="A58" s="33"/>
      <c r="B58" s="18" t="s">
        <v>23</v>
      </c>
      <c r="C58" s="29"/>
      <c r="D58" s="29"/>
      <c r="E58" s="29"/>
      <c r="F58" s="29"/>
      <c r="G58" s="34"/>
      <c r="H58" s="29"/>
      <c r="I58" s="29"/>
      <c r="J58" s="29"/>
      <c r="K58" s="29"/>
      <c r="L58" s="36"/>
      <c r="M58" s="29"/>
      <c r="N58" s="54"/>
      <c r="O58" s="55" t="n">
        <f aca="false">N58*J58</f>
        <v>0</v>
      </c>
      <c r="R58" s="6"/>
    </row>
    <row r="59" customFormat="false" ht="15" hidden="false" customHeight="false" outlineLevel="0" collapsed="false">
      <c r="A59" s="33"/>
      <c r="B59" s="18" t="s">
        <v>23</v>
      </c>
      <c r="C59" s="29"/>
      <c r="D59" s="29"/>
      <c r="E59" s="29"/>
      <c r="F59" s="29"/>
      <c r="G59" s="34"/>
      <c r="H59" s="29"/>
      <c r="I59" s="29"/>
      <c r="J59" s="29"/>
      <c r="K59" s="29"/>
      <c r="L59" s="36"/>
      <c r="M59" s="29"/>
      <c r="N59" s="54"/>
      <c r="O59" s="55" t="n">
        <f aca="false">N59*J59</f>
        <v>0</v>
      </c>
      <c r="R59" s="6"/>
    </row>
    <row r="60" customFormat="false" ht="15" hidden="false" customHeight="false" outlineLevel="0" collapsed="false">
      <c r="A60" s="33"/>
      <c r="B60" s="18" t="s">
        <v>23</v>
      </c>
      <c r="C60" s="29"/>
      <c r="D60" s="29"/>
      <c r="E60" s="29"/>
      <c r="F60" s="29"/>
      <c r="G60" s="34"/>
      <c r="H60" s="29"/>
      <c r="I60" s="29"/>
      <c r="J60" s="29"/>
      <c r="K60" s="29"/>
      <c r="L60" s="36"/>
      <c r="M60" s="29"/>
      <c r="N60" s="54"/>
      <c r="O60" s="55" t="n">
        <f aca="false">N60*J60</f>
        <v>0</v>
      </c>
      <c r="R60" s="6"/>
    </row>
    <row r="61" customFormat="false" ht="15" hidden="false" customHeight="false" outlineLevel="0" collapsed="false">
      <c r="A61" s="33"/>
      <c r="B61" s="18" t="s">
        <v>23</v>
      </c>
      <c r="C61" s="29"/>
      <c r="D61" s="29"/>
      <c r="E61" s="29"/>
      <c r="F61" s="29"/>
      <c r="G61" s="34"/>
      <c r="H61" s="29"/>
      <c r="I61" s="29"/>
      <c r="J61" s="29"/>
      <c r="K61" s="29"/>
      <c r="L61" s="36"/>
      <c r="M61" s="29"/>
      <c r="N61" s="54"/>
      <c r="O61" s="55" t="n">
        <f aca="false">N61*J61</f>
        <v>0</v>
      </c>
      <c r="R61" s="6"/>
    </row>
    <row r="62" customFormat="false" ht="15" hidden="false" customHeight="false" outlineLevel="0" collapsed="false">
      <c r="A62" s="33"/>
      <c r="B62" s="18" t="s">
        <v>23</v>
      </c>
      <c r="C62" s="29"/>
      <c r="D62" s="29"/>
      <c r="E62" s="29"/>
      <c r="F62" s="29"/>
      <c r="G62" s="34"/>
      <c r="H62" s="29"/>
      <c r="I62" s="29"/>
      <c r="J62" s="29"/>
      <c r="K62" s="29"/>
      <c r="L62" s="36"/>
      <c r="M62" s="29"/>
      <c r="N62" s="54"/>
      <c r="O62" s="55" t="n">
        <f aca="false">N62*J62</f>
        <v>0</v>
      </c>
      <c r="R62" s="6"/>
    </row>
    <row r="63" customFormat="false" ht="15" hidden="false" customHeight="false" outlineLevel="0" collapsed="false">
      <c r="A63" s="33"/>
      <c r="B63" s="18" t="s">
        <v>23</v>
      </c>
      <c r="C63" s="29"/>
      <c r="D63" s="29"/>
      <c r="E63" s="29"/>
      <c r="F63" s="29"/>
      <c r="G63" s="34"/>
      <c r="H63" s="29"/>
      <c r="I63" s="29"/>
      <c r="J63" s="29"/>
      <c r="K63" s="29"/>
      <c r="L63" s="36"/>
      <c r="M63" s="29"/>
      <c r="N63" s="54"/>
      <c r="O63" s="55" t="n">
        <f aca="false">N63*J63</f>
        <v>0</v>
      </c>
      <c r="R63" s="6"/>
    </row>
    <row r="64" customFormat="false" ht="15" hidden="false" customHeight="false" outlineLevel="0" collapsed="false">
      <c r="A64" s="33"/>
      <c r="B64" s="18" t="s">
        <v>23</v>
      </c>
      <c r="C64" s="29"/>
      <c r="D64" s="29"/>
      <c r="E64" s="29"/>
      <c r="F64" s="29"/>
      <c r="G64" s="34"/>
      <c r="H64" s="29"/>
      <c r="I64" s="29"/>
      <c r="J64" s="29"/>
      <c r="K64" s="29"/>
      <c r="L64" s="36"/>
      <c r="M64" s="29"/>
      <c r="N64" s="54"/>
      <c r="O64" s="55" t="n">
        <f aca="false">N64*J64</f>
        <v>0</v>
      </c>
      <c r="R64" s="6"/>
    </row>
    <row r="65" customFormat="false" ht="15" hidden="false" customHeight="false" outlineLevel="0" collapsed="false">
      <c r="A65" s="33"/>
      <c r="B65" s="18" t="s">
        <v>23</v>
      </c>
      <c r="C65" s="29"/>
      <c r="D65" s="29"/>
      <c r="E65" s="29"/>
      <c r="F65" s="29"/>
      <c r="G65" s="34"/>
      <c r="H65" s="29"/>
      <c r="I65" s="29"/>
      <c r="J65" s="29"/>
      <c r="K65" s="29"/>
      <c r="L65" s="36"/>
      <c r="M65" s="29"/>
      <c r="N65" s="54"/>
      <c r="O65" s="55" t="n">
        <f aca="false">N65*J65</f>
        <v>0</v>
      </c>
      <c r="R65" s="6"/>
    </row>
    <row r="66" customFormat="false" ht="15" hidden="false" customHeight="false" outlineLevel="0" collapsed="false">
      <c r="A66" s="33"/>
      <c r="B66" s="18" t="s">
        <v>23</v>
      </c>
      <c r="C66" s="29"/>
      <c r="D66" s="29"/>
      <c r="E66" s="29"/>
      <c r="F66" s="29"/>
      <c r="G66" s="34"/>
      <c r="H66" s="29"/>
      <c r="I66" s="29"/>
      <c r="J66" s="29"/>
      <c r="K66" s="29"/>
      <c r="L66" s="36"/>
      <c r="M66" s="29"/>
      <c r="N66" s="54"/>
      <c r="O66" s="55" t="n">
        <f aca="false">N66*J66</f>
        <v>0</v>
      </c>
      <c r="R66" s="6"/>
    </row>
    <row r="67" customFormat="false" ht="15" hidden="false" customHeight="false" outlineLevel="0" collapsed="false">
      <c r="A67" s="33"/>
      <c r="B67" s="18" t="s">
        <v>23</v>
      </c>
      <c r="C67" s="29"/>
      <c r="D67" s="29"/>
      <c r="E67" s="29"/>
      <c r="F67" s="29"/>
      <c r="G67" s="34"/>
      <c r="H67" s="29"/>
      <c r="I67" s="29"/>
      <c r="J67" s="29"/>
      <c r="K67" s="29"/>
      <c r="L67" s="36"/>
      <c r="M67" s="29"/>
      <c r="N67" s="54"/>
      <c r="O67" s="55" t="n">
        <f aca="false">N67*J67</f>
        <v>0</v>
      </c>
      <c r="R67" s="6"/>
    </row>
    <row r="68" customFormat="false" ht="15" hidden="false" customHeight="false" outlineLevel="0" collapsed="false">
      <c r="A68" s="33"/>
      <c r="B68" s="18" t="s">
        <v>23</v>
      </c>
      <c r="C68" s="29"/>
      <c r="D68" s="29"/>
      <c r="E68" s="29"/>
      <c r="F68" s="29"/>
      <c r="G68" s="34"/>
      <c r="H68" s="29"/>
      <c r="I68" s="29"/>
      <c r="J68" s="29"/>
      <c r="K68" s="29"/>
      <c r="L68" s="36"/>
      <c r="M68" s="29"/>
      <c r="N68" s="54"/>
      <c r="O68" s="55" t="n">
        <f aca="false">N68*J68</f>
        <v>0</v>
      </c>
      <c r="R68" s="6"/>
    </row>
    <row r="69" customFormat="false" ht="15" hidden="false" customHeight="false" outlineLevel="0" collapsed="false">
      <c r="A69" s="33"/>
      <c r="B69" s="18" t="s">
        <v>23</v>
      </c>
      <c r="C69" s="29"/>
      <c r="D69" s="29"/>
      <c r="E69" s="29"/>
      <c r="F69" s="29"/>
      <c r="G69" s="34"/>
      <c r="H69" s="29"/>
      <c r="I69" s="29"/>
      <c r="J69" s="29"/>
      <c r="K69" s="29"/>
      <c r="L69" s="36"/>
      <c r="M69" s="29"/>
      <c r="N69" s="54"/>
      <c r="O69" s="55" t="n">
        <f aca="false">N69*J69</f>
        <v>0</v>
      </c>
      <c r="R69" s="6"/>
    </row>
    <row r="70" customFormat="false" ht="15" hidden="false" customHeight="false" outlineLevel="0" collapsed="false">
      <c r="A70" s="33"/>
      <c r="B70" s="18"/>
      <c r="C70" s="29"/>
      <c r="D70" s="29"/>
      <c r="E70" s="29"/>
      <c r="F70" s="29"/>
      <c r="G70" s="34"/>
      <c r="H70" s="29"/>
      <c r="I70" s="29"/>
      <c r="J70" s="29"/>
      <c r="K70" s="29"/>
      <c r="L70" s="36"/>
      <c r="M70" s="29"/>
      <c r="N70" s="54"/>
      <c r="O70" s="55" t="n">
        <f aca="false">N70*J70</f>
        <v>0</v>
      </c>
      <c r="R70" s="6"/>
    </row>
    <row r="71" customFormat="false" ht="15" hidden="false" customHeight="false" outlineLevel="0" collapsed="false">
      <c r="A71" s="33"/>
      <c r="B71" s="18"/>
      <c r="C71" s="29"/>
      <c r="D71" s="29"/>
      <c r="E71" s="29"/>
      <c r="F71" s="29"/>
      <c r="G71" s="34"/>
      <c r="H71" s="29"/>
      <c r="I71" s="29"/>
      <c r="J71" s="29"/>
      <c r="K71" s="29"/>
      <c r="L71" s="36"/>
      <c r="M71" s="29"/>
      <c r="N71" s="54"/>
      <c r="O71" s="55" t="n">
        <f aca="false">N71*J71</f>
        <v>0</v>
      </c>
      <c r="R71" s="6"/>
    </row>
    <row r="72" customFormat="false" ht="15" hidden="false" customHeight="false" outlineLevel="0" collapsed="false">
      <c r="A72" s="33"/>
      <c r="B72" s="18"/>
      <c r="C72" s="29"/>
      <c r="D72" s="29"/>
      <c r="E72" s="29"/>
      <c r="F72" s="29"/>
      <c r="G72" s="34"/>
      <c r="H72" s="29"/>
      <c r="I72" s="29"/>
      <c r="J72" s="29"/>
      <c r="K72" s="29"/>
      <c r="L72" s="36"/>
      <c r="M72" s="29"/>
      <c r="N72" s="54"/>
      <c r="O72" s="55" t="n">
        <f aca="false">N72*J72</f>
        <v>0</v>
      </c>
      <c r="R72" s="6"/>
    </row>
    <row r="73" customFormat="false" ht="15" hidden="false" customHeight="false" outlineLevel="0" collapsed="false">
      <c r="A73" s="33"/>
      <c r="B73" s="18"/>
      <c r="C73" s="29"/>
      <c r="D73" s="29"/>
      <c r="E73" s="29"/>
      <c r="F73" s="29"/>
      <c r="G73" s="34"/>
      <c r="H73" s="29"/>
      <c r="I73" s="29"/>
      <c r="J73" s="29"/>
      <c r="K73" s="29"/>
      <c r="L73" s="36"/>
      <c r="M73" s="29"/>
      <c r="N73" s="54"/>
      <c r="O73" s="55" t="n">
        <f aca="false">N73*J73</f>
        <v>0</v>
      </c>
      <c r="R73" s="6"/>
    </row>
    <row r="74" customFormat="false" ht="15" hidden="false" customHeight="false" outlineLevel="0" collapsed="false">
      <c r="A74" s="33"/>
      <c r="B74" s="18"/>
      <c r="C74" s="29"/>
      <c r="D74" s="29"/>
      <c r="E74" s="29"/>
      <c r="F74" s="29"/>
      <c r="G74" s="34"/>
      <c r="H74" s="29"/>
      <c r="I74" s="29"/>
      <c r="J74" s="29"/>
      <c r="K74" s="29"/>
      <c r="L74" s="36"/>
      <c r="M74" s="29"/>
      <c r="N74" s="54"/>
      <c r="O74" s="55" t="n">
        <f aca="false">N74*J74</f>
        <v>0</v>
      </c>
      <c r="R74" s="6"/>
    </row>
    <row r="75" customFormat="false" ht="15" hidden="false" customHeight="false" outlineLevel="0" collapsed="false">
      <c r="A75" s="33"/>
      <c r="B75" s="18"/>
      <c r="C75" s="29"/>
      <c r="D75" s="29"/>
      <c r="E75" s="29"/>
      <c r="F75" s="29"/>
      <c r="G75" s="34"/>
      <c r="H75" s="29"/>
      <c r="I75" s="29"/>
      <c r="J75" s="29"/>
      <c r="K75" s="29"/>
      <c r="L75" s="36"/>
      <c r="M75" s="29"/>
      <c r="N75" s="54"/>
      <c r="O75" s="55" t="n">
        <f aca="false">N75*J75</f>
        <v>0</v>
      </c>
      <c r="R75" s="6"/>
    </row>
    <row r="76" customFormat="false" ht="15" hidden="false" customHeight="false" outlineLevel="0" collapsed="false">
      <c r="A76" s="33"/>
      <c r="B76" s="18"/>
      <c r="C76" s="29"/>
      <c r="D76" s="29"/>
      <c r="E76" s="29"/>
      <c r="F76" s="29"/>
      <c r="G76" s="34"/>
      <c r="H76" s="29"/>
      <c r="I76" s="29"/>
      <c r="J76" s="29"/>
      <c r="K76" s="29"/>
      <c r="L76" s="36"/>
      <c r="M76" s="29"/>
      <c r="N76" s="54"/>
      <c r="O76" s="55" t="n">
        <f aca="false">N76*J76</f>
        <v>0</v>
      </c>
      <c r="R76" s="6"/>
    </row>
    <row r="77" customFormat="false" ht="15" hidden="false" customHeight="false" outlineLevel="0" collapsed="false">
      <c r="A77" s="33"/>
      <c r="B77" s="18"/>
      <c r="C77" s="29"/>
      <c r="D77" s="29"/>
      <c r="E77" s="29"/>
      <c r="F77" s="29"/>
      <c r="G77" s="34"/>
      <c r="H77" s="29"/>
      <c r="I77" s="29"/>
      <c r="J77" s="29"/>
      <c r="K77" s="29"/>
      <c r="L77" s="36"/>
      <c r="M77" s="29"/>
      <c r="N77" s="54"/>
      <c r="O77" s="55" t="n">
        <f aca="false">N77*J77</f>
        <v>0</v>
      </c>
      <c r="R77" s="6"/>
    </row>
    <row r="78" customFormat="false" ht="15" hidden="false" customHeight="false" outlineLevel="0" collapsed="false">
      <c r="A78" s="33"/>
      <c r="B78" s="18"/>
      <c r="C78" s="29"/>
      <c r="D78" s="29"/>
      <c r="E78" s="29"/>
      <c r="F78" s="29"/>
      <c r="G78" s="34"/>
      <c r="H78" s="29"/>
      <c r="I78" s="29"/>
      <c r="J78" s="29"/>
      <c r="K78" s="29"/>
      <c r="L78" s="36"/>
      <c r="M78" s="29"/>
      <c r="N78" s="54"/>
      <c r="O78" s="55" t="n">
        <f aca="false">N78*J78</f>
        <v>0</v>
      </c>
      <c r="R78" s="6"/>
    </row>
    <row r="79" customFormat="false" ht="15" hidden="false" customHeight="false" outlineLevel="0" collapsed="false">
      <c r="A79" s="33"/>
      <c r="B79" s="18"/>
      <c r="C79" s="29"/>
      <c r="D79" s="29"/>
      <c r="E79" s="29"/>
      <c r="F79" s="29"/>
      <c r="G79" s="34"/>
      <c r="H79" s="29"/>
      <c r="I79" s="29"/>
      <c r="J79" s="29"/>
      <c r="K79" s="29"/>
      <c r="L79" s="36"/>
      <c r="M79" s="29"/>
      <c r="N79" s="54"/>
      <c r="O79" s="55" t="n">
        <f aca="false">N79*J79</f>
        <v>0</v>
      </c>
      <c r="R79" s="6"/>
    </row>
    <row r="80" customFormat="false" ht="15" hidden="false" customHeight="false" outlineLevel="0" collapsed="false">
      <c r="A80" s="33"/>
      <c r="B80" s="18"/>
      <c r="C80" s="29"/>
      <c r="D80" s="29"/>
      <c r="E80" s="29"/>
      <c r="F80" s="29"/>
      <c r="G80" s="34"/>
      <c r="H80" s="29"/>
      <c r="I80" s="29"/>
      <c r="J80" s="29"/>
      <c r="K80" s="29"/>
      <c r="L80" s="36"/>
      <c r="M80" s="29"/>
      <c r="N80" s="54"/>
      <c r="O80" s="55" t="n">
        <f aca="false">N80*J80</f>
        <v>0</v>
      </c>
      <c r="R80" s="6"/>
    </row>
    <row r="81" customFormat="false" ht="15" hidden="false" customHeight="false" outlineLevel="0" collapsed="false">
      <c r="A81" s="33"/>
      <c r="B81" s="18"/>
      <c r="C81" s="29"/>
      <c r="D81" s="29"/>
      <c r="E81" s="29"/>
      <c r="F81" s="29"/>
      <c r="G81" s="34"/>
      <c r="H81" s="29"/>
      <c r="I81" s="29"/>
      <c r="J81" s="29"/>
      <c r="K81" s="29"/>
      <c r="L81" s="36"/>
      <c r="M81" s="29"/>
      <c r="N81" s="54"/>
      <c r="O81" s="55" t="n">
        <f aca="false">N81*J81</f>
        <v>0</v>
      </c>
      <c r="R81" s="6"/>
    </row>
    <row r="82" customFormat="false" ht="15" hidden="false" customHeight="false" outlineLevel="0" collapsed="false">
      <c r="A82" s="33"/>
      <c r="B82" s="18"/>
      <c r="C82" s="29"/>
      <c r="D82" s="29"/>
      <c r="E82" s="29"/>
      <c r="F82" s="29"/>
      <c r="G82" s="34"/>
      <c r="H82" s="29"/>
      <c r="I82" s="29"/>
      <c r="J82" s="29"/>
      <c r="K82" s="29"/>
      <c r="L82" s="36"/>
      <c r="M82" s="29"/>
      <c r="N82" s="54"/>
      <c r="O82" s="55" t="n">
        <f aca="false">N82*J82</f>
        <v>0</v>
      </c>
      <c r="R82" s="6"/>
    </row>
    <row r="83" customFormat="false" ht="15" hidden="false" customHeight="false" outlineLevel="0" collapsed="false">
      <c r="A83" s="33"/>
      <c r="B83" s="18"/>
      <c r="C83" s="29"/>
      <c r="D83" s="29"/>
      <c r="E83" s="29"/>
      <c r="F83" s="29"/>
      <c r="G83" s="34"/>
      <c r="H83" s="29"/>
      <c r="I83" s="29"/>
      <c r="J83" s="29"/>
      <c r="K83" s="29"/>
      <c r="L83" s="36"/>
      <c r="M83" s="29"/>
      <c r="N83" s="54"/>
      <c r="O83" s="55" t="n">
        <f aca="false">N83*J83</f>
        <v>0</v>
      </c>
      <c r="R83" s="6"/>
    </row>
    <row r="84" customFormat="false" ht="15" hidden="false" customHeight="false" outlineLevel="0" collapsed="false">
      <c r="A84" s="33"/>
      <c r="B84" s="18"/>
      <c r="C84" s="29"/>
      <c r="D84" s="29"/>
      <c r="E84" s="29"/>
      <c r="F84" s="29"/>
      <c r="G84" s="34"/>
      <c r="H84" s="29"/>
      <c r="I84" s="29"/>
      <c r="J84" s="29"/>
      <c r="K84" s="29"/>
      <c r="L84" s="36"/>
      <c r="M84" s="29"/>
      <c r="N84" s="54"/>
      <c r="O84" s="55" t="n">
        <f aca="false">N84*J84</f>
        <v>0</v>
      </c>
      <c r="R84" s="6"/>
    </row>
    <row r="85" customFormat="false" ht="15" hidden="false" customHeight="false" outlineLevel="0" collapsed="false">
      <c r="A85" s="33"/>
      <c r="B85" s="18"/>
      <c r="C85" s="29"/>
      <c r="D85" s="29"/>
      <c r="E85" s="29"/>
      <c r="F85" s="29"/>
      <c r="G85" s="34"/>
      <c r="H85" s="29"/>
      <c r="I85" s="29"/>
      <c r="J85" s="29"/>
      <c r="K85" s="29"/>
      <c r="L85" s="36"/>
      <c r="M85" s="29"/>
      <c r="N85" s="54"/>
      <c r="O85" s="55" t="n">
        <f aca="false">N85*J85</f>
        <v>0</v>
      </c>
      <c r="R85" s="6"/>
    </row>
    <row r="86" customFormat="false" ht="15" hidden="false" customHeight="false" outlineLevel="0" collapsed="false">
      <c r="A86" s="33"/>
      <c r="B86" s="18"/>
      <c r="C86" s="29"/>
      <c r="D86" s="29"/>
      <c r="E86" s="29"/>
      <c r="F86" s="29"/>
      <c r="G86" s="34"/>
      <c r="H86" s="29"/>
      <c r="I86" s="29"/>
      <c r="J86" s="29"/>
      <c r="K86" s="29"/>
      <c r="L86" s="36"/>
      <c r="M86" s="29"/>
      <c r="N86" s="54"/>
      <c r="O86" s="55" t="n">
        <f aca="false">N86*J86</f>
        <v>0</v>
      </c>
      <c r="R86" s="6"/>
    </row>
    <row r="87" customFormat="false" ht="15" hidden="false" customHeight="false" outlineLevel="0" collapsed="false">
      <c r="A87" s="33"/>
      <c r="B87" s="18"/>
      <c r="C87" s="29"/>
      <c r="D87" s="29"/>
      <c r="E87" s="29"/>
      <c r="F87" s="29"/>
      <c r="G87" s="34"/>
      <c r="H87" s="29"/>
      <c r="I87" s="29"/>
      <c r="J87" s="29"/>
      <c r="K87" s="29"/>
      <c r="L87" s="36"/>
      <c r="M87" s="29"/>
      <c r="N87" s="54"/>
      <c r="O87" s="55" t="n">
        <f aca="false">N87*J87</f>
        <v>0</v>
      </c>
      <c r="R87" s="6"/>
    </row>
    <row r="88" customFormat="false" ht="15" hidden="false" customHeight="false" outlineLevel="0" collapsed="false">
      <c r="A88" s="33"/>
      <c r="B88" s="18"/>
      <c r="C88" s="29"/>
      <c r="D88" s="29"/>
      <c r="E88" s="29"/>
      <c r="F88" s="29"/>
      <c r="G88" s="34"/>
      <c r="H88" s="29"/>
      <c r="I88" s="29"/>
      <c r="J88" s="29"/>
      <c r="K88" s="29"/>
      <c r="L88" s="36"/>
      <c r="M88" s="29"/>
      <c r="N88" s="54"/>
      <c r="O88" s="55" t="n">
        <f aca="false">N88*J88</f>
        <v>0</v>
      </c>
      <c r="R88" s="6"/>
    </row>
    <row r="89" customFormat="false" ht="15" hidden="false" customHeight="false" outlineLevel="0" collapsed="false">
      <c r="A89" s="33"/>
      <c r="B89" s="18" t="s">
        <v>24</v>
      </c>
      <c r="C89" s="29"/>
      <c r="D89" s="29"/>
      <c r="E89" s="29"/>
      <c r="F89" s="29"/>
      <c r="G89" s="34"/>
      <c r="H89" s="29"/>
      <c r="I89" s="29"/>
      <c r="J89" s="29"/>
      <c r="K89" s="29"/>
      <c r="L89" s="36"/>
      <c r="M89" s="29"/>
      <c r="N89" s="54"/>
      <c r="O89" s="55" t="n">
        <f aca="false">N89*J89</f>
        <v>0</v>
      </c>
      <c r="R89" s="6"/>
    </row>
    <row r="90" customFormat="false" ht="15" hidden="false" customHeight="false" outlineLevel="0" collapsed="false">
      <c r="A90" s="33"/>
      <c r="B90" s="18" t="s">
        <v>24</v>
      </c>
      <c r="C90" s="29"/>
      <c r="D90" s="29"/>
      <c r="E90" s="29"/>
      <c r="F90" s="29"/>
      <c r="G90" s="34"/>
      <c r="H90" s="29"/>
      <c r="I90" s="29"/>
      <c r="J90" s="29"/>
      <c r="K90" s="29"/>
      <c r="L90" s="36"/>
      <c r="M90" s="29"/>
      <c r="N90" s="54"/>
      <c r="O90" s="55" t="n">
        <f aca="false">N90*J90</f>
        <v>0</v>
      </c>
      <c r="R90" s="6"/>
    </row>
    <row r="91" customFormat="false" ht="15" hidden="false" customHeight="false" outlineLevel="0" collapsed="false">
      <c r="A91" s="33"/>
      <c r="B91" s="18" t="s">
        <v>24</v>
      </c>
      <c r="C91" s="29"/>
      <c r="D91" s="29"/>
      <c r="E91" s="29"/>
      <c r="F91" s="29"/>
      <c r="G91" s="34"/>
      <c r="H91" s="29"/>
      <c r="I91" s="29"/>
      <c r="J91" s="29"/>
      <c r="K91" s="29"/>
      <c r="L91" s="36"/>
      <c r="M91" s="29"/>
      <c r="N91" s="54"/>
      <c r="O91" s="55" t="n">
        <f aca="false">N91*J91</f>
        <v>0</v>
      </c>
      <c r="R91" s="6"/>
    </row>
    <row r="92" customFormat="false" ht="15" hidden="false" customHeight="false" outlineLevel="0" collapsed="false">
      <c r="A92" s="33"/>
      <c r="B92" s="18" t="s">
        <v>24</v>
      </c>
      <c r="C92" s="29"/>
      <c r="D92" s="29"/>
      <c r="E92" s="29"/>
      <c r="F92" s="29"/>
      <c r="G92" s="34"/>
      <c r="H92" s="29"/>
      <c r="I92" s="29"/>
      <c r="J92" s="29"/>
      <c r="K92" s="29"/>
      <c r="L92" s="36"/>
      <c r="M92" s="29"/>
      <c r="N92" s="54"/>
      <c r="O92" s="55" t="n">
        <f aca="false">N92*J92</f>
        <v>0</v>
      </c>
      <c r="R92" s="6"/>
    </row>
    <row r="93" customFormat="false" ht="15" hidden="false" customHeight="false" outlineLevel="0" collapsed="false">
      <c r="A93" s="33"/>
      <c r="B93" s="18" t="s">
        <v>24</v>
      </c>
      <c r="C93" s="29"/>
      <c r="D93" s="29"/>
      <c r="E93" s="29"/>
      <c r="F93" s="29"/>
      <c r="G93" s="34"/>
      <c r="H93" s="29"/>
      <c r="I93" s="29"/>
      <c r="J93" s="29"/>
      <c r="K93" s="29"/>
      <c r="L93" s="36"/>
      <c r="M93" s="29"/>
      <c r="N93" s="54"/>
      <c r="O93" s="55" t="n">
        <f aca="false">N93*J93</f>
        <v>0</v>
      </c>
      <c r="R93" s="6"/>
    </row>
    <row r="94" customFormat="false" ht="15" hidden="false" customHeight="false" outlineLevel="0" collapsed="false">
      <c r="A94" s="33"/>
      <c r="B94" s="18" t="s">
        <v>24</v>
      </c>
      <c r="C94" s="29"/>
      <c r="D94" s="29"/>
      <c r="E94" s="29"/>
      <c r="F94" s="29"/>
      <c r="G94" s="34"/>
      <c r="H94" s="29"/>
      <c r="I94" s="29"/>
      <c r="J94" s="29"/>
      <c r="K94" s="29"/>
      <c r="L94" s="36"/>
      <c r="M94" s="29"/>
      <c r="N94" s="54"/>
      <c r="O94" s="55" t="n">
        <f aca="false">N94*J94</f>
        <v>0</v>
      </c>
      <c r="R94" s="6"/>
    </row>
    <row r="95" customFormat="false" ht="15" hidden="false" customHeight="false" outlineLevel="0" collapsed="false">
      <c r="A95" s="33"/>
      <c r="B95" s="28" t="s">
        <v>23</v>
      </c>
      <c r="C95" s="29"/>
      <c r="D95" s="29"/>
      <c r="E95" s="29"/>
      <c r="F95" s="29"/>
      <c r="G95" s="34"/>
      <c r="H95" s="29"/>
      <c r="I95" s="29"/>
      <c r="J95" s="29"/>
      <c r="K95" s="29"/>
      <c r="L95" s="36"/>
      <c r="M95" s="29"/>
      <c r="N95" s="54"/>
      <c r="O95" s="55" t="n">
        <f aca="false">N95*J95</f>
        <v>0</v>
      </c>
      <c r="R95" s="6"/>
    </row>
    <row r="96" customFormat="false" ht="15" hidden="false" customHeight="false" outlineLevel="0" collapsed="false">
      <c r="A96" s="33"/>
      <c r="B96" s="28" t="s">
        <v>23</v>
      </c>
      <c r="C96" s="29"/>
      <c r="D96" s="29"/>
      <c r="E96" s="29"/>
      <c r="F96" s="29"/>
      <c r="G96" s="34"/>
      <c r="H96" s="29"/>
      <c r="I96" s="29"/>
      <c r="J96" s="29"/>
      <c r="K96" s="29"/>
      <c r="L96" s="36"/>
      <c r="M96" s="29"/>
      <c r="N96" s="54"/>
      <c r="O96" s="55" t="n">
        <f aca="false">N96*J96</f>
        <v>0</v>
      </c>
      <c r="R96" s="6"/>
    </row>
    <row r="97" customFormat="false" ht="15" hidden="false" customHeight="false" outlineLevel="0" collapsed="false">
      <c r="A97" s="33"/>
      <c r="B97" s="28" t="s">
        <v>23</v>
      </c>
      <c r="C97" s="29"/>
      <c r="D97" s="29"/>
      <c r="E97" s="29"/>
      <c r="F97" s="29"/>
      <c r="G97" s="34"/>
      <c r="H97" s="29"/>
      <c r="I97" s="29"/>
      <c r="J97" s="29"/>
      <c r="K97" s="29"/>
      <c r="L97" s="36"/>
      <c r="M97" s="29"/>
      <c r="N97" s="54"/>
      <c r="O97" s="55" t="n">
        <f aca="false">N97*J97</f>
        <v>0</v>
      </c>
      <c r="R97" s="6"/>
    </row>
    <row r="98" customFormat="false" ht="15" hidden="false" customHeight="false" outlineLevel="0" collapsed="false">
      <c r="A98" s="33"/>
      <c r="B98" s="28" t="s">
        <v>23</v>
      </c>
      <c r="C98" s="29"/>
      <c r="D98" s="29"/>
      <c r="E98" s="29"/>
      <c r="F98" s="29"/>
      <c r="G98" s="34"/>
      <c r="H98" s="29"/>
      <c r="I98" s="29"/>
      <c r="J98" s="29"/>
      <c r="K98" s="29"/>
      <c r="L98" s="36"/>
      <c r="M98" s="29"/>
      <c r="N98" s="54"/>
      <c r="O98" s="55" t="n">
        <f aca="false">N98*J98</f>
        <v>0</v>
      </c>
      <c r="R98" s="6"/>
    </row>
    <row r="99" customFormat="false" ht="15" hidden="false" customHeight="false" outlineLevel="0" collapsed="false">
      <c r="A99" s="33"/>
      <c r="B99" s="28" t="s">
        <v>23</v>
      </c>
      <c r="C99" s="29"/>
      <c r="D99" s="29"/>
      <c r="E99" s="29"/>
      <c r="F99" s="29"/>
      <c r="G99" s="34"/>
      <c r="H99" s="29"/>
      <c r="I99" s="29"/>
      <c r="J99" s="29"/>
      <c r="K99" s="29"/>
      <c r="L99" s="36"/>
      <c r="M99" s="29"/>
      <c r="N99" s="54"/>
      <c r="O99" s="55" t="n">
        <f aca="false">N99*J99</f>
        <v>0</v>
      </c>
      <c r="R99" s="6"/>
    </row>
    <row r="100" customFormat="false" ht="15" hidden="false" customHeight="false" outlineLevel="0" collapsed="false">
      <c r="A100" s="33"/>
      <c r="B100" s="28" t="s">
        <v>23</v>
      </c>
      <c r="C100" s="29"/>
      <c r="D100" s="29"/>
      <c r="E100" s="29"/>
      <c r="F100" s="29"/>
      <c r="G100" s="34"/>
      <c r="H100" s="29"/>
      <c r="I100" s="29"/>
      <c r="J100" s="29"/>
      <c r="K100" s="29"/>
      <c r="L100" s="36"/>
      <c r="M100" s="29"/>
      <c r="N100" s="54"/>
      <c r="O100" s="55" t="n">
        <f aca="false">N100*J100</f>
        <v>0</v>
      </c>
      <c r="R100" s="6"/>
    </row>
    <row r="101" customFormat="false" ht="15" hidden="false" customHeight="false" outlineLevel="0" collapsed="false">
      <c r="A101" s="33"/>
      <c r="B101" s="28" t="s">
        <v>23</v>
      </c>
      <c r="C101" s="29"/>
      <c r="D101" s="29"/>
      <c r="E101" s="29"/>
      <c r="F101" s="29"/>
      <c r="G101" s="34"/>
      <c r="H101" s="29"/>
      <c r="I101" s="29"/>
      <c r="J101" s="29"/>
      <c r="K101" s="29"/>
      <c r="L101" s="36"/>
      <c r="M101" s="29"/>
      <c r="N101" s="54"/>
      <c r="O101" s="55" t="n">
        <f aca="false">N101*J101</f>
        <v>0</v>
      </c>
      <c r="Q101" s="57"/>
    </row>
    <row r="102" customFormat="false" ht="15" hidden="false" customHeight="false" outlineLevel="0" collapsed="false">
      <c r="A102" s="33"/>
      <c r="B102" s="28" t="s">
        <v>23</v>
      </c>
      <c r="C102" s="29"/>
      <c r="D102" s="29"/>
      <c r="E102" s="29"/>
      <c r="F102" s="29"/>
      <c r="G102" s="36"/>
      <c r="H102" s="29"/>
      <c r="I102" s="29"/>
      <c r="J102" s="29"/>
      <c r="K102" s="29"/>
      <c r="L102" s="36"/>
      <c r="M102" s="29"/>
      <c r="N102" s="54"/>
      <c r="O102" s="55" t="n">
        <f aca="false">N102*J102</f>
        <v>0</v>
      </c>
    </row>
    <row r="103" customFormat="false" ht="15" hidden="false" customHeight="false" outlineLevel="0" collapsed="false">
      <c r="A103" s="33"/>
      <c r="B103" s="28" t="s">
        <v>23</v>
      </c>
      <c r="C103" s="29"/>
      <c r="D103" s="29"/>
      <c r="E103" s="29"/>
      <c r="F103" s="29"/>
      <c r="G103" s="34"/>
      <c r="H103" s="29"/>
      <c r="I103" s="29"/>
      <c r="J103" s="29"/>
      <c r="K103" s="29"/>
      <c r="L103" s="36"/>
      <c r="M103" s="29"/>
      <c r="N103" s="54"/>
      <c r="O103" s="55" t="n">
        <f aca="false">N103*J103</f>
        <v>0</v>
      </c>
    </row>
    <row r="104" customFormat="false" ht="15" hidden="false" customHeight="false" outlineLevel="0" collapsed="false">
      <c r="A104" s="33"/>
      <c r="B104" s="28" t="s">
        <v>23</v>
      </c>
      <c r="C104" s="29"/>
      <c r="D104" s="29"/>
      <c r="E104" s="29"/>
      <c r="F104" s="29"/>
      <c r="G104" s="34"/>
      <c r="H104" s="29"/>
      <c r="I104" s="29"/>
      <c r="J104" s="29"/>
      <c r="K104" s="29"/>
      <c r="L104" s="36"/>
      <c r="M104" s="29"/>
      <c r="N104" s="54"/>
      <c r="O104" s="55" t="n">
        <f aca="false">N104*J104</f>
        <v>0</v>
      </c>
    </row>
    <row r="105" customFormat="false" ht="15" hidden="false" customHeight="false" outlineLevel="0" collapsed="false">
      <c r="A105" s="33"/>
      <c r="B105" s="28" t="s">
        <v>23</v>
      </c>
      <c r="C105" s="29"/>
      <c r="D105" s="29"/>
      <c r="E105" s="29"/>
      <c r="F105" s="29"/>
      <c r="G105" s="34"/>
      <c r="H105" s="29"/>
      <c r="I105" s="29"/>
      <c r="J105" s="29"/>
      <c r="K105" s="29"/>
      <c r="L105" s="36"/>
      <c r="M105" s="29"/>
      <c r="N105" s="54"/>
      <c r="O105" s="55" t="n">
        <f aca="false">N105*J105</f>
        <v>0</v>
      </c>
    </row>
    <row r="106" customFormat="false" ht="15" hidden="false" customHeight="false" outlineLevel="0" collapsed="false">
      <c r="A106" s="33"/>
      <c r="B106" s="28" t="s">
        <v>23</v>
      </c>
      <c r="C106" s="29"/>
      <c r="D106" s="29"/>
      <c r="E106" s="29"/>
      <c r="F106" s="29"/>
      <c r="G106" s="34"/>
      <c r="H106" s="29"/>
      <c r="I106" s="29"/>
      <c r="J106" s="29"/>
      <c r="K106" s="29"/>
      <c r="L106" s="36"/>
      <c r="M106" s="29"/>
      <c r="N106" s="54"/>
      <c r="O106" s="55" t="n">
        <f aca="false">N106*J106</f>
        <v>0</v>
      </c>
    </row>
    <row r="107" customFormat="false" ht="15" hidden="false" customHeight="false" outlineLevel="0" collapsed="false">
      <c r="A107" s="33"/>
      <c r="B107" s="18" t="s">
        <v>23</v>
      </c>
      <c r="C107" s="29"/>
      <c r="D107" s="29"/>
      <c r="E107" s="29"/>
      <c r="F107" s="29"/>
      <c r="G107" s="34"/>
      <c r="H107" s="29"/>
      <c r="I107" s="29"/>
      <c r="J107" s="29"/>
      <c r="K107" s="29"/>
      <c r="L107" s="36"/>
      <c r="M107" s="29"/>
      <c r="N107" s="54"/>
      <c r="O107" s="55" t="n">
        <f aca="false">N107*J107</f>
        <v>0</v>
      </c>
    </row>
    <row r="108" customFormat="false" ht="15" hidden="false" customHeight="false" outlineLevel="0" collapsed="false">
      <c r="A108" s="33"/>
      <c r="B108" s="18" t="s">
        <v>23</v>
      </c>
      <c r="C108" s="29"/>
      <c r="D108" s="29"/>
      <c r="E108" s="29"/>
      <c r="F108" s="29"/>
      <c r="G108" s="34"/>
      <c r="H108" s="29"/>
      <c r="I108" s="29"/>
      <c r="J108" s="29"/>
      <c r="K108" s="29"/>
      <c r="L108" s="36"/>
      <c r="M108" s="29"/>
      <c r="N108" s="54"/>
      <c r="O108" s="55" t="n">
        <f aca="false">N108*J108</f>
        <v>0</v>
      </c>
    </row>
    <row r="109" customFormat="false" ht="15" hidden="false" customHeight="false" outlineLevel="0" collapsed="false">
      <c r="A109" s="33"/>
      <c r="B109" s="18" t="s">
        <v>23</v>
      </c>
      <c r="C109" s="29"/>
      <c r="D109" s="29"/>
      <c r="E109" s="29"/>
      <c r="F109" s="29"/>
      <c r="G109" s="34"/>
      <c r="H109" s="29"/>
      <c r="I109" s="29"/>
      <c r="J109" s="29"/>
      <c r="K109" s="29"/>
      <c r="L109" s="36"/>
      <c r="M109" s="29"/>
      <c r="N109" s="54"/>
      <c r="O109" s="55" t="n">
        <f aca="false">N109*J109</f>
        <v>0</v>
      </c>
    </row>
    <row r="110" customFormat="false" ht="15" hidden="false" customHeight="false" outlineLevel="0" collapsed="false">
      <c r="A110" s="33"/>
      <c r="B110" s="28"/>
      <c r="C110" s="29"/>
      <c r="D110" s="29"/>
      <c r="E110" s="29"/>
      <c r="F110" s="29"/>
      <c r="G110" s="34"/>
      <c r="H110" s="29"/>
      <c r="I110" s="29"/>
      <c r="J110" s="29"/>
      <c r="K110" s="29"/>
      <c r="L110" s="36"/>
      <c r="M110" s="29"/>
      <c r="N110" s="54"/>
      <c r="O110" s="55" t="n">
        <f aca="false">N110*J110</f>
        <v>0</v>
      </c>
    </row>
    <row r="111" customFormat="false" ht="15" hidden="false" customHeight="false" outlineLevel="0" collapsed="false">
      <c r="A111" s="33"/>
      <c r="B111" s="28"/>
      <c r="C111" s="29"/>
      <c r="D111" s="29"/>
      <c r="E111" s="29"/>
      <c r="F111" s="29"/>
      <c r="G111" s="34"/>
      <c r="H111" s="29"/>
      <c r="I111" s="29"/>
      <c r="J111" s="29"/>
      <c r="K111" s="29"/>
      <c r="L111" s="36"/>
      <c r="M111" s="29"/>
      <c r="N111" s="54"/>
      <c r="O111" s="55" t="n">
        <f aca="false">N111*J111</f>
        <v>0</v>
      </c>
    </row>
    <row r="112" customFormat="false" ht="15" hidden="false" customHeight="false" outlineLevel="0" collapsed="false">
      <c r="A112" s="33"/>
      <c r="B112" s="28"/>
      <c r="C112" s="29"/>
      <c r="D112" s="29"/>
      <c r="E112" s="29"/>
      <c r="F112" s="29"/>
      <c r="G112" s="34"/>
      <c r="H112" s="29"/>
      <c r="I112" s="29"/>
      <c r="J112" s="29"/>
      <c r="K112" s="29"/>
      <c r="L112" s="36"/>
      <c r="M112" s="29"/>
      <c r="N112" s="54"/>
      <c r="O112" s="55" t="n">
        <f aca="false">N112*J112</f>
        <v>0</v>
      </c>
    </row>
    <row r="113" customFormat="false" ht="15" hidden="false" customHeight="false" outlineLevel="0" collapsed="false">
      <c r="A113" s="33"/>
      <c r="B113" s="28"/>
      <c r="C113" s="29"/>
      <c r="D113" s="29"/>
      <c r="E113" s="29"/>
      <c r="F113" s="29"/>
      <c r="G113" s="34"/>
      <c r="H113" s="29"/>
      <c r="I113" s="29"/>
      <c r="J113" s="29"/>
      <c r="K113" s="29"/>
      <c r="L113" s="36"/>
      <c r="M113" s="29"/>
      <c r="N113" s="54"/>
      <c r="O113" s="55" t="n">
        <f aca="false">N113*J113</f>
        <v>0</v>
      </c>
    </row>
    <row r="114" customFormat="false" ht="15" hidden="false" customHeight="false" outlineLevel="0" collapsed="false">
      <c r="A114" s="33"/>
      <c r="B114" s="28"/>
      <c r="C114" s="29"/>
      <c r="D114" s="29"/>
      <c r="E114" s="29"/>
      <c r="F114" s="29"/>
      <c r="G114" s="34"/>
      <c r="H114" s="29"/>
      <c r="I114" s="29"/>
      <c r="J114" s="29"/>
      <c r="K114" s="29"/>
      <c r="L114" s="36"/>
      <c r="M114" s="29"/>
      <c r="N114" s="54"/>
      <c r="O114" s="55" t="n">
        <f aca="false">N114*J114</f>
        <v>0</v>
      </c>
    </row>
    <row r="115" customFormat="false" ht="15" hidden="false" customHeight="false" outlineLevel="0" collapsed="false">
      <c r="A115" s="33"/>
      <c r="B115" s="28"/>
      <c r="C115" s="29"/>
      <c r="D115" s="29"/>
      <c r="E115" s="29"/>
      <c r="F115" s="29"/>
      <c r="G115" s="34"/>
      <c r="H115" s="29"/>
      <c r="I115" s="29"/>
      <c r="J115" s="29"/>
      <c r="K115" s="29"/>
      <c r="L115" s="36"/>
      <c r="M115" s="29"/>
      <c r="N115" s="54"/>
      <c r="O115" s="55" t="n">
        <f aca="false">N115*J115</f>
        <v>0</v>
      </c>
    </row>
    <row r="116" customFormat="false" ht="15" hidden="false" customHeight="false" outlineLevel="0" collapsed="false">
      <c r="A116" s="33"/>
      <c r="B116" s="28"/>
      <c r="C116" s="29"/>
      <c r="D116" s="29"/>
      <c r="E116" s="29"/>
      <c r="F116" s="29"/>
      <c r="G116" s="34"/>
      <c r="H116" s="29"/>
      <c r="I116" s="29"/>
      <c r="J116" s="29"/>
      <c r="K116" s="29"/>
      <c r="L116" s="36"/>
      <c r="M116" s="29"/>
      <c r="N116" s="54"/>
      <c r="O116" s="55" t="n">
        <f aca="false">N116*J116</f>
        <v>0</v>
      </c>
    </row>
    <row r="117" customFormat="false" ht="15" hidden="false" customHeight="false" outlineLevel="0" collapsed="false">
      <c r="A117" s="33"/>
      <c r="B117" s="28"/>
      <c r="C117" s="29"/>
      <c r="D117" s="29"/>
      <c r="E117" s="29"/>
      <c r="F117" s="29"/>
      <c r="G117" s="34"/>
      <c r="H117" s="29"/>
      <c r="I117" s="29"/>
      <c r="J117" s="29"/>
      <c r="K117" s="29"/>
      <c r="L117" s="36"/>
      <c r="M117" s="29"/>
      <c r="N117" s="54"/>
      <c r="O117" s="55" t="n">
        <f aca="false">N117*J117</f>
        <v>0</v>
      </c>
    </row>
    <row r="118" customFormat="false" ht="15" hidden="false" customHeight="false" outlineLevel="0" collapsed="false">
      <c r="A118" s="33"/>
      <c r="B118" s="28"/>
      <c r="C118" s="29"/>
      <c r="D118" s="29"/>
      <c r="E118" s="29"/>
      <c r="F118" s="29"/>
      <c r="G118" s="34"/>
      <c r="H118" s="29"/>
      <c r="I118" s="29"/>
      <c r="J118" s="29"/>
      <c r="K118" s="29"/>
      <c r="L118" s="36"/>
      <c r="M118" s="29"/>
      <c r="N118" s="54"/>
      <c r="O118" s="55" t="n">
        <f aca="false">N118*J118</f>
        <v>0</v>
      </c>
    </row>
    <row r="119" customFormat="false" ht="15" hidden="false" customHeight="false" outlineLevel="0" collapsed="false">
      <c r="A119" s="33"/>
      <c r="B119" s="28"/>
      <c r="C119" s="29"/>
      <c r="D119" s="29"/>
      <c r="E119" s="29"/>
      <c r="F119" s="29"/>
      <c r="G119" s="34"/>
      <c r="H119" s="29"/>
      <c r="I119" s="29"/>
      <c r="J119" s="29"/>
      <c r="K119" s="29"/>
      <c r="L119" s="36"/>
      <c r="M119" s="29"/>
      <c r="N119" s="54"/>
      <c r="O119" s="55" t="n">
        <f aca="false">N119*J119</f>
        <v>0</v>
      </c>
    </row>
    <row r="120" customFormat="false" ht="15" hidden="false" customHeight="false" outlineLevel="0" collapsed="false">
      <c r="A120" s="33"/>
      <c r="B120" s="28"/>
      <c r="C120" s="29"/>
      <c r="D120" s="29"/>
      <c r="E120" s="29"/>
      <c r="F120" s="29"/>
      <c r="G120" s="34"/>
      <c r="H120" s="29"/>
      <c r="I120" s="29"/>
      <c r="J120" s="29"/>
      <c r="K120" s="29"/>
      <c r="L120" s="36"/>
      <c r="M120" s="29"/>
      <c r="N120" s="54"/>
      <c r="O120" s="55" t="n">
        <f aca="false">N120*J120</f>
        <v>0</v>
      </c>
    </row>
    <row r="121" customFormat="false" ht="15" hidden="false" customHeight="false" outlineLevel="0" collapsed="false">
      <c r="A121" s="33"/>
      <c r="B121" s="28"/>
      <c r="C121" s="29"/>
      <c r="D121" s="29"/>
      <c r="E121" s="29"/>
      <c r="F121" s="29"/>
      <c r="G121" s="34"/>
      <c r="H121" s="29"/>
      <c r="I121" s="29"/>
      <c r="J121" s="29"/>
      <c r="K121" s="29"/>
      <c r="L121" s="36"/>
      <c r="M121" s="29"/>
      <c r="N121" s="54"/>
      <c r="O121" s="55" t="n">
        <f aca="false">N121*J121</f>
        <v>0</v>
      </c>
    </row>
    <row r="122" customFormat="false" ht="15" hidden="false" customHeight="false" outlineLevel="0" collapsed="false">
      <c r="A122" s="33"/>
      <c r="B122" s="28"/>
      <c r="C122" s="29"/>
      <c r="D122" s="29"/>
      <c r="E122" s="29"/>
      <c r="F122" s="29"/>
      <c r="G122" s="34"/>
      <c r="H122" s="29"/>
      <c r="I122" s="29"/>
      <c r="J122" s="29"/>
      <c r="K122" s="29"/>
      <c r="L122" s="36"/>
      <c r="M122" s="29"/>
      <c r="N122" s="54"/>
      <c r="O122" s="55" t="n">
        <f aca="false">N122*J122</f>
        <v>0</v>
      </c>
    </row>
    <row r="123" customFormat="false" ht="15" hidden="false" customHeight="false" outlineLevel="0" collapsed="false">
      <c r="A123" s="33"/>
      <c r="B123" s="28"/>
      <c r="C123" s="29"/>
      <c r="D123" s="29"/>
      <c r="E123" s="29"/>
      <c r="F123" s="29"/>
      <c r="G123" s="34"/>
      <c r="H123" s="29"/>
      <c r="I123" s="29"/>
      <c r="J123" s="29"/>
      <c r="K123" s="29"/>
      <c r="L123" s="36"/>
      <c r="M123" s="29"/>
      <c r="N123" s="58"/>
      <c r="O123" s="59" t="n">
        <f aca="false">N123*J123</f>
        <v>0</v>
      </c>
      <c r="P123" s="58"/>
    </row>
    <row r="124" customFormat="false" ht="15" hidden="false" customHeight="false" outlineLevel="0" collapsed="false">
      <c r="A124" s="33"/>
      <c r="B124" s="28"/>
      <c r="C124" s="29"/>
      <c r="D124" s="29"/>
      <c r="E124" s="29"/>
      <c r="F124" s="29"/>
      <c r="G124" s="34"/>
      <c r="H124" s="29"/>
      <c r="I124" s="29"/>
      <c r="J124" s="29"/>
      <c r="K124" s="29"/>
      <c r="L124" s="36"/>
      <c r="M124" s="29"/>
      <c r="N124" s="58"/>
      <c r="O124" s="59" t="n">
        <f aca="false">N124*J124</f>
        <v>0</v>
      </c>
      <c r="P124" s="58"/>
    </row>
    <row r="125" customFormat="false" ht="15" hidden="false" customHeight="false" outlineLevel="0" collapsed="false">
      <c r="A125" s="33"/>
      <c r="B125" s="28"/>
      <c r="C125" s="29"/>
      <c r="D125" s="29"/>
      <c r="E125" s="29"/>
      <c r="F125" s="29"/>
      <c r="G125" s="34"/>
      <c r="H125" s="29"/>
      <c r="I125" s="29"/>
      <c r="J125" s="29"/>
      <c r="K125" s="29"/>
      <c r="L125" s="36"/>
      <c r="M125" s="29"/>
      <c r="N125" s="58"/>
      <c r="O125" s="59" t="n">
        <f aca="false">N125*J125</f>
        <v>0</v>
      </c>
      <c r="P125" s="58"/>
    </row>
    <row r="126" customFormat="false" ht="15" hidden="false" customHeight="false" outlineLevel="0" collapsed="false">
      <c r="A126" s="33"/>
      <c r="B126" s="28"/>
      <c r="C126" s="29"/>
      <c r="D126" s="29"/>
      <c r="E126" s="29"/>
      <c r="F126" s="29"/>
      <c r="G126" s="34"/>
      <c r="H126" s="29"/>
      <c r="I126" s="29"/>
      <c r="J126" s="29"/>
      <c r="K126" s="29"/>
      <c r="L126" s="36"/>
      <c r="M126" s="29"/>
      <c r="N126" s="54"/>
      <c r="O126" s="55" t="n">
        <f aca="false">N126*J126</f>
        <v>0</v>
      </c>
    </row>
    <row r="127" customFormat="false" ht="15" hidden="false" customHeight="false" outlineLevel="0" collapsed="false">
      <c r="A127" s="33"/>
      <c r="B127" s="28"/>
      <c r="C127" s="29"/>
      <c r="D127" s="29"/>
      <c r="E127" s="29"/>
      <c r="F127" s="29"/>
      <c r="G127" s="34"/>
      <c r="H127" s="29"/>
      <c r="I127" s="29"/>
      <c r="J127" s="29"/>
      <c r="K127" s="29"/>
      <c r="L127" s="36"/>
      <c r="M127" s="29"/>
      <c r="N127" s="54"/>
      <c r="O127" s="55" t="n">
        <f aca="false">N127*J127</f>
        <v>0</v>
      </c>
    </row>
    <row r="128" customFormat="false" ht="15" hidden="false" customHeight="false" outlineLevel="0" collapsed="false">
      <c r="A128" s="33"/>
      <c r="B128" s="28"/>
      <c r="C128" s="29"/>
      <c r="D128" s="29"/>
      <c r="E128" s="29"/>
      <c r="F128" s="29"/>
      <c r="G128" s="34"/>
      <c r="H128" s="29"/>
      <c r="I128" s="29"/>
      <c r="J128" s="29"/>
      <c r="K128" s="29"/>
      <c r="L128" s="36"/>
      <c r="M128" s="29"/>
      <c r="N128" s="54"/>
      <c r="O128" s="55" t="n">
        <f aca="false">N128*J128</f>
        <v>0</v>
      </c>
    </row>
    <row r="129" customFormat="false" ht="15" hidden="false" customHeight="false" outlineLevel="0" collapsed="false">
      <c r="A129" s="33"/>
      <c r="B129" s="28"/>
      <c r="C129" s="29"/>
      <c r="D129" s="29"/>
      <c r="E129" s="29"/>
      <c r="F129" s="29"/>
      <c r="G129" s="34"/>
      <c r="H129" s="29"/>
      <c r="I129" s="29"/>
      <c r="J129" s="29"/>
      <c r="K129" s="29"/>
      <c r="L129" s="36"/>
      <c r="M129" s="29"/>
      <c r="N129" s="54"/>
      <c r="O129" s="55" t="n">
        <f aca="false">N129*J129</f>
        <v>0</v>
      </c>
    </row>
    <row r="130" customFormat="false" ht="15" hidden="false" customHeight="false" outlineLevel="0" collapsed="false">
      <c r="A130" s="33"/>
      <c r="B130" s="28"/>
      <c r="C130" s="29"/>
      <c r="D130" s="29"/>
      <c r="E130" s="29"/>
      <c r="F130" s="29"/>
      <c r="G130" s="34"/>
      <c r="H130" s="29"/>
      <c r="I130" s="29"/>
      <c r="J130" s="29"/>
      <c r="K130" s="29"/>
      <c r="L130" s="36"/>
      <c r="M130" s="29"/>
      <c r="N130" s="54"/>
      <c r="O130" s="55" t="n">
        <f aca="false">N130*J130</f>
        <v>0</v>
      </c>
    </row>
    <row r="131" customFormat="false" ht="15" hidden="false" customHeight="false" outlineLevel="0" collapsed="false">
      <c r="A131" s="33"/>
      <c r="B131" s="28"/>
      <c r="C131" s="29"/>
      <c r="D131" s="29"/>
      <c r="E131" s="29"/>
      <c r="F131" s="29"/>
      <c r="G131" s="34"/>
      <c r="H131" s="29"/>
      <c r="I131" s="29"/>
      <c r="J131" s="29"/>
      <c r="K131" s="29"/>
      <c r="L131" s="36"/>
      <c r="M131" s="29"/>
      <c r="N131" s="54"/>
      <c r="O131" s="55" t="n">
        <f aca="false">N131*J131</f>
        <v>0</v>
      </c>
    </row>
    <row r="132" customFormat="false" ht="15" hidden="false" customHeight="false" outlineLevel="0" collapsed="false">
      <c r="A132" s="33"/>
      <c r="B132" s="28"/>
      <c r="C132" s="29"/>
      <c r="D132" s="29"/>
      <c r="E132" s="29"/>
      <c r="F132" s="29"/>
      <c r="G132" s="34"/>
      <c r="H132" s="29"/>
      <c r="I132" s="29"/>
      <c r="J132" s="29"/>
      <c r="K132" s="29"/>
      <c r="L132" s="36"/>
      <c r="M132" s="29"/>
      <c r="N132" s="54"/>
      <c r="O132" s="55" t="n">
        <f aca="false">N132*J132</f>
        <v>0</v>
      </c>
    </row>
    <row r="133" customFormat="false" ht="15" hidden="false" customHeight="false" outlineLevel="0" collapsed="false">
      <c r="A133" s="33"/>
      <c r="B133" s="28"/>
      <c r="C133" s="29"/>
      <c r="D133" s="29"/>
      <c r="E133" s="29"/>
      <c r="F133" s="29"/>
      <c r="G133" s="34"/>
      <c r="H133" s="29"/>
      <c r="I133" s="29"/>
      <c r="J133" s="29"/>
      <c r="K133" s="29"/>
      <c r="L133" s="36"/>
      <c r="M133" s="29"/>
      <c r="N133" s="54"/>
      <c r="O133" s="55" t="n">
        <f aca="false">N133*J133</f>
        <v>0</v>
      </c>
    </row>
    <row r="134" customFormat="false" ht="15" hidden="false" customHeight="false" outlineLevel="0" collapsed="false">
      <c r="A134" s="33"/>
      <c r="B134" s="28"/>
      <c r="C134" s="29"/>
      <c r="D134" s="29"/>
      <c r="E134" s="29"/>
      <c r="F134" s="29"/>
      <c r="G134" s="34"/>
      <c r="H134" s="29"/>
      <c r="I134" s="29"/>
      <c r="J134" s="29"/>
      <c r="K134" s="29"/>
      <c r="L134" s="36"/>
      <c r="M134" s="29"/>
      <c r="N134" s="58"/>
      <c r="O134" s="59" t="n">
        <f aca="false">N134*J134</f>
        <v>0</v>
      </c>
      <c r="P134" s="58"/>
    </row>
    <row r="135" customFormat="false" ht="15" hidden="false" customHeight="false" outlineLevel="0" collapsed="false">
      <c r="A135" s="33"/>
      <c r="B135" s="28"/>
      <c r="C135" s="29"/>
      <c r="D135" s="29"/>
      <c r="E135" s="29"/>
      <c r="F135" s="29"/>
      <c r="G135" s="34"/>
      <c r="H135" s="29"/>
      <c r="I135" s="29"/>
      <c r="J135" s="29"/>
      <c r="K135" s="29"/>
      <c r="L135" s="36"/>
      <c r="M135" s="29"/>
      <c r="N135" s="58"/>
      <c r="O135" s="59" t="n">
        <f aca="false">N135*J135</f>
        <v>0</v>
      </c>
      <c r="P135" s="58"/>
    </row>
    <row r="136" customFormat="false" ht="15" hidden="false" customHeight="false" outlineLevel="0" collapsed="false">
      <c r="A136" s="33"/>
      <c r="B136" s="28"/>
      <c r="C136" s="29"/>
      <c r="D136" s="29"/>
      <c r="E136" s="29"/>
      <c r="F136" s="29"/>
      <c r="G136" s="34"/>
      <c r="H136" s="29"/>
      <c r="I136" s="29"/>
      <c r="J136" s="29"/>
      <c r="K136" s="29"/>
      <c r="L136" s="36"/>
      <c r="M136" s="29"/>
      <c r="N136" s="58"/>
      <c r="O136" s="59" t="n">
        <f aca="false">N136*J136</f>
        <v>0</v>
      </c>
      <c r="P136" s="58"/>
    </row>
    <row r="137" customFormat="false" ht="15" hidden="false" customHeight="false" outlineLevel="0" collapsed="false">
      <c r="A137" s="33"/>
      <c r="B137" s="28"/>
      <c r="C137" s="33"/>
      <c r="D137" s="29"/>
      <c r="E137" s="29"/>
      <c r="F137" s="29"/>
      <c r="G137" s="34"/>
      <c r="H137" s="29"/>
      <c r="I137" s="29"/>
      <c r="J137" s="29"/>
      <c r="K137" s="29"/>
      <c r="L137" s="36"/>
      <c r="M137" s="29"/>
      <c r="N137" s="58"/>
      <c r="O137" s="59" t="n">
        <f aca="false">N137*J137</f>
        <v>0</v>
      </c>
      <c r="P137" s="58"/>
    </row>
    <row r="138" customFormat="false" ht="15" hidden="false" customHeight="false" outlineLevel="0" collapsed="false">
      <c r="A138" s="33"/>
      <c r="B138" s="28"/>
      <c r="C138" s="29"/>
      <c r="D138" s="29"/>
      <c r="E138" s="29"/>
      <c r="F138" s="29"/>
      <c r="G138" s="34"/>
      <c r="H138" s="29"/>
      <c r="I138" s="29"/>
      <c r="J138" s="29"/>
      <c r="K138" s="29"/>
      <c r="L138" s="36"/>
      <c r="M138" s="29"/>
      <c r="N138" s="54"/>
      <c r="O138" s="55" t="n">
        <f aca="false">N138*J138</f>
        <v>0</v>
      </c>
    </row>
    <row r="139" customFormat="false" ht="15" hidden="false" customHeight="false" outlineLevel="0" collapsed="false">
      <c r="A139" s="33"/>
      <c r="B139" s="28"/>
      <c r="C139" s="29"/>
      <c r="D139" s="29"/>
      <c r="E139" s="29"/>
      <c r="F139" s="29"/>
      <c r="G139" s="34"/>
      <c r="H139" s="29"/>
      <c r="I139" s="29"/>
      <c r="J139" s="29"/>
      <c r="K139" s="29"/>
      <c r="L139" s="36"/>
      <c r="M139" s="29"/>
      <c r="N139" s="54"/>
      <c r="O139" s="55" t="n">
        <f aca="false">N139*J139</f>
        <v>0</v>
      </c>
    </row>
    <row r="140" customFormat="false" ht="15" hidden="false" customHeight="false" outlineLevel="0" collapsed="false">
      <c r="A140" s="33"/>
      <c r="B140" s="28"/>
      <c r="C140" s="29"/>
      <c r="D140" s="29"/>
      <c r="E140" s="29"/>
      <c r="F140" s="29"/>
      <c r="G140" s="34"/>
      <c r="H140" s="29"/>
      <c r="I140" s="29"/>
      <c r="J140" s="29"/>
      <c r="K140" s="29"/>
      <c r="L140" s="36"/>
      <c r="M140" s="29"/>
      <c r="N140" s="54"/>
      <c r="O140" s="55" t="n">
        <f aca="false">N140*J140</f>
        <v>0</v>
      </c>
    </row>
    <row r="141" customFormat="false" ht="15" hidden="false" customHeight="false" outlineLevel="0" collapsed="false">
      <c r="A141" s="33"/>
      <c r="B141" s="28"/>
      <c r="C141" s="29"/>
      <c r="D141" s="29"/>
      <c r="E141" s="29"/>
      <c r="F141" s="29"/>
      <c r="G141" s="34"/>
      <c r="H141" s="29"/>
      <c r="I141" s="29"/>
      <c r="J141" s="29"/>
      <c r="K141" s="29"/>
      <c r="L141" s="36"/>
      <c r="M141" s="29"/>
      <c r="N141" s="58"/>
      <c r="O141" s="59" t="n">
        <f aca="false">N141*J141</f>
        <v>0</v>
      </c>
      <c r="P141" s="58"/>
    </row>
    <row r="142" customFormat="false" ht="15" hidden="false" customHeight="false" outlineLevel="0" collapsed="false">
      <c r="A142" s="33"/>
      <c r="B142" s="28"/>
      <c r="C142" s="29"/>
      <c r="D142" s="29"/>
      <c r="E142" s="29"/>
      <c r="F142" s="29"/>
      <c r="G142" s="34"/>
      <c r="H142" s="29"/>
      <c r="I142" s="29"/>
      <c r="J142" s="29"/>
      <c r="K142" s="29"/>
      <c r="L142" s="36"/>
      <c r="M142" s="29"/>
      <c r="N142" s="58"/>
      <c r="O142" s="59" t="n">
        <f aca="false">N142*J142</f>
        <v>0</v>
      </c>
      <c r="P142" s="58"/>
    </row>
    <row r="143" customFormat="false" ht="15" hidden="false" customHeight="false" outlineLevel="0" collapsed="false">
      <c r="A143" s="33"/>
      <c r="B143" s="28"/>
      <c r="C143" s="33"/>
      <c r="D143" s="29"/>
      <c r="E143" s="29"/>
      <c r="F143" s="29"/>
      <c r="G143" s="34"/>
      <c r="H143" s="29"/>
      <c r="I143" s="29"/>
      <c r="J143" s="29"/>
      <c r="K143" s="29"/>
      <c r="L143" s="36"/>
      <c r="M143" s="29"/>
      <c r="N143" s="58"/>
      <c r="O143" s="59" t="n">
        <f aca="false">N143*J143</f>
        <v>0</v>
      </c>
      <c r="P143" s="58"/>
    </row>
    <row r="144" customFormat="false" ht="15" hidden="false" customHeight="false" outlineLevel="0" collapsed="false">
      <c r="A144" s="33"/>
      <c r="B144" s="28"/>
      <c r="C144" s="29"/>
      <c r="D144" s="29"/>
      <c r="E144" s="29"/>
      <c r="F144" s="29"/>
      <c r="G144" s="34"/>
      <c r="H144" s="29"/>
      <c r="I144" s="29"/>
      <c r="J144" s="29"/>
      <c r="K144" s="29"/>
      <c r="L144" s="36"/>
      <c r="M144" s="29"/>
      <c r="N144" s="54"/>
      <c r="O144" s="55" t="n">
        <f aca="false">N144*J144</f>
        <v>0</v>
      </c>
    </row>
    <row r="145" customFormat="false" ht="15" hidden="false" customHeight="false" outlineLevel="0" collapsed="false">
      <c r="A145" s="33"/>
      <c r="B145" s="28"/>
      <c r="C145" s="41"/>
      <c r="D145" s="41"/>
      <c r="E145" s="41"/>
      <c r="F145" s="34"/>
      <c r="G145" s="34"/>
      <c r="H145" s="29"/>
      <c r="I145" s="29"/>
      <c r="J145" s="29"/>
      <c r="K145" s="29"/>
      <c r="L145" s="36"/>
      <c r="M145" s="29"/>
      <c r="N145" s="54"/>
      <c r="O145" s="55" t="n">
        <f aca="false">N145*J145</f>
        <v>0</v>
      </c>
    </row>
    <row r="146" customFormat="false" ht="15" hidden="false" customHeight="false" outlineLevel="0" collapsed="false">
      <c r="A146" s="33"/>
      <c r="B146" s="28"/>
      <c r="C146" s="29"/>
      <c r="D146" s="29"/>
      <c r="E146" s="29"/>
      <c r="F146" s="29"/>
      <c r="G146" s="34"/>
      <c r="H146" s="29"/>
      <c r="I146" s="29"/>
      <c r="J146" s="29"/>
      <c r="K146" s="29"/>
      <c r="L146" s="36"/>
      <c r="M146" s="29"/>
      <c r="N146" s="54"/>
      <c r="O146" s="55" t="n">
        <f aca="false">N146*J146</f>
        <v>0</v>
      </c>
    </row>
    <row r="147" customFormat="false" ht="15" hidden="false" customHeight="false" outlineLevel="0" collapsed="false">
      <c r="A147" s="33"/>
      <c r="B147" s="28"/>
      <c r="C147" s="29"/>
      <c r="D147" s="29"/>
      <c r="E147" s="29"/>
      <c r="F147" s="29"/>
      <c r="G147" s="34"/>
      <c r="H147" s="29"/>
      <c r="I147" s="29"/>
      <c r="J147" s="29"/>
      <c r="K147" s="29"/>
      <c r="L147" s="36"/>
      <c r="M147" s="29"/>
      <c r="N147" s="54"/>
      <c r="O147" s="55" t="n">
        <f aca="false">N147*J147</f>
        <v>0</v>
      </c>
    </row>
    <row r="148" customFormat="false" ht="15" hidden="false" customHeight="false" outlineLevel="0" collapsed="false">
      <c r="A148" s="33"/>
      <c r="B148" s="28"/>
      <c r="C148" s="29"/>
      <c r="D148" s="29"/>
      <c r="E148" s="29"/>
      <c r="F148" s="29"/>
      <c r="G148" s="34"/>
      <c r="H148" s="29"/>
      <c r="I148" s="29"/>
      <c r="J148" s="29"/>
      <c r="K148" s="29"/>
      <c r="L148" s="36"/>
      <c r="M148" s="29"/>
      <c r="N148" s="54"/>
      <c r="O148" s="55" t="n">
        <f aca="false">N148*J148</f>
        <v>0</v>
      </c>
    </row>
    <row r="149" customFormat="false" ht="15" hidden="false" customHeight="false" outlineLevel="0" collapsed="false">
      <c r="A149" s="33"/>
      <c r="B149" s="28"/>
      <c r="C149" s="29"/>
      <c r="D149" s="29"/>
      <c r="E149" s="29"/>
      <c r="F149" s="29"/>
      <c r="G149" s="34"/>
      <c r="H149" s="29"/>
      <c r="I149" s="29"/>
      <c r="J149" s="29"/>
      <c r="K149" s="29"/>
      <c r="L149" s="36"/>
      <c r="M149" s="29"/>
      <c r="N149" s="58"/>
      <c r="O149" s="59" t="n">
        <f aca="false">N149*J149</f>
        <v>0</v>
      </c>
      <c r="P149" s="58"/>
    </row>
    <row r="150" customFormat="false" ht="15" hidden="false" customHeight="false" outlineLevel="0" collapsed="false">
      <c r="A150" s="33"/>
      <c r="B150" s="28"/>
      <c r="C150" s="29"/>
      <c r="D150" s="29"/>
      <c r="E150" s="29"/>
      <c r="F150" s="29"/>
      <c r="G150" s="34"/>
      <c r="H150" s="29"/>
      <c r="I150" s="29"/>
      <c r="J150" s="29"/>
      <c r="K150" s="29"/>
      <c r="L150" s="36"/>
      <c r="M150" s="29"/>
      <c r="N150" s="58"/>
      <c r="O150" s="59" t="n">
        <f aca="false">N150*J150</f>
        <v>0</v>
      </c>
      <c r="P150" s="58"/>
    </row>
    <row r="151" customFormat="false" ht="15" hidden="false" customHeight="false" outlineLevel="0" collapsed="false">
      <c r="A151" s="33"/>
      <c r="B151" s="28"/>
      <c r="C151" s="29"/>
      <c r="D151" s="29"/>
      <c r="E151" s="29"/>
      <c r="F151" s="29"/>
      <c r="G151" s="34"/>
      <c r="H151" s="29"/>
      <c r="I151" s="29"/>
      <c r="J151" s="29"/>
      <c r="K151" s="29"/>
      <c r="L151" s="36"/>
      <c r="M151" s="29"/>
      <c r="N151" s="58"/>
      <c r="O151" s="59" t="n">
        <f aca="false">N151*J151</f>
        <v>0</v>
      </c>
      <c r="P151" s="58"/>
    </row>
    <row r="152" customFormat="false" ht="15" hidden="false" customHeight="false" outlineLevel="0" collapsed="false">
      <c r="A152" s="33"/>
      <c r="B152" s="28"/>
      <c r="C152" s="29"/>
      <c r="D152" s="29"/>
      <c r="E152" s="29"/>
      <c r="F152" s="29"/>
      <c r="G152" s="34"/>
      <c r="H152" s="29"/>
      <c r="I152" s="29"/>
      <c r="J152" s="29"/>
      <c r="K152" s="29"/>
      <c r="L152" s="36"/>
      <c r="M152" s="29"/>
      <c r="N152" s="54"/>
      <c r="O152" s="55" t="n">
        <f aca="false">N152*J152</f>
        <v>0</v>
      </c>
    </row>
    <row r="153" customFormat="false" ht="15" hidden="false" customHeight="false" outlineLevel="0" collapsed="false">
      <c r="A153" s="33"/>
      <c r="B153" s="28"/>
      <c r="C153" s="29"/>
      <c r="D153" s="29"/>
      <c r="E153" s="29"/>
      <c r="F153" s="29"/>
      <c r="G153" s="34"/>
      <c r="H153" s="29"/>
      <c r="I153" s="29"/>
      <c r="J153" s="29"/>
      <c r="K153" s="29"/>
      <c r="L153" s="36"/>
      <c r="M153" s="29"/>
      <c r="N153" s="54"/>
      <c r="O153" s="55" t="n">
        <f aca="false">N153*J153</f>
        <v>0</v>
      </c>
    </row>
    <row r="154" customFormat="false" ht="15" hidden="false" customHeight="false" outlineLevel="0" collapsed="false">
      <c r="A154" s="33"/>
      <c r="B154" s="28"/>
      <c r="C154" s="29"/>
      <c r="D154" s="29"/>
      <c r="E154" s="29"/>
      <c r="F154" s="29"/>
      <c r="G154" s="34"/>
      <c r="H154" s="29"/>
      <c r="I154" s="29"/>
      <c r="J154" s="29"/>
      <c r="K154" s="29"/>
      <c r="L154" s="36"/>
      <c r="M154" s="29"/>
      <c r="N154" s="54"/>
      <c r="O154" s="55" t="n">
        <f aca="false">N154*J154</f>
        <v>0</v>
      </c>
    </row>
    <row r="155" customFormat="false" ht="15" hidden="false" customHeight="false" outlineLevel="0" collapsed="false">
      <c r="A155" s="33"/>
      <c r="B155" s="28"/>
      <c r="C155" s="29"/>
      <c r="D155" s="29"/>
      <c r="E155" s="29"/>
      <c r="F155" s="29"/>
      <c r="G155" s="34"/>
      <c r="H155" s="29"/>
      <c r="I155" s="29"/>
      <c r="J155" s="29"/>
      <c r="K155" s="29"/>
      <c r="L155" s="36"/>
      <c r="M155" s="29"/>
      <c r="N155" s="54"/>
      <c r="O155" s="55" t="n">
        <f aca="false">N155*J155</f>
        <v>0</v>
      </c>
    </row>
    <row r="156" customFormat="false" ht="15" hidden="false" customHeight="false" outlineLevel="0" collapsed="false">
      <c r="A156" s="33"/>
      <c r="B156" s="28"/>
      <c r="C156" s="29"/>
      <c r="D156" s="29"/>
      <c r="E156" s="29"/>
      <c r="F156" s="29"/>
      <c r="G156" s="34"/>
      <c r="H156" s="29"/>
      <c r="I156" s="29"/>
      <c r="J156" s="29"/>
      <c r="K156" s="29"/>
      <c r="L156" s="36"/>
      <c r="M156" s="29"/>
      <c r="N156" s="54"/>
      <c r="O156" s="55" t="n">
        <f aca="false">N156*J156</f>
        <v>0</v>
      </c>
    </row>
    <row r="157" customFormat="false" ht="15" hidden="false" customHeight="false" outlineLevel="0" collapsed="false">
      <c r="A157" s="33"/>
      <c r="B157" s="28"/>
      <c r="C157" s="29"/>
      <c r="D157" s="29"/>
      <c r="E157" s="29"/>
      <c r="F157" s="29"/>
      <c r="G157" s="34"/>
      <c r="H157" s="29"/>
      <c r="I157" s="29"/>
      <c r="J157" s="29"/>
      <c r="K157" s="29"/>
      <c r="L157" s="36"/>
      <c r="M157" s="29"/>
      <c r="N157" s="58"/>
      <c r="O157" s="59" t="n">
        <f aca="false">N157*J157</f>
        <v>0</v>
      </c>
      <c r="P157" s="58"/>
    </row>
    <row r="158" customFormat="false" ht="15" hidden="false" customHeight="false" outlineLevel="0" collapsed="false">
      <c r="A158" s="33"/>
      <c r="B158" s="28"/>
      <c r="C158" s="29"/>
      <c r="D158" s="29"/>
      <c r="E158" s="29"/>
      <c r="F158" s="29"/>
      <c r="G158" s="34"/>
      <c r="H158" s="29"/>
      <c r="I158" s="29"/>
      <c r="J158" s="29"/>
      <c r="K158" s="29"/>
      <c r="L158" s="36"/>
      <c r="M158" s="29"/>
      <c r="N158" s="58"/>
      <c r="O158" s="59" t="n">
        <f aca="false">N158*J158</f>
        <v>0</v>
      </c>
      <c r="P158" s="58"/>
    </row>
    <row r="159" customFormat="false" ht="15" hidden="false" customHeight="false" outlineLevel="0" collapsed="false">
      <c r="A159" s="33"/>
      <c r="B159" s="28"/>
      <c r="C159" s="29"/>
      <c r="D159" s="29"/>
      <c r="E159" s="29"/>
      <c r="F159" s="29"/>
      <c r="G159" s="34"/>
      <c r="H159" s="29"/>
      <c r="I159" s="29"/>
      <c r="J159" s="29"/>
      <c r="K159" s="29"/>
      <c r="L159" s="36"/>
      <c r="M159" s="29"/>
      <c r="N159" s="58"/>
      <c r="O159" s="59" t="n">
        <f aca="false">N159*J159</f>
        <v>0</v>
      </c>
      <c r="P159" s="58"/>
    </row>
    <row r="160" customFormat="false" ht="15" hidden="false" customHeight="false" outlineLevel="0" collapsed="false">
      <c r="A160" s="33"/>
      <c r="B160" s="28"/>
      <c r="C160" s="29"/>
      <c r="D160" s="29"/>
      <c r="E160" s="29"/>
      <c r="F160" s="29"/>
      <c r="G160" s="34"/>
      <c r="H160" s="29"/>
      <c r="I160" s="29"/>
      <c r="J160" s="29"/>
      <c r="K160" s="29"/>
      <c r="L160" s="36"/>
      <c r="M160" s="29"/>
      <c r="N160" s="54"/>
      <c r="O160" s="55" t="n">
        <f aca="false">N160*J160</f>
        <v>0</v>
      </c>
    </row>
    <row r="161" customFormat="false" ht="15" hidden="false" customHeight="false" outlineLevel="0" collapsed="false">
      <c r="A161" s="33"/>
      <c r="B161" s="28"/>
      <c r="C161" s="29"/>
      <c r="D161" s="29"/>
      <c r="E161" s="29"/>
      <c r="F161" s="29"/>
      <c r="G161" s="34"/>
      <c r="H161" s="29"/>
      <c r="I161" s="29"/>
      <c r="J161" s="29"/>
      <c r="K161" s="29"/>
      <c r="L161" s="36"/>
      <c r="M161" s="29"/>
      <c r="N161" s="54"/>
      <c r="O161" s="55" t="n">
        <f aca="false">N161*J161</f>
        <v>0</v>
      </c>
    </row>
    <row r="162" customFormat="false" ht="15" hidden="false" customHeight="false" outlineLevel="0" collapsed="false">
      <c r="A162" s="33"/>
      <c r="B162" s="28"/>
      <c r="C162" s="29"/>
      <c r="D162" s="29"/>
      <c r="E162" s="29"/>
      <c r="F162" s="29"/>
      <c r="G162" s="34"/>
      <c r="H162" s="29"/>
      <c r="I162" s="29"/>
      <c r="J162" s="29"/>
      <c r="K162" s="29"/>
      <c r="L162" s="36"/>
      <c r="M162" s="29"/>
      <c r="N162" s="54"/>
      <c r="O162" s="55" t="n">
        <f aca="false">N162*J162</f>
        <v>0</v>
      </c>
    </row>
    <row r="163" customFormat="false" ht="15" hidden="false" customHeight="false" outlineLevel="0" collapsed="false">
      <c r="A163" s="33"/>
      <c r="B163" s="28"/>
      <c r="C163" s="29"/>
      <c r="D163" s="29"/>
      <c r="E163" s="29"/>
      <c r="F163" s="29"/>
      <c r="G163" s="34"/>
      <c r="H163" s="29"/>
      <c r="I163" s="29"/>
      <c r="J163" s="29"/>
      <c r="K163" s="29"/>
      <c r="L163" s="36"/>
      <c r="M163" s="29"/>
      <c r="N163" s="54"/>
      <c r="O163" s="55" t="n">
        <f aca="false">N163*J163</f>
        <v>0</v>
      </c>
    </row>
    <row r="164" customFormat="false" ht="15" hidden="false" customHeight="false" outlineLevel="0" collapsed="false">
      <c r="A164" s="33"/>
      <c r="B164" s="28"/>
      <c r="C164" s="29"/>
      <c r="D164" s="29"/>
      <c r="E164" s="29"/>
      <c r="F164" s="29"/>
      <c r="G164" s="34"/>
      <c r="H164" s="29"/>
      <c r="I164" s="29"/>
      <c r="J164" s="29"/>
      <c r="K164" s="29"/>
      <c r="L164" s="36"/>
      <c r="M164" s="29"/>
      <c r="N164" s="54"/>
      <c r="O164" s="55" t="n">
        <f aca="false">N164*J164</f>
        <v>0</v>
      </c>
    </row>
    <row r="165" customFormat="false" ht="15" hidden="false" customHeight="false" outlineLevel="0" collapsed="false">
      <c r="A165" s="33"/>
      <c r="B165" s="28" t="s">
        <v>21</v>
      </c>
      <c r="C165" s="29"/>
      <c r="D165" s="29"/>
      <c r="E165" s="29"/>
      <c r="F165" s="29"/>
      <c r="G165" s="34"/>
      <c r="H165" s="29"/>
      <c r="I165" s="29"/>
      <c r="J165" s="29"/>
      <c r="K165" s="29"/>
      <c r="L165" s="36"/>
      <c r="M165" s="29"/>
      <c r="N165" s="54"/>
      <c r="O165" s="55" t="n">
        <f aca="false">N165*J165</f>
        <v>0</v>
      </c>
    </row>
    <row r="166" customFormat="false" ht="15" hidden="false" customHeight="false" outlineLevel="0" collapsed="false">
      <c r="A166" s="33"/>
      <c r="B166" s="28" t="s">
        <v>21</v>
      </c>
      <c r="C166" s="29"/>
      <c r="D166" s="29"/>
      <c r="E166" s="29"/>
      <c r="F166" s="29"/>
      <c r="G166" s="34"/>
      <c r="H166" s="29"/>
      <c r="I166" s="29"/>
      <c r="J166" s="29"/>
      <c r="K166" s="29"/>
      <c r="L166" s="36"/>
      <c r="M166" s="29"/>
      <c r="N166" s="54"/>
      <c r="O166" s="55" t="n">
        <f aca="false">N166*J166</f>
        <v>0</v>
      </c>
    </row>
    <row r="167" customFormat="false" ht="15" hidden="false" customHeight="false" outlineLevel="0" collapsed="false">
      <c r="A167" s="33"/>
      <c r="B167" s="28" t="s">
        <v>21</v>
      </c>
      <c r="C167" s="29"/>
      <c r="D167" s="29"/>
      <c r="E167" s="29"/>
      <c r="F167" s="29"/>
      <c r="G167" s="34"/>
      <c r="H167" s="29"/>
      <c r="I167" s="29"/>
      <c r="J167" s="29"/>
      <c r="K167" s="29"/>
      <c r="L167" s="36"/>
      <c r="M167" s="29"/>
      <c r="N167" s="58"/>
      <c r="O167" s="59" t="n">
        <f aca="false">N167*J167</f>
        <v>0</v>
      </c>
      <c r="P167" s="58"/>
    </row>
    <row r="168" customFormat="false" ht="15" hidden="false" customHeight="false" outlineLevel="0" collapsed="false">
      <c r="A168" s="33"/>
      <c r="B168" s="28" t="s">
        <v>21</v>
      </c>
      <c r="C168" s="29"/>
      <c r="D168" s="29"/>
      <c r="E168" s="29"/>
      <c r="F168" s="29"/>
      <c r="G168" s="34"/>
      <c r="H168" s="29"/>
      <c r="I168" s="29"/>
      <c r="J168" s="29"/>
      <c r="K168" s="29"/>
      <c r="L168" s="36"/>
      <c r="M168" s="29"/>
      <c r="N168" s="58"/>
      <c r="O168" s="59" t="n">
        <f aca="false">N168*J168</f>
        <v>0</v>
      </c>
      <c r="P168" s="58"/>
    </row>
    <row r="169" customFormat="false" ht="15" hidden="false" customHeight="false" outlineLevel="0" collapsed="false">
      <c r="A169" s="33"/>
      <c r="B169" s="28" t="s">
        <v>21</v>
      </c>
      <c r="C169" s="29"/>
      <c r="D169" s="29"/>
      <c r="E169" s="29"/>
      <c r="F169" s="29"/>
      <c r="G169" s="34"/>
      <c r="H169" s="29"/>
      <c r="I169" s="29"/>
      <c r="J169" s="29"/>
      <c r="K169" s="29"/>
      <c r="L169" s="36"/>
      <c r="M169" s="29"/>
      <c r="N169" s="58"/>
      <c r="O169" s="59" t="n">
        <f aca="false">N169*J169</f>
        <v>0</v>
      </c>
      <c r="P169" s="58"/>
    </row>
    <row r="170" customFormat="false" ht="15" hidden="false" customHeight="false" outlineLevel="0" collapsed="false">
      <c r="A170" s="33"/>
      <c r="B170" s="28" t="s">
        <v>21</v>
      </c>
      <c r="C170" s="29"/>
      <c r="D170" s="29"/>
      <c r="E170" s="29"/>
      <c r="F170" s="29"/>
      <c r="G170" s="34"/>
      <c r="H170" s="29"/>
      <c r="I170" s="29"/>
      <c r="J170" s="29"/>
      <c r="K170" s="29"/>
      <c r="L170" s="36"/>
      <c r="M170" s="29"/>
      <c r="N170" s="54"/>
      <c r="O170" s="55" t="n">
        <f aca="false">N170*J170</f>
        <v>0</v>
      </c>
    </row>
    <row r="171" customFormat="false" ht="15" hidden="false" customHeight="false" outlineLevel="0" collapsed="false">
      <c r="A171" s="33"/>
      <c r="B171" s="28" t="s">
        <v>21</v>
      </c>
      <c r="C171" s="29"/>
      <c r="D171" s="29"/>
      <c r="E171" s="29"/>
      <c r="F171" s="29"/>
      <c r="G171" s="34"/>
      <c r="H171" s="29"/>
      <c r="I171" s="29"/>
      <c r="J171" s="29"/>
      <c r="K171" s="29"/>
      <c r="L171" s="36"/>
      <c r="M171" s="29"/>
      <c r="N171" s="54"/>
      <c r="O171" s="55" t="n">
        <f aca="false">N171*J171</f>
        <v>0</v>
      </c>
    </row>
    <row r="172" customFormat="false" ht="15" hidden="false" customHeight="false" outlineLevel="0" collapsed="false">
      <c r="A172" s="33"/>
      <c r="B172" s="28" t="s">
        <v>21</v>
      </c>
      <c r="C172" s="29"/>
      <c r="D172" s="29"/>
      <c r="E172" s="29"/>
      <c r="F172" s="29"/>
      <c r="G172" s="34"/>
      <c r="H172" s="29"/>
      <c r="I172" s="29"/>
      <c r="J172" s="29"/>
      <c r="K172" s="29"/>
      <c r="L172" s="36"/>
      <c r="M172" s="29"/>
      <c r="N172" s="54"/>
      <c r="O172" s="55" t="n">
        <f aca="false">N172*J172</f>
        <v>0</v>
      </c>
    </row>
    <row r="173" customFormat="false" ht="15" hidden="false" customHeight="false" outlineLevel="0" collapsed="false">
      <c r="A173" s="33"/>
      <c r="B173" s="28" t="s">
        <v>21</v>
      </c>
      <c r="C173" s="29"/>
      <c r="D173" s="29"/>
      <c r="E173" s="29"/>
      <c r="F173" s="29"/>
      <c r="G173" s="34"/>
      <c r="H173" s="29"/>
      <c r="I173" s="29"/>
      <c r="J173" s="29"/>
      <c r="K173" s="29"/>
      <c r="L173" s="36"/>
      <c r="M173" s="29"/>
      <c r="N173" s="54"/>
      <c r="O173" s="55" t="n">
        <f aca="false">N173*J173</f>
        <v>0</v>
      </c>
    </row>
    <row r="174" customFormat="false" ht="15" hidden="false" customHeight="false" outlineLevel="0" collapsed="false">
      <c r="A174" s="33"/>
      <c r="B174" s="28" t="s">
        <v>21</v>
      </c>
      <c r="C174" s="29"/>
      <c r="D174" s="29"/>
      <c r="E174" s="29"/>
      <c r="F174" s="29"/>
      <c r="G174" s="34"/>
      <c r="H174" s="29"/>
      <c r="I174" s="29"/>
      <c r="J174" s="29"/>
      <c r="K174" s="29"/>
      <c r="L174" s="36"/>
      <c r="M174" s="29"/>
      <c r="N174" s="54"/>
      <c r="O174" s="55" t="n">
        <f aca="false">N174*J174</f>
        <v>0</v>
      </c>
    </row>
    <row r="175" customFormat="false" ht="15" hidden="false" customHeight="false" outlineLevel="0" collapsed="false">
      <c r="A175" s="33"/>
      <c r="B175" s="28"/>
      <c r="C175" s="29"/>
      <c r="D175" s="29"/>
      <c r="E175" s="29"/>
      <c r="F175" s="29"/>
      <c r="G175" s="34"/>
      <c r="H175" s="29"/>
      <c r="I175" s="29"/>
      <c r="J175" s="29"/>
      <c r="K175" s="29"/>
      <c r="L175" s="36"/>
      <c r="M175" s="29"/>
      <c r="N175" s="54"/>
      <c r="O175" s="55" t="n">
        <f aca="false">N175*J175</f>
        <v>0</v>
      </c>
    </row>
    <row r="176" customFormat="false" ht="15" hidden="false" customHeight="false" outlineLevel="0" collapsed="false">
      <c r="A176" s="33"/>
      <c r="B176" s="28" t="s">
        <v>21</v>
      </c>
      <c r="C176" s="29"/>
      <c r="D176" s="29"/>
      <c r="E176" s="29"/>
      <c r="F176" s="29"/>
      <c r="G176" s="34"/>
      <c r="H176" s="29"/>
      <c r="I176" s="29"/>
      <c r="J176" s="29"/>
      <c r="K176" s="29"/>
      <c r="L176" s="36"/>
      <c r="M176" s="29"/>
      <c r="N176" s="54"/>
      <c r="O176" s="55" t="n">
        <f aca="false">N176*J176</f>
        <v>0</v>
      </c>
    </row>
    <row r="177" customFormat="false" ht="15" hidden="false" customHeight="false" outlineLevel="0" collapsed="false">
      <c r="A177" s="33"/>
      <c r="B177" s="28" t="s">
        <v>21</v>
      </c>
      <c r="C177" s="29"/>
      <c r="D177" s="29"/>
      <c r="E177" s="29"/>
      <c r="F177" s="29"/>
      <c r="G177" s="34"/>
      <c r="H177" s="29"/>
      <c r="I177" s="29"/>
      <c r="J177" s="29"/>
      <c r="K177" s="29"/>
      <c r="L177" s="36"/>
      <c r="M177" s="29"/>
      <c r="N177" s="54"/>
      <c r="O177" s="55" t="n">
        <f aca="false">N177*J177</f>
        <v>0</v>
      </c>
    </row>
    <row r="178" customFormat="false" ht="15" hidden="false" customHeight="false" outlineLevel="0" collapsed="false">
      <c r="A178" s="33"/>
      <c r="B178" s="28" t="s">
        <v>21</v>
      </c>
      <c r="C178" s="29"/>
      <c r="D178" s="29"/>
      <c r="E178" s="29"/>
      <c r="F178" s="29"/>
      <c r="G178" s="34"/>
      <c r="H178" s="29"/>
      <c r="I178" s="29"/>
      <c r="J178" s="29"/>
      <c r="K178" s="29"/>
      <c r="L178" s="36"/>
      <c r="M178" s="29"/>
      <c r="N178" s="54"/>
      <c r="O178" s="55" t="n">
        <f aca="false">N178*J178</f>
        <v>0</v>
      </c>
    </row>
    <row r="179" customFormat="false" ht="15" hidden="false" customHeight="false" outlineLevel="0" collapsed="false">
      <c r="A179" s="33"/>
      <c r="B179" s="28" t="s">
        <v>21</v>
      </c>
      <c r="C179" s="29"/>
      <c r="D179" s="29"/>
      <c r="E179" s="29"/>
      <c r="F179" s="29"/>
      <c r="G179" s="34"/>
      <c r="H179" s="29"/>
      <c r="I179" s="29"/>
      <c r="J179" s="29"/>
      <c r="K179" s="29"/>
      <c r="L179" s="36"/>
      <c r="M179" s="29"/>
      <c r="N179" s="54"/>
      <c r="O179" s="55" t="n">
        <f aca="false">N179*J179</f>
        <v>0</v>
      </c>
    </row>
    <row r="180" customFormat="false" ht="15" hidden="false" customHeight="false" outlineLevel="0" collapsed="false">
      <c r="A180" s="33"/>
      <c r="B180" s="28" t="s">
        <v>21</v>
      </c>
      <c r="C180" s="29"/>
      <c r="D180" s="29"/>
      <c r="E180" s="29"/>
      <c r="F180" s="29"/>
      <c r="G180" s="34"/>
      <c r="H180" s="29"/>
      <c r="I180" s="29"/>
      <c r="J180" s="29"/>
      <c r="K180" s="29"/>
      <c r="L180" s="36"/>
      <c r="M180" s="29"/>
      <c r="N180" s="54"/>
      <c r="O180" s="55" t="n">
        <f aca="false">N180*J180</f>
        <v>0</v>
      </c>
    </row>
    <row r="181" customFormat="false" ht="15" hidden="false" customHeight="false" outlineLevel="0" collapsed="false">
      <c r="A181" s="33"/>
      <c r="B181" s="28" t="s">
        <v>21</v>
      </c>
      <c r="C181" s="29"/>
      <c r="D181" s="29"/>
      <c r="E181" s="29"/>
      <c r="F181" s="29"/>
      <c r="G181" s="34"/>
      <c r="H181" s="29"/>
      <c r="I181" s="29"/>
      <c r="J181" s="29"/>
      <c r="K181" s="29"/>
      <c r="L181" s="36"/>
      <c r="M181" s="29"/>
      <c r="N181" s="54"/>
      <c r="O181" s="55" t="n">
        <f aca="false">N181*J181</f>
        <v>0</v>
      </c>
    </row>
    <row r="182" customFormat="false" ht="15" hidden="false" customHeight="false" outlineLevel="0" collapsed="false">
      <c r="A182" s="33"/>
      <c r="B182" s="28" t="s">
        <v>21</v>
      </c>
      <c r="C182" s="29"/>
      <c r="D182" s="29"/>
      <c r="E182" s="29"/>
      <c r="F182" s="29"/>
      <c r="G182" s="34"/>
      <c r="H182" s="29"/>
      <c r="I182" s="29"/>
      <c r="J182" s="29"/>
      <c r="K182" s="29"/>
      <c r="L182" s="36"/>
      <c r="M182" s="29"/>
      <c r="N182" s="54"/>
      <c r="O182" s="55" t="n">
        <f aca="false">N182*J182</f>
        <v>0</v>
      </c>
    </row>
    <row r="183" customFormat="false" ht="15" hidden="false" customHeight="false" outlineLevel="0" collapsed="false">
      <c r="A183" s="33"/>
      <c r="B183" s="28" t="s">
        <v>21</v>
      </c>
      <c r="C183" s="29"/>
      <c r="D183" s="29"/>
      <c r="E183" s="29"/>
      <c r="F183" s="29"/>
      <c r="G183" s="34"/>
      <c r="H183" s="29"/>
      <c r="I183" s="29"/>
      <c r="J183" s="29"/>
      <c r="K183" s="29"/>
      <c r="L183" s="36"/>
      <c r="M183" s="29"/>
      <c r="N183" s="54"/>
      <c r="O183" s="55" t="n">
        <f aca="false">N183*J183</f>
        <v>0</v>
      </c>
    </row>
    <row r="184" customFormat="false" ht="15" hidden="false" customHeight="false" outlineLevel="0" collapsed="false">
      <c r="A184" s="33"/>
      <c r="B184" s="28" t="s">
        <v>21</v>
      </c>
      <c r="C184" s="29"/>
      <c r="D184" s="29"/>
      <c r="E184" s="29"/>
      <c r="F184" s="29"/>
      <c r="G184" s="34"/>
      <c r="H184" s="29"/>
      <c r="I184" s="29"/>
      <c r="J184" s="29"/>
      <c r="K184" s="29"/>
      <c r="L184" s="36"/>
      <c r="M184" s="29"/>
      <c r="N184" s="54"/>
      <c r="O184" s="55" t="n">
        <f aca="false">N184*J184</f>
        <v>0</v>
      </c>
    </row>
    <row r="185" customFormat="false" ht="15" hidden="false" customHeight="false" outlineLevel="0" collapsed="false">
      <c r="A185" s="33"/>
      <c r="B185" s="28" t="s">
        <v>21</v>
      </c>
      <c r="C185" s="29"/>
      <c r="D185" s="29"/>
      <c r="E185" s="29"/>
      <c r="F185" s="29"/>
      <c r="G185" s="34"/>
      <c r="H185" s="29"/>
      <c r="I185" s="29"/>
      <c r="J185" s="29"/>
      <c r="K185" s="29"/>
      <c r="L185" s="36"/>
      <c r="M185" s="29"/>
      <c r="N185" s="54"/>
      <c r="O185" s="55" t="n">
        <f aca="false">N185*J185</f>
        <v>0</v>
      </c>
    </row>
    <row r="186" customFormat="false" ht="15" hidden="false" customHeight="false" outlineLevel="0" collapsed="false">
      <c r="A186" s="33"/>
      <c r="B186" s="28" t="s">
        <v>21</v>
      </c>
      <c r="C186" s="29"/>
      <c r="D186" s="29"/>
      <c r="E186" s="29"/>
      <c r="F186" s="29"/>
      <c r="G186" s="34"/>
      <c r="H186" s="29"/>
      <c r="I186" s="29"/>
      <c r="J186" s="29"/>
      <c r="K186" s="29"/>
      <c r="L186" s="36"/>
      <c r="M186" s="29"/>
      <c r="N186" s="54"/>
      <c r="O186" s="55" t="n">
        <f aca="false">N186*J186</f>
        <v>0</v>
      </c>
    </row>
    <row r="187" customFormat="false" ht="15" hidden="false" customHeight="false" outlineLevel="0" collapsed="false">
      <c r="A187" s="33"/>
      <c r="B187" s="28" t="s">
        <v>21</v>
      </c>
      <c r="C187" s="29"/>
      <c r="D187" s="29"/>
      <c r="E187" s="29"/>
      <c r="F187" s="29"/>
      <c r="G187" s="34"/>
      <c r="H187" s="29"/>
      <c r="I187" s="29"/>
      <c r="J187" s="29"/>
      <c r="K187" s="29"/>
      <c r="L187" s="36"/>
      <c r="M187" s="29"/>
      <c r="N187" s="54"/>
      <c r="O187" s="55" t="n">
        <f aca="false">N187*J187</f>
        <v>0</v>
      </c>
    </row>
    <row r="188" customFormat="false" ht="15" hidden="false" customHeight="false" outlineLevel="0" collapsed="false">
      <c r="A188" s="33"/>
      <c r="B188" s="28" t="s">
        <v>21</v>
      </c>
      <c r="C188" s="29"/>
      <c r="D188" s="29"/>
      <c r="E188" s="29"/>
      <c r="F188" s="29"/>
      <c r="G188" s="34"/>
      <c r="H188" s="29"/>
      <c r="I188" s="29"/>
      <c r="J188" s="29"/>
      <c r="K188" s="29"/>
      <c r="L188" s="36"/>
      <c r="M188" s="29"/>
      <c r="N188" s="54"/>
      <c r="O188" s="55" t="n">
        <f aca="false">N188*J188</f>
        <v>0</v>
      </c>
    </row>
    <row r="189" customFormat="false" ht="15" hidden="false" customHeight="false" outlineLevel="0" collapsed="false">
      <c r="A189" s="33"/>
      <c r="B189" s="28" t="s">
        <v>21</v>
      </c>
      <c r="C189" s="29"/>
      <c r="D189" s="29"/>
      <c r="E189" s="29"/>
      <c r="F189" s="29"/>
      <c r="G189" s="34"/>
      <c r="H189" s="29"/>
      <c r="I189" s="29"/>
      <c r="J189" s="29"/>
      <c r="K189" s="29"/>
      <c r="L189" s="36"/>
      <c r="M189" s="29"/>
      <c r="N189" s="54"/>
      <c r="O189" s="55" t="n">
        <f aca="false">N189*J189</f>
        <v>0</v>
      </c>
    </row>
    <row r="190" customFormat="false" ht="15" hidden="false" customHeight="false" outlineLevel="0" collapsed="false">
      <c r="A190" s="33"/>
      <c r="B190" s="28" t="s">
        <v>21</v>
      </c>
      <c r="C190" s="29"/>
      <c r="D190" s="29"/>
      <c r="E190" s="29"/>
      <c r="F190" s="29"/>
      <c r="G190" s="34"/>
      <c r="H190" s="29"/>
      <c r="I190" s="29"/>
      <c r="J190" s="29"/>
      <c r="K190" s="29"/>
      <c r="L190" s="36"/>
      <c r="M190" s="29"/>
      <c r="N190" s="54"/>
      <c r="O190" s="55" t="n">
        <f aca="false">N190*J190</f>
        <v>0</v>
      </c>
    </row>
    <row r="191" customFormat="false" ht="15" hidden="false" customHeight="false" outlineLevel="0" collapsed="false">
      <c r="A191" s="33"/>
      <c r="B191" s="28" t="s">
        <v>21</v>
      </c>
      <c r="C191" s="29"/>
      <c r="D191" s="29"/>
      <c r="E191" s="29"/>
      <c r="F191" s="29"/>
      <c r="G191" s="34"/>
      <c r="H191" s="29"/>
      <c r="I191" s="29"/>
      <c r="J191" s="29"/>
      <c r="K191" s="29"/>
      <c r="L191" s="36"/>
      <c r="M191" s="29"/>
      <c r="N191" s="54"/>
      <c r="O191" s="55" t="n">
        <f aca="false">N191*J191</f>
        <v>0</v>
      </c>
    </row>
    <row r="192" customFormat="false" ht="15" hidden="false" customHeight="false" outlineLevel="0" collapsed="false">
      <c r="A192" s="33"/>
      <c r="B192" s="28" t="s">
        <v>21</v>
      </c>
      <c r="C192" s="29"/>
      <c r="D192" s="29"/>
      <c r="E192" s="29"/>
      <c r="F192" s="29"/>
      <c r="G192" s="34"/>
      <c r="H192" s="29"/>
      <c r="I192" s="29"/>
      <c r="J192" s="29"/>
      <c r="K192" s="29"/>
      <c r="L192" s="36"/>
      <c r="M192" s="29"/>
      <c r="N192" s="54"/>
      <c r="O192" s="55" t="n">
        <f aca="false">N192*J192</f>
        <v>0</v>
      </c>
    </row>
    <row r="193" customFormat="false" ht="15" hidden="false" customHeight="false" outlineLevel="0" collapsed="false">
      <c r="A193" s="33"/>
      <c r="B193" s="28" t="s">
        <v>21</v>
      </c>
      <c r="C193" s="29"/>
      <c r="D193" s="29"/>
      <c r="E193" s="29"/>
      <c r="F193" s="29"/>
      <c r="G193" s="34"/>
      <c r="H193" s="29"/>
      <c r="I193" s="29"/>
      <c r="J193" s="29"/>
      <c r="K193" s="29"/>
      <c r="L193" s="36"/>
      <c r="M193" s="29"/>
      <c r="N193" s="54"/>
      <c r="O193" s="55" t="n">
        <f aca="false">N193*J193</f>
        <v>0</v>
      </c>
    </row>
    <row r="194" customFormat="false" ht="15" hidden="false" customHeight="false" outlineLevel="0" collapsed="false">
      <c r="A194" s="33"/>
      <c r="B194" s="28" t="s">
        <v>21</v>
      </c>
      <c r="C194" s="29"/>
      <c r="D194" s="29"/>
      <c r="E194" s="29"/>
      <c r="F194" s="29"/>
      <c r="G194" s="34"/>
      <c r="H194" s="29"/>
      <c r="I194" s="29"/>
      <c r="J194" s="29"/>
      <c r="K194" s="29"/>
      <c r="L194" s="36"/>
      <c r="M194" s="29"/>
      <c r="N194" s="54"/>
      <c r="O194" s="55" t="n">
        <f aca="false">N194*J194</f>
        <v>0</v>
      </c>
    </row>
    <row r="195" customFormat="false" ht="15" hidden="false" customHeight="false" outlineLevel="0" collapsed="false">
      <c r="A195" s="33"/>
      <c r="B195" s="28" t="s">
        <v>21</v>
      </c>
      <c r="C195" s="29"/>
      <c r="D195" s="29"/>
      <c r="E195" s="29"/>
      <c r="F195" s="29"/>
      <c r="G195" s="34"/>
      <c r="H195" s="29"/>
      <c r="I195" s="29"/>
      <c r="J195" s="29"/>
      <c r="K195" s="29"/>
      <c r="L195" s="36"/>
      <c r="M195" s="29"/>
      <c r="N195" s="54"/>
      <c r="O195" s="55" t="n">
        <f aca="false">N195*J195</f>
        <v>0</v>
      </c>
    </row>
    <row r="196" customFormat="false" ht="15" hidden="false" customHeight="false" outlineLevel="0" collapsed="false">
      <c r="A196" s="33"/>
      <c r="B196" s="28" t="s">
        <v>21</v>
      </c>
      <c r="C196" s="29"/>
      <c r="D196" s="29"/>
      <c r="E196" s="29"/>
      <c r="F196" s="29"/>
      <c r="G196" s="34"/>
      <c r="H196" s="29"/>
      <c r="I196" s="29"/>
      <c r="J196" s="29"/>
      <c r="K196" s="29"/>
      <c r="L196" s="36"/>
      <c r="M196" s="29"/>
      <c r="N196" s="54"/>
      <c r="O196" s="55" t="n">
        <f aca="false">N196*J196</f>
        <v>0</v>
      </c>
    </row>
    <row r="197" customFormat="false" ht="15" hidden="false" customHeight="false" outlineLevel="0" collapsed="false">
      <c r="A197" s="33"/>
      <c r="B197" s="28"/>
      <c r="C197" s="29"/>
      <c r="D197" s="29"/>
      <c r="E197" s="29"/>
      <c r="F197" s="29"/>
      <c r="G197" s="34"/>
      <c r="H197" s="29"/>
      <c r="I197" s="29"/>
      <c r="J197" s="29"/>
      <c r="K197" s="29"/>
      <c r="L197" s="36"/>
      <c r="M197" s="29"/>
      <c r="N197" s="54"/>
      <c r="O197" s="55" t="n">
        <f aca="false">N197*J197</f>
        <v>0</v>
      </c>
    </row>
    <row r="198" customFormat="false" ht="15" hidden="false" customHeight="false" outlineLevel="0" collapsed="false">
      <c r="A198" s="33"/>
      <c r="B198" s="28" t="s">
        <v>21</v>
      </c>
      <c r="C198" s="29"/>
      <c r="D198" s="29"/>
      <c r="E198" s="29"/>
      <c r="F198" s="29"/>
      <c r="G198" s="34"/>
      <c r="H198" s="29"/>
      <c r="I198" s="29"/>
      <c r="J198" s="29"/>
      <c r="K198" s="29"/>
      <c r="L198" s="36"/>
      <c r="M198" s="29"/>
      <c r="N198" s="54"/>
      <c r="O198" s="55" t="n">
        <f aca="false">N198*J198</f>
        <v>0</v>
      </c>
    </row>
    <row r="199" customFormat="false" ht="15" hidden="false" customHeight="false" outlineLevel="0" collapsed="false">
      <c r="A199" s="33"/>
      <c r="B199" s="28" t="s">
        <v>21</v>
      </c>
      <c r="C199" s="29"/>
      <c r="D199" s="29"/>
      <c r="E199" s="29"/>
      <c r="F199" s="29"/>
      <c r="G199" s="34"/>
      <c r="H199" s="29"/>
      <c r="I199" s="29"/>
      <c r="J199" s="29"/>
      <c r="K199" s="29"/>
      <c r="L199" s="36"/>
      <c r="M199" s="29"/>
      <c r="N199" s="54"/>
      <c r="O199" s="55" t="n">
        <f aca="false">N199*J199</f>
        <v>0</v>
      </c>
    </row>
    <row r="200" customFormat="false" ht="15" hidden="false" customHeight="false" outlineLevel="0" collapsed="false">
      <c r="A200" s="33"/>
      <c r="B200" s="28" t="s">
        <v>21</v>
      </c>
      <c r="C200" s="29"/>
      <c r="D200" s="29"/>
      <c r="E200" s="29"/>
      <c r="F200" s="29"/>
      <c r="G200" s="34"/>
      <c r="H200" s="29"/>
      <c r="I200" s="29"/>
      <c r="J200" s="29"/>
      <c r="K200" s="29"/>
      <c r="L200" s="36"/>
      <c r="M200" s="29"/>
      <c r="N200" s="54"/>
      <c r="O200" s="55" t="n">
        <f aca="false">N200*J200</f>
        <v>0</v>
      </c>
    </row>
    <row r="201" customFormat="false" ht="15" hidden="false" customHeight="false" outlineLevel="0" collapsed="false">
      <c r="A201" s="33"/>
      <c r="B201" s="28" t="s">
        <v>21</v>
      </c>
      <c r="C201" s="29"/>
      <c r="D201" s="29"/>
      <c r="E201" s="29"/>
      <c r="F201" s="29"/>
      <c r="G201" s="34"/>
      <c r="H201" s="29"/>
      <c r="I201" s="29"/>
      <c r="J201" s="29"/>
      <c r="K201" s="29"/>
      <c r="L201" s="36"/>
      <c r="M201" s="29"/>
      <c r="N201" s="54"/>
      <c r="O201" s="55" t="n">
        <f aca="false">N201*J201</f>
        <v>0</v>
      </c>
    </row>
    <row r="202" customFormat="false" ht="15" hidden="false" customHeight="false" outlineLevel="0" collapsed="false">
      <c r="A202" s="33"/>
      <c r="B202" s="28" t="s">
        <v>21</v>
      </c>
      <c r="C202" s="29"/>
      <c r="D202" s="29"/>
      <c r="E202" s="29"/>
      <c r="F202" s="29"/>
      <c r="G202" s="34"/>
      <c r="H202" s="29"/>
      <c r="I202" s="29"/>
      <c r="J202" s="29"/>
      <c r="K202" s="29"/>
      <c r="L202" s="36"/>
      <c r="M202" s="29"/>
      <c r="N202" s="54"/>
      <c r="O202" s="55" t="n">
        <f aca="false">N202*J202</f>
        <v>0</v>
      </c>
    </row>
    <row r="203" customFormat="false" ht="15" hidden="false" customHeight="false" outlineLevel="0" collapsed="false">
      <c r="A203" s="33"/>
      <c r="B203" s="28" t="s">
        <v>21</v>
      </c>
      <c r="C203" s="29"/>
      <c r="D203" s="29"/>
      <c r="E203" s="29"/>
      <c r="F203" s="29"/>
      <c r="G203" s="34"/>
      <c r="H203" s="29"/>
      <c r="I203" s="29"/>
      <c r="J203" s="29"/>
      <c r="K203" s="29"/>
      <c r="L203" s="36"/>
      <c r="M203" s="29"/>
      <c r="N203" s="54"/>
      <c r="O203" s="55" t="n">
        <f aca="false">N203*J203</f>
        <v>0</v>
      </c>
    </row>
    <row r="204" customFormat="false" ht="15" hidden="false" customHeight="false" outlineLevel="0" collapsed="false">
      <c r="A204" s="33"/>
      <c r="B204" s="28" t="s">
        <v>21</v>
      </c>
      <c r="C204" s="29"/>
      <c r="D204" s="29"/>
      <c r="E204" s="29"/>
      <c r="F204" s="29"/>
      <c r="G204" s="34"/>
      <c r="H204" s="29"/>
      <c r="I204" s="29"/>
      <c r="J204" s="29"/>
      <c r="K204" s="29"/>
      <c r="L204" s="36"/>
      <c r="M204" s="29"/>
      <c r="N204" s="54"/>
      <c r="O204" s="55" t="n">
        <f aca="false">N204*J204</f>
        <v>0</v>
      </c>
    </row>
    <row r="205" customFormat="false" ht="15" hidden="false" customHeight="false" outlineLevel="0" collapsed="false">
      <c r="A205" s="33"/>
      <c r="B205" s="28" t="s">
        <v>21</v>
      </c>
      <c r="C205" s="29"/>
      <c r="D205" s="29"/>
      <c r="E205" s="29"/>
      <c r="F205" s="29"/>
      <c r="G205" s="34"/>
      <c r="H205" s="29"/>
      <c r="I205" s="29"/>
      <c r="J205" s="29"/>
      <c r="K205" s="29"/>
      <c r="L205" s="36"/>
      <c r="M205" s="29"/>
      <c r="N205" s="54"/>
      <c r="O205" s="55" t="n">
        <f aca="false">N205*J205</f>
        <v>0</v>
      </c>
    </row>
    <row r="206" customFormat="false" ht="15" hidden="false" customHeight="false" outlineLevel="0" collapsed="false">
      <c r="A206" s="33"/>
      <c r="B206" s="28" t="s">
        <v>21</v>
      </c>
      <c r="C206" s="29"/>
      <c r="D206" s="29"/>
      <c r="E206" s="29"/>
      <c r="F206" s="29"/>
      <c r="G206" s="34"/>
      <c r="H206" s="29"/>
      <c r="I206" s="29"/>
      <c r="J206" s="29"/>
      <c r="K206" s="29"/>
      <c r="L206" s="36"/>
      <c r="M206" s="29"/>
      <c r="N206" s="54"/>
      <c r="O206" s="55" t="n">
        <f aca="false">N206*J206</f>
        <v>0</v>
      </c>
    </row>
    <row r="207" customFormat="false" ht="15" hidden="false" customHeight="false" outlineLevel="0" collapsed="false">
      <c r="A207" s="33"/>
      <c r="B207" s="28" t="s">
        <v>21</v>
      </c>
      <c r="C207" s="29"/>
      <c r="D207" s="29"/>
      <c r="E207" s="29"/>
      <c r="F207" s="29"/>
      <c r="G207" s="34"/>
      <c r="H207" s="29"/>
      <c r="I207" s="29"/>
      <c r="J207" s="29"/>
      <c r="K207" s="29"/>
      <c r="L207" s="36"/>
      <c r="M207" s="29"/>
      <c r="N207" s="54"/>
      <c r="O207" s="55" t="n">
        <f aca="false">N207*J207</f>
        <v>0</v>
      </c>
    </row>
    <row r="208" customFormat="false" ht="15" hidden="false" customHeight="false" outlineLevel="0" collapsed="false">
      <c r="A208" s="33"/>
      <c r="B208" s="28" t="s">
        <v>21</v>
      </c>
      <c r="C208" s="29"/>
      <c r="D208" s="29"/>
      <c r="E208" s="29"/>
      <c r="F208" s="29"/>
      <c r="G208" s="34"/>
      <c r="H208" s="29"/>
      <c r="I208" s="29"/>
      <c r="J208" s="29"/>
      <c r="K208" s="29"/>
      <c r="L208" s="36"/>
      <c r="M208" s="29"/>
      <c r="N208" s="54"/>
      <c r="O208" s="55" t="n">
        <f aca="false">N208*J208</f>
        <v>0</v>
      </c>
    </row>
    <row r="209" customFormat="false" ht="15" hidden="false" customHeight="false" outlineLevel="0" collapsed="false">
      <c r="A209" s="33"/>
      <c r="B209" s="28" t="s">
        <v>21</v>
      </c>
      <c r="C209" s="29"/>
      <c r="D209" s="29"/>
      <c r="E209" s="29"/>
      <c r="F209" s="29"/>
      <c r="G209" s="34"/>
      <c r="H209" s="29"/>
      <c r="I209" s="29"/>
      <c r="J209" s="29"/>
      <c r="K209" s="29"/>
      <c r="L209" s="36"/>
      <c r="M209" s="29"/>
      <c r="N209" s="54"/>
      <c r="O209" s="55" t="n">
        <f aca="false">N209*J209</f>
        <v>0</v>
      </c>
    </row>
    <row r="210" customFormat="false" ht="15" hidden="false" customHeight="false" outlineLevel="0" collapsed="false">
      <c r="A210" s="33"/>
      <c r="B210" s="28" t="s">
        <v>21</v>
      </c>
      <c r="C210" s="29"/>
      <c r="D210" s="29"/>
      <c r="E210" s="29"/>
      <c r="F210" s="29"/>
      <c r="G210" s="34"/>
      <c r="H210" s="29"/>
      <c r="I210" s="29"/>
      <c r="J210" s="29"/>
      <c r="K210" s="29"/>
      <c r="L210" s="36"/>
      <c r="M210" s="29"/>
      <c r="N210" s="54"/>
      <c r="O210" s="55" t="n">
        <f aca="false">N210*J210</f>
        <v>0</v>
      </c>
    </row>
    <row r="211" customFormat="false" ht="15" hidden="false" customHeight="false" outlineLevel="0" collapsed="false">
      <c r="A211" s="33"/>
      <c r="B211" s="28" t="s">
        <v>21</v>
      </c>
      <c r="C211" s="29"/>
      <c r="D211" s="29"/>
      <c r="E211" s="29"/>
      <c r="F211" s="29"/>
      <c r="G211" s="34"/>
      <c r="H211" s="29"/>
      <c r="I211" s="29"/>
      <c r="J211" s="29"/>
      <c r="K211" s="29"/>
      <c r="L211" s="36"/>
      <c r="M211" s="29"/>
      <c r="N211" s="54"/>
      <c r="O211" s="55" t="n">
        <f aca="false">N211*J211</f>
        <v>0</v>
      </c>
    </row>
    <row r="212" customFormat="false" ht="15" hidden="false" customHeight="false" outlineLevel="0" collapsed="false">
      <c r="A212" s="33"/>
      <c r="B212" s="28" t="s">
        <v>21</v>
      </c>
      <c r="C212" s="29"/>
      <c r="D212" s="29"/>
      <c r="E212" s="29"/>
      <c r="F212" s="29"/>
      <c r="G212" s="34"/>
      <c r="H212" s="29"/>
      <c r="I212" s="29"/>
      <c r="J212" s="29"/>
      <c r="K212" s="29"/>
      <c r="L212" s="36"/>
      <c r="M212" s="29"/>
      <c r="N212" s="54"/>
      <c r="O212" s="55" t="n">
        <f aca="false">N212*J212</f>
        <v>0</v>
      </c>
    </row>
    <row r="213" customFormat="false" ht="15" hidden="false" customHeight="false" outlineLevel="0" collapsed="false">
      <c r="A213" s="33"/>
      <c r="B213" s="28" t="s">
        <v>21</v>
      </c>
      <c r="C213" s="29"/>
      <c r="D213" s="29"/>
      <c r="E213" s="29"/>
      <c r="F213" s="29"/>
      <c r="G213" s="34"/>
      <c r="H213" s="29"/>
      <c r="I213" s="29"/>
      <c r="J213" s="29"/>
      <c r="K213" s="29"/>
      <c r="L213" s="36"/>
      <c r="M213" s="29"/>
      <c r="N213" s="54"/>
      <c r="O213" s="55" t="n">
        <f aca="false">N213*J213</f>
        <v>0</v>
      </c>
    </row>
    <row r="214" customFormat="false" ht="15" hidden="false" customHeight="false" outlineLevel="0" collapsed="false">
      <c r="A214" s="33"/>
      <c r="B214" s="28" t="s">
        <v>21</v>
      </c>
      <c r="C214" s="29"/>
      <c r="D214" s="29"/>
      <c r="E214" s="29"/>
      <c r="F214" s="29"/>
      <c r="G214" s="34"/>
      <c r="H214" s="29"/>
      <c r="I214" s="29"/>
      <c r="J214" s="29"/>
      <c r="K214" s="29"/>
      <c r="L214" s="36"/>
      <c r="M214" s="29"/>
      <c r="N214" s="54"/>
      <c r="O214" s="55" t="n">
        <f aca="false">N214*J214</f>
        <v>0</v>
      </c>
    </row>
    <row r="215" customFormat="false" ht="15" hidden="false" customHeight="false" outlineLevel="0" collapsed="false">
      <c r="A215" s="33"/>
      <c r="B215" s="28" t="s">
        <v>21</v>
      </c>
      <c r="C215" s="29"/>
      <c r="D215" s="29"/>
      <c r="E215" s="29"/>
      <c r="F215" s="29"/>
      <c r="G215" s="34"/>
      <c r="H215" s="29"/>
      <c r="I215" s="29"/>
      <c r="J215" s="29"/>
      <c r="K215" s="29"/>
      <c r="L215" s="36"/>
      <c r="M215" s="29"/>
      <c r="N215" s="54"/>
      <c r="O215" s="55" t="n">
        <f aca="false">N215*J215</f>
        <v>0</v>
      </c>
    </row>
    <row r="216" customFormat="false" ht="15" hidden="false" customHeight="false" outlineLevel="0" collapsed="false">
      <c r="A216" s="33"/>
      <c r="B216" s="28" t="s">
        <v>21</v>
      </c>
      <c r="C216" s="29"/>
      <c r="D216" s="29"/>
      <c r="E216" s="29"/>
      <c r="F216" s="29"/>
      <c r="G216" s="34"/>
      <c r="H216" s="29"/>
      <c r="I216" s="29"/>
      <c r="J216" s="29"/>
      <c r="K216" s="29"/>
      <c r="L216" s="36"/>
      <c r="M216" s="29"/>
      <c r="N216" s="54"/>
      <c r="O216" s="55" t="n">
        <f aca="false">N216*J216</f>
        <v>0</v>
      </c>
    </row>
    <row r="217" customFormat="false" ht="15" hidden="false" customHeight="false" outlineLevel="0" collapsed="false">
      <c r="A217" s="33"/>
      <c r="B217" s="28" t="s">
        <v>21</v>
      </c>
      <c r="C217" s="29"/>
      <c r="D217" s="29"/>
      <c r="E217" s="29"/>
      <c r="F217" s="29"/>
      <c r="G217" s="34"/>
      <c r="H217" s="29"/>
      <c r="I217" s="29"/>
      <c r="J217" s="29"/>
      <c r="K217" s="29"/>
      <c r="L217" s="36"/>
      <c r="M217" s="29"/>
      <c r="N217" s="54"/>
      <c r="O217" s="55" t="n">
        <f aca="false">N217*J217</f>
        <v>0</v>
      </c>
    </row>
    <row r="218" customFormat="false" ht="15" hidden="false" customHeight="false" outlineLevel="0" collapsed="false">
      <c r="A218" s="33"/>
      <c r="B218" s="28" t="s">
        <v>21</v>
      </c>
      <c r="C218" s="29"/>
      <c r="D218" s="29"/>
      <c r="E218" s="29"/>
      <c r="F218" s="29"/>
      <c r="G218" s="34"/>
      <c r="H218" s="29"/>
      <c r="I218" s="29"/>
      <c r="J218" s="29"/>
      <c r="K218" s="29"/>
      <c r="L218" s="36"/>
      <c r="M218" s="29"/>
      <c r="N218" s="54"/>
      <c r="O218" s="55" t="n">
        <f aca="false">N218*J218</f>
        <v>0</v>
      </c>
    </row>
    <row r="219" customFormat="false" ht="15" hidden="false" customHeight="false" outlineLevel="0" collapsed="false">
      <c r="A219" s="33"/>
      <c r="B219" s="28" t="s">
        <v>21</v>
      </c>
      <c r="C219" s="29"/>
      <c r="D219" s="29"/>
      <c r="E219" s="29"/>
      <c r="F219" s="29"/>
      <c r="G219" s="34"/>
      <c r="H219" s="29"/>
      <c r="I219" s="29"/>
      <c r="J219" s="29"/>
      <c r="K219" s="29"/>
      <c r="L219" s="36"/>
      <c r="M219" s="29"/>
      <c r="N219" s="54"/>
      <c r="O219" s="55" t="n">
        <f aca="false">N219*J219</f>
        <v>0</v>
      </c>
    </row>
    <row r="220" customFormat="false" ht="15" hidden="false" customHeight="false" outlineLevel="0" collapsed="false">
      <c r="A220" s="33"/>
      <c r="B220" s="28" t="s">
        <v>21</v>
      </c>
      <c r="C220" s="29"/>
      <c r="D220" s="29"/>
      <c r="E220" s="29"/>
      <c r="F220" s="29"/>
      <c r="G220" s="34"/>
      <c r="H220" s="29"/>
      <c r="I220" s="29"/>
      <c r="J220" s="29"/>
      <c r="K220" s="29"/>
      <c r="L220" s="36"/>
      <c r="M220" s="29"/>
      <c r="N220" s="54"/>
      <c r="O220" s="55" t="n">
        <f aca="false">N220*J220</f>
        <v>0</v>
      </c>
    </row>
    <row r="221" customFormat="false" ht="15" hidden="false" customHeight="false" outlineLevel="0" collapsed="false">
      <c r="A221" s="33"/>
      <c r="B221" s="28" t="s">
        <v>21</v>
      </c>
      <c r="C221" s="29"/>
      <c r="D221" s="29"/>
      <c r="E221" s="29"/>
      <c r="F221" s="29"/>
      <c r="G221" s="34"/>
      <c r="H221" s="29"/>
      <c r="I221" s="29"/>
      <c r="J221" s="29"/>
      <c r="K221" s="29"/>
      <c r="L221" s="36"/>
      <c r="M221" s="29"/>
      <c r="N221" s="54"/>
      <c r="O221" s="55" t="n">
        <f aca="false">N221*J221</f>
        <v>0</v>
      </c>
    </row>
    <row r="222" customFormat="false" ht="15" hidden="false" customHeight="false" outlineLevel="0" collapsed="false">
      <c r="A222" s="33"/>
      <c r="B222" s="28" t="s">
        <v>21</v>
      </c>
      <c r="C222" s="29"/>
      <c r="D222" s="29"/>
      <c r="E222" s="29"/>
      <c r="F222" s="29"/>
      <c r="G222" s="34"/>
      <c r="H222" s="29"/>
      <c r="I222" s="29"/>
      <c r="J222" s="29"/>
      <c r="K222" s="29"/>
      <c r="L222" s="36"/>
      <c r="M222" s="29"/>
      <c r="N222" s="54"/>
      <c r="O222" s="55" t="n">
        <f aca="false">N222*J222</f>
        <v>0</v>
      </c>
    </row>
    <row r="223" customFormat="false" ht="15" hidden="false" customHeight="false" outlineLevel="0" collapsed="false">
      <c r="A223" s="33"/>
      <c r="B223" s="28" t="s">
        <v>21</v>
      </c>
      <c r="C223" s="29"/>
      <c r="D223" s="29"/>
      <c r="E223" s="29"/>
      <c r="F223" s="29"/>
      <c r="G223" s="34"/>
      <c r="H223" s="29"/>
      <c r="I223" s="29"/>
      <c r="J223" s="29"/>
      <c r="K223" s="29"/>
      <c r="L223" s="36"/>
      <c r="M223" s="29"/>
      <c r="N223" s="54"/>
      <c r="O223" s="55" t="n">
        <f aca="false">N223*J223</f>
        <v>0</v>
      </c>
    </row>
    <row r="224" customFormat="false" ht="15" hidden="false" customHeight="false" outlineLevel="0" collapsed="false">
      <c r="A224" s="33"/>
      <c r="B224" s="28" t="s">
        <v>21</v>
      </c>
      <c r="C224" s="29"/>
      <c r="D224" s="29"/>
      <c r="E224" s="29"/>
      <c r="F224" s="29"/>
      <c r="G224" s="34"/>
      <c r="H224" s="29"/>
      <c r="I224" s="29"/>
      <c r="J224" s="29"/>
      <c r="K224" s="29"/>
      <c r="L224" s="36"/>
      <c r="M224" s="29"/>
      <c r="N224" s="54"/>
      <c r="O224" s="55" t="n">
        <f aca="false">N224*J224</f>
        <v>0</v>
      </c>
    </row>
    <row r="225" customFormat="false" ht="15" hidden="false" customHeight="false" outlineLevel="0" collapsed="false">
      <c r="A225" s="33"/>
      <c r="B225" s="28" t="s">
        <v>21</v>
      </c>
      <c r="C225" s="29"/>
      <c r="D225" s="29"/>
      <c r="E225" s="29"/>
      <c r="F225" s="29"/>
      <c r="G225" s="34"/>
      <c r="H225" s="29"/>
      <c r="I225" s="29"/>
      <c r="J225" s="29"/>
      <c r="K225" s="29"/>
      <c r="L225" s="36"/>
      <c r="M225" s="29"/>
      <c r="N225" s="54"/>
      <c r="O225" s="55" t="n">
        <f aca="false">N225*J225</f>
        <v>0</v>
      </c>
    </row>
    <row r="226" customFormat="false" ht="15" hidden="false" customHeight="false" outlineLevel="0" collapsed="false">
      <c r="A226" s="33"/>
      <c r="B226" s="28" t="s">
        <v>21</v>
      </c>
      <c r="C226" s="29"/>
      <c r="D226" s="29"/>
      <c r="E226" s="29"/>
      <c r="F226" s="29"/>
      <c r="G226" s="34"/>
      <c r="H226" s="29"/>
      <c r="I226" s="29"/>
      <c r="J226" s="29"/>
      <c r="K226" s="29"/>
      <c r="L226" s="36"/>
      <c r="M226" s="29"/>
      <c r="N226" s="54"/>
      <c r="O226" s="55" t="n">
        <f aca="false">N226*J226</f>
        <v>0</v>
      </c>
    </row>
    <row r="227" customFormat="false" ht="15" hidden="false" customHeight="false" outlineLevel="0" collapsed="false">
      <c r="A227" s="33"/>
      <c r="B227" s="28" t="s">
        <v>21</v>
      </c>
      <c r="C227" s="29"/>
      <c r="D227" s="29"/>
      <c r="E227" s="29"/>
      <c r="F227" s="29"/>
      <c r="G227" s="34"/>
      <c r="H227" s="29"/>
      <c r="I227" s="29"/>
      <c r="J227" s="29"/>
      <c r="K227" s="29"/>
      <c r="L227" s="36"/>
      <c r="M227" s="29"/>
      <c r="N227" s="54"/>
      <c r="O227" s="55" t="n">
        <f aca="false">N227*J227</f>
        <v>0</v>
      </c>
    </row>
    <row r="228" customFormat="false" ht="15" hidden="false" customHeight="false" outlineLevel="0" collapsed="false">
      <c r="A228" s="33"/>
      <c r="B228" s="28" t="s">
        <v>21</v>
      </c>
      <c r="C228" s="29"/>
      <c r="D228" s="29"/>
      <c r="E228" s="29"/>
      <c r="F228" s="29"/>
      <c r="G228" s="34"/>
      <c r="H228" s="29"/>
      <c r="I228" s="29"/>
      <c r="J228" s="29"/>
      <c r="K228" s="29"/>
      <c r="L228" s="36"/>
      <c r="M228" s="29"/>
      <c r="N228" s="54"/>
      <c r="O228" s="55" t="n">
        <f aca="false">N228*J228</f>
        <v>0</v>
      </c>
    </row>
    <row r="229" customFormat="false" ht="15" hidden="false" customHeight="false" outlineLevel="0" collapsed="false">
      <c r="A229" s="33"/>
      <c r="B229" s="28" t="s">
        <v>21</v>
      </c>
      <c r="C229" s="29"/>
      <c r="D229" s="29"/>
      <c r="E229" s="29"/>
      <c r="F229" s="29"/>
      <c r="G229" s="34"/>
      <c r="H229" s="29"/>
      <c r="I229" s="29"/>
      <c r="J229" s="29"/>
      <c r="K229" s="29"/>
      <c r="L229" s="36"/>
      <c r="M229" s="29"/>
      <c r="N229" s="54"/>
      <c r="O229" s="55" t="n">
        <f aca="false">N229*J229</f>
        <v>0</v>
      </c>
    </row>
    <row r="230" customFormat="false" ht="15" hidden="false" customHeight="false" outlineLevel="0" collapsed="false">
      <c r="A230" s="33"/>
      <c r="B230" s="28" t="s">
        <v>21</v>
      </c>
      <c r="C230" s="29"/>
      <c r="D230" s="29"/>
      <c r="E230" s="29"/>
      <c r="F230" s="29"/>
      <c r="G230" s="34"/>
      <c r="H230" s="29"/>
      <c r="I230" s="29"/>
      <c r="J230" s="29"/>
      <c r="K230" s="29"/>
      <c r="L230" s="36"/>
      <c r="M230" s="29"/>
      <c r="N230" s="54"/>
      <c r="O230" s="55" t="n">
        <f aca="false">N230*J230</f>
        <v>0</v>
      </c>
    </row>
    <row r="231" customFormat="false" ht="15" hidden="false" customHeight="false" outlineLevel="0" collapsed="false">
      <c r="A231" s="33"/>
      <c r="B231" s="28" t="s">
        <v>21</v>
      </c>
      <c r="C231" s="29"/>
      <c r="D231" s="29"/>
      <c r="E231" s="29"/>
      <c r="F231" s="29"/>
      <c r="G231" s="34"/>
      <c r="H231" s="29"/>
      <c r="I231" s="29"/>
      <c r="J231" s="29"/>
      <c r="K231" s="29"/>
      <c r="L231" s="36"/>
      <c r="M231" s="29"/>
      <c r="N231" s="54"/>
      <c r="O231" s="55" t="n">
        <f aca="false">N231*J231</f>
        <v>0</v>
      </c>
    </row>
    <row r="232" customFormat="false" ht="15" hidden="false" customHeight="false" outlineLevel="0" collapsed="false">
      <c r="A232" s="33"/>
      <c r="B232" s="28" t="s">
        <v>21</v>
      </c>
      <c r="C232" s="29"/>
      <c r="D232" s="29"/>
      <c r="E232" s="29"/>
      <c r="F232" s="29"/>
      <c r="G232" s="34"/>
      <c r="H232" s="29"/>
      <c r="I232" s="29"/>
      <c r="J232" s="29"/>
      <c r="K232" s="29"/>
      <c r="L232" s="36"/>
      <c r="M232" s="29"/>
      <c r="N232" s="54"/>
      <c r="O232" s="55" t="n">
        <f aca="false">N232*J232</f>
        <v>0</v>
      </c>
    </row>
    <row r="233" customFormat="false" ht="15" hidden="false" customHeight="false" outlineLevel="0" collapsed="false">
      <c r="A233" s="33"/>
      <c r="B233" s="28" t="s">
        <v>21</v>
      </c>
      <c r="C233" s="29"/>
      <c r="D233" s="29"/>
      <c r="E233" s="29"/>
      <c r="F233" s="29"/>
      <c r="G233" s="34"/>
      <c r="H233" s="29"/>
      <c r="I233" s="29"/>
      <c r="J233" s="29"/>
      <c r="K233" s="29"/>
      <c r="L233" s="36"/>
      <c r="M233" s="29"/>
      <c r="N233" s="54"/>
      <c r="O233" s="55" t="n">
        <f aca="false">N233*J233</f>
        <v>0</v>
      </c>
    </row>
    <row r="234" customFormat="false" ht="15" hidden="false" customHeight="false" outlineLevel="0" collapsed="false">
      <c r="A234" s="33"/>
      <c r="B234" s="28" t="s">
        <v>21</v>
      </c>
      <c r="C234" s="29"/>
      <c r="D234" s="29"/>
      <c r="E234" s="29"/>
      <c r="F234" s="29"/>
      <c r="G234" s="34"/>
      <c r="H234" s="29"/>
      <c r="I234" s="29"/>
      <c r="J234" s="29"/>
      <c r="K234" s="29"/>
      <c r="L234" s="36"/>
      <c r="M234" s="29"/>
      <c r="N234" s="54"/>
      <c r="O234" s="55" t="n">
        <f aca="false">N234*J234</f>
        <v>0</v>
      </c>
    </row>
    <row r="235" customFormat="false" ht="15" hidden="false" customHeight="false" outlineLevel="0" collapsed="false">
      <c r="A235" s="33"/>
      <c r="B235" s="28" t="s">
        <v>21</v>
      </c>
      <c r="C235" s="29"/>
      <c r="D235" s="29"/>
      <c r="E235" s="29"/>
      <c r="F235" s="29"/>
      <c r="G235" s="34"/>
      <c r="H235" s="29"/>
      <c r="I235" s="29"/>
      <c r="J235" s="29"/>
      <c r="K235" s="29"/>
      <c r="L235" s="36"/>
      <c r="M235" s="29"/>
      <c r="N235" s="54"/>
      <c r="O235" s="55" t="n">
        <f aca="false">N235*J235</f>
        <v>0</v>
      </c>
    </row>
    <row r="236" customFormat="false" ht="15" hidden="false" customHeight="false" outlineLevel="0" collapsed="false">
      <c r="A236" s="33"/>
      <c r="B236" s="28" t="s">
        <v>21</v>
      </c>
      <c r="C236" s="29"/>
      <c r="D236" s="29"/>
      <c r="E236" s="29"/>
      <c r="F236" s="29"/>
      <c r="G236" s="34"/>
      <c r="H236" s="29"/>
      <c r="I236" s="29"/>
      <c r="J236" s="29"/>
      <c r="K236" s="29"/>
      <c r="L236" s="36"/>
      <c r="M236" s="29"/>
      <c r="N236" s="54"/>
      <c r="O236" s="55" t="n">
        <f aca="false">N236*J236</f>
        <v>0</v>
      </c>
    </row>
    <row r="237" customFormat="false" ht="15" hidden="false" customHeight="false" outlineLevel="0" collapsed="false">
      <c r="A237" s="33"/>
      <c r="B237" s="28" t="s">
        <v>21</v>
      </c>
      <c r="C237" s="29"/>
      <c r="D237" s="29"/>
      <c r="E237" s="29"/>
      <c r="F237" s="29"/>
      <c r="G237" s="34"/>
      <c r="H237" s="29"/>
      <c r="I237" s="29"/>
      <c r="J237" s="29"/>
      <c r="K237" s="29"/>
      <c r="L237" s="36"/>
      <c r="M237" s="29"/>
      <c r="N237" s="54"/>
      <c r="O237" s="55" t="n">
        <f aca="false">N237*J237</f>
        <v>0</v>
      </c>
    </row>
    <row r="238" customFormat="false" ht="15" hidden="false" customHeight="false" outlineLevel="0" collapsed="false">
      <c r="A238" s="33"/>
      <c r="B238" s="28" t="s">
        <v>21</v>
      </c>
      <c r="C238" s="29"/>
      <c r="D238" s="29"/>
      <c r="E238" s="29"/>
      <c r="F238" s="29"/>
      <c r="G238" s="34"/>
      <c r="H238" s="29"/>
      <c r="I238" s="29"/>
      <c r="J238" s="29"/>
      <c r="K238" s="29"/>
      <c r="L238" s="36"/>
      <c r="M238" s="29"/>
      <c r="N238" s="54"/>
      <c r="O238" s="55" t="n">
        <f aca="false">N238*J238</f>
        <v>0</v>
      </c>
    </row>
    <row r="239" customFormat="false" ht="15" hidden="false" customHeight="false" outlineLevel="0" collapsed="false">
      <c r="A239" s="33"/>
      <c r="B239" s="28" t="s">
        <v>21</v>
      </c>
      <c r="C239" s="29"/>
      <c r="D239" s="29"/>
      <c r="E239" s="29"/>
      <c r="F239" s="29"/>
      <c r="G239" s="34"/>
      <c r="H239" s="29"/>
      <c r="I239" s="29"/>
      <c r="J239" s="29"/>
      <c r="K239" s="29"/>
      <c r="L239" s="36"/>
      <c r="M239" s="29"/>
      <c r="N239" s="54"/>
      <c r="O239" s="55" t="n">
        <f aca="false">N239*J239</f>
        <v>0</v>
      </c>
    </row>
    <row r="240" customFormat="false" ht="15" hidden="false" customHeight="false" outlineLevel="0" collapsed="false">
      <c r="A240" s="33"/>
      <c r="B240" s="28" t="s">
        <v>21</v>
      </c>
      <c r="C240" s="29"/>
      <c r="D240" s="29"/>
      <c r="E240" s="29"/>
      <c r="F240" s="29"/>
      <c r="G240" s="34"/>
      <c r="H240" s="29"/>
      <c r="I240" s="29"/>
      <c r="J240" s="29"/>
      <c r="K240" s="29"/>
      <c r="L240" s="36"/>
      <c r="M240" s="29"/>
      <c r="N240" s="54"/>
      <c r="O240" s="55" t="n">
        <f aca="false">N240*J240</f>
        <v>0</v>
      </c>
    </row>
    <row r="241" customFormat="false" ht="15" hidden="false" customHeight="false" outlineLevel="0" collapsed="false">
      <c r="A241" s="33"/>
      <c r="B241" s="28" t="s">
        <v>21</v>
      </c>
      <c r="C241" s="29"/>
      <c r="D241" s="29"/>
      <c r="E241" s="29"/>
      <c r="F241" s="29"/>
      <c r="G241" s="34"/>
      <c r="H241" s="29"/>
      <c r="I241" s="29"/>
      <c r="J241" s="29"/>
      <c r="K241" s="29"/>
      <c r="L241" s="36"/>
      <c r="M241" s="29"/>
      <c r="N241" s="54"/>
      <c r="O241" s="55" t="n">
        <f aca="false">N241*J241</f>
        <v>0</v>
      </c>
    </row>
    <row r="242" customFormat="false" ht="15" hidden="false" customHeight="false" outlineLevel="0" collapsed="false">
      <c r="A242" s="33"/>
      <c r="B242" s="28" t="s">
        <v>21</v>
      </c>
      <c r="C242" s="29"/>
      <c r="D242" s="29"/>
      <c r="E242" s="29"/>
      <c r="F242" s="29"/>
      <c r="G242" s="34"/>
      <c r="H242" s="29"/>
      <c r="I242" s="29"/>
      <c r="J242" s="29"/>
      <c r="K242" s="29"/>
      <c r="L242" s="36"/>
      <c r="M242" s="29"/>
      <c r="N242" s="54"/>
      <c r="O242" s="55" t="n">
        <f aca="false">N242*J242</f>
        <v>0</v>
      </c>
    </row>
    <row r="243" customFormat="false" ht="15" hidden="false" customHeight="false" outlineLevel="0" collapsed="false">
      <c r="A243" s="33"/>
      <c r="B243" s="28" t="s">
        <v>21</v>
      </c>
      <c r="C243" s="29"/>
      <c r="D243" s="29"/>
      <c r="E243" s="29"/>
      <c r="F243" s="29"/>
      <c r="G243" s="36"/>
      <c r="H243" s="29"/>
      <c r="I243" s="29"/>
      <c r="J243" s="29"/>
      <c r="K243" s="29"/>
      <c r="L243" s="36"/>
      <c r="M243" s="29"/>
      <c r="N243" s="54"/>
      <c r="O243" s="55" t="n">
        <f aca="false">N243*J243</f>
        <v>0</v>
      </c>
    </row>
    <row r="244" customFormat="false" ht="15" hidden="false" customHeight="false" outlineLevel="0" collapsed="false">
      <c r="A244" s="33"/>
      <c r="B244" s="28" t="s">
        <v>21</v>
      </c>
      <c r="C244" s="29"/>
      <c r="D244" s="29"/>
      <c r="E244" s="29"/>
      <c r="F244" s="29"/>
      <c r="G244" s="36"/>
      <c r="H244" s="29"/>
      <c r="I244" s="29"/>
      <c r="J244" s="29"/>
      <c r="K244" s="29"/>
      <c r="L244" s="36"/>
      <c r="M244" s="29"/>
      <c r="N244" s="54"/>
      <c r="O244" s="55" t="n">
        <f aca="false">N244*J244</f>
        <v>0</v>
      </c>
    </row>
    <row r="245" customFormat="false" ht="15" hidden="false" customHeight="false" outlineLevel="0" collapsed="false">
      <c r="A245" s="33"/>
      <c r="B245" s="28" t="s">
        <v>21</v>
      </c>
      <c r="C245" s="29"/>
      <c r="D245" s="29"/>
      <c r="E245" s="29"/>
      <c r="F245" s="29"/>
      <c r="G245" s="36"/>
      <c r="H245" s="29"/>
      <c r="I245" s="29"/>
      <c r="J245" s="29"/>
      <c r="K245" s="29"/>
      <c r="L245" s="36"/>
      <c r="M245" s="29"/>
      <c r="N245" s="54"/>
      <c r="O245" s="55" t="n">
        <f aca="false">N245*J245</f>
        <v>0</v>
      </c>
    </row>
    <row r="246" customFormat="false" ht="15" hidden="false" customHeight="false" outlineLevel="0" collapsed="false">
      <c r="A246" s="33"/>
      <c r="B246" s="28" t="s">
        <v>21</v>
      </c>
      <c r="C246" s="29"/>
      <c r="D246" s="29"/>
      <c r="E246" s="29"/>
      <c r="F246" s="29"/>
      <c r="G246" s="36"/>
      <c r="H246" s="29"/>
      <c r="I246" s="29"/>
      <c r="J246" s="29"/>
      <c r="K246" s="29"/>
      <c r="L246" s="36"/>
      <c r="M246" s="29"/>
      <c r="N246" s="54"/>
      <c r="O246" s="55" t="n">
        <f aca="false">N246*J246</f>
        <v>0</v>
      </c>
    </row>
    <row r="247" customFormat="false" ht="15" hidden="false" customHeight="false" outlineLevel="0" collapsed="false">
      <c r="A247" s="33"/>
      <c r="B247" s="28" t="s">
        <v>21</v>
      </c>
      <c r="C247" s="29"/>
      <c r="D247" s="29"/>
      <c r="E247" s="29"/>
      <c r="F247" s="29"/>
      <c r="G247" s="36"/>
      <c r="H247" s="29"/>
      <c r="I247" s="29"/>
      <c r="J247" s="29"/>
      <c r="K247" s="29"/>
      <c r="L247" s="36"/>
      <c r="M247" s="29"/>
      <c r="N247" s="54"/>
      <c r="O247" s="55" t="n">
        <f aca="false">N247*J247</f>
        <v>0</v>
      </c>
    </row>
    <row r="248" customFormat="false" ht="15" hidden="false" customHeight="false" outlineLevel="0" collapsed="false">
      <c r="A248" s="33"/>
      <c r="B248" s="28" t="s">
        <v>21</v>
      </c>
      <c r="C248" s="29"/>
      <c r="D248" s="29"/>
      <c r="E248" s="29"/>
      <c r="F248" s="29"/>
      <c r="G248" s="36"/>
      <c r="H248" s="29"/>
      <c r="I248" s="29"/>
      <c r="J248" s="29"/>
      <c r="K248" s="29"/>
      <c r="L248" s="36"/>
      <c r="M248" s="29"/>
      <c r="N248" s="54"/>
      <c r="O248" s="55" t="n">
        <f aca="false">N248*J248</f>
        <v>0</v>
      </c>
    </row>
    <row r="249" customFormat="false" ht="15" hidden="false" customHeight="false" outlineLevel="0" collapsed="false">
      <c r="A249" s="33"/>
      <c r="B249" s="28" t="s">
        <v>21</v>
      </c>
      <c r="C249" s="29"/>
      <c r="D249" s="29"/>
      <c r="E249" s="29"/>
      <c r="F249" s="29"/>
      <c r="G249" s="36"/>
      <c r="H249" s="29"/>
      <c r="I249" s="29"/>
      <c r="J249" s="29"/>
      <c r="K249" s="29"/>
      <c r="L249" s="36"/>
      <c r="M249" s="29"/>
      <c r="N249" s="54"/>
      <c r="O249" s="55" t="n">
        <f aca="false">N249*J249</f>
        <v>0</v>
      </c>
    </row>
    <row r="250" customFormat="false" ht="15" hidden="false" customHeight="false" outlineLevel="0" collapsed="false">
      <c r="A250" s="33"/>
      <c r="B250" s="28" t="s">
        <v>21</v>
      </c>
      <c r="C250" s="29"/>
      <c r="D250" s="29"/>
      <c r="E250" s="29"/>
      <c r="F250" s="29"/>
      <c r="G250" s="36"/>
      <c r="H250" s="29"/>
      <c r="I250" s="29"/>
      <c r="J250" s="29"/>
      <c r="K250" s="29"/>
      <c r="L250" s="36"/>
      <c r="M250" s="29"/>
      <c r="N250" s="54"/>
      <c r="O250" s="55" t="n">
        <f aca="false">N250*J250</f>
        <v>0</v>
      </c>
    </row>
    <row r="251" customFormat="false" ht="15" hidden="false" customHeight="false" outlineLevel="0" collapsed="false">
      <c r="A251" s="33"/>
      <c r="B251" s="28" t="s">
        <v>21</v>
      </c>
      <c r="C251" s="29"/>
      <c r="D251" s="29"/>
      <c r="E251" s="29"/>
      <c r="F251" s="29"/>
      <c r="G251" s="36"/>
      <c r="H251" s="29"/>
      <c r="I251" s="29"/>
      <c r="J251" s="29"/>
      <c r="K251" s="29"/>
      <c r="L251" s="36"/>
      <c r="M251" s="29"/>
      <c r="N251" s="54"/>
      <c r="O251" s="55" t="n">
        <f aca="false">N251*J251</f>
        <v>0</v>
      </c>
    </row>
    <row r="252" customFormat="false" ht="15" hidden="false" customHeight="false" outlineLevel="0" collapsed="false">
      <c r="A252" s="33"/>
      <c r="B252" s="28" t="s">
        <v>21</v>
      </c>
      <c r="C252" s="29"/>
      <c r="D252" s="29"/>
      <c r="E252" s="29"/>
      <c r="F252" s="29"/>
      <c r="G252" s="36"/>
      <c r="H252" s="29"/>
      <c r="I252" s="29"/>
      <c r="J252" s="29"/>
      <c r="K252" s="29"/>
      <c r="L252" s="36"/>
      <c r="M252" s="29"/>
      <c r="N252" s="54"/>
      <c r="O252" s="55" t="n">
        <f aca="false">N252*J252</f>
        <v>0</v>
      </c>
    </row>
    <row r="253" customFormat="false" ht="15" hidden="false" customHeight="false" outlineLevel="0" collapsed="false">
      <c r="A253" s="33"/>
      <c r="B253" s="28" t="s">
        <v>21</v>
      </c>
      <c r="C253" s="29"/>
      <c r="D253" s="29"/>
      <c r="E253" s="29"/>
      <c r="F253" s="29"/>
      <c r="G253" s="36"/>
      <c r="H253" s="29"/>
      <c r="I253" s="29"/>
      <c r="J253" s="29"/>
      <c r="K253" s="29"/>
      <c r="L253" s="36"/>
      <c r="M253" s="29"/>
      <c r="N253" s="54"/>
      <c r="O253" s="55" t="n">
        <f aca="false">N253*J253</f>
        <v>0</v>
      </c>
    </row>
    <row r="254" customFormat="false" ht="15" hidden="false" customHeight="false" outlineLevel="0" collapsed="false">
      <c r="A254" s="33"/>
      <c r="B254" s="28" t="s">
        <v>21</v>
      </c>
      <c r="C254" s="29"/>
      <c r="D254" s="29"/>
      <c r="E254" s="29"/>
      <c r="F254" s="29"/>
      <c r="G254" s="36"/>
      <c r="H254" s="29"/>
      <c r="I254" s="29"/>
      <c r="J254" s="29"/>
      <c r="K254" s="29"/>
      <c r="L254" s="36"/>
      <c r="M254" s="29"/>
      <c r="N254" s="54"/>
      <c r="O254" s="55" t="n">
        <f aca="false">N254*J254</f>
        <v>0</v>
      </c>
    </row>
    <row r="255" customFormat="false" ht="15" hidden="false" customHeight="false" outlineLevel="0" collapsed="false">
      <c r="A255" s="33"/>
      <c r="B255" s="28" t="s">
        <v>21</v>
      </c>
      <c r="C255" s="29"/>
      <c r="D255" s="29"/>
      <c r="E255" s="29"/>
      <c r="F255" s="29"/>
      <c r="G255" s="36"/>
      <c r="H255" s="29"/>
      <c r="I255" s="29"/>
      <c r="J255" s="29"/>
      <c r="K255" s="29"/>
      <c r="L255" s="36"/>
      <c r="M255" s="29"/>
      <c r="N255" s="54"/>
      <c r="O255" s="55" t="n">
        <f aca="false">N255*J255</f>
        <v>0</v>
      </c>
    </row>
    <row r="256" customFormat="false" ht="15" hidden="false" customHeight="false" outlineLevel="0" collapsed="false">
      <c r="A256" s="33"/>
      <c r="B256" s="28" t="s">
        <v>21</v>
      </c>
      <c r="C256" s="29"/>
      <c r="D256" s="29"/>
      <c r="E256" s="29"/>
      <c r="F256" s="29"/>
      <c r="G256" s="36"/>
      <c r="H256" s="29"/>
      <c r="I256" s="29"/>
      <c r="J256" s="29"/>
      <c r="K256" s="29"/>
      <c r="L256" s="36"/>
      <c r="M256" s="29"/>
      <c r="N256" s="54"/>
      <c r="O256" s="55" t="n">
        <f aca="false">N256*J256</f>
        <v>0</v>
      </c>
    </row>
    <row r="257" customFormat="false" ht="15" hidden="false" customHeight="false" outlineLevel="0" collapsed="false">
      <c r="A257" s="42"/>
      <c r="B257" s="28" t="s">
        <v>21</v>
      </c>
      <c r="C257" s="41"/>
      <c r="D257" s="41"/>
      <c r="E257" s="41"/>
      <c r="F257" s="41"/>
      <c r="G257" s="34"/>
      <c r="H257" s="41"/>
      <c r="I257" s="41"/>
      <c r="J257" s="41"/>
      <c r="K257" s="41"/>
      <c r="L257" s="36"/>
      <c r="M257" s="29"/>
      <c r="N257" s="54"/>
      <c r="O257" s="55" t="n">
        <f aca="false">N257*J257</f>
        <v>0</v>
      </c>
    </row>
    <row r="258" customFormat="false" ht="15" hidden="false" customHeight="false" outlineLevel="0" collapsed="false">
      <c r="A258" s="33"/>
      <c r="B258" s="28" t="s">
        <v>21</v>
      </c>
      <c r="C258" s="29"/>
      <c r="D258" s="29"/>
      <c r="E258" s="29"/>
      <c r="F258" s="29"/>
      <c r="G258" s="36"/>
      <c r="H258" s="29"/>
      <c r="I258" s="29"/>
      <c r="J258" s="29"/>
      <c r="K258" s="29"/>
      <c r="L258" s="36"/>
      <c r="M258" s="29"/>
      <c r="N258" s="54"/>
      <c r="O258" s="55" t="n">
        <f aca="false">N258*J258</f>
        <v>0</v>
      </c>
    </row>
    <row r="259" customFormat="false" ht="15" hidden="false" customHeight="false" outlineLevel="0" collapsed="false">
      <c r="A259" s="33"/>
      <c r="B259" s="28" t="s">
        <v>21</v>
      </c>
      <c r="C259" s="29"/>
      <c r="D259" s="29"/>
      <c r="E259" s="29"/>
      <c r="F259" s="29"/>
      <c r="G259" s="36"/>
      <c r="H259" s="29"/>
      <c r="I259" s="29"/>
      <c r="J259" s="29"/>
      <c r="K259" s="29"/>
      <c r="L259" s="36"/>
      <c r="M259" s="29"/>
      <c r="N259" s="54"/>
      <c r="O259" s="55" t="n">
        <f aca="false">N259*J259</f>
        <v>0</v>
      </c>
    </row>
    <row r="260" customFormat="false" ht="15" hidden="false" customHeight="false" outlineLevel="0" collapsed="false">
      <c r="A260" s="33"/>
      <c r="B260" s="28" t="s">
        <v>21</v>
      </c>
      <c r="C260" s="29"/>
      <c r="D260" s="29"/>
      <c r="E260" s="29"/>
      <c r="F260" s="29"/>
      <c r="G260" s="36"/>
      <c r="H260" s="29"/>
      <c r="I260" s="29"/>
      <c r="J260" s="29"/>
      <c r="K260" s="29"/>
      <c r="L260" s="36"/>
      <c r="M260" s="29"/>
      <c r="N260" s="54"/>
      <c r="O260" s="55" t="n">
        <f aca="false">N260*J260</f>
        <v>0</v>
      </c>
    </row>
    <row r="261" customFormat="false" ht="15" hidden="false" customHeight="false" outlineLevel="0" collapsed="false">
      <c r="A261" s="33"/>
      <c r="B261" s="28" t="s">
        <v>21</v>
      </c>
      <c r="C261" s="29"/>
      <c r="D261" s="29"/>
      <c r="E261" s="29"/>
      <c r="F261" s="29"/>
      <c r="G261" s="36"/>
      <c r="H261" s="29"/>
      <c r="I261" s="29"/>
      <c r="J261" s="29"/>
      <c r="K261" s="29"/>
      <c r="L261" s="36"/>
      <c r="M261" s="29"/>
      <c r="N261" s="54"/>
      <c r="O261" s="55" t="n">
        <f aca="false">N261*J261</f>
        <v>0</v>
      </c>
    </row>
    <row r="262" customFormat="false" ht="15" hidden="false" customHeight="false" outlineLevel="0" collapsed="false">
      <c r="A262" s="33"/>
      <c r="B262" s="28" t="s">
        <v>21</v>
      </c>
      <c r="C262" s="29"/>
      <c r="D262" s="29"/>
      <c r="E262" s="29"/>
      <c r="F262" s="29"/>
      <c r="G262" s="36"/>
      <c r="H262" s="29"/>
      <c r="I262" s="29"/>
      <c r="J262" s="29"/>
      <c r="K262" s="29"/>
      <c r="L262" s="36"/>
      <c r="M262" s="29"/>
      <c r="N262" s="54"/>
      <c r="O262" s="55" t="n">
        <f aca="false">N262*J262</f>
        <v>0</v>
      </c>
    </row>
    <row r="263" customFormat="false" ht="15" hidden="false" customHeight="false" outlineLevel="0" collapsed="false">
      <c r="A263" s="33"/>
      <c r="B263" s="28" t="s">
        <v>21</v>
      </c>
      <c r="C263" s="29"/>
      <c r="D263" s="29"/>
      <c r="E263" s="29"/>
      <c r="F263" s="29"/>
      <c r="G263" s="36"/>
      <c r="H263" s="29"/>
      <c r="I263" s="29"/>
      <c r="J263" s="29"/>
      <c r="K263" s="29"/>
      <c r="L263" s="36"/>
      <c r="M263" s="29"/>
      <c r="N263" s="54"/>
      <c r="O263" s="55" t="n">
        <f aca="false">N263*J263</f>
        <v>0</v>
      </c>
    </row>
    <row r="264" customFormat="false" ht="15" hidden="false" customHeight="false" outlineLevel="0" collapsed="false">
      <c r="A264" s="33"/>
      <c r="B264" s="28" t="s">
        <v>21</v>
      </c>
      <c r="C264" s="29"/>
      <c r="D264" s="29"/>
      <c r="E264" s="29"/>
      <c r="F264" s="29"/>
      <c r="G264" s="36"/>
      <c r="H264" s="29"/>
      <c r="I264" s="29"/>
      <c r="J264" s="29"/>
      <c r="K264" s="29"/>
      <c r="L264" s="36"/>
      <c r="M264" s="29"/>
      <c r="N264" s="54"/>
      <c r="O264" s="55" t="n">
        <f aca="false">N264*J264</f>
        <v>0</v>
      </c>
    </row>
    <row r="265" customFormat="false" ht="15" hidden="false" customHeight="false" outlineLevel="0" collapsed="false">
      <c r="A265" s="33"/>
      <c r="B265" s="28" t="s">
        <v>21</v>
      </c>
      <c r="C265" s="29"/>
      <c r="D265" s="29"/>
      <c r="E265" s="29"/>
      <c r="F265" s="29"/>
      <c r="G265" s="36"/>
      <c r="H265" s="29"/>
      <c r="I265" s="29"/>
      <c r="J265" s="29"/>
      <c r="K265" s="29"/>
      <c r="L265" s="36"/>
      <c r="M265" s="29"/>
      <c r="N265" s="54"/>
      <c r="O265" s="55" t="n">
        <f aca="false">N265*J265</f>
        <v>0</v>
      </c>
    </row>
    <row r="266" customFormat="false" ht="15" hidden="false" customHeight="false" outlineLevel="0" collapsed="false">
      <c r="A266" s="33"/>
      <c r="B266" s="28" t="s">
        <v>21</v>
      </c>
      <c r="C266" s="29"/>
      <c r="D266" s="29"/>
      <c r="E266" s="29"/>
      <c r="F266" s="29"/>
      <c r="G266" s="36"/>
      <c r="H266" s="29"/>
      <c r="I266" s="29"/>
      <c r="J266" s="29"/>
      <c r="K266" s="29"/>
      <c r="L266" s="36"/>
      <c r="M266" s="29"/>
      <c r="N266" s="54"/>
      <c r="O266" s="55" t="n">
        <f aca="false">N266*J266</f>
        <v>0</v>
      </c>
    </row>
    <row r="267" customFormat="false" ht="15" hidden="false" customHeight="false" outlineLevel="0" collapsed="false">
      <c r="A267" s="33"/>
      <c r="B267" s="28" t="s">
        <v>21</v>
      </c>
      <c r="C267" s="29"/>
      <c r="D267" s="29"/>
      <c r="E267" s="29"/>
      <c r="F267" s="29"/>
      <c r="G267" s="36"/>
      <c r="H267" s="29"/>
      <c r="I267" s="29"/>
      <c r="J267" s="29"/>
      <c r="K267" s="29"/>
      <c r="L267" s="36"/>
      <c r="M267" s="29"/>
      <c r="N267" s="54"/>
      <c r="O267" s="55" t="n">
        <f aca="false">N267*J267</f>
        <v>0</v>
      </c>
    </row>
    <row r="268" customFormat="false" ht="15" hidden="false" customHeight="false" outlineLevel="0" collapsed="false">
      <c r="A268" s="33"/>
      <c r="B268" s="28" t="s">
        <v>21</v>
      </c>
      <c r="C268" s="29"/>
      <c r="D268" s="29"/>
      <c r="E268" s="29"/>
      <c r="F268" s="29"/>
      <c r="G268" s="36"/>
      <c r="H268" s="29"/>
      <c r="I268" s="29"/>
      <c r="J268" s="29"/>
      <c r="K268" s="29"/>
      <c r="L268" s="36"/>
      <c r="M268" s="29"/>
      <c r="N268" s="54"/>
      <c r="O268" s="55" t="n">
        <f aca="false">N268*J268</f>
        <v>0</v>
      </c>
    </row>
    <row r="269" customFormat="false" ht="15" hidden="false" customHeight="false" outlineLevel="0" collapsed="false">
      <c r="A269" s="33"/>
      <c r="B269" s="28" t="s">
        <v>21</v>
      </c>
      <c r="C269" s="29"/>
      <c r="D269" s="29"/>
      <c r="E269" s="29"/>
      <c r="F269" s="29"/>
      <c r="G269" s="36"/>
      <c r="H269" s="29"/>
      <c r="I269" s="29"/>
      <c r="J269" s="29"/>
      <c r="K269" s="29"/>
      <c r="L269" s="36"/>
      <c r="M269" s="29"/>
      <c r="N269" s="54"/>
      <c r="O269" s="55" t="n">
        <f aca="false">N269*J269</f>
        <v>0</v>
      </c>
    </row>
    <row r="270" customFormat="false" ht="15" hidden="false" customHeight="false" outlineLevel="0" collapsed="false">
      <c r="A270" s="33"/>
      <c r="B270" s="28" t="s">
        <v>21</v>
      </c>
      <c r="C270" s="29"/>
      <c r="D270" s="29"/>
      <c r="E270" s="29"/>
      <c r="F270" s="29"/>
      <c r="G270" s="36"/>
      <c r="H270" s="29"/>
      <c r="I270" s="29"/>
      <c r="J270" s="29"/>
      <c r="K270" s="29"/>
      <c r="L270" s="36"/>
      <c r="M270" s="29"/>
      <c r="N270" s="54"/>
      <c r="O270" s="55" t="n">
        <f aca="false">N270*J270</f>
        <v>0</v>
      </c>
    </row>
    <row r="271" customFormat="false" ht="15" hidden="false" customHeight="false" outlineLevel="0" collapsed="false">
      <c r="A271" s="33"/>
      <c r="B271" s="28" t="s">
        <v>21</v>
      </c>
      <c r="C271" s="29"/>
      <c r="D271" s="29"/>
      <c r="E271" s="29"/>
      <c r="F271" s="29"/>
      <c r="G271" s="36"/>
      <c r="H271" s="29"/>
      <c r="I271" s="29"/>
      <c r="J271" s="29"/>
      <c r="K271" s="29"/>
      <c r="L271" s="36"/>
      <c r="M271" s="29"/>
      <c r="N271" s="54"/>
      <c r="O271" s="55" t="n">
        <f aca="false">N271*J271</f>
        <v>0</v>
      </c>
    </row>
    <row r="272" customFormat="false" ht="15" hidden="false" customHeight="false" outlineLevel="0" collapsed="false">
      <c r="A272" s="33"/>
      <c r="B272" s="28" t="s">
        <v>21</v>
      </c>
      <c r="C272" s="29"/>
      <c r="D272" s="29"/>
      <c r="E272" s="29"/>
      <c r="F272" s="29"/>
      <c r="G272" s="36"/>
      <c r="H272" s="29"/>
      <c r="I272" s="29"/>
      <c r="J272" s="29"/>
      <c r="K272" s="29"/>
      <c r="L272" s="36"/>
      <c r="M272" s="29"/>
      <c r="N272" s="54"/>
      <c r="O272" s="55" t="n">
        <f aca="false">N272*J272</f>
        <v>0</v>
      </c>
    </row>
    <row r="273" customFormat="false" ht="15" hidden="false" customHeight="false" outlineLevel="0" collapsed="false">
      <c r="A273" s="33"/>
      <c r="B273" s="28" t="s">
        <v>21</v>
      </c>
      <c r="C273" s="29"/>
      <c r="D273" s="29"/>
      <c r="E273" s="29"/>
      <c r="F273" s="29"/>
      <c r="G273" s="36"/>
      <c r="H273" s="29"/>
      <c r="I273" s="29"/>
      <c r="J273" s="29"/>
      <c r="K273" s="29"/>
      <c r="L273" s="36"/>
      <c r="M273" s="29"/>
      <c r="N273" s="54"/>
      <c r="O273" s="55" t="n">
        <f aca="false">N273*J273</f>
        <v>0</v>
      </c>
    </row>
    <row r="274" customFormat="false" ht="15" hidden="false" customHeight="false" outlineLevel="0" collapsed="false">
      <c r="A274" s="33"/>
      <c r="B274" s="28" t="s">
        <v>21</v>
      </c>
      <c r="C274" s="29"/>
      <c r="D274" s="29"/>
      <c r="E274" s="29"/>
      <c r="F274" s="29"/>
      <c r="G274" s="36"/>
      <c r="H274" s="29"/>
      <c r="I274" s="29"/>
      <c r="J274" s="29"/>
      <c r="K274" s="29"/>
      <c r="L274" s="36"/>
      <c r="M274" s="29"/>
      <c r="N274" s="54"/>
      <c r="O274" s="55" t="n">
        <f aca="false">N274*J274</f>
        <v>0</v>
      </c>
    </row>
    <row r="275" customFormat="false" ht="15" hidden="false" customHeight="false" outlineLevel="0" collapsed="false">
      <c r="A275" s="33"/>
      <c r="B275" s="28" t="s">
        <v>21</v>
      </c>
      <c r="C275" s="29"/>
      <c r="D275" s="29"/>
      <c r="E275" s="29"/>
      <c r="F275" s="29"/>
      <c r="G275" s="36"/>
      <c r="H275" s="29"/>
      <c r="I275" s="29"/>
      <c r="J275" s="29"/>
      <c r="K275" s="29"/>
      <c r="L275" s="36"/>
      <c r="M275" s="29"/>
      <c r="N275" s="54"/>
      <c r="O275" s="55" t="n">
        <f aca="false">N275*J275</f>
        <v>0</v>
      </c>
    </row>
    <row r="276" customFormat="false" ht="15" hidden="false" customHeight="false" outlineLevel="0" collapsed="false">
      <c r="A276" s="33"/>
      <c r="B276" s="28" t="s">
        <v>21</v>
      </c>
      <c r="C276" s="29"/>
      <c r="D276" s="29"/>
      <c r="E276" s="29"/>
      <c r="F276" s="29"/>
      <c r="G276" s="36"/>
      <c r="H276" s="29"/>
      <c r="I276" s="29"/>
      <c r="J276" s="29"/>
      <c r="K276" s="29"/>
      <c r="L276" s="36"/>
      <c r="M276" s="29"/>
      <c r="N276" s="54"/>
      <c r="O276" s="55" t="n">
        <f aca="false">N276*J276</f>
        <v>0</v>
      </c>
    </row>
    <row r="277" customFormat="false" ht="15" hidden="false" customHeight="false" outlineLevel="0" collapsed="false">
      <c r="A277" s="33"/>
      <c r="B277" s="28" t="s">
        <v>21</v>
      </c>
      <c r="C277" s="29"/>
      <c r="D277" s="29"/>
      <c r="E277" s="29"/>
      <c r="F277" s="29"/>
      <c r="G277" s="36"/>
      <c r="H277" s="29"/>
      <c r="I277" s="29"/>
      <c r="J277" s="29"/>
      <c r="K277" s="29"/>
      <c r="L277" s="36"/>
      <c r="M277" s="29"/>
      <c r="N277" s="54"/>
      <c r="O277" s="55" t="n">
        <f aca="false">N277*J277</f>
        <v>0</v>
      </c>
    </row>
    <row r="278" customFormat="false" ht="15" hidden="false" customHeight="false" outlineLevel="0" collapsed="false">
      <c r="A278" s="33"/>
      <c r="B278" s="28" t="s">
        <v>21</v>
      </c>
      <c r="C278" s="29"/>
      <c r="D278" s="29"/>
      <c r="E278" s="29"/>
      <c r="F278" s="29"/>
      <c r="G278" s="36"/>
      <c r="H278" s="29"/>
      <c r="I278" s="29"/>
      <c r="J278" s="29"/>
      <c r="K278" s="29"/>
      <c r="L278" s="36"/>
      <c r="M278" s="29"/>
      <c r="N278" s="54"/>
      <c r="O278" s="55" t="n">
        <f aca="false">N278*J278</f>
        <v>0</v>
      </c>
    </row>
    <row r="279" customFormat="false" ht="15" hidden="false" customHeight="false" outlineLevel="0" collapsed="false">
      <c r="A279" s="33"/>
      <c r="B279" s="28" t="s">
        <v>21</v>
      </c>
      <c r="C279" s="29"/>
      <c r="D279" s="29"/>
      <c r="E279" s="29"/>
      <c r="F279" s="29"/>
      <c r="G279" s="36"/>
      <c r="H279" s="29"/>
      <c r="I279" s="29"/>
      <c r="J279" s="29"/>
      <c r="K279" s="29"/>
      <c r="L279" s="36"/>
      <c r="M279" s="29"/>
      <c r="N279" s="54"/>
      <c r="O279" s="55" t="n">
        <f aca="false">N279*J279</f>
        <v>0</v>
      </c>
    </row>
    <row r="280" customFormat="false" ht="15" hidden="false" customHeight="false" outlineLevel="0" collapsed="false">
      <c r="A280" s="33"/>
      <c r="B280" s="28" t="s">
        <v>21</v>
      </c>
      <c r="C280" s="29"/>
      <c r="D280" s="29"/>
      <c r="E280" s="29"/>
      <c r="F280" s="29"/>
      <c r="G280" s="36"/>
      <c r="H280" s="29"/>
      <c r="I280" s="29"/>
      <c r="J280" s="29"/>
      <c r="K280" s="29"/>
      <c r="L280" s="36"/>
      <c r="M280" s="29"/>
      <c r="N280" s="54"/>
      <c r="O280" s="55" t="n">
        <f aca="false">N280*J280</f>
        <v>0</v>
      </c>
    </row>
    <row r="281" customFormat="false" ht="15" hidden="false" customHeight="false" outlineLevel="0" collapsed="false">
      <c r="A281" s="33"/>
      <c r="B281" s="28" t="s">
        <v>21</v>
      </c>
      <c r="C281" s="29"/>
      <c r="D281" s="29"/>
      <c r="E281" s="29"/>
      <c r="F281" s="29"/>
      <c r="G281" s="36"/>
      <c r="H281" s="29"/>
      <c r="I281" s="29"/>
      <c r="J281" s="29"/>
      <c r="K281" s="29"/>
      <c r="L281" s="36"/>
      <c r="M281" s="29"/>
      <c r="N281" s="54"/>
      <c r="O281" s="55" t="n">
        <f aca="false">N281*J281</f>
        <v>0</v>
      </c>
    </row>
    <row r="282" customFormat="false" ht="15" hidden="false" customHeight="false" outlineLevel="0" collapsed="false">
      <c r="A282" s="33"/>
      <c r="B282" s="28" t="s">
        <v>21</v>
      </c>
      <c r="C282" s="29"/>
      <c r="D282" s="29"/>
      <c r="E282" s="29"/>
      <c r="F282" s="29"/>
      <c r="G282" s="36"/>
      <c r="H282" s="29"/>
      <c r="I282" s="29"/>
      <c r="J282" s="29"/>
      <c r="K282" s="29"/>
      <c r="L282" s="36"/>
      <c r="M282" s="29"/>
      <c r="N282" s="54"/>
      <c r="O282" s="55" t="n">
        <f aca="false">N282*J282</f>
        <v>0</v>
      </c>
    </row>
    <row r="283" customFormat="false" ht="15" hidden="false" customHeight="false" outlineLevel="0" collapsed="false">
      <c r="A283" s="33"/>
      <c r="B283" s="28" t="s">
        <v>21</v>
      </c>
      <c r="C283" s="29"/>
      <c r="D283" s="29"/>
      <c r="E283" s="29"/>
      <c r="F283" s="29"/>
      <c r="G283" s="36"/>
      <c r="H283" s="29"/>
      <c r="I283" s="29"/>
      <c r="J283" s="29"/>
      <c r="K283" s="29"/>
      <c r="L283" s="36"/>
      <c r="M283" s="29"/>
      <c r="N283" s="54"/>
      <c r="O283" s="55" t="n">
        <f aca="false">N283*J283</f>
        <v>0</v>
      </c>
    </row>
    <row r="284" customFormat="false" ht="15" hidden="false" customHeight="false" outlineLevel="0" collapsed="false">
      <c r="A284" s="33"/>
      <c r="B284" s="28" t="s">
        <v>21</v>
      </c>
      <c r="C284" s="29"/>
      <c r="D284" s="29"/>
      <c r="E284" s="29"/>
      <c r="F284" s="29"/>
      <c r="G284" s="36"/>
      <c r="H284" s="29"/>
      <c r="I284" s="29"/>
      <c r="J284" s="29"/>
      <c r="K284" s="29"/>
      <c r="L284" s="36"/>
      <c r="M284" s="29"/>
      <c r="N284" s="54"/>
      <c r="O284" s="55" t="n">
        <f aca="false">N284*J284</f>
        <v>0</v>
      </c>
    </row>
    <row r="285" customFormat="false" ht="15" hidden="false" customHeight="false" outlineLevel="0" collapsed="false">
      <c r="A285" s="33"/>
      <c r="B285" s="28" t="s">
        <v>21</v>
      </c>
      <c r="C285" s="29"/>
      <c r="D285" s="29"/>
      <c r="E285" s="29"/>
      <c r="F285" s="29"/>
      <c r="G285" s="36"/>
      <c r="H285" s="29"/>
      <c r="I285" s="29"/>
      <c r="J285" s="29"/>
      <c r="K285" s="29"/>
      <c r="L285" s="36"/>
      <c r="M285" s="29"/>
      <c r="N285" s="54"/>
      <c r="O285" s="55" t="n">
        <f aca="false">N285*J285</f>
        <v>0</v>
      </c>
    </row>
    <row r="286" customFormat="false" ht="15" hidden="false" customHeight="false" outlineLevel="0" collapsed="false">
      <c r="A286" s="33"/>
      <c r="B286" s="28" t="s">
        <v>21</v>
      </c>
      <c r="C286" s="29"/>
      <c r="D286" s="29"/>
      <c r="E286" s="29"/>
      <c r="F286" s="29"/>
      <c r="G286" s="36"/>
      <c r="H286" s="29"/>
      <c r="I286" s="29"/>
      <c r="J286" s="29"/>
      <c r="K286" s="29"/>
      <c r="L286" s="36"/>
      <c r="M286" s="29"/>
      <c r="N286" s="54"/>
      <c r="O286" s="55" t="n">
        <f aca="false">N286*J286</f>
        <v>0</v>
      </c>
    </row>
    <row r="287" customFormat="false" ht="15" hidden="false" customHeight="false" outlineLevel="0" collapsed="false">
      <c r="A287" s="33"/>
      <c r="B287" s="28" t="s">
        <v>21</v>
      </c>
      <c r="C287" s="29"/>
      <c r="D287" s="29"/>
      <c r="E287" s="29"/>
      <c r="F287" s="29"/>
      <c r="G287" s="36"/>
      <c r="H287" s="29"/>
      <c r="I287" s="29"/>
      <c r="J287" s="29"/>
      <c r="K287" s="29"/>
      <c r="L287" s="36"/>
      <c r="M287" s="29"/>
      <c r="N287" s="54"/>
      <c r="O287" s="55" t="n">
        <f aca="false">N287*J287</f>
        <v>0</v>
      </c>
    </row>
    <row r="288" customFormat="false" ht="15" hidden="false" customHeight="false" outlineLevel="0" collapsed="false">
      <c r="A288" s="33"/>
      <c r="B288" s="28" t="s">
        <v>21</v>
      </c>
      <c r="C288" s="29"/>
      <c r="D288" s="29"/>
      <c r="E288" s="29"/>
      <c r="F288" s="29"/>
      <c r="G288" s="36"/>
      <c r="H288" s="29"/>
      <c r="I288" s="29"/>
      <c r="J288" s="29"/>
      <c r="K288" s="29"/>
      <c r="L288" s="36"/>
      <c r="M288" s="29"/>
      <c r="N288" s="54"/>
      <c r="O288" s="55" t="n">
        <f aca="false">N288*J288</f>
        <v>0</v>
      </c>
    </row>
    <row r="289" customFormat="false" ht="15" hidden="false" customHeight="false" outlineLevel="0" collapsed="false">
      <c r="A289" s="33"/>
      <c r="B289" s="28" t="s">
        <v>21</v>
      </c>
      <c r="C289" s="29"/>
      <c r="D289" s="29"/>
      <c r="E289" s="29"/>
      <c r="F289" s="29"/>
      <c r="G289" s="36"/>
      <c r="H289" s="29"/>
      <c r="I289" s="29"/>
      <c r="J289" s="29"/>
      <c r="K289" s="29"/>
      <c r="L289" s="36"/>
      <c r="M289" s="29"/>
      <c r="N289" s="54"/>
      <c r="O289" s="55" t="n">
        <f aca="false">N289*J289</f>
        <v>0</v>
      </c>
    </row>
    <row r="290" customFormat="false" ht="15" hidden="false" customHeight="false" outlineLevel="0" collapsed="false">
      <c r="A290" s="33"/>
      <c r="B290" s="28" t="s">
        <v>21</v>
      </c>
      <c r="C290" s="29"/>
      <c r="D290" s="29"/>
      <c r="E290" s="29"/>
      <c r="F290" s="29"/>
      <c r="G290" s="36"/>
      <c r="H290" s="29"/>
      <c r="I290" s="29"/>
      <c r="J290" s="29"/>
      <c r="K290" s="29"/>
      <c r="L290" s="36"/>
      <c r="M290" s="29"/>
      <c r="N290" s="54"/>
      <c r="O290" s="55" t="n">
        <f aca="false">N290*J290</f>
        <v>0</v>
      </c>
    </row>
    <row r="291" customFormat="false" ht="15" hidden="false" customHeight="false" outlineLevel="0" collapsed="false">
      <c r="A291" s="33"/>
      <c r="B291" s="28" t="s">
        <v>21</v>
      </c>
      <c r="C291" s="29"/>
      <c r="D291" s="29"/>
      <c r="E291" s="29"/>
      <c r="F291" s="29"/>
      <c r="G291" s="36"/>
      <c r="H291" s="29"/>
      <c r="I291" s="29"/>
      <c r="J291" s="29"/>
      <c r="K291" s="29"/>
      <c r="L291" s="36"/>
      <c r="M291" s="29"/>
      <c r="N291" s="54"/>
      <c r="O291" s="55" t="n">
        <f aca="false">N291*J291</f>
        <v>0</v>
      </c>
    </row>
    <row r="292" customFormat="false" ht="15" hidden="false" customHeight="false" outlineLevel="0" collapsed="false">
      <c r="A292" s="42"/>
      <c r="B292" s="28" t="s">
        <v>21</v>
      </c>
      <c r="C292" s="41"/>
      <c r="D292" s="41"/>
      <c r="E292" s="41"/>
      <c r="F292" s="41"/>
      <c r="G292" s="34"/>
      <c r="H292" s="41"/>
      <c r="I292" s="41"/>
      <c r="J292" s="41"/>
      <c r="K292" s="41"/>
      <c r="L292" s="36"/>
      <c r="M292" s="29"/>
      <c r="N292" s="54"/>
      <c r="O292" s="55" t="n">
        <f aca="false">N292*J292</f>
        <v>0</v>
      </c>
    </row>
    <row r="293" customFormat="false" ht="15" hidden="false" customHeight="false" outlineLevel="0" collapsed="false">
      <c r="A293" s="33"/>
      <c r="B293" s="28" t="s">
        <v>21</v>
      </c>
      <c r="C293" s="29"/>
      <c r="D293" s="29"/>
      <c r="E293" s="29"/>
      <c r="F293" s="29"/>
      <c r="G293" s="36"/>
      <c r="H293" s="29"/>
      <c r="I293" s="29"/>
      <c r="J293" s="29"/>
      <c r="K293" s="29"/>
      <c r="L293" s="36"/>
      <c r="M293" s="29"/>
      <c r="N293" s="54"/>
      <c r="O293" s="55" t="n">
        <f aca="false">N293*J293</f>
        <v>0</v>
      </c>
    </row>
    <row r="294" customFormat="false" ht="15" hidden="false" customHeight="false" outlineLevel="0" collapsed="false">
      <c r="A294" s="33"/>
      <c r="B294" s="28" t="s">
        <v>21</v>
      </c>
      <c r="C294" s="29"/>
      <c r="D294" s="29"/>
      <c r="E294" s="29"/>
      <c r="F294" s="29"/>
      <c r="G294" s="36"/>
      <c r="H294" s="29"/>
      <c r="I294" s="29"/>
      <c r="J294" s="29"/>
      <c r="K294" s="29"/>
      <c r="L294" s="36"/>
      <c r="M294" s="29"/>
      <c r="N294" s="54"/>
      <c r="O294" s="55" t="n">
        <f aca="false">N294*J294</f>
        <v>0</v>
      </c>
    </row>
    <row r="295" customFormat="false" ht="15" hidden="false" customHeight="false" outlineLevel="0" collapsed="false">
      <c r="A295" s="33"/>
      <c r="B295" s="28" t="s">
        <v>21</v>
      </c>
      <c r="C295" s="29"/>
      <c r="D295" s="29"/>
      <c r="E295" s="29"/>
      <c r="F295" s="29"/>
      <c r="G295" s="36"/>
      <c r="H295" s="29"/>
      <c r="I295" s="29"/>
      <c r="J295" s="29"/>
      <c r="K295" s="29"/>
      <c r="L295" s="36"/>
      <c r="M295" s="29"/>
      <c r="N295" s="54"/>
      <c r="O295" s="55" t="n">
        <f aca="false">N295*J295</f>
        <v>0</v>
      </c>
    </row>
    <row r="296" customFormat="false" ht="15" hidden="false" customHeight="false" outlineLevel="0" collapsed="false">
      <c r="A296" s="33"/>
      <c r="B296" s="28" t="s">
        <v>21</v>
      </c>
      <c r="C296" s="29"/>
      <c r="D296" s="29"/>
      <c r="E296" s="29"/>
      <c r="F296" s="29"/>
      <c r="G296" s="36"/>
      <c r="H296" s="29"/>
      <c r="I296" s="29"/>
      <c r="J296" s="29"/>
      <c r="K296" s="29"/>
      <c r="L296" s="36"/>
      <c r="M296" s="29"/>
      <c r="N296" s="54"/>
      <c r="O296" s="55" t="n">
        <f aca="false">N296*J296</f>
        <v>0</v>
      </c>
    </row>
    <row r="297" customFormat="false" ht="15" hidden="false" customHeight="false" outlineLevel="0" collapsed="false">
      <c r="A297" s="33"/>
      <c r="B297" s="28" t="s">
        <v>21</v>
      </c>
      <c r="C297" s="29"/>
      <c r="D297" s="29"/>
      <c r="E297" s="29"/>
      <c r="F297" s="29"/>
      <c r="G297" s="36"/>
      <c r="H297" s="29"/>
      <c r="I297" s="29"/>
      <c r="J297" s="29"/>
      <c r="K297" s="29"/>
      <c r="L297" s="36"/>
      <c r="M297" s="29"/>
      <c r="N297" s="54"/>
      <c r="O297" s="55" t="n">
        <f aca="false">N297*J297</f>
        <v>0</v>
      </c>
    </row>
    <row r="298" customFormat="false" ht="15" hidden="false" customHeight="false" outlineLevel="0" collapsed="false">
      <c r="A298" s="33"/>
      <c r="B298" s="28" t="s">
        <v>21</v>
      </c>
      <c r="C298" s="29"/>
      <c r="D298" s="29"/>
      <c r="E298" s="29"/>
      <c r="F298" s="29"/>
      <c r="G298" s="36"/>
      <c r="H298" s="29"/>
      <c r="I298" s="29"/>
      <c r="J298" s="29"/>
      <c r="K298" s="29"/>
      <c r="L298" s="36"/>
      <c r="M298" s="29"/>
      <c r="N298" s="54"/>
      <c r="O298" s="55" t="n">
        <f aca="false">N298*J298</f>
        <v>0</v>
      </c>
    </row>
    <row r="299" customFormat="false" ht="15" hidden="false" customHeight="false" outlineLevel="0" collapsed="false">
      <c r="A299" s="33"/>
      <c r="B299" s="28" t="s">
        <v>21</v>
      </c>
      <c r="C299" s="29"/>
      <c r="D299" s="29"/>
      <c r="E299" s="29"/>
      <c r="F299" s="29"/>
      <c r="G299" s="36"/>
      <c r="H299" s="29"/>
      <c r="I299" s="29"/>
      <c r="J299" s="29"/>
      <c r="K299" s="29"/>
      <c r="L299" s="36"/>
      <c r="M299" s="29"/>
      <c r="N299" s="54"/>
      <c r="O299" s="55" t="n">
        <f aca="false">N299*J299</f>
        <v>0</v>
      </c>
    </row>
    <row r="300" customFormat="false" ht="15" hidden="false" customHeight="false" outlineLevel="0" collapsed="false">
      <c r="A300" s="33"/>
      <c r="B300" s="28" t="s">
        <v>21</v>
      </c>
      <c r="C300" s="29"/>
      <c r="D300" s="29"/>
      <c r="E300" s="29"/>
      <c r="F300" s="29"/>
      <c r="G300" s="36"/>
      <c r="H300" s="29"/>
      <c r="I300" s="29"/>
      <c r="J300" s="29"/>
      <c r="K300" s="29"/>
      <c r="L300" s="36"/>
      <c r="M300" s="29"/>
      <c r="N300" s="54"/>
      <c r="O300" s="55" t="n">
        <f aca="false">N300*J300</f>
        <v>0</v>
      </c>
    </row>
    <row r="301" customFormat="false" ht="15" hidden="false" customHeight="false" outlineLevel="0" collapsed="false">
      <c r="A301" s="33"/>
      <c r="B301" s="28" t="s">
        <v>21</v>
      </c>
      <c r="C301" s="29"/>
      <c r="D301" s="29"/>
      <c r="E301" s="29"/>
      <c r="F301" s="29"/>
      <c r="G301" s="36"/>
      <c r="H301" s="29"/>
      <c r="I301" s="29"/>
      <c r="J301" s="29"/>
      <c r="K301" s="29"/>
      <c r="L301" s="36"/>
      <c r="M301" s="29"/>
      <c r="N301" s="54"/>
      <c r="O301" s="55" t="n">
        <f aca="false">N301*J301</f>
        <v>0</v>
      </c>
    </row>
    <row r="302" customFormat="false" ht="15" hidden="false" customHeight="false" outlineLevel="0" collapsed="false">
      <c r="A302" s="33"/>
      <c r="B302" s="28" t="s">
        <v>21</v>
      </c>
      <c r="C302" s="29"/>
      <c r="D302" s="29"/>
      <c r="E302" s="29"/>
      <c r="F302" s="29"/>
      <c r="G302" s="36"/>
      <c r="H302" s="29"/>
      <c r="I302" s="29"/>
      <c r="J302" s="29"/>
      <c r="K302" s="29"/>
      <c r="L302" s="36"/>
      <c r="M302" s="29"/>
      <c r="N302" s="54"/>
      <c r="O302" s="55" t="n">
        <f aca="false">N302*J302</f>
        <v>0</v>
      </c>
    </row>
    <row r="303" customFormat="false" ht="15" hidden="false" customHeight="false" outlineLevel="0" collapsed="false">
      <c r="A303" s="33"/>
      <c r="B303" s="28" t="s">
        <v>21</v>
      </c>
      <c r="C303" s="29"/>
      <c r="D303" s="29"/>
      <c r="E303" s="29"/>
      <c r="F303" s="29"/>
      <c r="G303" s="36"/>
      <c r="H303" s="29"/>
      <c r="I303" s="29"/>
      <c r="J303" s="29"/>
      <c r="K303" s="29"/>
      <c r="L303" s="36"/>
      <c r="M303" s="29"/>
      <c r="N303" s="54"/>
      <c r="O303" s="55" t="n">
        <f aca="false">N303*J303</f>
        <v>0</v>
      </c>
    </row>
    <row r="304" customFormat="false" ht="15" hidden="false" customHeight="false" outlineLevel="0" collapsed="false">
      <c r="A304" s="33"/>
      <c r="B304" s="28" t="s">
        <v>21</v>
      </c>
      <c r="C304" s="29"/>
      <c r="D304" s="29"/>
      <c r="E304" s="29"/>
      <c r="F304" s="29"/>
      <c r="G304" s="36"/>
      <c r="H304" s="29"/>
      <c r="I304" s="29"/>
      <c r="J304" s="29"/>
      <c r="K304" s="29"/>
      <c r="L304" s="36"/>
      <c r="M304" s="29"/>
      <c r="N304" s="54"/>
      <c r="O304" s="55" t="n">
        <f aca="false">N304*J304</f>
        <v>0</v>
      </c>
    </row>
    <row r="305" customFormat="false" ht="15" hidden="false" customHeight="false" outlineLevel="0" collapsed="false">
      <c r="A305" s="33"/>
      <c r="B305" s="28" t="s">
        <v>21</v>
      </c>
      <c r="C305" s="29"/>
      <c r="D305" s="29"/>
      <c r="E305" s="29"/>
      <c r="F305" s="29"/>
      <c r="G305" s="36"/>
      <c r="H305" s="29"/>
      <c r="I305" s="29"/>
      <c r="J305" s="29"/>
      <c r="K305" s="29"/>
      <c r="L305" s="36"/>
      <c r="M305" s="29"/>
      <c r="N305" s="54"/>
      <c r="O305" s="55" t="n">
        <f aca="false">N305*J305</f>
        <v>0</v>
      </c>
    </row>
    <row r="306" customFormat="false" ht="15" hidden="false" customHeight="false" outlineLevel="0" collapsed="false">
      <c r="A306" s="33"/>
      <c r="B306" s="28" t="s">
        <v>21</v>
      </c>
      <c r="C306" s="29"/>
      <c r="D306" s="29"/>
      <c r="E306" s="29"/>
      <c r="F306" s="29"/>
      <c r="G306" s="36"/>
      <c r="H306" s="29"/>
      <c r="I306" s="29"/>
      <c r="J306" s="29"/>
      <c r="K306" s="29"/>
      <c r="L306" s="36"/>
      <c r="M306" s="29"/>
      <c r="N306" s="54"/>
      <c r="O306" s="55" t="n">
        <f aca="false">N306*J306</f>
        <v>0</v>
      </c>
    </row>
    <row r="307" customFormat="false" ht="15" hidden="false" customHeight="false" outlineLevel="0" collapsed="false">
      <c r="A307" s="33"/>
      <c r="B307" s="28" t="s">
        <v>21</v>
      </c>
      <c r="C307" s="29"/>
      <c r="D307" s="29"/>
      <c r="E307" s="29"/>
      <c r="F307" s="29"/>
      <c r="G307" s="36"/>
      <c r="H307" s="29"/>
      <c r="I307" s="29"/>
      <c r="J307" s="29"/>
      <c r="K307" s="29"/>
      <c r="L307" s="36"/>
      <c r="M307" s="29"/>
      <c r="N307" s="54"/>
      <c r="O307" s="55" t="n">
        <f aca="false">N307*J307</f>
        <v>0</v>
      </c>
    </row>
    <row r="308" customFormat="false" ht="15" hidden="false" customHeight="false" outlineLevel="0" collapsed="false">
      <c r="A308" s="33"/>
      <c r="B308" s="28" t="s">
        <v>21</v>
      </c>
      <c r="C308" s="29"/>
      <c r="D308" s="29"/>
      <c r="E308" s="29"/>
      <c r="F308" s="29"/>
      <c r="G308" s="36"/>
      <c r="H308" s="29"/>
      <c r="I308" s="29"/>
      <c r="J308" s="29"/>
      <c r="K308" s="29"/>
      <c r="L308" s="36"/>
      <c r="M308" s="29"/>
      <c r="N308" s="54"/>
      <c r="O308" s="55" t="n">
        <f aca="false">N308*J308</f>
        <v>0</v>
      </c>
    </row>
    <row r="309" customFormat="false" ht="15" hidden="false" customHeight="false" outlineLevel="0" collapsed="false">
      <c r="A309" s="33"/>
      <c r="B309" s="28" t="s">
        <v>21</v>
      </c>
      <c r="C309" s="29"/>
      <c r="D309" s="29"/>
      <c r="E309" s="29"/>
      <c r="F309" s="29"/>
      <c r="G309" s="36"/>
      <c r="H309" s="29"/>
      <c r="I309" s="29"/>
      <c r="J309" s="29"/>
      <c r="K309" s="29"/>
      <c r="L309" s="36"/>
      <c r="M309" s="29"/>
      <c r="N309" s="54"/>
      <c r="O309" s="55" t="n">
        <f aca="false">N309*J309</f>
        <v>0</v>
      </c>
    </row>
    <row r="310" customFormat="false" ht="15" hidden="false" customHeight="false" outlineLevel="0" collapsed="false">
      <c r="A310" s="33"/>
      <c r="B310" s="28" t="s">
        <v>21</v>
      </c>
      <c r="C310" s="29"/>
      <c r="D310" s="29"/>
      <c r="E310" s="29"/>
      <c r="F310" s="29"/>
      <c r="G310" s="36"/>
      <c r="H310" s="29"/>
      <c r="I310" s="29"/>
      <c r="J310" s="29"/>
      <c r="K310" s="29"/>
      <c r="L310" s="36"/>
      <c r="M310" s="29"/>
      <c r="N310" s="54"/>
      <c r="O310" s="55" t="n">
        <f aca="false">N310*J310</f>
        <v>0</v>
      </c>
    </row>
    <row r="311" customFormat="false" ht="15" hidden="false" customHeight="false" outlineLevel="0" collapsed="false">
      <c r="A311" s="33"/>
      <c r="B311" s="28" t="s">
        <v>21</v>
      </c>
      <c r="C311" s="29"/>
      <c r="D311" s="29"/>
      <c r="E311" s="29"/>
      <c r="F311" s="29"/>
      <c r="G311" s="36"/>
      <c r="H311" s="29"/>
      <c r="I311" s="29"/>
      <c r="J311" s="29"/>
      <c r="K311" s="29"/>
      <c r="L311" s="36"/>
      <c r="M311" s="29"/>
      <c r="N311" s="54"/>
      <c r="O311" s="55" t="n">
        <f aca="false">N311*J311</f>
        <v>0</v>
      </c>
    </row>
    <row r="312" customFormat="false" ht="15" hidden="false" customHeight="false" outlineLevel="0" collapsed="false">
      <c r="A312" s="33"/>
      <c r="B312" s="28" t="s">
        <v>21</v>
      </c>
      <c r="C312" s="29"/>
      <c r="D312" s="29"/>
      <c r="E312" s="29"/>
      <c r="F312" s="29"/>
      <c r="G312" s="36"/>
      <c r="H312" s="29"/>
      <c r="I312" s="29"/>
      <c r="J312" s="29"/>
      <c r="K312" s="29"/>
      <c r="L312" s="36"/>
      <c r="M312" s="29"/>
      <c r="N312" s="54"/>
      <c r="O312" s="55" t="n">
        <f aca="false">N312*J312</f>
        <v>0</v>
      </c>
    </row>
    <row r="313" customFormat="false" ht="15" hidden="false" customHeight="false" outlineLevel="0" collapsed="false">
      <c r="A313" s="33"/>
      <c r="B313" s="28" t="s">
        <v>21</v>
      </c>
      <c r="C313" s="29"/>
      <c r="D313" s="29"/>
      <c r="E313" s="29"/>
      <c r="F313" s="29"/>
      <c r="G313" s="36"/>
      <c r="H313" s="29"/>
      <c r="I313" s="29"/>
      <c r="J313" s="29"/>
      <c r="K313" s="29"/>
      <c r="L313" s="36"/>
      <c r="M313" s="29"/>
      <c r="N313" s="54"/>
      <c r="O313" s="55" t="n">
        <f aca="false">N313*J313</f>
        <v>0</v>
      </c>
    </row>
    <row r="314" customFormat="false" ht="15" hidden="false" customHeight="false" outlineLevel="0" collapsed="false">
      <c r="A314" s="33"/>
      <c r="B314" s="28" t="s">
        <v>21</v>
      </c>
      <c r="C314" s="29"/>
      <c r="D314" s="29"/>
      <c r="E314" s="29"/>
      <c r="F314" s="29"/>
      <c r="G314" s="36"/>
      <c r="H314" s="29"/>
      <c r="I314" s="29"/>
      <c r="J314" s="29"/>
      <c r="K314" s="29"/>
      <c r="L314" s="36"/>
      <c r="M314" s="29"/>
      <c r="N314" s="54"/>
      <c r="O314" s="55" t="n">
        <f aca="false">N314*J314</f>
        <v>0</v>
      </c>
    </row>
    <row r="315" customFormat="false" ht="15" hidden="false" customHeight="false" outlineLevel="0" collapsed="false">
      <c r="A315" s="33"/>
      <c r="B315" s="28" t="s">
        <v>21</v>
      </c>
      <c r="C315" s="29"/>
      <c r="D315" s="29"/>
      <c r="E315" s="29"/>
      <c r="F315" s="29"/>
      <c r="G315" s="36"/>
      <c r="H315" s="29"/>
      <c r="I315" s="29"/>
      <c r="J315" s="29"/>
      <c r="K315" s="29"/>
      <c r="L315" s="36"/>
      <c r="M315" s="29"/>
      <c r="N315" s="54"/>
      <c r="O315" s="55" t="n">
        <f aca="false">N315*J315</f>
        <v>0</v>
      </c>
    </row>
    <row r="316" customFormat="false" ht="15" hidden="false" customHeight="false" outlineLevel="0" collapsed="false">
      <c r="A316" s="33"/>
      <c r="B316" s="28" t="s">
        <v>21</v>
      </c>
      <c r="C316" s="29"/>
      <c r="D316" s="29"/>
      <c r="E316" s="29"/>
      <c r="F316" s="29"/>
      <c r="G316" s="36"/>
      <c r="H316" s="29"/>
      <c r="I316" s="29"/>
      <c r="J316" s="29"/>
      <c r="K316" s="29"/>
      <c r="L316" s="36"/>
      <c r="M316" s="29"/>
      <c r="N316" s="54"/>
      <c r="O316" s="55" t="n">
        <f aca="false">N316*J316</f>
        <v>0</v>
      </c>
    </row>
    <row r="317" customFormat="false" ht="15" hidden="false" customHeight="false" outlineLevel="0" collapsed="false">
      <c r="A317" s="33"/>
      <c r="B317" s="28" t="s">
        <v>21</v>
      </c>
      <c r="C317" s="29"/>
      <c r="D317" s="29"/>
      <c r="E317" s="29"/>
      <c r="F317" s="29"/>
      <c r="G317" s="36"/>
      <c r="H317" s="29"/>
      <c r="I317" s="29"/>
      <c r="J317" s="29"/>
      <c r="K317" s="29"/>
      <c r="L317" s="36"/>
      <c r="M317" s="29"/>
      <c r="N317" s="54"/>
      <c r="O317" s="55" t="n">
        <f aca="false">N317*J317</f>
        <v>0</v>
      </c>
    </row>
    <row r="318" customFormat="false" ht="15" hidden="false" customHeight="false" outlineLevel="0" collapsed="false">
      <c r="A318" s="33"/>
      <c r="B318" s="28" t="s">
        <v>21</v>
      </c>
      <c r="C318" s="29"/>
      <c r="D318" s="29"/>
      <c r="E318" s="29"/>
      <c r="F318" s="29"/>
      <c r="G318" s="36"/>
      <c r="H318" s="29"/>
      <c r="I318" s="29"/>
      <c r="J318" s="29"/>
      <c r="K318" s="29"/>
      <c r="L318" s="36"/>
      <c r="M318" s="29"/>
      <c r="N318" s="54"/>
      <c r="O318" s="55" t="n">
        <f aca="false">N318*J318</f>
        <v>0</v>
      </c>
    </row>
    <row r="319" customFormat="false" ht="15" hidden="false" customHeight="false" outlineLevel="0" collapsed="false">
      <c r="A319" s="33"/>
      <c r="B319" s="28" t="s">
        <v>21</v>
      </c>
      <c r="C319" s="29"/>
      <c r="D319" s="29"/>
      <c r="E319" s="29"/>
      <c r="F319" s="29"/>
      <c r="G319" s="36"/>
      <c r="H319" s="29"/>
      <c r="I319" s="29"/>
      <c r="J319" s="29"/>
      <c r="K319" s="29"/>
      <c r="L319" s="36"/>
      <c r="M319" s="29"/>
      <c r="N319" s="54"/>
      <c r="O319" s="55" t="n">
        <f aca="false">N319*J319</f>
        <v>0</v>
      </c>
    </row>
    <row r="320" customFormat="false" ht="15" hidden="false" customHeight="false" outlineLevel="0" collapsed="false">
      <c r="A320" s="33"/>
      <c r="B320" s="28" t="s">
        <v>21</v>
      </c>
      <c r="C320" s="29"/>
      <c r="D320" s="29"/>
      <c r="E320" s="29"/>
      <c r="F320" s="29"/>
      <c r="G320" s="36"/>
      <c r="H320" s="29"/>
      <c r="I320" s="29"/>
      <c r="J320" s="29"/>
      <c r="K320" s="29"/>
      <c r="L320" s="36"/>
      <c r="M320" s="29"/>
      <c r="N320" s="54"/>
      <c r="O320" s="55" t="n">
        <f aca="false">N320*J320</f>
        <v>0</v>
      </c>
    </row>
    <row r="321" customFormat="false" ht="15" hidden="false" customHeight="false" outlineLevel="0" collapsed="false">
      <c r="A321" s="33"/>
      <c r="B321" s="28" t="s">
        <v>21</v>
      </c>
      <c r="C321" s="29"/>
      <c r="D321" s="29"/>
      <c r="E321" s="29"/>
      <c r="F321" s="29"/>
      <c r="G321" s="36"/>
      <c r="H321" s="29"/>
      <c r="I321" s="29"/>
      <c r="J321" s="29"/>
      <c r="K321" s="29"/>
      <c r="L321" s="36"/>
      <c r="M321" s="29"/>
      <c r="N321" s="54"/>
      <c r="O321" s="55" t="n">
        <f aca="false">N321*J321</f>
        <v>0</v>
      </c>
    </row>
    <row r="322" customFormat="false" ht="15" hidden="false" customHeight="false" outlineLevel="0" collapsed="false">
      <c r="A322" s="33"/>
      <c r="B322" s="28" t="s">
        <v>21</v>
      </c>
      <c r="C322" s="29"/>
      <c r="D322" s="29"/>
      <c r="E322" s="29"/>
      <c r="F322" s="29"/>
      <c r="G322" s="36"/>
      <c r="H322" s="29"/>
      <c r="I322" s="29"/>
      <c r="J322" s="29"/>
      <c r="K322" s="29"/>
      <c r="L322" s="36"/>
      <c r="M322" s="29"/>
      <c r="N322" s="54"/>
      <c r="O322" s="55" t="n">
        <f aca="false">N322*J322</f>
        <v>0</v>
      </c>
    </row>
    <row r="323" customFormat="false" ht="15" hidden="false" customHeight="false" outlineLevel="0" collapsed="false">
      <c r="A323" s="33"/>
      <c r="B323" s="28" t="s">
        <v>21</v>
      </c>
      <c r="C323" s="29"/>
      <c r="D323" s="29"/>
      <c r="E323" s="29"/>
      <c r="F323" s="29"/>
      <c r="G323" s="36"/>
      <c r="H323" s="29"/>
      <c r="I323" s="29"/>
      <c r="J323" s="29"/>
      <c r="K323" s="29"/>
      <c r="L323" s="36"/>
      <c r="M323" s="29"/>
      <c r="N323" s="54"/>
      <c r="O323" s="55" t="n">
        <f aca="false">N323*J323</f>
        <v>0</v>
      </c>
    </row>
    <row r="324" customFormat="false" ht="15" hidden="false" customHeight="false" outlineLevel="0" collapsed="false">
      <c r="A324" s="33"/>
      <c r="B324" s="28" t="s">
        <v>21</v>
      </c>
      <c r="C324" s="29"/>
      <c r="D324" s="29"/>
      <c r="E324" s="29"/>
      <c r="F324" s="29"/>
      <c r="G324" s="36"/>
      <c r="H324" s="29"/>
      <c r="I324" s="29"/>
      <c r="J324" s="29"/>
      <c r="K324" s="29"/>
      <c r="L324" s="36"/>
      <c r="M324" s="29"/>
      <c r="N324" s="54"/>
      <c r="O324" s="55" t="n">
        <f aca="false">N324*J324</f>
        <v>0</v>
      </c>
    </row>
    <row r="325" customFormat="false" ht="15" hidden="false" customHeight="false" outlineLevel="0" collapsed="false">
      <c r="A325" s="33"/>
      <c r="B325" s="28" t="s">
        <v>21</v>
      </c>
      <c r="C325" s="29"/>
      <c r="D325" s="29"/>
      <c r="E325" s="29"/>
      <c r="F325" s="29"/>
      <c r="G325" s="36"/>
      <c r="H325" s="29"/>
      <c r="I325" s="29"/>
      <c r="J325" s="29"/>
      <c r="K325" s="29"/>
      <c r="L325" s="36"/>
      <c r="M325" s="29"/>
      <c r="N325" s="54"/>
      <c r="O325" s="55" t="n">
        <f aca="false">N325*J325</f>
        <v>0</v>
      </c>
    </row>
    <row r="326" customFormat="false" ht="15" hidden="false" customHeight="false" outlineLevel="0" collapsed="false">
      <c r="A326" s="33"/>
      <c r="B326" s="28" t="s">
        <v>21</v>
      </c>
      <c r="C326" s="29"/>
      <c r="D326" s="29"/>
      <c r="E326" s="29"/>
      <c r="F326" s="29"/>
      <c r="G326" s="36"/>
      <c r="H326" s="29"/>
      <c r="I326" s="29"/>
      <c r="J326" s="29"/>
      <c r="K326" s="29"/>
      <c r="L326" s="36"/>
      <c r="M326" s="29"/>
      <c r="N326" s="54"/>
      <c r="O326" s="55" t="n">
        <f aca="false">N326*J326</f>
        <v>0</v>
      </c>
    </row>
    <row r="327" customFormat="false" ht="15" hidden="false" customHeight="false" outlineLevel="0" collapsed="false">
      <c r="A327" s="33"/>
      <c r="B327" s="28" t="s">
        <v>21</v>
      </c>
      <c r="C327" s="29"/>
      <c r="D327" s="29"/>
      <c r="E327" s="29"/>
      <c r="F327" s="29"/>
      <c r="G327" s="36"/>
      <c r="H327" s="29"/>
      <c r="I327" s="29"/>
      <c r="J327" s="29"/>
      <c r="K327" s="29"/>
      <c r="L327" s="36"/>
      <c r="M327" s="29"/>
      <c r="N327" s="54"/>
      <c r="O327" s="55" t="n">
        <f aca="false">N327*J327</f>
        <v>0</v>
      </c>
    </row>
    <row r="328" customFormat="false" ht="15" hidden="false" customHeight="false" outlineLevel="0" collapsed="false">
      <c r="A328" s="33"/>
      <c r="B328" s="28" t="s">
        <v>21</v>
      </c>
      <c r="C328" s="29"/>
      <c r="D328" s="29"/>
      <c r="E328" s="29"/>
      <c r="F328" s="29"/>
      <c r="G328" s="36"/>
      <c r="H328" s="29"/>
      <c r="I328" s="29"/>
      <c r="J328" s="29"/>
      <c r="K328" s="29"/>
      <c r="L328" s="36"/>
      <c r="M328" s="29"/>
      <c r="N328" s="54"/>
      <c r="O328" s="55" t="n">
        <f aca="false">N328*J328</f>
        <v>0</v>
      </c>
    </row>
    <row r="329" customFormat="false" ht="15" hidden="false" customHeight="false" outlineLevel="0" collapsed="false">
      <c r="A329" s="33"/>
      <c r="B329" s="28" t="s">
        <v>21</v>
      </c>
      <c r="C329" s="29"/>
      <c r="D329" s="29"/>
      <c r="E329" s="29"/>
      <c r="F329" s="29"/>
      <c r="G329" s="36"/>
      <c r="H329" s="29"/>
      <c r="I329" s="29"/>
      <c r="J329" s="29"/>
      <c r="K329" s="29"/>
      <c r="L329" s="36"/>
      <c r="M329" s="29"/>
      <c r="N329" s="54"/>
      <c r="O329" s="55" t="n">
        <f aca="false">N329*J329</f>
        <v>0</v>
      </c>
    </row>
    <row r="330" customFormat="false" ht="15" hidden="false" customHeight="false" outlineLevel="0" collapsed="false">
      <c r="A330" s="33"/>
      <c r="B330" s="28" t="s">
        <v>21</v>
      </c>
      <c r="C330" s="29"/>
      <c r="D330" s="29"/>
      <c r="E330" s="29"/>
      <c r="F330" s="29"/>
      <c r="G330" s="36"/>
      <c r="H330" s="29"/>
      <c r="I330" s="29"/>
      <c r="J330" s="29"/>
      <c r="K330" s="29"/>
      <c r="L330" s="36"/>
      <c r="M330" s="29"/>
      <c r="N330" s="54"/>
      <c r="O330" s="55" t="n">
        <f aca="false">N330*J330</f>
        <v>0</v>
      </c>
    </row>
    <row r="331" customFormat="false" ht="15" hidden="false" customHeight="false" outlineLevel="0" collapsed="false">
      <c r="A331" s="33"/>
      <c r="B331" s="28" t="s">
        <v>21</v>
      </c>
      <c r="C331" s="29"/>
      <c r="D331" s="29"/>
      <c r="E331" s="29"/>
      <c r="F331" s="29"/>
      <c r="G331" s="36"/>
      <c r="H331" s="29"/>
      <c r="I331" s="29"/>
      <c r="J331" s="29"/>
      <c r="K331" s="29"/>
      <c r="L331" s="36"/>
      <c r="M331" s="29"/>
      <c r="N331" s="54"/>
      <c r="O331" s="55" t="n">
        <f aca="false">N331*J331</f>
        <v>0</v>
      </c>
    </row>
    <row r="332" customFormat="false" ht="15" hidden="false" customHeight="false" outlineLevel="0" collapsed="false">
      <c r="A332" s="33"/>
      <c r="B332" s="28" t="s">
        <v>21</v>
      </c>
      <c r="C332" s="29"/>
      <c r="D332" s="29"/>
      <c r="E332" s="29"/>
      <c r="F332" s="29"/>
      <c r="G332" s="36"/>
      <c r="H332" s="29"/>
      <c r="I332" s="29"/>
      <c r="J332" s="29"/>
      <c r="K332" s="29"/>
      <c r="L332" s="36"/>
      <c r="M332" s="29"/>
      <c r="N332" s="54"/>
      <c r="O332" s="55" t="n">
        <f aca="false">N332*J332</f>
        <v>0</v>
      </c>
    </row>
    <row r="333" customFormat="false" ht="15" hidden="false" customHeight="false" outlineLevel="0" collapsed="false">
      <c r="A333" s="33"/>
      <c r="B333" s="28" t="s">
        <v>21</v>
      </c>
      <c r="C333" s="29"/>
      <c r="D333" s="29"/>
      <c r="E333" s="29"/>
      <c r="F333" s="29"/>
      <c r="G333" s="36"/>
      <c r="H333" s="29"/>
      <c r="I333" s="29"/>
      <c r="J333" s="29"/>
      <c r="K333" s="29"/>
      <c r="L333" s="36"/>
      <c r="M333" s="29"/>
      <c r="N333" s="54"/>
      <c r="O333" s="55" t="n">
        <f aca="false">N333*J333</f>
        <v>0</v>
      </c>
    </row>
    <row r="334" customFormat="false" ht="15" hidden="false" customHeight="false" outlineLevel="0" collapsed="false">
      <c r="A334" s="33"/>
      <c r="B334" s="28" t="s">
        <v>21</v>
      </c>
      <c r="C334" s="29"/>
      <c r="D334" s="29"/>
      <c r="E334" s="29"/>
      <c r="F334" s="29"/>
      <c r="G334" s="36"/>
      <c r="H334" s="29"/>
      <c r="I334" s="29"/>
      <c r="J334" s="29"/>
      <c r="K334" s="29"/>
      <c r="L334" s="36"/>
      <c r="M334" s="29"/>
      <c r="N334" s="54"/>
      <c r="O334" s="55" t="n">
        <f aca="false">N334*J334</f>
        <v>0</v>
      </c>
    </row>
    <row r="335" customFormat="false" ht="15" hidden="false" customHeight="false" outlineLevel="0" collapsed="false">
      <c r="A335" s="33"/>
      <c r="B335" s="28" t="s">
        <v>21</v>
      </c>
      <c r="C335" s="29"/>
      <c r="D335" s="29"/>
      <c r="E335" s="29"/>
      <c r="F335" s="29"/>
      <c r="G335" s="36"/>
      <c r="H335" s="29"/>
      <c r="I335" s="29"/>
      <c r="J335" s="29"/>
      <c r="K335" s="29"/>
      <c r="L335" s="36"/>
      <c r="M335" s="29"/>
      <c r="N335" s="54"/>
      <c r="O335" s="55" t="n">
        <f aca="false">N335*J335</f>
        <v>0</v>
      </c>
    </row>
    <row r="336" customFormat="false" ht="15" hidden="false" customHeight="false" outlineLevel="0" collapsed="false">
      <c r="A336" s="33"/>
      <c r="B336" s="28" t="s">
        <v>21</v>
      </c>
      <c r="C336" s="29"/>
      <c r="D336" s="29"/>
      <c r="E336" s="29"/>
      <c r="F336" s="29"/>
      <c r="G336" s="36"/>
      <c r="H336" s="29"/>
      <c r="I336" s="29"/>
      <c r="J336" s="29"/>
      <c r="K336" s="29"/>
      <c r="L336" s="36"/>
      <c r="M336" s="29"/>
      <c r="N336" s="54"/>
      <c r="O336" s="55" t="n">
        <f aca="false">N336*J336</f>
        <v>0</v>
      </c>
    </row>
    <row r="337" customFormat="false" ht="15" hidden="false" customHeight="false" outlineLevel="0" collapsed="false">
      <c r="A337" s="33"/>
      <c r="B337" s="28" t="s">
        <v>21</v>
      </c>
      <c r="C337" s="29"/>
      <c r="D337" s="29"/>
      <c r="E337" s="29"/>
      <c r="F337" s="29"/>
      <c r="G337" s="36"/>
      <c r="H337" s="29"/>
      <c r="I337" s="29"/>
      <c r="J337" s="29"/>
      <c r="K337" s="29"/>
      <c r="L337" s="36"/>
      <c r="M337" s="29"/>
      <c r="N337" s="54"/>
      <c r="O337" s="55" t="n">
        <f aca="false">N337*J337</f>
        <v>0</v>
      </c>
    </row>
    <row r="338" customFormat="false" ht="15" hidden="false" customHeight="false" outlineLevel="0" collapsed="false">
      <c r="A338" s="33"/>
      <c r="B338" s="28" t="s">
        <v>21</v>
      </c>
      <c r="C338" s="29"/>
      <c r="D338" s="29"/>
      <c r="E338" s="29"/>
      <c r="F338" s="29"/>
      <c r="G338" s="36"/>
      <c r="H338" s="29"/>
      <c r="I338" s="29"/>
      <c r="J338" s="29"/>
      <c r="K338" s="29"/>
      <c r="L338" s="36"/>
      <c r="M338" s="29"/>
      <c r="N338" s="54"/>
      <c r="O338" s="55" t="n">
        <f aca="false">N338*J338</f>
        <v>0</v>
      </c>
    </row>
    <row r="339" customFormat="false" ht="15" hidden="false" customHeight="false" outlineLevel="0" collapsed="false">
      <c r="A339" s="33"/>
      <c r="B339" s="28" t="s">
        <v>21</v>
      </c>
      <c r="C339" s="29"/>
      <c r="D339" s="29"/>
      <c r="E339" s="29"/>
      <c r="F339" s="29"/>
      <c r="G339" s="36"/>
      <c r="H339" s="29"/>
      <c r="I339" s="29"/>
      <c r="J339" s="29"/>
      <c r="K339" s="29"/>
      <c r="L339" s="36"/>
      <c r="M339" s="29"/>
      <c r="N339" s="54"/>
      <c r="O339" s="55" t="n">
        <f aca="false">N339*J339</f>
        <v>0</v>
      </c>
    </row>
    <row r="340" customFormat="false" ht="15" hidden="false" customHeight="false" outlineLevel="0" collapsed="false">
      <c r="A340" s="33"/>
      <c r="B340" s="28" t="s">
        <v>21</v>
      </c>
      <c r="C340" s="29"/>
      <c r="D340" s="29"/>
      <c r="E340" s="29"/>
      <c r="F340" s="29"/>
      <c r="G340" s="36"/>
      <c r="H340" s="29"/>
      <c r="I340" s="29"/>
      <c r="J340" s="29"/>
      <c r="K340" s="29"/>
      <c r="L340" s="36"/>
      <c r="M340" s="29"/>
      <c r="N340" s="54"/>
      <c r="O340" s="55" t="n">
        <f aca="false">N340*J340</f>
        <v>0</v>
      </c>
    </row>
    <row r="341" customFormat="false" ht="15" hidden="false" customHeight="false" outlineLevel="0" collapsed="false">
      <c r="A341" s="33"/>
      <c r="B341" s="28" t="s">
        <v>21</v>
      </c>
      <c r="C341" s="29"/>
      <c r="D341" s="29"/>
      <c r="E341" s="29"/>
      <c r="F341" s="29"/>
      <c r="G341" s="36"/>
      <c r="H341" s="29"/>
      <c r="I341" s="29"/>
      <c r="J341" s="29"/>
      <c r="K341" s="29"/>
      <c r="L341" s="36"/>
      <c r="M341" s="29"/>
      <c r="N341" s="54"/>
      <c r="O341" s="55" t="n">
        <f aca="false">N341*J341</f>
        <v>0</v>
      </c>
    </row>
    <row r="342" customFormat="false" ht="15" hidden="false" customHeight="false" outlineLevel="0" collapsed="false">
      <c r="A342" s="33"/>
      <c r="B342" s="28" t="s">
        <v>21</v>
      </c>
      <c r="C342" s="29"/>
      <c r="D342" s="29"/>
      <c r="E342" s="29"/>
      <c r="F342" s="29"/>
      <c r="G342" s="36"/>
      <c r="H342" s="29"/>
      <c r="I342" s="29"/>
      <c r="J342" s="29"/>
      <c r="K342" s="29"/>
      <c r="L342" s="36"/>
      <c r="M342" s="29"/>
      <c r="N342" s="54"/>
      <c r="O342" s="55" t="n">
        <f aca="false">N342*J342</f>
        <v>0</v>
      </c>
    </row>
    <row r="343" customFormat="false" ht="15" hidden="false" customHeight="false" outlineLevel="0" collapsed="false">
      <c r="A343" s="33"/>
      <c r="B343" s="28" t="s">
        <v>21</v>
      </c>
      <c r="C343" s="29"/>
      <c r="D343" s="29"/>
      <c r="E343" s="29"/>
      <c r="F343" s="29"/>
      <c r="G343" s="36"/>
      <c r="H343" s="29"/>
      <c r="I343" s="29"/>
      <c r="J343" s="29"/>
      <c r="K343" s="29"/>
      <c r="L343" s="36"/>
      <c r="M343" s="29"/>
      <c r="N343" s="54"/>
      <c r="O343" s="55" t="n">
        <f aca="false">N343*J343</f>
        <v>0</v>
      </c>
    </row>
    <row r="344" customFormat="false" ht="15" hidden="false" customHeight="false" outlineLevel="0" collapsed="false">
      <c r="A344" s="33"/>
      <c r="B344" s="28" t="s">
        <v>21</v>
      </c>
      <c r="C344" s="29"/>
      <c r="D344" s="29"/>
      <c r="E344" s="29"/>
      <c r="F344" s="29"/>
      <c r="G344" s="36"/>
      <c r="H344" s="29"/>
      <c r="I344" s="29"/>
      <c r="J344" s="29"/>
      <c r="K344" s="29"/>
      <c r="L344" s="36"/>
      <c r="M344" s="29"/>
      <c r="N344" s="54"/>
      <c r="O344" s="55" t="n">
        <f aca="false">N344*J344</f>
        <v>0</v>
      </c>
    </row>
    <row r="345" customFormat="false" ht="15" hidden="false" customHeight="false" outlineLevel="0" collapsed="false">
      <c r="A345" s="33"/>
      <c r="B345" s="28" t="s">
        <v>21</v>
      </c>
      <c r="C345" s="29"/>
      <c r="D345" s="29"/>
      <c r="E345" s="29"/>
      <c r="F345" s="29"/>
      <c r="G345" s="36"/>
      <c r="H345" s="29"/>
      <c r="I345" s="29"/>
      <c r="J345" s="29"/>
      <c r="K345" s="29"/>
      <c r="L345" s="36"/>
      <c r="M345" s="29"/>
      <c r="N345" s="54"/>
      <c r="O345" s="55" t="n">
        <f aca="false">N345*J345</f>
        <v>0</v>
      </c>
    </row>
    <row r="346" customFormat="false" ht="15" hidden="false" customHeight="false" outlineLevel="0" collapsed="false">
      <c r="A346" s="33"/>
      <c r="B346" s="28" t="s">
        <v>21</v>
      </c>
      <c r="C346" s="29"/>
      <c r="D346" s="29"/>
      <c r="E346" s="29"/>
      <c r="F346" s="29"/>
      <c r="G346" s="36"/>
      <c r="H346" s="29"/>
      <c r="I346" s="29"/>
      <c r="J346" s="29"/>
      <c r="K346" s="29"/>
      <c r="L346" s="36"/>
      <c r="M346" s="29"/>
      <c r="N346" s="54"/>
      <c r="O346" s="55" t="n">
        <f aca="false">N346*J346</f>
        <v>0</v>
      </c>
    </row>
    <row r="347" customFormat="false" ht="15" hidden="false" customHeight="false" outlineLevel="0" collapsed="false">
      <c r="A347" s="33"/>
      <c r="B347" s="28" t="s">
        <v>21</v>
      </c>
      <c r="C347" s="29"/>
      <c r="D347" s="29"/>
      <c r="E347" s="29"/>
      <c r="F347" s="29"/>
      <c r="G347" s="36"/>
      <c r="H347" s="29"/>
      <c r="I347" s="29"/>
      <c r="J347" s="29"/>
      <c r="K347" s="29"/>
      <c r="L347" s="36"/>
      <c r="M347" s="29"/>
      <c r="N347" s="54"/>
      <c r="O347" s="55" t="n">
        <f aca="false">N347*J347</f>
        <v>0</v>
      </c>
    </row>
    <row r="348" customFormat="false" ht="15" hidden="false" customHeight="false" outlineLevel="0" collapsed="false">
      <c r="A348" s="33"/>
      <c r="B348" s="28" t="s">
        <v>21</v>
      </c>
      <c r="C348" s="29"/>
      <c r="D348" s="29"/>
      <c r="E348" s="29"/>
      <c r="F348" s="29"/>
      <c r="G348" s="36"/>
      <c r="H348" s="29"/>
      <c r="I348" s="29"/>
      <c r="J348" s="29"/>
      <c r="K348" s="29"/>
      <c r="L348" s="36"/>
      <c r="M348" s="29"/>
      <c r="N348" s="54"/>
      <c r="O348" s="55" t="n">
        <f aca="false">N348*J348</f>
        <v>0</v>
      </c>
    </row>
    <row r="349" customFormat="false" ht="15" hidden="false" customHeight="false" outlineLevel="0" collapsed="false">
      <c r="A349" s="33"/>
      <c r="B349" s="28" t="s">
        <v>21</v>
      </c>
      <c r="C349" s="29"/>
      <c r="D349" s="29"/>
      <c r="E349" s="29"/>
      <c r="F349" s="29"/>
      <c r="G349" s="36"/>
      <c r="H349" s="29"/>
      <c r="I349" s="29"/>
      <c r="J349" s="29"/>
      <c r="K349" s="29"/>
      <c r="L349" s="36"/>
      <c r="M349" s="29"/>
      <c r="N349" s="54"/>
      <c r="O349" s="55" t="n">
        <f aca="false">N349*J349</f>
        <v>0</v>
      </c>
    </row>
    <row r="350" customFormat="false" ht="15" hidden="false" customHeight="false" outlineLevel="0" collapsed="false">
      <c r="A350" s="33"/>
      <c r="B350" s="28" t="s">
        <v>21</v>
      </c>
      <c r="C350" s="29"/>
      <c r="D350" s="29"/>
      <c r="E350" s="29"/>
      <c r="F350" s="29"/>
      <c r="G350" s="36"/>
      <c r="H350" s="29"/>
      <c r="I350" s="29"/>
      <c r="J350" s="29"/>
      <c r="K350" s="29"/>
      <c r="L350" s="36"/>
      <c r="M350" s="29"/>
      <c r="N350" s="54"/>
      <c r="O350" s="55" t="n">
        <f aca="false">N350*J350</f>
        <v>0</v>
      </c>
    </row>
    <row r="351" customFormat="false" ht="15" hidden="false" customHeight="false" outlineLevel="0" collapsed="false">
      <c r="A351" s="33"/>
      <c r="B351" s="28" t="s">
        <v>21</v>
      </c>
      <c r="C351" s="29"/>
      <c r="D351" s="29"/>
      <c r="E351" s="29"/>
      <c r="F351" s="29"/>
      <c r="G351" s="36"/>
      <c r="H351" s="29"/>
      <c r="I351" s="29"/>
      <c r="J351" s="29"/>
      <c r="K351" s="29"/>
      <c r="L351" s="36"/>
      <c r="M351" s="29"/>
      <c r="N351" s="54"/>
      <c r="O351" s="55" t="n">
        <f aca="false">N351*J351</f>
        <v>0</v>
      </c>
    </row>
    <row r="352" customFormat="false" ht="15" hidden="false" customHeight="false" outlineLevel="0" collapsed="false">
      <c r="A352" s="33"/>
      <c r="B352" s="28" t="s">
        <v>21</v>
      </c>
      <c r="C352" s="29"/>
      <c r="D352" s="29"/>
      <c r="E352" s="29"/>
      <c r="F352" s="29"/>
      <c r="G352" s="36"/>
      <c r="H352" s="29"/>
      <c r="I352" s="29"/>
      <c r="J352" s="29"/>
      <c r="K352" s="29"/>
      <c r="L352" s="36"/>
      <c r="M352" s="29"/>
      <c r="N352" s="54"/>
      <c r="O352" s="55" t="n">
        <f aca="false">N352*J352</f>
        <v>0</v>
      </c>
    </row>
    <row r="353" customFormat="false" ht="15" hidden="false" customHeight="false" outlineLevel="0" collapsed="false">
      <c r="A353" s="33"/>
      <c r="B353" s="28" t="s">
        <v>21</v>
      </c>
      <c r="C353" s="29"/>
      <c r="D353" s="29"/>
      <c r="E353" s="29"/>
      <c r="F353" s="29"/>
      <c r="G353" s="36"/>
      <c r="H353" s="29"/>
      <c r="I353" s="29"/>
      <c r="J353" s="29"/>
      <c r="K353" s="29"/>
      <c r="L353" s="36"/>
      <c r="M353" s="29"/>
      <c r="N353" s="54"/>
      <c r="O353" s="55" t="n">
        <f aca="false">N353*J353</f>
        <v>0</v>
      </c>
    </row>
    <row r="354" customFormat="false" ht="15" hidden="false" customHeight="false" outlineLevel="0" collapsed="false">
      <c r="A354" s="33"/>
      <c r="B354" s="28" t="s">
        <v>21</v>
      </c>
      <c r="C354" s="29"/>
      <c r="D354" s="29"/>
      <c r="E354" s="29"/>
      <c r="F354" s="29"/>
      <c r="G354" s="36"/>
      <c r="H354" s="29"/>
      <c r="I354" s="29"/>
      <c r="J354" s="29"/>
      <c r="K354" s="29"/>
      <c r="L354" s="36"/>
      <c r="M354" s="29"/>
      <c r="N354" s="54"/>
      <c r="O354" s="55" t="n">
        <f aca="false">N354*J354</f>
        <v>0</v>
      </c>
    </row>
    <row r="355" customFormat="false" ht="15" hidden="false" customHeight="false" outlineLevel="0" collapsed="false">
      <c r="A355" s="33"/>
      <c r="B355" s="28" t="s">
        <v>21</v>
      </c>
      <c r="C355" s="29"/>
      <c r="D355" s="29"/>
      <c r="E355" s="29"/>
      <c r="F355" s="29"/>
      <c r="G355" s="36"/>
      <c r="H355" s="29"/>
      <c r="I355" s="29"/>
      <c r="J355" s="29"/>
      <c r="K355" s="29"/>
      <c r="L355" s="36"/>
      <c r="M355" s="29"/>
      <c r="N355" s="54"/>
      <c r="O355" s="55" t="n">
        <f aca="false">N355*J355</f>
        <v>0</v>
      </c>
    </row>
    <row r="356" customFormat="false" ht="15" hidden="false" customHeight="false" outlineLevel="0" collapsed="false">
      <c r="A356" s="33"/>
      <c r="B356" s="28" t="s">
        <v>21</v>
      </c>
      <c r="C356" s="29"/>
      <c r="D356" s="29"/>
      <c r="E356" s="29"/>
      <c r="F356" s="29"/>
      <c r="G356" s="36"/>
      <c r="H356" s="29"/>
      <c r="I356" s="29"/>
      <c r="J356" s="29"/>
      <c r="K356" s="29"/>
      <c r="L356" s="36"/>
      <c r="M356" s="29"/>
      <c r="N356" s="54"/>
      <c r="O356" s="55" t="n">
        <f aca="false">N356*J356</f>
        <v>0</v>
      </c>
    </row>
    <row r="357" customFormat="false" ht="15" hidden="false" customHeight="false" outlineLevel="0" collapsed="false">
      <c r="A357" s="33"/>
      <c r="B357" s="28" t="s">
        <v>21</v>
      </c>
      <c r="C357" s="29"/>
      <c r="D357" s="29"/>
      <c r="E357" s="29"/>
      <c r="F357" s="29"/>
      <c r="G357" s="36"/>
      <c r="H357" s="29"/>
      <c r="I357" s="29"/>
      <c r="J357" s="29"/>
      <c r="K357" s="29"/>
      <c r="L357" s="36"/>
      <c r="M357" s="29"/>
      <c r="N357" s="54"/>
      <c r="O357" s="55" t="n">
        <f aca="false">N357*J357</f>
        <v>0</v>
      </c>
    </row>
    <row r="358" customFormat="false" ht="15" hidden="false" customHeight="false" outlineLevel="0" collapsed="false">
      <c r="A358" s="33"/>
      <c r="B358" s="28" t="s">
        <v>21</v>
      </c>
      <c r="C358" s="29"/>
      <c r="D358" s="29"/>
      <c r="E358" s="29"/>
      <c r="F358" s="29"/>
      <c r="G358" s="36"/>
      <c r="H358" s="29"/>
      <c r="I358" s="29"/>
      <c r="J358" s="29"/>
      <c r="K358" s="29"/>
      <c r="L358" s="36"/>
      <c r="M358" s="29"/>
      <c r="N358" s="54"/>
      <c r="O358" s="55" t="n">
        <f aca="false">N358*J358</f>
        <v>0</v>
      </c>
    </row>
    <row r="359" customFormat="false" ht="15" hidden="false" customHeight="false" outlineLevel="0" collapsed="false">
      <c r="A359" s="33"/>
      <c r="B359" s="28" t="s">
        <v>21</v>
      </c>
      <c r="C359" s="29"/>
      <c r="D359" s="29"/>
      <c r="E359" s="29"/>
      <c r="F359" s="29"/>
      <c r="G359" s="36"/>
      <c r="H359" s="29"/>
      <c r="I359" s="29"/>
      <c r="J359" s="29"/>
      <c r="K359" s="29"/>
      <c r="L359" s="36"/>
      <c r="M359" s="29"/>
      <c r="N359" s="54"/>
      <c r="O359" s="55" t="n">
        <f aca="false">N359*J359</f>
        <v>0</v>
      </c>
    </row>
    <row r="360" customFormat="false" ht="15" hidden="false" customHeight="false" outlineLevel="0" collapsed="false">
      <c r="A360" s="33"/>
      <c r="B360" s="28" t="s">
        <v>21</v>
      </c>
      <c r="C360" s="29"/>
      <c r="D360" s="29"/>
      <c r="E360" s="29"/>
      <c r="F360" s="29"/>
      <c r="G360" s="36"/>
      <c r="H360" s="29"/>
      <c r="I360" s="29"/>
      <c r="J360" s="29"/>
      <c r="K360" s="29"/>
      <c r="L360" s="36"/>
      <c r="M360" s="29"/>
      <c r="N360" s="54"/>
      <c r="O360" s="55" t="n">
        <f aca="false">N360*J360</f>
        <v>0</v>
      </c>
    </row>
    <row r="361" customFormat="false" ht="15" hidden="false" customHeight="false" outlineLevel="0" collapsed="false">
      <c r="A361" s="33"/>
      <c r="B361" s="28" t="s">
        <v>21</v>
      </c>
      <c r="C361" s="29"/>
      <c r="D361" s="29"/>
      <c r="E361" s="29"/>
      <c r="F361" s="29"/>
      <c r="G361" s="36"/>
      <c r="H361" s="29"/>
      <c r="I361" s="29"/>
      <c r="J361" s="29"/>
      <c r="K361" s="29"/>
      <c r="L361" s="36"/>
      <c r="M361" s="29"/>
      <c r="N361" s="54"/>
      <c r="O361" s="55" t="n">
        <f aca="false">N361*J361</f>
        <v>0</v>
      </c>
    </row>
    <row r="362" customFormat="false" ht="15" hidden="false" customHeight="false" outlineLevel="0" collapsed="false">
      <c r="A362" s="33"/>
      <c r="B362" s="28" t="s">
        <v>21</v>
      </c>
      <c r="C362" s="29"/>
      <c r="D362" s="29"/>
      <c r="E362" s="29"/>
      <c r="F362" s="29"/>
      <c r="G362" s="36"/>
      <c r="H362" s="29"/>
      <c r="I362" s="29"/>
      <c r="J362" s="29"/>
      <c r="K362" s="29"/>
      <c r="L362" s="36"/>
      <c r="M362" s="29"/>
      <c r="N362" s="54"/>
      <c r="O362" s="55" t="n">
        <f aca="false">N362*J362</f>
        <v>0</v>
      </c>
    </row>
    <row r="363" customFormat="false" ht="15" hidden="false" customHeight="false" outlineLevel="0" collapsed="false">
      <c r="A363" s="33"/>
      <c r="B363" s="28" t="s">
        <v>21</v>
      </c>
      <c r="C363" s="29"/>
      <c r="D363" s="29"/>
      <c r="E363" s="29"/>
      <c r="F363" s="29"/>
      <c r="G363" s="36"/>
      <c r="H363" s="29"/>
      <c r="I363" s="29"/>
      <c r="J363" s="29"/>
      <c r="K363" s="29"/>
      <c r="L363" s="36"/>
      <c r="M363" s="29"/>
      <c r="N363" s="54"/>
      <c r="O363" s="55" t="n">
        <f aca="false">N363*J363</f>
        <v>0</v>
      </c>
    </row>
    <row r="364" customFormat="false" ht="15" hidden="false" customHeight="false" outlineLevel="0" collapsed="false">
      <c r="A364" s="33"/>
      <c r="B364" s="28" t="s">
        <v>21</v>
      </c>
      <c r="C364" s="29"/>
      <c r="D364" s="29"/>
      <c r="E364" s="29"/>
      <c r="F364" s="29"/>
      <c r="G364" s="36"/>
      <c r="H364" s="29"/>
      <c r="I364" s="29"/>
      <c r="J364" s="29"/>
      <c r="K364" s="29"/>
      <c r="L364" s="36"/>
      <c r="M364" s="29"/>
      <c r="N364" s="54"/>
      <c r="O364" s="55" t="n">
        <f aca="false">N364*J364</f>
        <v>0</v>
      </c>
    </row>
    <row r="365" customFormat="false" ht="15" hidden="false" customHeight="false" outlineLevel="0" collapsed="false">
      <c r="A365" s="33"/>
      <c r="B365" s="28" t="s">
        <v>21</v>
      </c>
      <c r="C365" s="29"/>
      <c r="D365" s="29"/>
      <c r="E365" s="29"/>
      <c r="F365" s="29"/>
      <c r="G365" s="36"/>
      <c r="H365" s="29"/>
      <c r="I365" s="29"/>
      <c r="J365" s="29"/>
      <c r="K365" s="29"/>
      <c r="L365" s="36"/>
      <c r="M365" s="29"/>
      <c r="N365" s="54"/>
      <c r="O365" s="55" t="n">
        <f aca="false">N365*J365</f>
        <v>0</v>
      </c>
    </row>
    <row r="366" customFormat="false" ht="15" hidden="false" customHeight="false" outlineLevel="0" collapsed="false">
      <c r="A366" s="33"/>
      <c r="B366" s="28" t="s">
        <v>21</v>
      </c>
      <c r="C366" s="29"/>
      <c r="D366" s="29"/>
      <c r="E366" s="29"/>
      <c r="F366" s="29"/>
      <c r="G366" s="36"/>
      <c r="H366" s="29"/>
      <c r="I366" s="29"/>
      <c r="J366" s="29"/>
      <c r="K366" s="29"/>
      <c r="L366" s="36"/>
      <c r="M366" s="29"/>
      <c r="N366" s="54"/>
      <c r="O366" s="55" t="n">
        <f aca="false">N366*J366</f>
        <v>0</v>
      </c>
    </row>
    <row r="367" customFormat="false" ht="15" hidden="false" customHeight="false" outlineLevel="0" collapsed="false">
      <c r="A367" s="33"/>
      <c r="B367" s="28" t="s">
        <v>21</v>
      </c>
      <c r="C367" s="29"/>
      <c r="D367" s="29"/>
      <c r="E367" s="29"/>
      <c r="F367" s="29"/>
      <c r="G367" s="36"/>
      <c r="H367" s="29"/>
      <c r="I367" s="29"/>
      <c r="J367" s="29"/>
      <c r="K367" s="29"/>
      <c r="L367" s="36"/>
      <c r="M367" s="29"/>
      <c r="N367" s="54"/>
      <c r="O367" s="55" t="n">
        <f aca="false">N367*J367</f>
        <v>0</v>
      </c>
    </row>
    <row r="368" customFormat="false" ht="15" hidden="false" customHeight="false" outlineLevel="0" collapsed="false">
      <c r="A368" s="33"/>
      <c r="B368" s="28" t="s">
        <v>21</v>
      </c>
      <c r="C368" s="29"/>
      <c r="D368" s="29"/>
      <c r="E368" s="29"/>
      <c r="F368" s="29"/>
      <c r="G368" s="36"/>
      <c r="H368" s="29"/>
      <c r="I368" s="29"/>
      <c r="J368" s="29"/>
      <c r="K368" s="29"/>
      <c r="L368" s="36"/>
      <c r="M368" s="29"/>
      <c r="N368" s="54"/>
      <c r="O368" s="55" t="n">
        <f aca="false">N368*J368</f>
        <v>0</v>
      </c>
    </row>
    <row r="369" customFormat="false" ht="15" hidden="false" customHeight="false" outlineLevel="0" collapsed="false">
      <c r="A369" s="33"/>
      <c r="B369" s="28" t="s">
        <v>21</v>
      </c>
      <c r="C369" s="29"/>
      <c r="D369" s="29"/>
      <c r="E369" s="29"/>
      <c r="F369" s="29"/>
      <c r="G369" s="36"/>
      <c r="H369" s="29"/>
      <c r="I369" s="29"/>
      <c r="J369" s="29"/>
      <c r="K369" s="29"/>
      <c r="L369" s="36"/>
      <c r="M369" s="29"/>
      <c r="N369" s="54"/>
      <c r="O369" s="55" t="n">
        <f aca="false">N369*J369</f>
        <v>0</v>
      </c>
    </row>
    <row r="370" customFormat="false" ht="15" hidden="false" customHeight="false" outlineLevel="0" collapsed="false">
      <c r="A370" s="33"/>
      <c r="B370" s="28"/>
      <c r="C370" s="29"/>
      <c r="D370" s="29"/>
      <c r="E370" s="29"/>
      <c r="F370" s="29"/>
      <c r="G370" s="36"/>
      <c r="H370" s="29"/>
      <c r="I370" s="29"/>
      <c r="J370" s="29"/>
      <c r="K370" s="29"/>
      <c r="L370" s="36"/>
      <c r="M370" s="29"/>
      <c r="N370" s="54"/>
      <c r="O370" s="55" t="n">
        <f aca="false">N370*J370</f>
        <v>0</v>
      </c>
    </row>
    <row r="371" customFormat="false" ht="15" hidden="false" customHeight="false" outlineLevel="0" collapsed="false">
      <c r="A371" s="33"/>
      <c r="B371" s="28"/>
      <c r="C371" s="29"/>
      <c r="D371" s="29"/>
      <c r="E371" s="29"/>
      <c r="F371" s="29"/>
      <c r="G371" s="36"/>
      <c r="H371" s="29"/>
      <c r="I371" s="29"/>
      <c r="J371" s="29"/>
      <c r="K371" s="29"/>
      <c r="L371" s="36"/>
      <c r="M371" s="29"/>
      <c r="N371" s="54"/>
      <c r="O371" s="55" t="n">
        <f aca="false">N371*J371</f>
        <v>0</v>
      </c>
    </row>
    <row r="372" customFormat="false" ht="15" hidden="false" customHeight="false" outlineLevel="0" collapsed="false">
      <c r="A372" s="33"/>
      <c r="B372" s="28"/>
      <c r="C372" s="29"/>
      <c r="D372" s="29"/>
      <c r="E372" s="29"/>
      <c r="F372" s="29"/>
      <c r="G372" s="36"/>
      <c r="H372" s="29"/>
      <c r="I372" s="29"/>
      <c r="J372" s="29"/>
      <c r="K372" s="29"/>
      <c r="L372" s="36"/>
      <c r="M372" s="29"/>
      <c r="N372" s="54"/>
      <c r="O372" s="55" t="n">
        <f aca="false">N372*J372</f>
        <v>0</v>
      </c>
    </row>
    <row r="373" customFormat="false" ht="15" hidden="false" customHeight="false" outlineLevel="0" collapsed="false">
      <c r="A373" s="33"/>
      <c r="B373" s="28"/>
      <c r="C373" s="29"/>
      <c r="D373" s="29"/>
      <c r="E373" s="29"/>
      <c r="F373" s="29"/>
      <c r="G373" s="36"/>
      <c r="H373" s="29"/>
      <c r="I373" s="29"/>
      <c r="J373" s="29"/>
      <c r="K373" s="29"/>
      <c r="L373" s="36"/>
      <c r="M373" s="29"/>
      <c r="N373" s="54"/>
      <c r="O373" s="55" t="n">
        <f aca="false">N373*J373</f>
        <v>0</v>
      </c>
    </row>
    <row r="374" customFormat="false" ht="15" hidden="false" customHeight="false" outlineLevel="0" collapsed="false">
      <c r="A374" s="33"/>
      <c r="B374" s="28"/>
      <c r="C374" s="29"/>
      <c r="D374" s="29"/>
      <c r="E374" s="29"/>
      <c r="F374" s="29"/>
      <c r="G374" s="36"/>
      <c r="H374" s="29"/>
      <c r="I374" s="29"/>
      <c r="J374" s="29"/>
      <c r="K374" s="29"/>
      <c r="L374" s="36"/>
      <c r="M374" s="29"/>
      <c r="N374" s="54"/>
      <c r="O374" s="55" t="n">
        <f aca="false">N374*J374</f>
        <v>0</v>
      </c>
    </row>
    <row r="375" customFormat="false" ht="15" hidden="false" customHeight="false" outlineLevel="0" collapsed="false">
      <c r="A375" s="33"/>
      <c r="B375" s="28"/>
      <c r="C375" s="29"/>
      <c r="D375" s="29"/>
      <c r="E375" s="29"/>
      <c r="F375" s="29"/>
      <c r="G375" s="36"/>
      <c r="H375" s="29"/>
      <c r="I375" s="29"/>
      <c r="J375" s="29"/>
      <c r="K375" s="29"/>
      <c r="L375" s="36"/>
      <c r="M375" s="29"/>
      <c r="N375" s="54"/>
      <c r="O375" s="55" t="n">
        <f aca="false">N375*J375</f>
        <v>0</v>
      </c>
    </row>
    <row r="376" customFormat="false" ht="15" hidden="false" customHeight="false" outlineLevel="0" collapsed="false">
      <c r="A376" s="33"/>
      <c r="B376" s="28"/>
      <c r="C376" s="29"/>
      <c r="D376" s="29"/>
      <c r="E376" s="29"/>
      <c r="F376" s="29"/>
      <c r="G376" s="36"/>
      <c r="H376" s="29"/>
      <c r="I376" s="29"/>
      <c r="J376" s="29"/>
      <c r="K376" s="29"/>
      <c r="L376" s="36"/>
      <c r="M376" s="29"/>
      <c r="N376" s="54"/>
      <c r="O376" s="55" t="n">
        <f aca="false">N376*J376</f>
        <v>0</v>
      </c>
    </row>
    <row r="377" customFormat="false" ht="15" hidden="false" customHeight="false" outlineLevel="0" collapsed="false">
      <c r="A377" s="33"/>
      <c r="B377" s="28"/>
      <c r="C377" s="29"/>
      <c r="D377" s="29"/>
      <c r="E377" s="29"/>
      <c r="F377" s="29"/>
      <c r="G377" s="36"/>
      <c r="H377" s="29"/>
      <c r="I377" s="29"/>
      <c r="J377" s="29"/>
      <c r="K377" s="29"/>
      <c r="L377" s="36"/>
      <c r="M377" s="29"/>
      <c r="N377" s="54"/>
      <c r="O377" s="55" t="n">
        <f aca="false">N377*J377</f>
        <v>0</v>
      </c>
    </row>
    <row r="378" customFormat="false" ht="15" hidden="false" customHeight="false" outlineLevel="0" collapsed="false">
      <c r="A378" s="33"/>
      <c r="B378" s="28"/>
      <c r="C378" s="29"/>
      <c r="D378" s="29"/>
      <c r="E378" s="29"/>
      <c r="F378" s="29"/>
      <c r="G378" s="36"/>
      <c r="H378" s="29"/>
      <c r="I378" s="29"/>
      <c r="J378" s="29"/>
      <c r="K378" s="29"/>
      <c r="L378" s="36"/>
      <c r="M378" s="29"/>
      <c r="N378" s="54"/>
      <c r="O378" s="55" t="n">
        <f aca="false">N378*J378</f>
        <v>0</v>
      </c>
    </row>
    <row r="379" customFormat="false" ht="15" hidden="false" customHeight="false" outlineLevel="0" collapsed="false">
      <c r="A379" s="33"/>
      <c r="B379" s="28"/>
      <c r="C379" s="29"/>
      <c r="D379" s="29"/>
      <c r="E379" s="29"/>
      <c r="F379" s="29"/>
      <c r="G379" s="36"/>
      <c r="H379" s="29"/>
      <c r="I379" s="29"/>
      <c r="J379" s="29"/>
      <c r="K379" s="29"/>
      <c r="L379" s="36"/>
      <c r="M379" s="29"/>
      <c r="N379" s="54"/>
      <c r="O379" s="55" t="n">
        <f aca="false">N379*J379</f>
        <v>0</v>
      </c>
    </row>
    <row r="380" customFormat="false" ht="15" hidden="false" customHeight="false" outlineLevel="0" collapsed="false">
      <c r="A380" s="33"/>
      <c r="B380" s="28"/>
      <c r="C380" s="29"/>
      <c r="D380" s="29"/>
      <c r="E380" s="29"/>
      <c r="F380" s="29"/>
      <c r="G380" s="36"/>
      <c r="H380" s="29"/>
      <c r="I380" s="29"/>
      <c r="J380" s="29"/>
      <c r="K380" s="29"/>
      <c r="L380" s="36"/>
      <c r="M380" s="29"/>
      <c r="N380" s="54"/>
      <c r="O380" s="55" t="n">
        <f aca="false">N380*J380</f>
        <v>0</v>
      </c>
    </row>
    <row r="381" customFormat="false" ht="15" hidden="false" customHeight="false" outlineLevel="0" collapsed="false">
      <c r="A381" s="33"/>
      <c r="B381" s="28"/>
      <c r="C381" s="29"/>
      <c r="D381" s="29"/>
      <c r="E381" s="29"/>
      <c r="F381" s="29"/>
      <c r="G381" s="36"/>
      <c r="H381" s="29"/>
      <c r="I381" s="29"/>
      <c r="J381" s="29"/>
      <c r="K381" s="29"/>
      <c r="L381" s="36"/>
      <c r="M381" s="29"/>
      <c r="N381" s="54"/>
      <c r="O381" s="55" t="n">
        <f aca="false">N381*J381</f>
        <v>0</v>
      </c>
    </row>
    <row r="382" customFormat="false" ht="15" hidden="false" customHeight="false" outlineLevel="0" collapsed="false">
      <c r="A382" s="33"/>
      <c r="B382" s="28"/>
      <c r="C382" s="29"/>
      <c r="D382" s="29"/>
      <c r="E382" s="29"/>
      <c r="F382" s="29"/>
      <c r="G382" s="36"/>
      <c r="H382" s="29"/>
      <c r="I382" s="29"/>
      <c r="J382" s="29"/>
      <c r="K382" s="29"/>
      <c r="L382" s="36"/>
      <c r="M382" s="29"/>
      <c r="N382" s="54"/>
      <c r="O382" s="55" t="n">
        <f aca="false">N382*J382</f>
        <v>0</v>
      </c>
    </row>
    <row r="383" customFormat="false" ht="15" hidden="false" customHeight="false" outlineLevel="0" collapsed="false">
      <c r="A383" s="33"/>
      <c r="B383" s="28"/>
      <c r="C383" s="29"/>
      <c r="D383" s="29"/>
      <c r="E383" s="29"/>
      <c r="F383" s="29"/>
      <c r="G383" s="36"/>
      <c r="H383" s="29"/>
      <c r="I383" s="29"/>
      <c r="J383" s="29"/>
      <c r="K383" s="29"/>
      <c r="L383" s="36"/>
      <c r="M383" s="29"/>
      <c r="N383" s="54"/>
      <c r="O383" s="55" t="n">
        <f aca="false">N383*J383</f>
        <v>0</v>
      </c>
    </row>
    <row r="384" customFormat="false" ht="15" hidden="false" customHeight="false" outlineLevel="0" collapsed="false">
      <c r="A384" s="33"/>
      <c r="B384" s="28"/>
      <c r="C384" s="29"/>
      <c r="D384" s="29"/>
      <c r="E384" s="29"/>
      <c r="F384" s="29"/>
      <c r="G384" s="36"/>
      <c r="H384" s="29"/>
      <c r="I384" s="29"/>
      <c r="J384" s="29"/>
      <c r="K384" s="29"/>
      <c r="L384" s="36"/>
      <c r="M384" s="29"/>
      <c r="N384" s="54"/>
      <c r="O384" s="55" t="n">
        <f aca="false">N384*J384</f>
        <v>0</v>
      </c>
    </row>
    <row r="385" customFormat="false" ht="15" hidden="false" customHeight="false" outlineLevel="0" collapsed="false">
      <c r="A385" s="33"/>
      <c r="B385" s="28"/>
      <c r="C385" s="29"/>
      <c r="D385" s="29"/>
      <c r="E385" s="29"/>
      <c r="F385" s="29"/>
      <c r="G385" s="36"/>
      <c r="H385" s="29"/>
      <c r="I385" s="29"/>
      <c r="J385" s="29"/>
      <c r="K385" s="29"/>
      <c r="L385" s="36"/>
      <c r="M385" s="29"/>
      <c r="N385" s="54"/>
      <c r="O385" s="55" t="n">
        <f aca="false">N385*J385</f>
        <v>0</v>
      </c>
    </row>
    <row r="386" customFormat="false" ht="15" hidden="false" customHeight="false" outlineLevel="0" collapsed="false">
      <c r="A386" s="33"/>
      <c r="B386" s="28"/>
      <c r="C386" s="29"/>
      <c r="D386" s="29"/>
      <c r="E386" s="29"/>
      <c r="F386" s="29"/>
      <c r="G386" s="36"/>
      <c r="H386" s="29"/>
      <c r="I386" s="29"/>
      <c r="J386" s="29"/>
      <c r="K386" s="29"/>
      <c r="L386" s="36"/>
      <c r="M386" s="29"/>
      <c r="N386" s="54"/>
      <c r="O386" s="55" t="n">
        <f aca="false">N386*J386</f>
        <v>0</v>
      </c>
    </row>
    <row r="387" customFormat="false" ht="15" hidden="false" customHeight="false" outlineLevel="0" collapsed="false">
      <c r="A387" s="33"/>
      <c r="B387" s="28"/>
      <c r="C387" s="29"/>
      <c r="D387" s="29"/>
      <c r="E387" s="29"/>
      <c r="F387" s="29"/>
      <c r="G387" s="36"/>
      <c r="H387" s="29"/>
      <c r="I387" s="29"/>
      <c r="J387" s="29"/>
      <c r="K387" s="29"/>
      <c r="L387" s="36"/>
      <c r="M387" s="29"/>
      <c r="N387" s="54"/>
      <c r="O387" s="55" t="n">
        <f aca="false">N387*J387</f>
        <v>0</v>
      </c>
    </row>
    <row r="388" customFormat="false" ht="15" hidden="false" customHeight="false" outlineLevel="0" collapsed="false">
      <c r="A388" s="33"/>
      <c r="B388" s="28"/>
      <c r="C388" s="29"/>
      <c r="D388" s="29"/>
      <c r="E388" s="29"/>
      <c r="F388" s="29"/>
      <c r="G388" s="36"/>
      <c r="H388" s="29"/>
      <c r="I388" s="29"/>
      <c r="J388" s="29"/>
      <c r="K388" s="29"/>
      <c r="L388" s="36"/>
      <c r="M388" s="29"/>
      <c r="N388" s="54"/>
      <c r="O388" s="55" t="n">
        <f aca="false">N388*J388</f>
        <v>0</v>
      </c>
    </row>
    <row r="389" customFormat="false" ht="15" hidden="false" customHeight="false" outlineLevel="0" collapsed="false">
      <c r="A389" s="33"/>
      <c r="B389" s="28"/>
      <c r="C389" s="29"/>
      <c r="D389" s="29"/>
      <c r="E389" s="29"/>
      <c r="F389" s="29"/>
      <c r="G389" s="36"/>
      <c r="H389" s="29"/>
      <c r="I389" s="29"/>
      <c r="J389" s="29"/>
      <c r="K389" s="29"/>
      <c r="L389" s="36"/>
      <c r="M389" s="29"/>
      <c r="N389" s="54"/>
      <c r="O389" s="55" t="n">
        <f aca="false">N389*J389</f>
        <v>0</v>
      </c>
    </row>
    <row r="390" customFormat="false" ht="15" hidden="false" customHeight="false" outlineLevel="0" collapsed="false">
      <c r="A390" s="33"/>
      <c r="B390" s="28"/>
      <c r="C390" s="29"/>
      <c r="D390" s="29"/>
      <c r="E390" s="29"/>
      <c r="F390" s="29"/>
      <c r="G390" s="36"/>
      <c r="H390" s="29"/>
      <c r="I390" s="29"/>
      <c r="J390" s="29"/>
      <c r="K390" s="29"/>
      <c r="L390" s="36"/>
      <c r="M390" s="29"/>
      <c r="N390" s="54"/>
      <c r="O390" s="55" t="n">
        <f aca="false">N390*J390</f>
        <v>0</v>
      </c>
    </row>
    <row r="391" customFormat="false" ht="15" hidden="false" customHeight="false" outlineLevel="0" collapsed="false">
      <c r="A391" s="33"/>
      <c r="B391" s="28"/>
      <c r="C391" s="29"/>
      <c r="D391" s="29"/>
      <c r="E391" s="29"/>
      <c r="F391" s="29"/>
      <c r="G391" s="36"/>
      <c r="H391" s="29"/>
      <c r="I391" s="29"/>
      <c r="J391" s="29"/>
      <c r="K391" s="29"/>
      <c r="L391" s="36"/>
      <c r="M391" s="29"/>
      <c r="N391" s="54"/>
      <c r="O391" s="55" t="n">
        <f aca="false">N391*J391</f>
        <v>0</v>
      </c>
    </row>
    <row r="392" customFormat="false" ht="15" hidden="false" customHeight="false" outlineLevel="0" collapsed="false">
      <c r="A392" s="33"/>
      <c r="B392" s="28"/>
      <c r="C392" s="29"/>
      <c r="D392" s="29"/>
      <c r="E392" s="29"/>
      <c r="F392" s="29"/>
      <c r="G392" s="36"/>
      <c r="H392" s="29"/>
      <c r="I392" s="29"/>
      <c r="J392" s="29"/>
      <c r="K392" s="29"/>
      <c r="L392" s="36"/>
      <c r="M392" s="29"/>
      <c r="N392" s="54"/>
      <c r="O392" s="55" t="n">
        <f aca="false">N392*J392</f>
        <v>0</v>
      </c>
    </row>
    <row r="393" customFormat="false" ht="15" hidden="false" customHeight="false" outlineLevel="0" collapsed="false">
      <c r="A393" s="33"/>
      <c r="B393" s="28"/>
      <c r="C393" s="29"/>
      <c r="D393" s="29"/>
      <c r="E393" s="29"/>
      <c r="F393" s="29"/>
      <c r="G393" s="36"/>
      <c r="H393" s="29"/>
      <c r="I393" s="29"/>
      <c r="J393" s="29"/>
      <c r="K393" s="29"/>
      <c r="L393" s="36"/>
      <c r="M393" s="29"/>
      <c r="N393" s="54"/>
      <c r="O393" s="55" t="n">
        <f aca="false">N393*J393</f>
        <v>0</v>
      </c>
    </row>
    <row r="394" customFormat="false" ht="15" hidden="false" customHeight="false" outlineLevel="0" collapsed="false">
      <c r="A394" s="33"/>
      <c r="B394" s="28"/>
      <c r="C394" s="29"/>
      <c r="D394" s="29"/>
      <c r="E394" s="29"/>
      <c r="F394" s="29"/>
      <c r="G394" s="36"/>
      <c r="H394" s="29"/>
      <c r="I394" s="29"/>
      <c r="J394" s="29"/>
      <c r="K394" s="29"/>
      <c r="L394" s="36"/>
      <c r="M394" s="29"/>
      <c r="N394" s="54"/>
      <c r="O394" s="55" t="n">
        <f aca="false">N394*J394</f>
        <v>0</v>
      </c>
    </row>
    <row r="395" customFormat="false" ht="15" hidden="false" customHeight="false" outlineLevel="0" collapsed="false">
      <c r="A395" s="33"/>
      <c r="B395" s="28"/>
      <c r="C395" s="29"/>
      <c r="D395" s="29"/>
      <c r="E395" s="29"/>
      <c r="F395" s="29"/>
      <c r="G395" s="36"/>
      <c r="H395" s="29"/>
      <c r="I395" s="29"/>
      <c r="J395" s="29"/>
      <c r="K395" s="29"/>
      <c r="L395" s="36"/>
      <c r="M395" s="29"/>
      <c r="N395" s="54"/>
      <c r="O395" s="55" t="n">
        <f aca="false">N395*J395</f>
        <v>0</v>
      </c>
    </row>
    <row r="396" customFormat="false" ht="15" hidden="false" customHeight="false" outlineLevel="0" collapsed="false">
      <c r="A396" s="33"/>
      <c r="B396" s="28"/>
      <c r="C396" s="29"/>
      <c r="D396" s="29"/>
      <c r="E396" s="29"/>
      <c r="F396" s="29"/>
      <c r="G396" s="36"/>
      <c r="H396" s="29"/>
      <c r="I396" s="29"/>
      <c r="J396" s="29"/>
      <c r="K396" s="29"/>
      <c r="L396" s="36"/>
      <c r="M396" s="29"/>
      <c r="N396" s="54"/>
      <c r="O396" s="55" t="n">
        <f aca="false">N396*J396</f>
        <v>0</v>
      </c>
    </row>
    <row r="397" customFormat="false" ht="15" hidden="false" customHeight="false" outlineLevel="0" collapsed="false">
      <c r="A397" s="33"/>
      <c r="B397" s="28"/>
      <c r="C397" s="29"/>
      <c r="D397" s="29"/>
      <c r="E397" s="29"/>
      <c r="F397" s="29"/>
      <c r="G397" s="36"/>
      <c r="H397" s="29"/>
      <c r="I397" s="29"/>
      <c r="J397" s="29"/>
      <c r="K397" s="29"/>
      <c r="L397" s="36"/>
      <c r="M397" s="29"/>
      <c r="N397" s="54"/>
      <c r="O397" s="55" t="n">
        <f aca="false">N397*J397</f>
        <v>0</v>
      </c>
    </row>
    <row r="398" customFormat="false" ht="15" hidden="false" customHeight="false" outlineLevel="0" collapsed="false">
      <c r="A398" s="33"/>
      <c r="B398" s="28"/>
      <c r="C398" s="29"/>
      <c r="D398" s="29"/>
      <c r="E398" s="29"/>
      <c r="F398" s="29"/>
      <c r="G398" s="36"/>
      <c r="H398" s="29"/>
      <c r="I398" s="29"/>
      <c r="J398" s="29"/>
      <c r="K398" s="29"/>
      <c r="L398" s="36"/>
      <c r="M398" s="29"/>
      <c r="N398" s="54"/>
      <c r="O398" s="55" t="n">
        <f aca="false">N398*J398</f>
        <v>0</v>
      </c>
    </row>
    <row r="399" customFormat="false" ht="15" hidden="false" customHeight="false" outlineLevel="0" collapsed="false">
      <c r="A399" s="33"/>
      <c r="B399" s="28"/>
      <c r="C399" s="29"/>
      <c r="D399" s="29"/>
      <c r="E399" s="29"/>
      <c r="F399" s="29"/>
      <c r="G399" s="36"/>
      <c r="H399" s="29"/>
      <c r="I399" s="29"/>
      <c r="J399" s="29"/>
      <c r="K399" s="29"/>
      <c r="L399" s="36"/>
      <c r="M399" s="29"/>
      <c r="N399" s="54"/>
      <c r="O399" s="55" t="n">
        <f aca="false">N399*J399</f>
        <v>0</v>
      </c>
    </row>
    <row r="400" customFormat="false" ht="15" hidden="false" customHeight="false" outlineLevel="0" collapsed="false">
      <c r="A400" s="33"/>
      <c r="B400" s="28"/>
      <c r="C400" s="29"/>
      <c r="D400" s="29"/>
      <c r="E400" s="29"/>
      <c r="F400" s="29"/>
      <c r="G400" s="36"/>
      <c r="H400" s="29"/>
      <c r="I400" s="29"/>
      <c r="J400" s="29"/>
      <c r="K400" s="29"/>
      <c r="L400" s="36"/>
      <c r="M400" s="29"/>
      <c r="N400" s="54"/>
      <c r="O400" s="55" t="n">
        <f aca="false">N400*J400</f>
        <v>0</v>
      </c>
    </row>
    <row r="401" customFormat="false" ht="15" hidden="false" customHeight="false" outlineLevel="0" collapsed="false">
      <c r="A401" s="33"/>
      <c r="B401" s="28"/>
      <c r="C401" s="29"/>
      <c r="D401" s="29"/>
      <c r="E401" s="29"/>
      <c r="F401" s="29"/>
      <c r="G401" s="36"/>
      <c r="H401" s="29"/>
      <c r="I401" s="29"/>
      <c r="J401" s="29"/>
      <c r="K401" s="29"/>
      <c r="L401" s="36"/>
      <c r="M401" s="29"/>
      <c r="N401" s="54"/>
      <c r="O401" s="55" t="n">
        <f aca="false">N401*J401</f>
        <v>0</v>
      </c>
    </row>
    <row r="402" customFormat="false" ht="15" hidden="false" customHeight="false" outlineLevel="0" collapsed="false">
      <c r="A402" s="33"/>
      <c r="B402" s="28"/>
      <c r="C402" s="29"/>
      <c r="D402" s="29"/>
      <c r="E402" s="29"/>
      <c r="F402" s="29"/>
      <c r="G402" s="36"/>
      <c r="H402" s="29"/>
      <c r="I402" s="29"/>
      <c r="J402" s="29"/>
      <c r="K402" s="29"/>
      <c r="L402" s="36"/>
      <c r="M402" s="29"/>
      <c r="N402" s="54"/>
      <c r="O402" s="55" t="n">
        <f aca="false">N402*J402</f>
        <v>0</v>
      </c>
    </row>
    <row r="403" customFormat="false" ht="15" hidden="false" customHeight="false" outlineLevel="0" collapsed="false">
      <c r="A403" s="33"/>
      <c r="B403" s="28"/>
      <c r="C403" s="29"/>
      <c r="D403" s="29"/>
      <c r="E403" s="29"/>
      <c r="F403" s="29"/>
      <c r="G403" s="36"/>
      <c r="H403" s="29"/>
      <c r="I403" s="29"/>
      <c r="J403" s="29"/>
      <c r="K403" s="29"/>
      <c r="L403" s="36"/>
      <c r="M403" s="29"/>
      <c r="N403" s="54"/>
      <c r="O403" s="55" t="n">
        <f aca="false">N403*J403</f>
        <v>0</v>
      </c>
    </row>
    <row r="404" customFormat="false" ht="15" hidden="false" customHeight="false" outlineLevel="0" collapsed="false">
      <c r="A404" s="33"/>
      <c r="B404" s="28"/>
      <c r="C404" s="29"/>
      <c r="D404" s="29"/>
      <c r="E404" s="29"/>
      <c r="F404" s="29"/>
      <c r="G404" s="36"/>
      <c r="H404" s="29"/>
      <c r="I404" s="29"/>
      <c r="J404" s="29"/>
      <c r="K404" s="29"/>
      <c r="L404" s="36"/>
      <c r="M404" s="29"/>
      <c r="N404" s="54"/>
      <c r="O404" s="55" t="n">
        <f aca="false">N404*J404</f>
        <v>0</v>
      </c>
    </row>
    <row r="405" customFormat="false" ht="15" hidden="false" customHeight="false" outlineLevel="0" collapsed="false">
      <c r="A405" s="33"/>
      <c r="B405" s="28"/>
      <c r="C405" s="29"/>
      <c r="D405" s="29"/>
      <c r="E405" s="29"/>
      <c r="F405" s="29"/>
      <c r="G405" s="36"/>
      <c r="H405" s="29"/>
      <c r="I405" s="29"/>
      <c r="J405" s="29"/>
      <c r="K405" s="29"/>
      <c r="L405" s="36"/>
      <c r="M405" s="29"/>
      <c r="N405" s="54"/>
      <c r="O405" s="55" t="n">
        <f aca="false">N405*J405</f>
        <v>0</v>
      </c>
    </row>
    <row r="406" customFormat="false" ht="15" hidden="false" customHeight="false" outlineLevel="0" collapsed="false">
      <c r="A406" s="33"/>
      <c r="B406" s="28"/>
      <c r="C406" s="29"/>
      <c r="D406" s="29"/>
      <c r="E406" s="29"/>
      <c r="F406" s="29"/>
      <c r="G406" s="36"/>
      <c r="H406" s="29"/>
      <c r="I406" s="29"/>
      <c r="J406" s="29"/>
      <c r="K406" s="29"/>
      <c r="L406" s="36"/>
      <c r="M406" s="29"/>
      <c r="N406" s="54"/>
      <c r="O406" s="55" t="n">
        <f aca="false">N406*J406</f>
        <v>0</v>
      </c>
    </row>
    <row r="407" customFormat="false" ht="15" hidden="false" customHeight="false" outlineLevel="0" collapsed="false">
      <c r="A407" s="33"/>
      <c r="B407" s="28"/>
      <c r="C407" s="29"/>
      <c r="D407" s="29"/>
      <c r="E407" s="29"/>
      <c r="F407" s="29"/>
      <c r="G407" s="36"/>
      <c r="H407" s="29"/>
      <c r="I407" s="29"/>
      <c r="J407" s="29"/>
      <c r="K407" s="29"/>
      <c r="L407" s="36"/>
      <c r="M407" s="29"/>
      <c r="N407" s="54"/>
      <c r="O407" s="55" t="n">
        <f aca="false">N407*J407</f>
        <v>0</v>
      </c>
    </row>
    <row r="408" customFormat="false" ht="15" hidden="false" customHeight="false" outlineLevel="0" collapsed="false">
      <c r="A408" s="33"/>
      <c r="B408" s="28"/>
      <c r="C408" s="29"/>
      <c r="D408" s="29"/>
      <c r="E408" s="29"/>
      <c r="F408" s="29"/>
      <c r="G408" s="36"/>
      <c r="H408" s="29"/>
      <c r="I408" s="29"/>
      <c r="J408" s="29"/>
      <c r="K408" s="29"/>
      <c r="L408" s="36"/>
      <c r="M408" s="29"/>
      <c r="N408" s="54"/>
      <c r="O408" s="55" t="n">
        <f aca="false">N408*J408</f>
        <v>0</v>
      </c>
    </row>
    <row r="409" customFormat="false" ht="15" hidden="false" customHeight="false" outlineLevel="0" collapsed="false">
      <c r="A409" s="33"/>
      <c r="B409" s="28"/>
      <c r="C409" s="29"/>
      <c r="D409" s="29"/>
      <c r="E409" s="29"/>
      <c r="F409" s="29"/>
      <c r="G409" s="36"/>
      <c r="H409" s="29"/>
      <c r="I409" s="29"/>
      <c r="J409" s="29"/>
      <c r="K409" s="29"/>
      <c r="L409" s="36"/>
      <c r="M409" s="29"/>
      <c r="N409" s="54"/>
      <c r="O409" s="55" t="n">
        <f aca="false">N409*J409</f>
        <v>0</v>
      </c>
    </row>
    <row r="410" customFormat="false" ht="15" hidden="false" customHeight="false" outlineLevel="0" collapsed="false">
      <c r="A410" s="33"/>
      <c r="B410" s="28"/>
      <c r="C410" s="29"/>
      <c r="D410" s="29"/>
      <c r="E410" s="29"/>
      <c r="F410" s="29"/>
      <c r="G410" s="36"/>
      <c r="H410" s="29"/>
      <c r="I410" s="29"/>
      <c r="J410" s="29"/>
      <c r="K410" s="29"/>
      <c r="L410" s="36"/>
      <c r="M410" s="29"/>
      <c r="N410" s="54"/>
      <c r="O410" s="55" t="n">
        <f aca="false">N410*J410</f>
        <v>0</v>
      </c>
    </row>
    <row r="411" customFormat="false" ht="15" hidden="false" customHeight="false" outlineLevel="0" collapsed="false">
      <c r="A411" s="33"/>
      <c r="B411" s="28"/>
      <c r="C411" s="29"/>
      <c r="D411" s="29"/>
      <c r="E411" s="29"/>
      <c r="F411" s="29"/>
      <c r="G411" s="36"/>
      <c r="H411" s="29"/>
      <c r="I411" s="29"/>
      <c r="J411" s="29"/>
      <c r="K411" s="29"/>
      <c r="L411" s="36"/>
      <c r="M411" s="29"/>
      <c r="N411" s="54"/>
      <c r="O411" s="55" t="n">
        <f aca="false">N411*J411</f>
        <v>0</v>
      </c>
    </row>
    <row r="412" customFormat="false" ht="15" hidden="false" customHeight="false" outlineLevel="0" collapsed="false">
      <c r="A412" s="33"/>
      <c r="B412" s="28"/>
      <c r="C412" s="29"/>
      <c r="D412" s="29"/>
      <c r="E412" s="29"/>
      <c r="F412" s="29"/>
      <c r="G412" s="36"/>
      <c r="H412" s="29"/>
      <c r="I412" s="29"/>
      <c r="J412" s="29"/>
      <c r="K412" s="29"/>
      <c r="L412" s="36"/>
      <c r="M412" s="29"/>
      <c r="N412" s="54"/>
      <c r="O412" s="55" t="n">
        <f aca="false">N412*J412</f>
        <v>0</v>
      </c>
    </row>
    <row r="413" customFormat="false" ht="15" hidden="false" customHeight="false" outlineLevel="0" collapsed="false">
      <c r="A413" s="33"/>
      <c r="B413" s="28"/>
      <c r="C413" s="29"/>
      <c r="D413" s="29"/>
      <c r="E413" s="29"/>
      <c r="F413" s="29"/>
      <c r="G413" s="36"/>
      <c r="H413" s="29"/>
      <c r="I413" s="29"/>
      <c r="J413" s="29"/>
      <c r="K413" s="29"/>
      <c r="L413" s="36"/>
      <c r="M413" s="29"/>
      <c r="N413" s="54"/>
      <c r="O413" s="55" t="n">
        <f aca="false">N413*J413</f>
        <v>0</v>
      </c>
    </row>
    <row r="414" customFormat="false" ht="15" hidden="false" customHeight="false" outlineLevel="0" collapsed="false">
      <c r="A414" s="33"/>
      <c r="B414" s="28"/>
      <c r="C414" s="29"/>
      <c r="D414" s="29"/>
      <c r="E414" s="29"/>
      <c r="F414" s="29"/>
      <c r="G414" s="36"/>
      <c r="H414" s="29"/>
      <c r="I414" s="29"/>
      <c r="J414" s="29"/>
      <c r="K414" s="29"/>
      <c r="L414" s="36"/>
      <c r="M414" s="29"/>
      <c r="N414" s="54"/>
      <c r="O414" s="55" t="n">
        <f aca="false">N414*J414</f>
        <v>0</v>
      </c>
    </row>
    <row r="415" customFormat="false" ht="15" hidden="false" customHeight="false" outlineLevel="0" collapsed="false">
      <c r="A415" s="33"/>
      <c r="B415" s="28"/>
      <c r="C415" s="29"/>
      <c r="D415" s="29"/>
      <c r="E415" s="29"/>
      <c r="F415" s="29"/>
      <c r="G415" s="36"/>
      <c r="H415" s="29"/>
      <c r="I415" s="29"/>
      <c r="J415" s="29"/>
      <c r="K415" s="29"/>
      <c r="L415" s="36"/>
      <c r="M415" s="29"/>
      <c r="N415" s="54"/>
      <c r="O415" s="55" t="n">
        <f aca="false">N415*J415</f>
        <v>0</v>
      </c>
    </row>
    <row r="416" customFormat="false" ht="15" hidden="false" customHeight="false" outlineLevel="0" collapsed="false">
      <c r="A416" s="33"/>
      <c r="B416" s="28"/>
      <c r="C416" s="29"/>
      <c r="D416" s="29"/>
      <c r="E416" s="29"/>
      <c r="F416" s="29"/>
      <c r="G416" s="36"/>
      <c r="H416" s="29"/>
      <c r="I416" s="29"/>
      <c r="J416" s="29"/>
      <c r="K416" s="29"/>
      <c r="L416" s="36"/>
      <c r="M416" s="29"/>
      <c r="N416" s="54"/>
      <c r="O416" s="55" t="n">
        <f aca="false">N416*J416</f>
        <v>0</v>
      </c>
    </row>
    <row r="417" customFormat="false" ht="15" hidden="false" customHeight="false" outlineLevel="0" collapsed="false">
      <c r="A417" s="33"/>
      <c r="B417" s="28"/>
      <c r="C417" s="29"/>
      <c r="D417" s="29"/>
      <c r="E417" s="29"/>
      <c r="F417" s="29"/>
      <c r="G417" s="36"/>
      <c r="H417" s="29"/>
      <c r="I417" s="29"/>
      <c r="J417" s="29"/>
      <c r="K417" s="29"/>
      <c r="L417" s="36"/>
      <c r="M417" s="29"/>
      <c r="N417" s="54"/>
      <c r="O417" s="55" t="n">
        <f aca="false">N417*J417</f>
        <v>0</v>
      </c>
    </row>
    <row r="418" customFormat="false" ht="15" hidden="false" customHeight="false" outlineLevel="0" collapsed="false">
      <c r="A418" s="33"/>
      <c r="B418" s="28"/>
      <c r="C418" s="29"/>
      <c r="D418" s="29"/>
      <c r="E418" s="29"/>
      <c r="F418" s="29"/>
      <c r="G418" s="36"/>
      <c r="H418" s="29"/>
      <c r="I418" s="29"/>
      <c r="J418" s="29"/>
      <c r="K418" s="29"/>
      <c r="L418" s="36"/>
      <c r="M418" s="29"/>
      <c r="N418" s="54"/>
      <c r="O418" s="55" t="n">
        <f aca="false">N418*J418</f>
        <v>0</v>
      </c>
    </row>
    <row r="419" customFormat="false" ht="15" hidden="false" customHeight="false" outlineLevel="0" collapsed="false">
      <c r="A419" s="33"/>
      <c r="B419" s="28"/>
      <c r="C419" s="29"/>
      <c r="D419" s="29"/>
      <c r="E419" s="29"/>
      <c r="F419" s="29"/>
      <c r="G419" s="36"/>
      <c r="H419" s="29"/>
      <c r="I419" s="29"/>
      <c r="J419" s="29"/>
      <c r="K419" s="29"/>
      <c r="L419" s="36"/>
      <c r="M419" s="29"/>
      <c r="N419" s="54"/>
      <c r="O419" s="55" t="n">
        <f aca="false">N419*J419</f>
        <v>0</v>
      </c>
    </row>
    <row r="420" customFormat="false" ht="15" hidden="false" customHeight="false" outlineLevel="0" collapsed="false">
      <c r="A420" s="33"/>
      <c r="B420" s="28"/>
      <c r="C420" s="29"/>
      <c r="D420" s="29"/>
      <c r="E420" s="29"/>
      <c r="F420" s="29"/>
      <c r="G420" s="36"/>
      <c r="H420" s="29"/>
      <c r="I420" s="29"/>
      <c r="J420" s="29"/>
      <c r="K420" s="29"/>
      <c r="L420" s="36"/>
      <c r="M420" s="29"/>
      <c r="N420" s="54"/>
      <c r="O420" s="55" t="n">
        <f aca="false">N420*J420</f>
        <v>0</v>
      </c>
    </row>
    <row r="421" customFormat="false" ht="15" hidden="false" customHeight="false" outlineLevel="0" collapsed="false">
      <c r="A421" s="33"/>
      <c r="B421" s="28"/>
      <c r="C421" s="29"/>
      <c r="D421" s="29"/>
      <c r="E421" s="29"/>
      <c r="F421" s="29"/>
      <c r="G421" s="36"/>
      <c r="H421" s="29"/>
      <c r="I421" s="29"/>
      <c r="J421" s="29"/>
      <c r="K421" s="29"/>
      <c r="L421" s="36"/>
      <c r="M421" s="29"/>
      <c r="N421" s="54"/>
      <c r="O421" s="55" t="n">
        <f aca="false">N421*J421</f>
        <v>0</v>
      </c>
    </row>
    <row r="422" customFormat="false" ht="15" hidden="false" customHeight="false" outlineLevel="0" collapsed="false">
      <c r="A422" s="33"/>
      <c r="B422" s="28"/>
      <c r="C422" s="29"/>
      <c r="D422" s="29"/>
      <c r="E422" s="29"/>
      <c r="F422" s="29"/>
      <c r="G422" s="36"/>
      <c r="H422" s="29"/>
      <c r="I422" s="29"/>
      <c r="J422" s="29"/>
      <c r="K422" s="29"/>
      <c r="L422" s="36"/>
      <c r="M422" s="29"/>
      <c r="N422" s="54"/>
      <c r="O422" s="55" t="n">
        <f aca="false">N422*J422</f>
        <v>0</v>
      </c>
    </row>
    <row r="423" customFormat="false" ht="15" hidden="false" customHeight="false" outlineLevel="0" collapsed="false">
      <c r="A423" s="33"/>
      <c r="B423" s="28"/>
      <c r="C423" s="29"/>
      <c r="D423" s="29"/>
      <c r="E423" s="29"/>
      <c r="F423" s="29"/>
      <c r="G423" s="36"/>
      <c r="H423" s="29"/>
      <c r="I423" s="29"/>
      <c r="J423" s="29"/>
      <c r="K423" s="29"/>
      <c r="L423" s="36"/>
      <c r="M423" s="29"/>
      <c r="N423" s="54"/>
      <c r="O423" s="55" t="n">
        <f aca="false">N423*J423</f>
        <v>0</v>
      </c>
    </row>
    <row r="424" customFormat="false" ht="15" hidden="false" customHeight="false" outlineLevel="0" collapsed="false">
      <c r="A424" s="33"/>
      <c r="B424" s="28"/>
      <c r="C424" s="29"/>
      <c r="D424" s="29"/>
      <c r="E424" s="29"/>
      <c r="F424" s="29"/>
      <c r="G424" s="36"/>
      <c r="H424" s="29"/>
      <c r="I424" s="29"/>
      <c r="J424" s="29"/>
      <c r="K424" s="29"/>
      <c r="L424" s="36"/>
      <c r="M424" s="29"/>
      <c r="N424" s="54"/>
      <c r="O424" s="55" t="n">
        <f aca="false">N424*J424</f>
        <v>0</v>
      </c>
    </row>
    <row r="425" customFormat="false" ht="15" hidden="false" customHeight="false" outlineLevel="0" collapsed="false">
      <c r="A425" s="33"/>
      <c r="B425" s="28"/>
      <c r="C425" s="29"/>
      <c r="D425" s="29"/>
      <c r="E425" s="29"/>
      <c r="F425" s="29"/>
      <c r="G425" s="36"/>
      <c r="H425" s="29"/>
      <c r="I425" s="29"/>
      <c r="J425" s="29"/>
      <c r="K425" s="29"/>
      <c r="L425" s="36"/>
      <c r="M425" s="29"/>
      <c r="N425" s="54"/>
      <c r="O425" s="55" t="n">
        <f aca="false">N425*J425</f>
        <v>0</v>
      </c>
    </row>
    <row r="426" customFormat="false" ht="15" hidden="false" customHeight="false" outlineLevel="0" collapsed="false">
      <c r="A426" s="33"/>
      <c r="B426" s="28"/>
      <c r="C426" s="29"/>
      <c r="D426" s="29"/>
      <c r="E426" s="29"/>
      <c r="F426" s="29"/>
      <c r="G426" s="36"/>
      <c r="H426" s="29"/>
      <c r="I426" s="29"/>
      <c r="J426" s="29"/>
      <c r="K426" s="29"/>
      <c r="L426" s="36"/>
      <c r="M426" s="29"/>
      <c r="N426" s="54"/>
      <c r="O426" s="55" t="n">
        <f aca="false">N426*J426</f>
        <v>0</v>
      </c>
    </row>
    <row r="427" customFormat="false" ht="15" hidden="false" customHeight="false" outlineLevel="0" collapsed="false">
      <c r="A427" s="33"/>
      <c r="B427" s="28"/>
      <c r="C427" s="29"/>
      <c r="D427" s="29"/>
      <c r="E427" s="29"/>
      <c r="F427" s="29"/>
      <c r="G427" s="36"/>
      <c r="H427" s="29"/>
      <c r="I427" s="29"/>
      <c r="J427" s="29"/>
      <c r="K427" s="29"/>
      <c r="L427" s="36"/>
      <c r="M427" s="29"/>
      <c r="N427" s="54"/>
      <c r="O427" s="55" t="n">
        <f aca="false">N427*J427</f>
        <v>0</v>
      </c>
    </row>
    <row r="428" customFormat="false" ht="15" hidden="false" customHeight="false" outlineLevel="0" collapsed="false">
      <c r="A428" s="33"/>
      <c r="B428" s="28"/>
      <c r="C428" s="29"/>
      <c r="D428" s="29"/>
      <c r="E428" s="29"/>
      <c r="F428" s="29"/>
      <c r="G428" s="36"/>
      <c r="H428" s="29"/>
      <c r="I428" s="29"/>
      <c r="J428" s="29"/>
      <c r="K428" s="29"/>
      <c r="L428" s="36"/>
      <c r="M428" s="29"/>
      <c r="N428" s="54"/>
      <c r="O428" s="55" t="n">
        <f aca="false">N428*J428</f>
        <v>0</v>
      </c>
    </row>
    <row r="429" customFormat="false" ht="15" hidden="false" customHeight="false" outlineLevel="0" collapsed="false">
      <c r="A429" s="33"/>
      <c r="B429" s="28"/>
      <c r="C429" s="29"/>
      <c r="D429" s="29"/>
      <c r="E429" s="29"/>
      <c r="F429" s="29"/>
      <c r="G429" s="36"/>
      <c r="H429" s="29"/>
      <c r="I429" s="29"/>
      <c r="J429" s="29"/>
      <c r="K429" s="29"/>
      <c r="L429" s="36"/>
      <c r="M429" s="29"/>
      <c r="N429" s="54"/>
      <c r="O429" s="55" t="n">
        <f aca="false">N429*J429</f>
        <v>0</v>
      </c>
    </row>
    <row r="430" customFormat="false" ht="15" hidden="false" customHeight="false" outlineLevel="0" collapsed="false">
      <c r="A430" s="33"/>
      <c r="B430" s="28"/>
      <c r="C430" s="29"/>
      <c r="D430" s="29"/>
      <c r="E430" s="29"/>
      <c r="F430" s="29"/>
      <c r="G430" s="36"/>
      <c r="H430" s="29"/>
      <c r="I430" s="29"/>
      <c r="J430" s="29"/>
      <c r="K430" s="29"/>
      <c r="L430" s="36"/>
      <c r="M430" s="29"/>
      <c r="N430" s="54"/>
      <c r="O430" s="55" t="n">
        <f aca="false">N430*J430</f>
        <v>0</v>
      </c>
    </row>
    <row r="431" customFormat="false" ht="15" hidden="false" customHeight="false" outlineLevel="0" collapsed="false">
      <c r="A431" s="33"/>
      <c r="B431" s="28"/>
      <c r="C431" s="29"/>
      <c r="D431" s="29"/>
      <c r="E431" s="29"/>
      <c r="F431" s="29"/>
      <c r="G431" s="36"/>
      <c r="H431" s="29"/>
      <c r="I431" s="29"/>
      <c r="J431" s="29"/>
      <c r="K431" s="29"/>
      <c r="L431" s="36"/>
      <c r="M431" s="29"/>
      <c r="N431" s="54"/>
      <c r="O431" s="55" t="n">
        <f aca="false">N431*J431</f>
        <v>0</v>
      </c>
    </row>
    <row r="432" customFormat="false" ht="15" hidden="false" customHeight="false" outlineLevel="0" collapsed="false">
      <c r="A432" s="33"/>
      <c r="B432" s="28"/>
      <c r="C432" s="29"/>
      <c r="D432" s="29"/>
      <c r="E432" s="29"/>
      <c r="F432" s="29"/>
      <c r="G432" s="36"/>
      <c r="H432" s="29"/>
      <c r="I432" s="29"/>
      <c r="J432" s="29"/>
      <c r="K432" s="29"/>
      <c r="L432" s="36"/>
      <c r="M432" s="29"/>
      <c r="N432" s="54"/>
      <c r="O432" s="55" t="n">
        <f aca="false">N432*J432</f>
        <v>0</v>
      </c>
    </row>
    <row r="433" customFormat="false" ht="15" hidden="false" customHeight="false" outlineLevel="0" collapsed="false">
      <c r="A433" s="33"/>
      <c r="B433" s="28"/>
      <c r="C433" s="29"/>
      <c r="D433" s="29"/>
      <c r="E433" s="29"/>
      <c r="F433" s="29"/>
      <c r="G433" s="36"/>
      <c r="H433" s="29"/>
      <c r="I433" s="29"/>
      <c r="J433" s="29"/>
      <c r="K433" s="29"/>
      <c r="L433" s="36"/>
      <c r="M433" s="29"/>
      <c r="N433" s="54"/>
      <c r="O433" s="55" t="n">
        <f aca="false">N433*J433</f>
        <v>0</v>
      </c>
    </row>
    <row r="434" customFormat="false" ht="15" hidden="false" customHeight="false" outlineLevel="0" collapsed="false">
      <c r="A434" s="33"/>
      <c r="B434" s="28"/>
      <c r="C434" s="29"/>
      <c r="D434" s="29"/>
      <c r="E434" s="29"/>
      <c r="F434" s="29"/>
      <c r="G434" s="36"/>
      <c r="H434" s="29"/>
      <c r="I434" s="29"/>
      <c r="J434" s="29"/>
      <c r="K434" s="29"/>
      <c r="L434" s="36"/>
      <c r="M434" s="29"/>
      <c r="N434" s="54"/>
      <c r="O434" s="55" t="n">
        <f aca="false">N434*J434</f>
        <v>0</v>
      </c>
    </row>
    <row r="435" customFormat="false" ht="15" hidden="false" customHeight="false" outlineLevel="0" collapsed="false">
      <c r="A435" s="33"/>
      <c r="B435" s="28"/>
      <c r="C435" s="29"/>
      <c r="D435" s="29"/>
      <c r="E435" s="29"/>
      <c r="F435" s="29"/>
      <c r="G435" s="36"/>
      <c r="H435" s="29"/>
      <c r="I435" s="29"/>
      <c r="J435" s="29"/>
      <c r="K435" s="29"/>
      <c r="L435" s="36"/>
      <c r="M435" s="29"/>
      <c r="N435" s="54"/>
      <c r="O435" s="55" t="n">
        <f aca="false">N435*J435</f>
        <v>0</v>
      </c>
    </row>
    <row r="436" customFormat="false" ht="15" hidden="false" customHeight="false" outlineLevel="0" collapsed="false">
      <c r="A436" s="33"/>
      <c r="B436" s="28"/>
      <c r="C436" s="29"/>
      <c r="D436" s="29"/>
      <c r="E436" s="29"/>
      <c r="F436" s="29"/>
      <c r="G436" s="36"/>
      <c r="H436" s="29"/>
      <c r="I436" s="29"/>
      <c r="J436" s="29"/>
      <c r="K436" s="29"/>
      <c r="L436" s="36"/>
      <c r="M436" s="29"/>
      <c r="N436" s="54"/>
      <c r="O436" s="55" t="n">
        <f aca="false">N436*J436</f>
        <v>0</v>
      </c>
    </row>
    <row r="437" customFormat="false" ht="15" hidden="false" customHeight="false" outlineLevel="0" collapsed="false">
      <c r="A437" s="33"/>
      <c r="B437" s="28"/>
      <c r="C437" s="29"/>
      <c r="D437" s="29"/>
      <c r="E437" s="29"/>
      <c r="F437" s="29"/>
      <c r="G437" s="36"/>
      <c r="H437" s="29"/>
      <c r="I437" s="29"/>
      <c r="J437" s="29"/>
      <c r="K437" s="29"/>
      <c r="L437" s="36"/>
      <c r="M437" s="29"/>
      <c r="N437" s="54"/>
      <c r="O437" s="55" t="n">
        <f aca="false">N437*J437</f>
        <v>0</v>
      </c>
    </row>
    <row r="438" customFormat="false" ht="15" hidden="false" customHeight="false" outlineLevel="0" collapsed="false">
      <c r="A438" s="33"/>
      <c r="B438" s="28"/>
      <c r="C438" s="29"/>
      <c r="D438" s="29"/>
      <c r="E438" s="29"/>
      <c r="F438" s="29"/>
      <c r="G438" s="36"/>
      <c r="H438" s="29"/>
      <c r="I438" s="29"/>
      <c r="J438" s="29"/>
      <c r="K438" s="29"/>
      <c r="L438" s="36"/>
      <c r="M438" s="29"/>
      <c r="N438" s="54"/>
      <c r="O438" s="55" t="n">
        <f aca="false">N438*J438</f>
        <v>0</v>
      </c>
    </row>
    <row r="439" customFormat="false" ht="15" hidden="false" customHeight="false" outlineLevel="0" collapsed="false">
      <c r="A439" s="33"/>
      <c r="B439" s="28"/>
      <c r="C439" s="29"/>
      <c r="D439" s="29"/>
      <c r="E439" s="29"/>
      <c r="F439" s="29"/>
      <c r="G439" s="36"/>
      <c r="H439" s="29"/>
      <c r="I439" s="29"/>
      <c r="J439" s="29"/>
      <c r="K439" s="29"/>
      <c r="L439" s="36"/>
      <c r="M439" s="29"/>
      <c r="N439" s="54"/>
      <c r="O439" s="55" t="n">
        <f aca="false">N439*J439</f>
        <v>0</v>
      </c>
    </row>
    <row r="440" customFormat="false" ht="15" hidden="false" customHeight="false" outlineLevel="0" collapsed="false">
      <c r="A440" s="33"/>
      <c r="B440" s="28"/>
      <c r="C440" s="29"/>
      <c r="D440" s="29"/>
      <c r="E440" s="29"/>
      <c r="F440" s="29"/>
      <c r="G440" s="36"/>
      <c r="H440" s="29"/>
      <c r="I440" s="29"/>
      <c r="J440" s="29"/>
      <c r="K440" s="29"/>
      <c r="L440" s="36"/>
      <c r="M440" s="29"/>
      <c r="N440" s="54"/>
      <c r="O440" s="55" t="n">
        <f aca="false">N440*J440</f>
        <v>0</v>
      </c>
    </row>
    <row r="441" customFormat="false" ht="15" hidden="false" customHeight="false" outlineLevel="0" collapsed="false">
      <c r="A441" s="33"/>
      <c r="B441" s="28"/>
      <c r="C441" s="29"/>
      <c r="D441" s="29"/>
      <c r="E441" s="29"/>
      <c r="F441" s="29"/>
      <c r="G441" s="36"/>
      <c r="H441" s="29"/>
      <c r="I441" s="29"/>
      <c r="J441" s="29"/>
      <c r="K441" s="29"/>
      <c r="L441" s="29"/>
      <c r="M441" s="29"/>
      <c r="N441" s="54"/>
      <c r="O441" s="55" t="n">
        <f aca="false">N441*J441</f>
        <v>0</v>
      </c>
    </row>
    <row r="442" customFormat="false" ht="15" hidden="false" customHeight="false" outlineLevel="0" collapsed="false">
      <c r="A442" s="29"/>
      <c r="B442" s="28"/>
      <c r="C442" s="29"/>
      <c r="D442" s="29"/>
      <c r="E442" s="29"/>
      <c r="F442" s="29"/>
      <c r="G442" s="36"/>
      <c r="H442" s="29"/>
      <c r="I442" s="29"/>
      <c r="J442" s="29"/>
      <c r="K442" s="29"/>
      <c r="L442" s="29"/>
      <c r="M442" s="29"/>
      <c r="N442" s="54"/>
      <c r="O442" s="55" t="n">
        <f aca="false">N442*J442</f>
        <v>0</v>
      </c>
    </row>
    <row r="443" customFormat="false" ht="15" hidden="false" customHeight="false" outlineLevel="0" collapsed="false">
      <c r="A443" s="29"/>
      <c r="B443" s="28"/>
      <c r="C443" s="29"/>
      <c r="D443" s="29"/>
      <c r="E443" s="29"/>
      <c r="F443" s="29"/>
      <c r="G443" s="36"/>
      <c r="H443" s="29"/>
      <c r="I443" s="29"/>
      <c r="J443" s="29"/>
      <c r="K443" s="29"/>
      <c r="L443" s="29"/>
      <c r="M443" s="29"/>
      <c r="N443" s="54"/>
      <c r="O443" s="55" t="n">
        <f aca="false">N443*J443</f>
        <v>0</v>
      </c>
    </row>
    <row r="444" customFormat="false" ht="15" hidden="false" customHeight="false" outlineLevel="0" collapsed="false">
      <c r="A444" s="29"/>
      <c r="B444" s="28"/>
      <c r="C444" s="29"/>
      <c r="D444" s="29"/>
      <c r="E444" s="29"/>
      <c r="F444" s="29"/>
      <c r="G444" s="36"/>
      <c r="H444" s="29"/>
      <c r="I444" s="29"/>
      <c r="J444" s="29"/>
      <c r="K444" s="29"/>
      <c r="L444" s="29"/>
      <c r="M444" s="29"/>
      <c r="N444" s="54"/>
      <c r="O444" s="55" t="n">
        <f aca="false">N444*J444</f>
        <v>0</v>
      </c>
    </row>
    <row r="445" customFormat="false" ht="15" hidden="false" customHeight="false" outlineLevel="0" collapsed="false">
      <c r="A445" s="29"/>
      <c r="B445" s="28"/>
      <c r="C445" s="29"/>
      <c r="D445" s="29"/>
      <c r="E445" s="29"/>
      <c r="F445" s="29"/>
      <c r="G445" s="36"/>
      <c r="H445" s="29"/>
      <c r="I445" s="29"/>
      <c r="J445" s="29"/>
      <c r="K445" s="29"/>
      <c r="L445" s="29"/>
      <c r="M445" s="29"/>
      <c r="N445" s="54"/>
      <c r="O445" s="55" t="n">
        <f aca="false">N445*J445</f>
        <v>0</v>
      </c>
    </row>
    <row r="446" customFormat="false" ht="15" hidden="false" customHeight="false" outlineLevel="0" collapsed="false">
      <c r="A446" s="29"/>
      <c r="B446" s="28"/>
      <c r="C446" s="29"/>
      <c r="D446" s="29"/>
      <c r="E446" s="29"/>
      <c r="F446" s="29"/>
      <c r="G446" s="36"/>
      <c r="H446" s="29"/>
      <c r="I446" s="29"/>
      <c r="J446" s="29"/>
      <c r="K446" s="29"/>
      <c r="L446" s="29"/>
      <c r="M446" s="29"/>
      <c r="N446" s="54"/>
      <c r="O446" s="55" t="n">
        <f aca="false">N446*J446</f>
        <v>0</v>
      </c>
    </row>
    <row r="447" customFormat="false" ht="15" hidden="false" customHeight="false" outlineLevel="0" collapsed="false">
      <c r="A447" s="29"/>
      <c r="B447" s="28"/>
      <c r="C447" s="29"/>
      <c r="D447" s="29"/>
      <c r="E447" s="29"/>
      <c r="F447" s="29"/>
      <c r="G447" s="36"/>
      <c r="H447" s="29"/>
      <c r="I447" s="29"/>
      <c r="J447" s="29"/>
      <c r="K447" s="29"/>
      <c r="L447" s="29"/>
      <c r="M447" s="29"/>
      <c r="N447" s="54"/>
      <c r="O447" s="55" t="n">
        <f aca="false">N447*J447</f>
        <v>0</v>
      </c>
    </row>
    <row r="448" customFormat="false" ht="15" hidden="false" customHeight="false" outlineLevel="0" collapsed="false">
      <c r="A448" s="29"/>
      <c r="B448" s="28"/>
      <c r="C448" s="29"/>
      <c r="D448" s="29"/>
      <c r="E448" s="29"/>
      <c r="F448" s="29"/>
      <c r="G448" s="36"/>
      <c r="H448" s="29"/>
      <c r="I448" s="29"/>
      <c r="J448" s="29"/>
      <c r="K448" s="29"/>
      <c r="L448" s="29"/>
      <c r="M448" s="29"/>
      <c r="N448" s="54"/>
      <c r="O448" s="55" t="n">
        <f aca="false">N448*J448</f>
        <v>0</v>
      </c>
    </row>
    <row r="449" customFormat="false" ht="15" hidden="false" customHeight="false" outlineLevel="0" collapsed="false">
      <c r="A449" s="29"/>
      <c r="B449" s="28"/>
      <c r="C449" s="29"/>
      <c r="D449" s="29"/>
      <c r="E449" s="29"/>
      <c r="F449" s="29"/>
      <c r="G449" s="36"/>
      <c r="H449" s="29"/>
      <c r="I449" s="29"/>
      <c r="J449" s="29"/>
      <c r="K449" s="29"/>
      <c r="L449" s="29"/>
      <c r="M449" s="29"/>
      <c r="N449" s="54"/>
      <c r="O449" s="55" t="n">
        <f aca="false">N449*J449</f>
        <v>0</v>
      </c>
    </row>
    <row r="450" customFormat="false" ht="15" hidden="false" customHeight="false" outlineLevel="0" collapsed="false">
      <c r="A450" s="29"/>
      <c r="B450" s="28"/>
      <c r="C450" s="29"/>
      <c r="D450" s="29"/>
      <c r="E450" s="29"/>
      <c r="F450" s="29"/>
      <c r="G450" s="36"/>
      <c r="H450" s="29"/>
      <c r="I450" s="29"/>
      <c r="J450" s="29"/>
      <c r="K450" s="29"/>
      <c r="L450" s="29"/>
      <c r="M450" s="29"/>
      <c r="N450" s="54"/>
      <c r="O450" s="55" t="n">
        <f aca="false">N450*J450</f>
        <v>0</v>
      </c>
    </row>
    <row r="451" customFormat="false" ht="15" hidden="false" customHeight="false" outlineLevel="0" collapsed="false">
      <c r="A451" s="29"/>
      <c r="B451" s="28"/>
      <c r="C451" s="29"/>
      <c r="D451" s="29"/>
      <c r="E451" s="29"/>
      <c r="F451" s="29"/>
      <c r="G451" s="36"/>
      <c r="H451" s="29"/>
      <c r="I451" s="29"/>
      <c r="J451" s="29"/>
      <c r="K451" s="29"/>
      <c r="L451" s="29"/>
      <c r="M451" s="29"/>
      <c r="N451" s="54"/>
      <c r="O451" s="55" t="n">
        <f aca="false">N451*J451</f>
        <v>0</v>
      </c>
    </row>
    <row r="452" customFormat="false" ht="15" hidden="false" customHeight="false" outlineLevel="0" collapsed="false">
      <c r="A452" s="29"/>
      <c r="B452" s="28"/>
      <c r="C452" s="29"/>
      <c r="D452" s="29"/>
      <c r="E452" s="29"/>
      <c r="F452" s="29"/>
      <c r="G452" s="36"/>
      <c r="H452" s="29"/>
      <c r="I452" s="29"/>
      <c r="J452" s="29"/>
      <c r="K452" s="29"/>
      <c r="L452" s="29"/>
      <c r="M452" s="29"/>
      <c r="N452" s="54"/>
      <c r="O452" s="55" t="n">
        <f aca="false">N452*J452</f>
        <v>0</v>
      </c>
    </row>
    <row r="453" customFormat="false" ht="15" hidden="false" customHeight="false" outlineLevel="0" collapsed="false">
      <c r="A453" s="29"/>
      <c r="B453" s="28"/>
      <c r="C453" s="29"/>
      <c r="D453" s="29"/>
      <c r="E453" s="29"/>
      <c r="F453" s="29"/>
      <c r="G453" s="36"/>
      <c r="H453" s="29"/>
      <c r="I453" s="29"/>
      <c r="J453" s="29"/>
      <c r="K453" s="29"/>
      <c r="L453" s="29"/>
      <c r="M453" s="29"/>
      <c r="N453" s="54"/>
      <c r="O453" s="55" t="n">
        <f aca="false">N453*J453</f>
        <v>0</v>
      </c>
    </row>
    <row r="454" customFormat="false" ht="15" hidden="false" customHeight="false" outlineLevel="0" collapsed="false">
      <c r="A454" s="29"/>
      <c r="B454" s="28"/>
      <c r="C454" s="29"/>
      <c r="D454" s="29"/>
      <c r="E454" s="29"/>
      <c r="F454" s="29"/>
      <c r="G454" s="36"/>
      <c r="H454" s="29"/>
      <c r="I454" s="29"/>
      <c r="J454" s="29"/>
      <c r="K454" s="29"/>
      <c r="L454" s="29"/>
      <c r="M454" s="29"/>
      <c r="N454" s="54"/>
      <c r="O454" s="55" t="n">
        <f aca="false">N454*J454</f>
        <v>0</v>
      </c>
    </row>
    <row r="455" customFormat="false" ht="15" hidden="false" customHeight="false" outlineLevel="0" collapsed="false">
      <c r="A455" s="29"/>
      <c r="B455" s="28"/>
      <c r="C455" s="29"/>
      <c r="D455" s="29"/>
      <c r="E455" s="29"/>
      <c r="F455" s="29"/>
      <c r="G455" s="36"/>
      <c r="H455" s="29"/>
      <c r="I455" s="29"/>
      <c r="J455" s="29"/>
      <c r="K455" s="29"/>
      <c r="L455" s="29"/>
      <c r="M455" s="29"/>
      <c r="N455" s="54"/>
      <c r="O455" s="55" t="n">
        <f aca="false">N455*J455</f>
        <v>0</v>
      </c>
    </row>
    <row r="456" customFormat="false" ht="15" hidden="false" customHeight="false" outlineLevel="0" collapsed="false">
      <c r="A456" s="29"/>
      <c r="B456" s="28"/>
      <c r="C456" s="29"/>
      <c r="D456" s="29"/>
      <c r="E456" s="29"/>
      <c r="F456" s="29"/>
      <c r="G456" s="36"/>
      <c r="H456" s="29"/>
      <c r="I456" s="29"/>
      <c r="J456" s="29"/>
      <c r="K456" s="29"/>
      <c r="L456" s="29"/>
      <c r="M456" s="29"/>
      <c r="N456" s="54"/>
      <c r="O456" s="55" t="n">
        <f aca="false">N456*J456</f>
        <v>0</v>
      </c>
    </row>
    <row r="457" customFormat="false" ht="15" hidden="false" customHeight="false" outlineLevel="0" collapsed="false">
      <c r="A457" s="29"/>
      <c r="B457" s="28"/>
      <c r="C457" s="29"/>
      <c r="D457" s="29"/>
      <c r="E457" s="29"/>
      <c r="F457" s="29"/>
      <c r="G457" s="36"/>
      <c r="H457" s="29"/>
      <c r="I457" s="29"/>
      <c r="J457" s="29"/>
      <c r="K457" s="29"/>
      <c r="L457" s="29"/>
      <c r="M457" s="29"/>
      <c r="N457" s="54"/>
      <c r="O457" s="55" t="n">
        <f aca="false">N457*J457</f>
        <v>0</v>
      </c>
    </row>
    <row r="458" customFormat="false" ht="15" hidden="false" customHeight="false" outlineLevel="0" collapsed="false">
      <c r="A458" s="29"/>
      <c r="B458" s="28"/>
      <c r="C458" s="29"/>
      <c r="D458" s="29"/>
      <c r="E458" s="29"/>
      <c r="F458" s="29"/>
      <c r="G458" s="36"/>
      <c r="H458" s="29"/>
      <c r="I458" s="29"/>
      <c r="J458" s="29"/>
      <c r="K458" s="29"/>
      <c r="L458" s="29"/>
      <c r="M458" s="29"/>
      <c r="N458" s="54"/>
      <c r="O458" s="55" t="n">
        <f aca="false">N458*J458</f>
        <v>0</v>
      </c>
    </row>
    <row r="459" customFormat="false" ht="15" hidden="false" customHeight="false" outlineLevel="0" collapsed="false">
      <c r="A459" s="29"/>
      <c r="B459" s="28"/>
      <c r="C459" s="29"/>
      <c r="D459" s="29"/>
      <c r="E459" s="29"/>
      <c r="F459" s="29"/>
      <c r="G459" s="36"/>
      <c r="H459" s="29"/>
      <c r="I459" s="29"/>
      <c r="J459" s="29"/>
      <c r="K459" s="29"/>
      <c r="L459" s="29"/>
      <c r="M459" s="29"/>
      <c r="N459" s="54"/>
      <c r="O459" s="55" t="n">
        <f aca="false">N459*J459</f>
        <v>0</v>
      </c>
    </row>
    <row r="460" customFormat="false" ht="15" hidden="false" customHeight="false" outlineLevel="0" collapsed="false">
      <c r="A460" s="29"/>
      <c r="B460" s="28"/>
      <c r="C460" s="29"/>
      <c r="D460" s="29"/>
      <c r="E460" s="29"/>
      <c r="F460" s="29"/>
      <c r="G460" s="36"/>
      <c r="H460" s="29"/>
      <c r="I460" s="29"/>
      <c r="J460" s="29"/>
      <c r="K460" s="29"/>
      <c r="L460" s="29"/>
      <c r="M460" s="29"/>
      <c r="N460" s="54"/>
      <c r="O460" s="55" t="n">
        <f aca="false">N460*J460</f>
        <v>0</v>
      </c>
    </row>
    <row r="461" customFormat="false" ht="15" hidden="false" customHeight="false" outlineLevel="0" collapsed="false">
      <c r="A461" s="29"/>
      <c r="B461" s="28"/>
      <c r="C461" s="29"/>
      <c r="D461" s="29"/>
      <c r="E461" s="29"/>
      <c r="F461" s="29"/>
      <c r="G461" s="36"/>
      <c r="H461" s="29"/>
      <c r="I461" s="29"/>
      <c r="J461" s="29"/>
      <c r="K461" s="29"/>
      <c r="L461" s="29"/>
      <c r="M461" s="29"/>
      <c r="N461" s="54"/>
      <c r="O461" s="55" t="n">
        <f aca="false">N461*J461</f>
        <v>0</v>
      </c>
    </row>
    <row r="462" customFormat="false" ht="15" hidden="false" customHeight="false" outlineLevel="0" collapsed="false">
      <c r="A462" s="29"/>
      <c r="B462" s="28"/>
      <c r="C462" s="29"/>
      <c r="D462" s="29"/>
      <c r="E462" s="29"/>
      <c r="F462" s="29"/>
      <c r="G462" s="36"/>
      <c r="H462" s="29"/>
      <c r="I462" s="29"/>
      <c r="J462" s="29"/>
      <c r="K462" s="29"/>
      <c r="L462" s="29"/>
      <c r="M462" s="29"/>
      <c r="N462" s="54"/>
      <c r="O462" s="55" t="n">
        <f aca="false">N462*J462</f>
        <v>0</v>
      </c>
    </row>
    <row r="463" customFormat="false" ht="15" hidden="false" customHeight="false" outlineLevel="0" collapsed="false">
      <c r="A463" s="29"/>
      <c r="B463" s="28"/>
      <c r="C463" s="29"/>
      <c r="D463" s="29"/>
      <c r="E463" s="29"/>
      <c r="F463" s="29"/>
      <c r="G463" s="36"/>
      <c r="H463" s="29"/>
      <c r="I463" s="29"/>
      <c r="J463" s="29"/>
      <c r="K463" s="29"/>
      <c r="L463" s="29"/>
      <c r="M463" s="29"/>
      <c r="N463" s="54"/>
      <c r="O463" s="55" t="n">
        <f aca="false">N463*J463</f>
        <v>0</v>
      </c>
    </row>
    <row r="464" customFormat="false" ht="15" hidden="false" customHeight="false" outlineLevel="0" collapsed="false">
      <c r="A464" s="29"/>
      <c r="B464" s="28"/>
      <c r="C464" s="29"/>
      <c r="D464" s="29"/>
      <c r="E464" s="29"/>
      <c r="F464" s="29"/>
      <c r="G464" s="36"/>
      <c r="H464" s="29"/>
      <c r="I464" s="29"/>
      <c r="J464" s="29"/>
      <c r="K464" s="29"/>
      <c r="L464" s="29"/>
      <c r="M464" s="29"/>
      <c r="N464" s="54"/>
      <c r="O464" s="55" t="n">
        <f aca="false">N464*J464</f>
        <v>0</v>
      </c>
    </row>
    <row r="465" customFormat="false" ht="15" hidden="false" customHeight="false" outlineLevel="0" collapsed="false">
      <c r="A465" s="29"/>
      <c r="B465" s="28"/>
      <c r="C465" s="29"/>
      <c r="D465" s="29"/>
      <c r="E465" s="29"/>
      <c r="F465" s="29"/>
      <c r="G465" s="36"/>
      <c r="H465" s="29"/>
      <c r="I465" s="29"/>
      <c r="J465" s="29"/>
      <c r="K465" s="29"/>
      <c r="L465" s="29"/>
      <c r="M465" s="29"/>
      <c r="N465" s="54"/>
      <c r="O465" s="55" t="n">
        <f aca="false">N465*J465</f>
        <v>0</v>
      </c>
    </row>
    <row r="466" customFormat="false" ht="15" hidden="false" customHeight="false" outlineLevel="0" collapsed="false">
      <c r="A466" s="29"/>
      <c r="B466" s="28"/>
      <c r="C466" s="29"/>
      <c r="D466" s="29"/>
      <c r="E466" s="29"/>
      <c r="F466" s="29"/>
      <c r="G466" s="36"/>
      <c r="H466" s="29"/>
      <c r="I466" s="29"/>
      <c r="J466" s="29"/>
      <c r="K466" s="29"/>
      <c r="L466" s="29"/>
      <c r="M466" s="29"/>
      <c r="N466" s="54"/>
      <c r="O466" s="55" t="n">
        <f aca="false">N466*J466</f>
        <v>0</v>
      </c>
    </row>
    <row r="467" customFormat="false" ht="15" hidden="false" customHeight="false" outlineLevel="0" collapsed="false">
      <c r="A467" s="29"/>
      <c r="B467" s="28"/>
      <c r="C467" s="29"/>
      <c r="D467" s="29"/>
      <c r="E467" s="29"/>
      <c r="F467" s="29"/>
      <c r="G467" s="36"/>
      <c r="H467" s="29"/>
      <c r="I467" s="29"/>
      <c r="J467" s="29"/>
      <c r="K467" s="29"/>
      <c r="L467" s="29"/>
      <c r="M467" s="29"/>
      <c r="N467" s="54"/>
      <c r="O467" s="55" t="n">
        <f aca="false">N467*J467</f>
        <v>0</v>
      </c>
    </row>
    <row r="468" customFormat="false" ht="15" hidden="false" customHeight="false" outlineLevel="0" collapsed="false">
      <c r="A468" s="29"/>
      <c r="B468" s="28"/>
      <c r="C468" s="29"/>
      <c r="D468" s="29"/>
      <c r="E468" s="29"/>
      <c r="F468" s="29"/>
      <c r="G468" s="36"/>
      <c r="H468" s="29"/>
      <c r="I468" s="29"/>
      <c r="J468" s="29"/>
      <c r="K468" s="29"/>
      <c r="L468" s="29"/>
      <c r="M468" s="29"/>
      <c r="N468" s="54"/>
      <c r="O468" s="55" t="n">
        <f aca="false">N468*J468</f>
        <v>0</v>
      </c>
    </row>
    <row r="469" customFormat="false" ht="15" hidden="false" customHeight="false" outlineLevel="0" collapsed="false">
      <c r="A469" s="29"/>
      <c r="B469" s="28"/>
      <c r="C469" s="29"/>
      <c r="D469" s="29"/>
      <c r="E469" s="29"/>
      <c r="F469" s="29"/>
      <c r="G469" s="36"/>
      <c r="H469" s="29"/>
      <c r="I469" s="29"/>
      <c r="J469" s="29"/>
      <c r="K469" s="29"/>
      <c r="L469" s="29"/>
      <c r="M469" s="29"/>
      <c r="N469" s="54"/>
      <c r="O469" s="55" t="n">
        <f aca="false">N469*J469</f>
        <v>0</v>
      </c>
    </row>
    <row r="470" customFormat="false" ht="15" hidden="false" customHeight="false" outlineLevel="0" collapsed="false">
      <c r="A470" s="29"/>
      <c r="B470" s="28"/>
      <c r="C470" s="29"/>
      <c r="D470" s="29"/>
      <c r="E470" s="29"/>
      <c r="F470" s="29"/>
      <c r="G470" s="36"/>
      <c r="H470" s="29"/>
      <c r="I470" s="29"/>
      <c r="J470" s="29"/>
      <c r="K470" s="29"/>
      <c r="L470" s="29"/>
      <c r="M470" s="29"/>
      <c r="N470" s="54"/>
      <c r="O470" s="55" t="n">
        <f aca="false">N470*J470</f>
        <v>0</v>
      </c>
    </row>
    <row r="471" customFormat="false" ht="15" hidden="false" customHeight="false" outlineLevel="0" collapsed="false">
      <c r="A471" s="29"/>
      <c r="B471" s="28"/>
      <c r="C471" s="29"/>
      <c r="D471" s="29"/>
      <c r="E471" s="29"/>
      <c r="F471" s="29"/>
      <c r="G471" s="36"/>
      <c r="H471" s="29"/>
      <c r="I471" s="29"/>
      <c r="J471" s="29"/>
      <c r="K471" s="29"/>
      <c r="L471" s="29"/>
      <c r="M471" s="29"/>
      <c r="N471" s="54"/>
      <c r="O471" s="55" t="n">
        <f aca="false">N471*J471</f>
        <v>0</v>
      </c>
    </row>
    <row r="472" customFormat="false" ht="15" hidden="false" customHeight="false" outlineLevel="0" collapsed="false">
      <c r="A472" s="29"/>
      <c r="B472" s="28"/>
      <c r="C472" s="29"/>
      <c r="D472" s="29"/>
      <c r="E472" s="29"/>
      <c r="F472" s="29"/>
      <c r="G472" s="36"/>
      <c r="H472" s="29"/>
      <c r="I472" s="29"/>
      <c r="J472" s="29"/>
      <c r="K472" s="29"/>
      <c r="L472" s="29"/>
      <c r="M472" s="29"/>
      <c r="N472" s="54"/>
      <c r="O472" s="55" t="n">
        <f aca="false">N472*J472</f>
        <v>0</v>
      </c>
    </row>
    <row r="473" customFormat="false" ht="15" hidden="false" customHeight="false" outlineLevel="0" collapsed="false">
      <c r="A473" s="29"/>
      <c r="B473" s="28"/>
      <c r="C473" s="29"/>
      <c r="D473" s="29"/>
      <c r="E473" s="29"/>
      <c r="F473" s="29"/>
      <c r="G473" s="36"/>
      <c r="H473" s="29"/>
      <c r="I473" s="29"/>
      <c r="J473" s="29"/>
      <c r="K473" s="29"/>
      <c r="L473" s="29"/>
      <c r="M473" s="29"/>
      <c r="N473" s="54"/>
      <c r="O473" s="55" t="n">
        <f aca="false">N473*J473</f>
        <v>0</v>
      </c>
    </row>
    <row r="474" customFormat="false" ht="15" hidden="false" customHeight="false" outlineLevel="0" collapsed="false">
      <c r="A474" s="29"/>
      <c r="B474" s="28"/>
      <c r="C474" s="29"/>
      <c r="D474" s="29"/>
      <c r="E474" s="29"/>
      <c r="F474" s="29"/>
      <c r="G474" s="36"/>
      <c r="H474" s="29"/>
      <c r="I474" s="29"/>
      <c r="J474" s="29"/>
      <c r="K474" s="29"/>
      <c r="L474" s="29"/>
      <c r="M474" s="29"/>
      <c r="N474" s="54"/>
      <c r="O474" s="55" t="n">
        <f aca="false">N474*J474</f>
        <v>0</v>
      </c>
    </row>
    <row r="475" customFormat="false" ht="15" hidden="false" customHeight="false" outlineLevel="0" collapsed="false">
      <c r="A475" s="29"/>
      <c r="B475" s="28"/>
      <c r="C475" s="29"/>
      <c r="D475" s="29"/>
      <c r="E475" s="29"/>
      <c r="F475" s="29"/>
      <c r="G475" s="36"/>
      <c r="H475" s="29"/>
      <c r="I475" s="29"/>
      <c r="J475" s="29"/>
      <c r="K475" s="29"/>
      <c r="L475" s="29"/>
      <c r="M475" s="29"/>
      <c r="N475" s="54"/>
      <c r="O475" s="55" t="n">
        <f aca="false">N475*J475</f>
        <v>0</v>
      </c>
    </row>
    <row r="476" customFormat="false" ht="15" hidden="false" customHeight="false" outlineLevel="0" collapsed="false">
      <c r="A476" s="29"/>
      <c r="B476" s="28"/>
      <c r="C476" s="29"/>
      <c r="D476" s="29"/>
      <c r="E476" s="29"/>
      <c r="F476" s="29"/>
      <c r="G476" s="36"/>
      <c r="H476" s="29"/>
      <c r="I476" s="29"/>
      <c r="J476" s="29"/>
      <c r="K476" s="29"/>
      <c r="L476" s="29"/>
      <c r="M476" s="29"/>
      <c r="N476" s="54"/>
      <c r="O476" s="55" t="n">
        <f aca="false">N476*J476</f>
        <v>0</v>
      </c>
    </row>
    <row r="477" customFormat="false" ht="15" hidden="false" customHeight="false" outlineLevel="0" collapsed="false">
      <c r="A477" s="29"/>
      <c r="B477" s="28"/>
      <c r="C477" s="29"/>
      <c r="D477" s="29"/>
      <c r="E477" s="29"/>
      <c r="F477" s="29"/>
      <c r="G477" s="36"/>
      <c r="H477" s="29"/>
      <c r="I477" s="29"/>
      <c r="J477" s="29"/>
      <c r="K477" s="29"/>
      <c r="L477" s="29"/>
      <c r="M477" s="29"/>
      <c r="N477" s="54"/>
      <c r="O477" s="55" t="n">
        <f aca="false">N477*J477</f>
        <v>0</v>
      </c>
    </row>
    <row r="478" customFormat="false" ht="15" hidden="false" customHeight="false" outlineLevel="0" collapsed="false">
      <c r="A478" s="29"/>
      <c r="B478" s="28"/>
      <c r="C478" s="29"/>
      <c r="D478" s="29"/>
      <c r="E478" s="29"/>
      <c r="F478" s="29"/>
      <c r="G478" s="36"/>
      <c r="H478" s="29"/>
      <c r="I478" s="29"/>
      <c r="J478" s="29"/>
      <c r="K478" s="29"/>
      <c r="L478" s="29"/>
      <c r="M478" s="29"/>
      <c r="N478" s="54"/>
      <c r="O478" s="55" t="n">
        <f aca="false">N478*J478</f>
        <v>0</v>
      </c>
    </row>
    <row r="479" customFormat="false" ht="15" hidden="false" customHeight="false" outlineLevel="0" collapsed="false">
      <c r="A479" s="29"/>
      <c r="B479" s="28"/>
      <c r="C479" s="29"/>
      <c r="D479" s="29"/>
      <c r="E479" s="29"/>
      <c r="F479" s="29"/>
      <c r="G479" s="36"/>
      <c r="H479" s="29"/>
      <c r="I479" s="29"/>
      <c r="J479" s="29"/>
      <c r="K479" s="29"/>
      <c r="L479" s="29"/>
      <c r="M479" s="29"/>
      <c r="N479" s="54"/>
      <c r="O479" s="55" t="n">
        <f aca="false">N479*J479</f>
        <v>0</v>
      </c>
    </row>
    <row r="480" customFormat="false" ht="15" hidden="false" customHeight="false" outlineLevel="0" collapsed="false">
      <c r="A480" s="29"/>
      <c r="B480" s="28"/>
      <c r="C480" s="29"/>
      <c r="D480" s="29"/>
      <c r="E480" s="29"/>
      <c r="F480" s="29"/>
      <c r="G480" s="36"/>
      <c r="H480" s="29"/>
      <c r="I480" s="29"/>
      <c r="J480" s="29"/>
      <c r="K480" s="29"/>
      <c r="L480" s="29"/>
      <c r="M480" s="29"/>
      <c r="N480" s="54"/>
      <c r="O480" s="55" t="n">
        <f aca="false">N480*J480</f>
        <v>0</v>
      </c>
    </row>
    <row r="481" customFormat="false" ht="15" hidden="false" customHeight="false" outlineLevel="0" collapsed="false">
      <c r="A481" s="29"/>
      <c r="B481" s="28"/>
      <c r="C481" s="29"/>
      <c r="D481" s="29"/>
      <c r="E481" s="29"/>
      <c r="F481" s="29"/>
      <c r="G481" s="36"/>
      <c r="H481" s="29"/>
      <c r="I481" s="29"/>
      <c r="J481" s="29"/>
      <c r="K481" s="29"/>
      <c r="L481" s="29"/>
      <c r="M481" s="29"/>
      <c r="N481" s="54"/>
      <c r="O481" s="55" t="n">
        <f aca="false">N481*J481</f>
        <v>0</v>
      </c>
    </row>
    <row r="482" customFormat="false" ht="15" hidden="false" customHeight="false" outlineLevel="0" collapsed="false">
      <c r="A482" s="29"/>
      <c r="B482" s="28"/>
      <c r="C482" s="29"/>
      <c r="D482" s="29"/>
      <c r="E482" s="29"/>
      <c r="F482" s="29"/>
      <c r="G482" s="36"/>
      <c r="H482" s="29"/>
      <c r="I482" s="29"/>
      <c r="J482" s="29"/>
      <c r="K482" s="29"/>
      <c r="L482" s="29"/>
      <c r="M482" s="29"/>
      <c r="N482" s="54"/>
      <c r="O482" s="55" t="n">
        <f aca="false">N482*J482</f>
        <v>0</v>
      </c>
    </row>
    <row r="483" customFormat="false" ht="15" hidden="false" customHeight="false" outlineLevel="0" collapsed="false">
      <c r="A483" s="29"/>
      <c r="B483" s="28"/>
      <c r="C483" s="29"/>
      <c r="D483" s="29"/>
      <c r="E483" s="29"/>
      <c r="F483" s="29"/>
      <c r="G483" s="36"/>
      <c r="H483" s="29"/>
      <c r="I483" s="29"/>
      <c r="J483" s="29"/>
      <c r="K483" s="29"/>
      <c r="L483" s="29"/>
      <c r="M483" s="29"/>
      <c r="N483" s="54"/>
      <c r="O483" s="55" t="n">
        <f aca="false">N483*J483</f>
        <v>0</v>
      </c>
    </row>
    <row r="484" customFormat="false" ht="15" hidden="false" customHeight="false" outlineLevel="0" collapsed="false">
      <c r="A484" s="29"/>
      <c r="B484" s="28"/>
      <c r="C484" s="29"/>
      <c r="D484" s="29"/>
      <c r="E484" s="29"/>
      <c r="F484" s="29"/>
      <c r="G484" s="36"/>
      <c r="H484" s="29"/>
      <c r="I484" s="29"/>
      <c r="J484" s="29"/>
      <c r="K484" s="29"/>
      <c r="L484" s="29"/>
      <c r="M484" s="29"/>
      <c r="N484" s="54"/>
      <c r="O484" s="55" t="n">
        <f aca="false">N484*J484</f>
        <v>0</v>
      </c>
    </row>
    <row r="485" customFormat="false" ht="15" hidden="false" customHeight="false" outlineLevel="0" collapsed="false">
      <c r="A485" s="29"/>
      <c r="B485" s="28"/>
      <c r="C485" s="29"/>
      <c r="D485" s="29"/>
      <c r="E485" s="29"/>
      <c r="F485" s="29"/>
      <c r="G485" s="36"/>
      <c r="H485" s="29"/>
      <c r="I485" s="29"/>
      <c r="J485" s="29"/>
      <c r="K485" s="29"/>
      <c r="L485" s="29"/>
      <c r="M485" s="29"/>
      <c r="N485" s="54"/>
      <c r="O485" s="55" t="n">
        <f aca="false">N485*J485</f>
        <v>0</v>
      </c>
    </row>
    <row r="486" customFormat="false" ht="15" hidden="false" customHeight="false" outlineLevel="0" collapsed="false">
      <c r="A486" s="29"/>
      <c r="B486" s="28"/>
      <c r="C486" s="29"/>
      <c r="D486" s="29"/>
      <c r="E486" s="29"/>
      <c r="F486" s="29"/>
      <c r="G486" s="36"/>
      <c r="H486" s="29"/>
      <c r="I486" s="29"/>
      <c r="J486" s="29"/>
      <c r="K486" s="29"/>
      <c r="L486" s="29"/>
      <c r="M486" s="29"/>
      <c r="N486" s="54"/>
      <c r="O486" s="55" t="n">
        <f aca="false">N486*J486</f>
        <v>0</v>
      </c>
    </row>
    <row r="487" customFormat="false" ht="15" hidden="false" customHeight="false" outlineLevel="0" collapsed="false">
      <c r="A487" s="29"/>
      <c r="B487" s="28"/>
      <c r="C487" s="29"/>
      <c r="D487" s="29"/>
      <c r="E487" s="29"/>
      <c r="F487" s="29"/>
      <c r="G487" s="36"/>
      <c r="H487" s="29"/>
      <c r="I487" s="29"/>
      <c r="J487" s="29"/>
      <c r="K487" s="29"/>
      <c r="L487" s="29"/>
      <c r="M487" s="29"/>
      <c r="N487" s="54"/>
      <c r="O487" s="55" t="n">
        <f aca="false">N487*J487</f>
        <v>0</v>
      </c>
    </row>
    <row r="488" customFormat="false" ht="15" hidden="false" customHeight="false" outlineLevel="0" collapsed="false">
      <c r="A488" s="29"/>
      <c r="B488" s="28"/>
      <c r="C488" s="29"/>
      <c r="D488" s="29"/>
      <c r="E488" s="29"/>
      <c r="F488" s="29"/>
      <c r="G488" s="36"/>
      <c r="H488" s="29"/>
      <c r="I488" s="29"/>
      <c r="J488" s="29"/>
      <c r="K488" s="29"/>
      <c r="L488" s="29"/>
      <c r="M488" s="29"/>
      <c r="N488" s="54"/>
      <c r="O488" s="55" t="n">
        <f aca="false">N488*J488</f>
        <v>0</v>
      </c>
    </row>
    <row r="489" customFormat="false" ht="15" hidden="false" customHeight="false" outlineLevel="0" collapsed="false">
      <c r="A489" s="29"/>
      <c r="B489" s="28"/>
      <c r="C489" s="29"/>
      <c r="D489" s="29"/>
      <c r="E489" s="29"/>
      <c r="F489" s="29"/>
      <c r="G489" s="36"/>
      <c r="H489" s="29"/>
      <c r="I489" s="29"/>
      <c r="J489" s="29"/>
      <c r="K489" s="29"/>
      <c r="L489" s="29"/>
      <c r="M489" s="29"/>
      <c r="N489" s="54"/>
      <c r="O489" s="55" t="n">
        <f aca="false">N489*J489</f>
        <v>0</v>
      </c>
    </row>
    <row r="490" customFormat="false" ht="15" hidden="false" customHeight="false" outlineLevel="0" collapsed="false">
      <c r="A490" s="29"/>
      <c r="B490" s="28"/>
      <c r="C490" s="29"/>
      <c r="D490" s="29"/>
      <c r="E490" s="29"/>
      <c r="F490" s="29"/>
      <c r="G490" s="36"/>
      <c r="H490" s="29"/>
      <c r="I490" s="29"/>
      <c r="J490" s="29"/>
      <c r="K490" s="29"/>
      <c r="L490" s="29"/>
      <c r="M490" s="29"/>
      <c r="N490" s="54"/>
      <c r="O490" s="55" t="n">
        <f aca="false">N490*J490</f>
        <v>0</v>
      </c>
    </row>
    <row r="491" customFormat="false" ht="15" hidden="false" customHeight="false" outlineLevel="0" collapsed="false">
      <c r="A491" s="29"/>
      <c r="B491" s="28"/>
      <c r="C491" s="29"/>
      <c r="D491" s="29"/>
      <c r="E491" s="29"/>
      <c r="F491" s="29"/>
      <c r="G491" s="36"/>
      <c r="H491" s="29"/>
      <c r="I491" s="29"/>
      <c r="J491" s="29"/>
      <c r="K491" s="29"/>
      <c r="L491" s="29"/>
      <c r="M491" s="29"/>
      <c r="N491" s="54"/>
      <c r="O491" s="55" t="n">
        <f aca="false">N491*J491</f>
        <v>0</v>
      </c>
    </row>
    <row r="492" customFormat="false" ht="15" hidden="false" customHeight="false" outlineLevel="0" collapsed="false">
      <c r="A492" s="29"/>
      <c r="B492" s="28"/>
      <c r="C492" s="29"/>
      <c r="D492" s="29"/>
      <c r="E492" s="29"/>
      <c r="F492" s="29"/>
      <c r="G492" s="36"/>
      <c r="H492" s="29"/>
      <c r="I492" s="29"/>
      <c r="J492" s="29"/>
      <c r="K492" s="29"/>
      <c r="L492" s="29"/>
      <c r="M492" s="29"/>
      <c r="N492" s="54"/>
      <c r="O492" s="55" t="n">
        <f aca="false">N492*J492</f>
        <v>0</v>
      </c>
    </row>
    <row r="493" customFormat="false" ht="15" hidden="false" customHeight="false" outlineLevel="0" collapsed="false">
      <c r="A493" s="29"/>
      <c r="B493" s="28"/>
      <c r="C493" s="29"/>
      <c r="D493" s="29"/>
      <c r="E493" s="29"/>
      <c r="F493" s="29"/>
      <c r="G493" s="36"/>
      <c r="H493" s="29"/>
      <c r="I493" s="29"/>
      <c r="J493" s="29"/>
      <c r="K493" s="29"/>
      <c r="L493" s="29"/>
      <c r="M493" s="29"/>
      <c r="N493" s="54"/>
      <c r="O493" s="55" t="n">
        <f aca="false">N493*J493</f>
        <v>0</v>
      </c>
    </row>
    <row r="494" customFormat="false" ht="15" hidden="false" customHeight="false" outlineLevel="0" collapsed="false">
      <c r="A494" s="29"/>
      <c r="B494" s="28"/>
      <c r="C494" s="29"/>
      <c r="D494" s="29"/>
      <c r="E494" s="29"/>
      <c r="F494" s="29"/>
      <c r="G494" s="36"/>
      <c r="H494" s="29"/>
      <c r="I494" s="29"/>
      <c r="J494" s="29"/>
      <c r="K494" s="29"/>
      <c r="L494" s="29"/>
      <c r="M494" s="29"/>
      <c r="N494" s="54"/>
      <c r="O494" s="55" t="n">
        <f aca="false">N494*J494</f>
        <v>0</v>
      </c>
    </row>
    <row r="495" customFormat="false" ht="15" hidden="false" customHeight="false" outlineLevel="0" collapsed="false">
      <c r="A495" s="29"/>
      <c r="B495" s="28"/>
      <c r="C495" s="29"/>
      <c r="D495" s="29"/>
      <c r="E495" s="29"/>
      <c r="F495" s="29"/>
      <c r="G495" s="36"/>
      <c r="H495" s="29"/>
      <c r="I495" s="29"/>
      <c r="J495" s="29"/>
      <c r="K495" s="29"/>
      <c r="L495" s="29"/>
      <c r="M495" s="29"/>
      <c r="N495" s="54"/>
      <c r="O495" s="55" t="n">
        <f aca="false">N495*J495</f>
        <v>0</v>
      </c>
    </row>
    <row r="496" customFormat="false" ht="15" hidden="false" customHeight="false" outlineLevel="0" collapsed="false">
      <c r="A496" s="29"/>
      <c r="B496" s="28"/>
      <c r="C496" s="29"/>
      <c r="D496" s="29"/>
      <c r="E496" s="29"/>
      <c r="F496" s="29"/>
      <c r="G496" s="36"/>
      <c r="H496" s="29"/>
      <c r="I496" s="29"/>
      <c r="J496" s="29"/>
      <c r="K496" s="29"/>
      <c r="L496" s="29"/>
      <c r="M496" s="29"/>
      <c r="N496" s="54"/>
      <c r="O496" s="55" t="n">
        <f aca="false">N496*J496</f>
        <v>0</v>
      </c>
    </row>
    <row r="497" customFormat="false" ht="15" hidden="false" customHeight="false" outlineLevel="0" collapsed="false">
      <c r="A497" s="29"/>
      <c r="B497" s="28"/>
      <c r="C497" s="29"/>
      <c r="D497" s="29"/>
      <c r="E497" s="29"/>
      <c r="F497" s="29"/>
      <c r="G497" s="36"/>
      <c r="H497" s="29"/>
      <c r="I497" s="29"/>
      <c r="J497" s="29"/>
      <c r="K497" s="29"/>
      <c r="L497" s="29"/>
      <c r="M497" s="29"/>
      <c r="N497" s="54"/>
      <c r="O497" s="55" t="n">
        <f aca="false">N497*J497</f>
        <v>0</v>
      </c>
    </row>
    <row r="498" customFormat="false" ht="15" hidden="false" customHeight="false" outlineLevel="0" collapsed="false">
      <c r="A498" s="29"/>
      <c r="B498" s="28"/>
      <c r="C498" s="29"/>
      <c r="D498" s="29"/>
      <c r="E498" s="29"/>
      <c r="F498" s="29"/>
      <c r="G498" s="36"/>
      <c r="H498" s="29"/>
      <c r="I498" s="29"/>
      <c r="J498" s="29"/>
      <c r="K498" s="29"/>
      <c r="L498" s="29"/>
      <c r="M498" s="29"/>
      <c r="N498" s="54"/>
      <c r="O498" s="55" t="n">
        <f aca="false">N498*J498</f>
        <v>0</v>
      </c>
    </row>
    <row r="499" customFormat="false" ht="15" hidden="false" customHeight="false" outlineLevel="0" collapsed="false">
      <c r="A499" s="29"/>
      <c r="B499" s="28"/>
      <c r="C499" s="29"/>
      <c r="D499" s="29"/>
      <c r="E499" s="29"/>
      <c r="F499" s="29"/>
      <c r="G499" s="36"/>
      <c r="H499" s="29"/>
      <c r="I499" s="29"/>
      <c r="J499" s="29"/>
      <c r="K499" s="29"/>
      <c r="L499" s="29"/>
      <c r="M499" s="29"/>
      <c r="N499" s="54"/>
      <c r="O499" s="55" t="n">
        <f aca="false">N499*J499</f>
        <v>0</v>
      </c>
    </row>
    <row r="500" customFormat="false" ht="15" hidden="false" customHeight="false" outlineLevel="0" collapsed="false">
      <c r="A500" s="29"/>
      <c r="B500" s="28"/>
      <c r="C500" s="29"/>
      <c r="D500" s="29"/>
      <c r="E500" s="29"/>
      <c r="F500" s="29"/>
      <c r="G500" s="36"/>
      <c r="H500" s="29"/>
      <c r="I500" s="29"/>
      <c r="J500" s="29"/>
      <c r="K500" s="29"/>
      <c r="L500" s="29"/>
      <c r="M500" s="29"/>
      <c r="N500" s="54"/>
      <c r="O500" s="55" t="n">
        <f aca="false">N500*J500</f>
        <v>0</v>
      </c>
    </row>
    <row r="501" customFormat="false" ht="15" hidden="false" customHeight="false" outlineLevel="0" collapsed="false">
      <c r="A501" s="29"/>
      <c r="B501" s="28"/>
      <c r="C501" s="29"/>
      <c r="D501" s="29"/>
      <c r="E501" s="29"/>
      <c r="F501" s="29"/>
      <c r="G501" s="36"/>
      <c r="H501" s="29"/>
      <c r="I501" s="29"/>
      <c r="J501" s="29"/>
      <c r="K501" s="29"/>
      <c r="L501" s="29"/>
      <c r="M501" s="29"/>
      <c r="N501" s="54"/>
      <c r="O501" s="55" t="n">
        <f aca="false">N501*J501</f>
        <v>0</v>
      </c>
    </row>
    <row r="502" customFormat="false" ht="15" hidden="false" customHeight="false" outlineLevel="0" collapsed="false">
      <c r="A502" s="29"/>
      <c r="B502" s="28"/>
      <c r="C502" s="29"/>
      <c r="D502" s="29"/>
      <c r="E502" s="29"/>
      <c r="F502" s="29"/>
      <c r="G502" s="36"/>
      <c r="H502" s="29"/>
      <c r="I502" s="29"/>
      <c r="J502" s="29"/>
      <c r="K502" s="29"/>
      <c r="L502" s="29"/>
      <c r="M502" s="29"/>
      <c r="N502" s="54"/>
      <c r="O502" s="55" t="n">
        <f aca="false">N502*J502</f>
        <v>0</v>
      </c>
    </row>
    <row r="503" customFormat="false" ht="15" hidden="false" customHeight="false" outlineLevel="0" collapsed="false">
      <c r="A503" s="29"/>
      <c r="B503" s="28"/>
      <c r="C503" s="29"/>
      <c r="D503" s="29"/>
      <c r="E503" s="29"/>
      <c r="F503" s="29"/>
      <c r="G503" s="36"/>
      <c r="H503" s="29"/>
      <c r="I503" s="29"/>
      <c r="J503" s="29"/>
      <c r="K503" s="29"/>
      <c r="L503" s="29"/>
      <c r="M503" s="29"/>
      <c r="N503" s="54"/>
      <c r="O503" s="55" t="n">
        <f aca="false">N503*J503</f>
        <v>0</v>
      </c>
    </row>
    <row r="504" customFormat="false" ht="15" hidden="false" customHeight="false" outlineLevel="0" collapsed="false">
      <c r="A504" s="29"/>
      <c r="B504" s="28"/>
      <c r="C504" s="29"/>
      <c r="D504" s="29"/>
      <c r="E504" s="29"/>
      <c r="F504" s="29"/>
      <c r="G504" s="36"/>
      <c r="H504" s="29"/>
      <c r="I504" s="29"/>
      <c r="J504" s="29"/>
      <c r="K504" s="29"/>
      <c r="L504" s="29"/>
      <c r="M504" s="29"/>
      <c r="N504" s="54"/>
      <c r="O504" s="55" t="n">
        <f aca="false">N504*J504</f>
        <v>0</v>
      </c>
    </row>
    <row r="505" customFormat="false" ht="15" hidden="false" customHeight="false" outlineLevel="0" collapsed="false">
      <c r="A505" s="29"/>
      <c r="B505" s="28"/>
      <c r="C505" s="29"/>
      <c r="D505" s="29"/>
      <c r="E505" s="29"/>
      <c r="F505" s="29"/>
      <c r="G505" s="36"/>
      <c r="H505" s="29"/>
      <c r="I505" s="29"/>
      <c r="J505" s="29"/>
      <c r="K505" s="29"/>
      <c r="L505" s="29"/>
      <c r="M505" s="29"/>
      <c r="N505" s="54"/>
      <c r="O505" s="55" t="n">
        <f aca="false">N505*J505</f>
        <v>0</v>
      </c>
    </row>
    <row r="506" customFormat="false" ht="15" hidden="false" customHeight="false" outlineLevel="0" collapsed="false">
      <c r="A506" s="29"/>
      <c r="B506" s="28"/>
      <c r="C506" s="29"/>
      <c r="D506" s="29"/>
      <c r="E506" s="29"/>
      <c r="F506" s="29"/>
      <c r="G506" s="36"/>
      <c r="H506" s="29"/>
      <c r="I506" s="29"/>
      <c r="J506" s="29"/>
      <c r="K506" s="29"/>
      <c r="L506" s="29"/>
      <c r="M506" s="29"/>
      <c r="N506" s="54"/>
      <c r="O506" s="55" t="n">
        <f aca="false">N506*J506</f>
        <v>0</v>
      </c>
    </row>
    <row r="507" customFormat="false" ht="15" hidden="false" customHeight="false" outlineLevel="0" collapsed="false">
      <c r="A507" s="29"/>
      <c r="B507" s="28"/>
      <c r="C507" s="29"/>
      <c r="D507" s="29"/>
      <c r="E507" s="29"/>
      <c r="F507" s="29"/>
      <c r="G507" s="36"/>
      <c r="H507" s="29"/>
      <c r="I507" s="29"/>
      <c r="J507" s="29"/>
      <c r="K507" s="29"/>
      <c r="L507" s="29"/>
      <c r="M507" s="29"/>
      <c r="N507" s="54"/>
      <c r="O507" s="55" t="n">
        <f aca="false">N507*J507</f>
        <v>0</v>
      </c>
    </row>
    <row r="508" customFormat="false" ht="15" hidden="false" customHeight="false" outlineLevel="0" collapsed="false">
      <c r="A508" s="29"/>
      <c r="B508" s="28"/>
      <c r="C508" s="29"/>
      <c r="D508" s="29"/>
      <c r="E508" s="29"/>
      <c r="F508" s="29"/>
      <c r="G508" s="36"/>
      <c r="H508" s="29"/>
      <c r="I508" s="29"/>
      <c r="J508" s="29"/>
      <c r="K508" s="29"/>
      <c r="L508" s="29"/>
      <c r="M508" s="29"/>
      <c r="N508" s="54"/>
      <c r="O508" s="55" t="n">
        <f aca="false">N508*J508</f>
        <v>0</v>
      </c>
    </row>
    <row r="509" customFormat="false" ht="15" hidden="false" customHeight="false" outlineLevel="0" collapsed="false">
      <c r="A509" s="29"/>
      <c r="B509" s="28"/>
      <c r="C509" s="29"/>
      <c r="D509" s="29"/>
      <c r="E509" s="29"/>
      <c r="F509" s="29"/>
      <c r="G509" s="36"/>
      <c r="H509" s="29"/>
      <c r="I509" s="29"/>
      <c r="J509" s="29"/>
      <c r="K509" s="29"/>
      <c r="L509" s="29"/>
      <c r="M509" s="29"/>
      <c r="N509" s="54"/>
      <c r="O509" s="55" t="n">
        <f aca="false">N509*J509</f>
        <v>0</v>
      </c>
    </row>
    <row r="510" customFormat="false" ht="15" hidden="false" customHeight="false" outlineLevel="0" collapsed="false">
      <c r="A510" s="29"/>
      <c r="B510" s="28"/>
      <c r="C510" s="29"/>
      <c r="D510" s="29"/>
      <c r="E510" s="29"/>
      <c r="F510" s="29"/>
      <c r="G510" s="36"/>
      <c r="H510" s="29"/>
      <c r="I510" s="29"/>
      <c r="J510" s="29"/>
      <c r="K510" s="29"/>
      <c r="L510" s="29"/>
      <c r="M510" s="29"/>
      <c r="N510" s="54"/>
      <c r="O510" s="55" t="n">
        <f aca="false">N510*J510</f>
        <v>0</v>
      </c>
    </row>
    <row r="511" customFormat="false" ht="15" hidden="false" customHeight="false" outlineLevel="0" collapsed="false">
      <c r="A511" s="29"/>
      <c r="B511" s="28"/>
      <c r="C511" s="29"/>
      <c r="D511" s="29"/>
      <c r="E511" s="29"/>
      <c r="F511" s="29"/>
      <c r="G511" s="36"/>
      <c r="H511" s="29"/>
      <c r="I511" s="29"/>
      <c r="J511" s="29"/>
      <c r="K511" s="29"/>
      <c r="L511" s="29"/>
      <c r="M511" s="29"/>
      <c r="N511" s="54"/>
      <c r="O511" s="55" t="n">
        <f aca="false">N511*J511</f>
        <v>0</v>
      </c>
    </row>
    <row r="512" customFormat="false" ht="15" hidden="false" customHeight="false" outlineLevel="0" collapsed="false">
      <c r="N512" s="54"/>
      <c r="O512" s="55" t="n">
        <f aca="false">N512*J512</f>
        <v>0</v>
      </c>
    </row>
    <row r="513" customFormat="false" ht="15" hidden="false" customHeight="false" outlineLevel="0" collapsed="false">
      <c r="N513" s="54"/>
      <c r="O513" s="55" t="n">
        <f aca="false">N513*J513</f>
        <v>0</v>
      </c>
    </row>
    <row r="514" customFormat="false" ht="15" hidden="false" customHeight="false" outlineLevel="0" collapsed="false">
      <c r="N514" s="54"/>
      <c r="O514" s="55" t="n">
        <f aca="false">N514*J514</f>
        <v>0</v>
      </c>
    </row>
    <row r="515" customFormat="false" ht="15" hidden="false" customHeight="false" outlineLevel="0" collapsed="false">
      <c r="N515" s="54"/>
      <c r="O515" s="55" t="n">
        <f aca="false">N515*J515</f>
        <v>0</v>
      </c>
    </row>
    <row r="516" customFormat="false" ht="15" hidden="false" customHeight="false" outlineLevel="0" collapsed="false">
      <c r="N516" s="54"/>
      <c r="O516" s="55" t="n">
        <f aca="false">N516*J516</f>
        <v>0</v>
      </c>
    </row>
    <row r="517" customFormat="false" ht="15" hidden="false" customHeight="false" outlineLevel="0" collapsed="false">
      <c r="N517" s="54"/>
      <c r="O517" s="55" t="n">
        <f aca="false">N517*J517</f>
        <v>0</v>
      </c>
    </row>
    <row r="518" customFormat="false" ht="15" hidden="false" customHeight="false" outlineLevel="0" collapsed="false">
      <c r="N518" s="54"/>
      <c r="O518" s="55" t="n">
        <f aca="false">N518*J518</f>
        <v>0</v>
      </c>
    </row>
    <row r="519" customFormat="false" ht="15" hidden="false" customHeight="false" outlineLevel="0" collapsed="false">
      <c r="N519" s="54"/>
      <c r="O519" s="55" t="n">
        <f aca="false">N519*J519</f>
        <v>0</v>
      </c>
    </row>
    <row r="520" customFormat="false" ht="15" hidden="false" customHeight="false" outlineLevel="0" collapsed="false">
      <c r="N520" s="54"/>
      <c r="O520" s="55" t="n">
        <f aca="false">N520*J520</f>
        <v>0</v>
      </c>
    </row>
    <row r="521" customFormat="false" ht="15" hidden="false" customHeight="false" outlineLevel="0" collapsed="false">
      <c r="N521" s="54"/>
      <c r="O521" s="55" t="n">
        <f aca="false">N521*J521</f>
        <v>0</v>
      </c>
    </row>
    <row r="522" customFormat="false" ht="15" hidden="false" customHeight="false" outlineLevel="0" collapsed="false">
      <c r="N522" s="54"/>
      <c r="O522" s="55" t="n">
        <f aca="false">N522*J522</f>
        <v>0</v>
      </c>
    </row>
    <row r="523" customFormat="false" ht="15" hidden="false" customHeight="false" outlineLevel="0" collapsed="false">
      <c r="N523" s="54"/>
      <c r="O523" s="55" t="n">
        <f aca="false">N523*J523</f>
        <v>0</v>
      </c>
    </row>
    <row r="524" customFormat="false" ht="15" hidden="false" customHeight="false" outlineLevel="0" collapsed="false">
      <c r="N524" s="54"/>
      <c r="O524" s="55" t="n">
        <f aca="false">N524*J524</f>
        <v>0</v>
      </c>
    </row>
    <row r="525" customFormat="false" ht="15" hidden="false" customHeight="false" outlineLevel="0" collapsed="false">
      <c r="N525" s="54"/>
      <c r="O525" s="55" t="n">
        <f aca="false">N525*J525</f>
        <v>0</v>
      </c>
    </row>
    <row r="526" customFormat="false" ht="15" hidden="false" customHeight="false" outlineLevel="0" collapsed="false">
      <c r="N526" s="54"/>
      <c r="O526" s="55" t="n">
        <f aca="false">N526*J526</f>
        <v>0</v>
      </c>
    </row>
    <row r="527" customFormat="false" ht="15" hidden="false" customHeight="false" outlineLevel="0" collapsed="false">
      <c r="N527" s="54"/>
      <c r="O527" s="55" t="n">
        <f aca="false">N527*J527</f>
        <v>0</v>
      </c>
    </row>
    <row r="528" customFormat="false" ht="15" hidden="false" customHeight="false" outlineLevel="0" collapsed="false">
      <c r="N528" s="54"/>
      <c r="O528" s="55" t="n">
        <f aca="false">N528*J528</f>
        <v>0</v>
      </c>
    </row>
    <row r="529" customFormat="false" ht="15" hidden="false" customHeight="false" outlineLevel="0" collapsed="false">
      <c r="N529" s="54"/>
      <c r="O529" s="55" t="n">
        <f aca="false">N529*J529</f>
        <v>0</v>
      </c>
    </row>
    <row r="530" customFormat="false" ht="15" hidden="false" customHeight="false" outlineLevel="0" collapsed="false">
      <c r="N530" s="54"/>
      <c r="O530" s="55" t="n">
        <f aca="false">N530*J530</f>
        <v>0</v>
      </c>
    </row>
    <row r="531" customFormat="false" ht="15" hidden="false" customHeight="false" outlineLevel="0" collapsed="false">
      <c r="O531" s="55" t="n">
        <f aca="false">N531*J531</f>
        <v>0</v>
      </c>
    </row>
    <row r="532" customFormat="false" ht="15" hidden="false" customHeight="false" outlineLevel="0" collapsed="false">
      <c r="O532" s="55" t="n">
        <f aca="false">N532*J532</f>
        <v>0</v>
      </c>
    </row>
    <row r="533" customFormat="false" ht="15" hidden="false" customHeight="false" outlineLevel="0" collapsed="false">
      <c r="O533" s="55" t="n">
        <f aca="false">N533*J533</f>
        <v>0</v>
      </c>
    </row>
    <row r="534" customFormat="false" ht="15" hidden="false" customHeight="false" outlineLevel="0" collapsed="false">
      <c r="O534" s="55" t="n">
        <f aca="false">N534*J534</f>
        <v>0</v>
      </c>
    </row>
    <row r="535" customFormat="false" ht="15" hidden="false" customHeight="false" outlineLevel="0" collapsed="false">
      <c r="O535" s="55" t="n">
        <f aca="false">N535*J535</f>
        <v>0</v>
      </c>
    </row>
    <row r="536" customFormat="false" ht="15" hidden="false" customHeight="false" outlineLevel="0" collapsed="false">
      <c r="O536" s="55" t="n">
        <f aca="false">N536*J536</f>
        <v>0</v>
      </c>
    </row>
    <row r="537" customFormat="false" ht="15" hidden="false" customHeight="false" outlineLevel="0" collapsed="false">
      <c r="O537" s="55" t="n">
        <f aca="false">N537*J537</f>
        <v>0</v>
      </c>
    </row>
    <row r="538" customFormat="false" ht="15" hidden="false" customHeight="false" outlineLevel="0" collapsed="false">
      <c r="O538" s="55" t="n">
        <f aca="false">N538*J538</f>
        <v>0</v>
      </c>
    </row>
    <row r="539" customFormat="false" ht="15" hidden="false" customHeight="false" outlineLevel="0" collapsed="false">
      <c r="O539" s="55" t="n">
        <f aca="false">N539*J539</f>
        <v>0</v>
      </c>
    </row>
    <row r="540" customFormat="false" ht="15" hidden="false" customHeight="false" outlineLevel="0" collapsed="false">
      <c r="O540" s="55" t="n">
        <f aca="false">N540*J540</f>
        <v>0</v>
      </c>
    </row>
    <row r="541" customFormat="false" ht="15" hidden="false" customHeight="false" outlineLevel="0" collapsed="false">
      <c r="O541" s="55" t="n">
        <f aca="false">N541*J541</f>
        <v>0</v>
      </c>
    </row>
    <row r="542" customFormat="false" ht="15" hidden="false" customHeight="false" outlineLevel="0" collapsed="false">
      <c r="O542" s="55" t="n">
        <f aca="false">N542*J542</f>
        <v>0</v>
      </c>
    </row>
    <row r="543" customFormat="false" ht="15" hidden="false" customHeight="false" outlineLevel="0" collapsed="false">
      <c r="O543" s="55" t="n">
        <f aca="false">N543*J543</f>
        <v>0</v>
      </c>
    </row>
    <row r="544" customFormat="false" ht="15" hidden="false" customHeight="false" outlineLevel="0" collapsed="false">
      <c r="O544" s="55" t="n">
        <f aca="false">N544*J544</f>
        <v>0</v>
      </c>
    </row>
    <row r="545" customFormat="false" ht="15" hidden="false" customHeight="false" outlineLevel="0" collapsed="false">
      <c r="O545" s="55" t="n">
        <f aca="false">N545*J545</f>
        <v>0</v>
      </c>
    </row>
    <row r="546" customFormat="false" ht="15" hidden="false" customHeight="false" outlineLevel="0" collapsed="false">
      <c r="O546" s="55" t="n">
        <f aca="false">N546*J546</f>
        <v>0</v>
      </c>
    </row>
    <row r="547" customFormat="false" ht="15" hidden="false" customHeight="false" outlineLevel="0" collapsed="false">
      <c r="O547" s="55" t="n">
        <f aca="false">N547*J547</f>
        <v>0</v>
      </c>
    </row>
    <row r="548" customFormat="false" ht="15" hidden="false" customHeight="false" outlineLevel="0" collapsed="false">
      <c r="O548" s="55" t="n">
        <f aca="false">N548*J548</f>
        <v>0</v>
      </c>
    </row>
    <row r="549" customFormat="false" ht="15" hidden="false" customHeight="false" outlineLevel="0" collapsed="false">
      <c r="O549" s="55" t="n">
        <f aca="false">N549*J549</f>
        <v>0</v>
      </c>
    </row>
    <row r="550" customFormat="false" ht="15" hidden="false" customHeight="false" outlineLevel="0" collapsed="false">
      <c r="O550" s="55" t="n">
        <f aca="false">N550*J550</f>
        <v>0</v>
      </c>
    </row>
    <row r="551" customFormat="false" ht="15" hidden="false" customHeight="false" outlineLevel="0" collapsed="false">
      <c r="O551" s="55" t="n">
        <f aca="false">N551*J551</f>
        <v>0</v>
      </c>
    </row>
    <row r="552" customFormat="false" ht="15" hidden="false" customHeight="false" outlineLevel="0" collapsed="false">
      <c r="O552" s="55" t="n">
        <f aca="false">N552*J552</f>
        <v>0</v>
      </c>
    </row>
    <row r="553" customFormat="false" ht="15" hidden="false" customHeight="false" outlineLevel="0" collapsed="false">
      <c r="O553" s="55" t="n">
        <f aca="false">N553*J553</f>
        <v>0</v>
      </c>
    </row>
    <row r="554" customFormat="false" ht="15" hidden="false" customHeight="false" outlineLevel="0" collapsed="false">
      <c r="O554" s="55" t="n">
        <f aca="false">N554*J554</f>
        <v>0</v>
      </c>
    </row>
    <row r="555" customFormat="false" ht="15" hidden="false" customHeight="false" outlineLevel="0" collapsed="false">
      <c r="O555" s="55" t="n">
        <f aca="false">N555*J555</f>
        <v>0</v>
      </c>
    </row>
    <row r="556" customFormat="false" ht="15" hidden="false" customHeight="false" outlineLevel="0" collapsed="false">
      <c r="O556" s="55" t="n">
        <f aca="false">N556*J556</f>
        <v>0</v>
      </c>
    </row>
    <row r="557" customFormat="false" ht="15" hidden="false" customHeight="false" outlineLevel="0" collapsed="false">
      <c r="O557" s="55" t="n">
        <f aca="false">N557*J557</f>
        <v>0</v>
      </c>
    </row>
    <row r="558" customFormat="false" ht="15" hidden="false" customHeight="false" outlineLevel="0" collapsed="false">
      <c r="O558" s="55" t="n">
        <f aca="false">N558*J558</f>
        <v>0</v>
      </c>
    </row>
    <row r="559" customFormat="false" ht="15" hidden="false" customHeight="false" outlineLevel="0" collapsed="false">
      <c r="O559" s="55" t="n">
        <f aca="false">N559*J559</f>
        <v>0</v>
      </c>
    </row>
    <row r="560" customFormat="false" ht="15" hidden="false" customHeight="false" outlineLevel="0" collapsed="false">
      <c r="O560" s="55" t="n">
        <f aca="false">N560*J560</f>
        <v>0</v>
      </c>
    </row>
    <row r="561" customFormat="false" ht="15" hidden="false" customHeight="false" outlineLevel="0" collapsed="false">
      <c r="O561" s="55" t="n">
        <f aca="false">N561*J561</f>
        <v>0</v>
      </c>
    </row>
    <row r="562" customFormat="false" ht="15" hidden="false" customHeight="false" outlineLevel="0" collapsed="false">
      <c r="O562" s="55" t="n">
        <f aca="false">N562*J562</f>
        <v>0</v>
      </c>
    </row>
    <row r="563" customFormat="false" ht="15" hidden="false" customHeight="false" outlineLevel="0" collapsed="false">
      <c r="O563" s="55" t="n">
        <f aca="false">N563*J563</f>
        <v>0</v>
      </c>
    </row>
    <row r="564" customFormat="false" ht="15" hidden="false" customHeight="false" outlineLevel="0" collapsed="false">
      <c r="O564" s="55" t="n">
        <f aca="false">N564*J564</f>
        <v>0</v>
      </c>
    </row>
    <row r="565" customFormat="false" ht="15" hidden="false" customHeight="false" outlineLevel="0" collapsed="false">
      <c r="O565" s="55" t="n">
        <f aca="false">N565*J565</f>
        <v>0</v>
      </c>
    </row>
    <row r="566" customFormat="false" ht="15" hidden="false" customHeight="false" outlineLevel="0" collapsed="false">
      <c r="O566" s="55" t="n">
        <f aca="false">N566*J566</f>
        <v>0</v>
      </c>
    </row>
    <row r="567" customFormat="false" ht="15" hidden="false" customHeight="false" outlineLevel="0" collapsed="false">
      <c r="O567" s="55" t="n">
        <f aca="false">N567*J567</f>
        <v>0</v>
      </c>
    </row>
    <row r="568" customFormat="false" ht="15" hidden="false" customHeight="false" outlineLevel="0" collapsed="false">
      <c r="O568" s="55" t="n">
        <f aca="false">N568*J568</f>
        <v>0</v>
      </c>
    </row>
    <row r="569" customFormat="false" ht="15" hidden="false" customHeight="false" outlineLevel="0" collapsed="false">
      <c r="O569" s="55" t="n">
        <f aca="false">N569*J569</f>
        <v>0</v>
      </c>
    </row>
    <row r="570" customFormat="false" ht="15" hidden="false" customHeight="false" outlineLevel="0" collapsed="false">
      <c r="O570" s="55" t="n">
        <f aca="false">N570*J570</f>
        <v>0</v>
      </c>
    </row>
    <row r="571" customFormat="false" ht="15" hidden="false" customHeight="false" outlineLevel="0" collapsed="false">
      <c r="O571" s="55" t="n">
        <f aca="false">N571*J571</f>
        <v>0</v>
      </c>
    </row>
    <row r="572" customFormat="false" ht="15" hidden="false" customHeight="false" outlineLevel="0" collapsed="false">
      <c r="O572" s="55" t="n">
        <f aca="false">N572*J572</f>
        <v>0</v>
      </c>
    </row>
    <row r="573" customFormat="false" ht="15" hidden="false" customHeight="false" outlineLevel="0" collapsed="false">
      <c r="O573" s="55" t="n">
        <f aca="false">N573*J573</f>
        <v>0</v>
      </c>
    </row>
    <row r="574" customFormat="false" ht="15" hidden="false" customHeight="false" outlineLevel="0" collapsed="false">
      <c r="O574" s="55" t="n">
        <f aca="false">N574*J574</f>
        <v>0</v>
      </c>
    </row>
    <row r="575" customFormat="false" ht="15" hidden="false" customHeight="false" outlineLevel="0" collapsed="false">
      <c r="O575" s="55" t="n">
        <f aca="false">N575*J575</f>
        <v>0</v>
      </c>
    </row>
    <row r="576" customFormat="false" ht="15" hidden="false" customHeight="false" outlineLevel="0" collapsed="false">
      <c r="O576" s="55" t="n">
        <f aca="false">N576*J576</f>
        <v>0</v>
      </c>
    </row>
    <row r="577" customFormat="false" ht="15" hidden="false" customHeight="false" outlineLevel="0" collapsed="false">
      <c r="O577" s="55" t="n">
        <f aca="false">N577*J577</f>
        <v>0</v>
      </c>
    </row>
    <row r="578" customFormat="false" ht="15" hidden="false" customHeight="false" outlineLevel="0" collapsed="false">
      <c r="O578" s="55" t="n">
        <f aca="false">N578*J578</f>
        <v>0</v>
      </c>
    </row>
    <row r="579" customFormat="false" ht="15" hidden="false" customHeight="false" outlineLevel="0" collapsed="false">
      <c r="O579" s="55" t="n">
        <f aca="false">N579*J579</f>
        <v>0</v>
      </c>
    </row>
    <row r="580" customFormat="false" ht="15" hidden="false" customHeight="false" outlineLevel="0" collapsed="false">
      <c r="O580" s="55" t="n">
        <f aca="false">N580*J580</f>
        <v>0</v>
      </c>
    </row>
    <row r="581" customFormat="false" ht="15" hidden="false" customHeight="false" outlineLevel="0" collapsed="false">
      <c r="O581" s="55" t="n">
        <f aca="false">N581*J581</f>
        <v>0</v>
      </c>
    </row>
    <row r="582" customFormat="false" ht="15" hidden="false" customHeight="false" outlineLevel="0" collapsed="false">
      <c r="O582" s="55" t="n">
        <f aca="false">N582*J582</f>
        <v>0</v>
      </c>
    </row>
    <row r="583" customFormat="false" ht="15" hidden="false" customHeight="false" outlineLevel="0" collapsed="false">
      <c r="O583" s="55" t="n">
        <f aca="false">N583*J583</f>
        <v>0</v>
      </c>
    </row>
    <row r="584" customFormat="false" ht="15" hidden="false" customHeight="false" outlineLevel="0" collapsed="false">
      <c r="O584" s="55" t="n">
        <f aca="false">N584*J584</f>
        <v>0</v>
      </c>
    </row>
    <row r="585" customFormat="false" ht="15" hidden="false" customHeight="false" outlineLevel="0" collapsed="false">
      <c r="O585" s="55" t="n">
        <f aca="false">N585*J585</f>
        <v>0</v>
      </c>
    </row>
    <row r="586" customFormat="false" ht="15" hidden="false" customHeight="false" outlineLevel="0" collapsed="false">
      <c r="O586" s="55" t="n">
        <f aca="false">N586*J586</f>
        <v>0</v>
      </c>
    </row>
    <row r="587" customFormat="false" ht="15" hidden="false" customHeight="false" outlineLevel="0" collapsed="false">
      <c r="O587" s="55" t="n">
        <f aca="false">N587*J587</f>
        <v>0</v>
      </c>
    </row>
    <row r="588" customFormat="false" ht="15" hidden="false" customHeight="false" outlineLevel="0" collapsed="false">
      <c r="O588" s="55" t="n">
        <f aca="false">N588*J588</f>
        <v>0</v>
      </c>
    </row>
    <row r="589" customFormat="false" ht="15" hidden="false" customHeight="false" outlineLevel="0" collapsed="false">
      <c r="O589" s="55" t="n">
        <f aca="false">N589*J589</f>
        <v>0</v>
      </c>
    </row>
    <row r="590" customFormat="false" ht="15" hidden="false" customHeight="false" outlineLevel="0" collapsed="false">
      <c r="O590" s="55" t="n">
        <f aca="false">N590*J590</f>
        <v>0</v>
      </c>
    </row>
    <row r="591" customFormat="false" ht="15" hidden="false" customHeight="false" outlineLevel="0" collapsed="false">
      <c r="O591" s="55" t="n">
        <f aca="false">N591*J591</f>
        <v>0</v>
      </c>
    </row>
    <row r="592" customFormat="false" ht="15" hidden="false" customHeight="false" outlineLevel="0" collapsed="false">
      <c r="O592" s="55" t="n">
        <f aca="false">N592*J592</f>
        <v>0</v>
      </c>
    </row>
    <row r="593" customFormat="false" ht="15" hidden="false" customHeight="false" outlineLevel="0" collapsed="false">
      <c r="O593" s="55" t="n">
        <f aca="false">N593*J593</f>
        <v>0</v>
      </c>
    </row>
    <row r="594" customFormat="false" ht="15" hidden="false" customHeight="false" outlineLevel="0" collapsed="false">
      <c r="O594" s="55" t="n">
        <f aca="false">N594*J594</f>
        <v>0</v>
      </c>
    </row>
    <row r="595" customFormat="false" ht="15" hidden="false" customHeight="false" outlineLevel="0" collapsed="false">
      <c r="O595" s="55" t="n">
        <f aca="false">N595*J595</f>
        <v>0</v>
      </c>
    </row>
    <row r="596" customFormat="false" ht="15" hidden="false" customHeight="false" outlineLevel="0" collapsed="false">
      <c r="O596" s="55" t="n">
        <f aca="false">N596*J596</f>
        <v>0</v>
      </c>
    </row>
    <row r="597" customFormat="false" ht="15" hidden="false" customHeight="false" outlineLevel="0" collapsed="false">
      <c r="O597" s="55" t="n">
        <f aca="false">N597*J597</f>
        <v>0</v>
      </c>
    </row>
    <row r="598" customFormat="false" ht="15" hidden="false" customHeight="false" outlineLevel="0" collapsed="false">
      <c r="O598" s="55" t="n">
        <f aca="false">N598*J598</f>
        <v>0</v>
      </c>
    </row>
    <row r="599" customFormat="false" ht="15" hidden="false" customHeight="false" outlineLevel="0" collapsed="false">
      <c r="O599" s="55" t="n">
        <f aca="false">N599*J599</f>
        <v>0</v>
      </c>
    </row>
    <row r="600" customFormat="false" ht="15" hidden="false" customHeight="false" outlineLevel="0" collapsed="false">
      <c r="O600" s="55" t="n">
        <f aca="false">N600*J600</f>
        <v>0</v>
      </c>
    </row>
    <row r="601" customFormat="false" ht="15" hidden="false" customHeight="false" outlineLevel="0" collapsed="false">
      <c r="O601" s="55" t="n">
        <f aca="false">N601*J601</f>
        <v>0</v>
      </c>
    </row>
    <row r="602" customFormat="false" ht="15" hidden="false" customHeight="false" outlineLevel="0" collapsed="false">
      <c r="O602" s="55" t="n">
        <f aca="false">N602*J602</f>
        <v>0</v>
      </c>
    </row>
    <row r="603" customFormat="false" ht="15" hidden="false" customHeight="false" outlineLevel="0" collapsed="false">
      <c r="O603" s="55" t="n">
        <f aca="false">N603*J603</f>
        <v>0</v>
      </c>
    </row>
    <row r="604" customFormat="false" ht="15" hidden="false" customHeight="false" outlineLevel="0" collapsed="false">
      <c r="O604" s="55" t="n">
        <f aca="false">N604*J604</f>
        <v>0</v>
      </c>
    </row>
    <row r="605" customFormat="false" ht="15" hidden="false" customHeight="false" outlineLevel="0" collapsed="false">
      <c r="O605" s="55" t="n">
        <f aca="false">N605*J605</f>
        <v>0</v>
      </c>
    </row>
    <row r="606" customFormat="false" ht="15" hidden="false" customHeight="false" outlineLevel="0" collapsed="false">
      <c r="O606" s="55" t="n">
        <f aca="false">N606*J606</f>
        <v>0</v>
      </c>
    </row>
    <row r="607" customFormat="false" ht="15" hidden="false" customHeight="false" outlineLevel="0" collapsed="false">
      <c r="O607" s="55" t="n">
        <f aca="false">N607*J607</f>
        <v>0</v>
      </c>
    </row>
    <row r="608" customFormat="false" ht="15" hidden="false" customHeight="false" outlineLevel="0" collapsed="false">
      <c r="O608" s="55" t="n">
        <f aca="false">N608*J608</f>
        <v>0</v>
      </c>
    </row>
    <row r="609" customFormat="false" ht="15" hidden="false" customHeight="false" outlineLevel="0" collapsed="false">
      <c r="O609" s="55" t="n">
        <f aca="false">N609*J609</f>
        <v>0</v>
      </c>
    </row>
    <row r="610" customFormat="false" ht="15" hidden="false" customHeight="false" outlineLevel="0" collapsed="false">
      <c r="O610" s="55" t="n">
        <f aca="false">N610*J610</f>
        <v>0</v>
      </c>
    </row>
    <row r="611" customFormat="false" ht="15" hidden="false" customHeight="false" outlineLevel="0" collapsed="false">
      <c r="O611" s="55" t="n">
        <f aca="false">N611*J611</f>
        <v>0</v>
      </c>
    </row>
    <row r="612" customFormat="false" ht="15" hidden="false" customHeight="false" outlineLevel="0" collapsed="false">
      <c r="O612" s="55" t="n">
        <f aca="false">N612*J612</f>
        <v>0</v>
      </c>
    </row>
    <row r="613" customFormat="false" ht="15" hidden="false" customHeight="false" outlineLevel="0" collapsed="false">
      <c r="O613" s="55" t="n">
        <f aca="false">N613*J613</f>
        <v>0</v>
      </c>
    </row>
    <row r="614" customFormat="false" ht="15" hidden="false" customHeight="false" outlineLevel="0" collapsed="false">
      <c r="O614" s="55" t="n">
        <f aca="false">N614*J614</f>
        <v>0</v>
      </c>
    </row>
    <row r="615" customFormat="false" ht="15" hidden="false" customHeight="false" outlineLevel="0" collapsed="false">
      <c r="O615" s="55" t="n">
        <f aca="false">N615*J615</f>
        <v>0</v>
      </c>
    </row>
    <row r="616" customFormat="false" ht="15" hidden="false" customHeight="false" outlineLevel="0" collapsed="false">
      <c r="O616" s="55" t="n">
        <f aca="false">N616*J616</f>
        <v>0</v>
      </c>
    </row>
    <row r="617" customFormat="false" ht="15" hidden="false" customHeight="false" outlineLevel="0" collapsed="false">
      <c r="O617" s="55" t="n">
        <f aca="false">N617*J617</f>
        <v>0</v>
      </c>
    </row>
    <row r="618" customFormat="false" ht="15" hidden="false" customHeight="false" outlineLevel="0" collapsed="false">
      <c r="O618" s="55" t="n">
        <f aca="false">N618*J618</f>
        <v>0</v>
      </c>
    </row>
    <row r="619" customFormat="false" ht="15" hidden="false" customHeight="false" outlineLevel="0" collapsed="false">
      <c r="O619" s="55" t="n">
        <f aca="false">N619*J619</f>
        <v>0</v>
      </c>
    </row>
    <row r="620" customFormat="false" ht="15" hidden="false" customHeight="false" outlineLevel="0" collapsed="false">
      <c r="O620" s="55" t="n">
        <f aca="false">N620*J620</f>
        <v>0</v>
      </c>
    </row>
    <row r="621" customFormat="false" ht="15" hidden="false" customHeight="false" outlineLevel="0" collapsed="false">
      <c r="O621" s="55" t="n">
        <f aca="false">N621*J621</f>
        <v>0</v>
      </c>
    </row>
    <row r="622" customFormat="false" ht="15" hidden="false" customHeight="false" outlineLevel="0" collapsed="false">
      <c r="O622" s="55" t="n">
        <f aca="false">N622*J622</f>
        <v>0</v>
      </c>
    </row>
    <row r="623" customFormat="false" ht="15" hidden="false" customHeight="false" outlineLevel="0" collapsed="false">
      <c r="O623" s="55" t="n">
        <f aca="false">N623*J623</f>
        <v>0</v>
      </c>
    </row>
    <row r="624" customFormat="false" ht="15" hidden="false" customHeight="false" outlineLevel="0" collapsed="false">
      <c r="O624" s="55" t="n">
        <f aca="false">N624*J624</f>
        <v>0</v>
      </c>
    </row>
    <row r="625" customFormat="false" ht="15" hidden="false" customHeight="false" outlineLevel="0" collapsed="false">
      <c r="O625" s="55" t="n">
        <f aca="false">N625*J625</f>
        <v>0</v>
      </c>
    </row>
    <row r="626" customFormat="false" ht="15" hidden="false" customHeight="false" outlineLevel="0" collapsed="false">
      <c r="O626" s="55" t="n">
        <f aca="false">N626*J626</f>
        <v>0</v>
      </c>
    </row>
    <row r="627" customFormat="false" ht="15" hidden="false" customHeight="false" outlineLevel="0" collapsed="false">
      <c r="O627" s="55" t="n">
        <f aca="false">N627*J627</f>
        <v>0</v>
      </c>
    </row>
    <row r="628" customFormat="false" ht="15" hidden="false" customHeight="false" outlineLevel="0" collapsed="false">
      <c r="O628" s="55" t="n">
        <f aca="false">N628*J628</f>
        <v>0</v>
      </c>
    </row>
    <row r="629" customFormat="false" ht="15" hidden="false" customHeight="false" outlineLevel="0" collapsed="false">
      <c r="O629" s="55" t="n">
        <f aca="false">N629*J629</f>
        <v>0</v>
      </c>
    </row>
    <row r="630" customFormat="false" ht="15" hidden="false" customHeight="false" outlineLevel="0" collapsed="false">
      <c r="O630" s="55" t="n">
        <f aca="false">N630*J630</f>
        <v>0</v>
      </c>
    </row>
    <row r="631" customFormat="false" ht="15" hidden="false" customHeight="false" outlineLevel="0" collapsed="false">
      <c r="O631" s="55" t="n">
        <f aca="false">N631*J631</f>
        <v>0</v>
      </c>
    </row>
    <row r="632" customFormat="false" ht="15" hidden="false" customHeight="false" outlineLevel="0" collapsed="false">
      <c r="O632" s="55" t="n">
        <f aca="false">N632*J632</f>
        <v>0</v>
      </c>
    </row>
    <row r="633" customFormat="false" ht="15" hidden="false" customHeight="false" outlineLevel="0" collapsed="false">
      <c r="O633" s="55" t="n">
        <f aca="false">N633*J633</f>
        <v>0</v>
      </c>
    </row>
    <row r="634" customFormat="false" ht="15" hidden="false" customHeight="false" outlineLevel="0" collapsed="false">
      <c r="O634" s="55" t="n">
        <f aca="false">N634*J634</f>
        <v>0</v>
      </c>
    </row>
    <row r="635" customFormat="false" ht="15" hidden="false" customHeight="false" outlineLevel="0" collapsed="false">
      <c r="O635" s="55" t="n">
        <f aca="false">N635*J635</f>
        <v>0</v>
      </c>
    </row>
    <row r="636" customFormat="false" ht="15" hidden="false" customHeight="false" outlineLevel="0" collapsed="false">
      <c r="O636" s="55" t="n">
        <f aca="false">N636*J636</f>
        <v>0</v>
      </c>
    </row>
    <row r="637" customFormat="false" ht="15" hidden="false" customHeight="false" outlineLevel="0" collapsed="false">
      <c r="O637" s="55" t="n">
        <f aca="false">N637*J637</f>
        <v>0</v>
      </c>
    </row>
    <row r="638" customFormat="false" ht="15" hidden="false" customHeight="false" outlineLevel="0" collapsed="false">
      <c r="O638" s="55" t="n">
        <f aca="false">N638*J638</f>
        <v>0</v>
      </c>
    </row>
    <row r="639" customFormat="false" ht="15" hidden="false" customHeight="false" outlineLevel="0" collapsed="false">
      <c r="O639" s="55" t="n">
        <f aca="false">N639*J639</f>
        <v>0</v>
      </c>
    </row>
    <row r="640" customFormat="false" ht="15" hidden="false" customHeight="false" outlineLevel="0" collapsed="false">
      <c r="O640" s="55" t="n">
        <f aca="false">N640*J640</f>
        <v>0</v>
      </c>
    </row>
    <row r="641" customFormat="false" ht="15" hidden="false" customHeight="false" outlineLevel="0" collapsed="false">
      <c r="O641" s="55" t="n">
        <f aca="false">N641*J641</f>
        <v>0</v>
      </c>
    </row>
    <row r="642" customFormat="false" ht="15" hidden="false" customHeight="false" outlineLevel="0" collapsed="false">
      <c r="O642" s="55" t="n">
        <f aca="false">N642*J642</f>
        <v>0</v>
      </c>
    </row>
    <row r="643" customFormat="false" ht="15" hidden="false" customHeight="false" outlineLevel="0" collapsed="false">
      <c r="O643" s="55" t="n">
        <f aca="false">N643*J643</f>
        <v>0</v>
      </c>
    </row>
    <row r="644" customFormat="false" ht="15" hidden="false" customHeight="false" outlineLevel="0" collapsed="false">
      <c r="O644" s="55" t="n">
        <f aca="false">N644*J644</f>
        <v>0</v>
      </c>
    </row>
    <row r="645" customFormat="false" ht="15" hidden="false" customHeight="false" outlineLevel="0" collapsed="false">
      <c r="O645" s="55" t="n">
        <f aca="false">N645*J645</f>
        <v>0</v>
      </c>
    </row>
    <row r="646" customFormat="false" ht="15" hidden="false" customHeight="false" outlineLevel="0" collapsed="false">
      <c r="O646" s="55" t="n">
        <f aca="false">N646*J646</f>
        <v>0</v>
      </c>
    </row>
    <row r="647" customFormat="false" ht="15" hidden="false" customHeight="false" outlineLevel="0" collapsed="false">
      <c r="O647" s="55" t="n">
        <f aca="false">N647*J647</f>
        <v>0</v>
      </c>
    </row>
    <row r="648" customFormat="false" ht="15" hidden="false" customHeight="false" outlineLevel="0" collapsed="false">
      <c r="O648" s="55" t="n">
        <f aca="false">N648*J648</f>
        <v>0</v>
      </c>
    </row>
    <row r="649" customFormat="false" ht="15" hidden="false" customHeight="false" outlineLevel="0" collapsed="false">
      <c r="O649" s="55" t="n">
        <f aca="false">N649*J649</f>
        <v>0</v>
      </c>
    </row>
    <row r="650" customFormat="false" ht="15" hidden="false" customHeight="false" outlineLevel="0" collapsed="false">
      <c r="O650" s="45" t="e">
        <f aca="false">N650*#REF!</f>
        <v>#REF!</v>
      </c>
    </row>
    <row r="651" customFormat="false" ht="15" hidden="false" customHeight="false" outlineLevel="0" collapsed="false">
      <c r="O651" s="45" t="e">
        <f aca="false">N651*#REF!</f>
        <v>#REF!</v>
      </c>
    </row>
    <row r="652" customFormat="false" ht="15" hidden="false" customHeight="false" outlineLevel="0" collapsed="false">
      <c r="O652" s="45" t="e">
        <f aca="false">N652*#REF!</f>
        <v>#REF!</v>
      </c>
    </row>
    <row r="653" customFormat="false" ht="15" hidden="false" customHeight="false" outlineLevel="0" collapsed="false">
      <c r="O653" s="45" t="e">
        <f aca="false">N653*#REF!</f>
        <v>#REF!</v>
      </c>
    </row>
    <row r="654" customFormat="false" ht="15" hidden="false" customHeight="false" outlineLevel="0" collapsed="false">
      <c r="O654" s="45" t="e">
        <f aca="false">N654*#REF!</f>
        <v>#REF!</v>
      </c>
    </row>
    <row r="655" customFormat="false" ht="15" hidden="false" customHeight="false" outlineLevel="0" collapsed="false">
      <c r="O655" s="45" t="e">
        <f aca="false">N655*#REF!</f>
        <v>#REF!</v>
      </c>
    </row>
  </sheetData>
  <mergeCells count="1">
    <mergeCell ref="N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CCFF66"/>
    <pageSetUpPr fitToPage="false"/>
  </sheetPr>
  <dimension ref="A1:IA68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2" topLeftCell="A100" activePane="bottomLeft" state="frozen"/>
      <selection pane="topLeft" activeCell="A1" activeCellId="0" sqref="A1"/>
      <selection pane="bottomLeft" activeCell="H214" activeCellId="0" sqref="H214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5.28"/>
    <col collapsed="false" customWidth="true" hidden="false" outlineLevel="0" max="2" min="2" style="1" width="13.43"/>
    <col collapsed="false" customWidth="true" hidden="false" outlineLevel="0" max="3" min="3" style="1" width="18.85"/>
    <col collapsed="false" customWidth="true" hidden="false" outlineLevel="0" max="4" min="4" style="1" width="15.85"/>
    <col collapsed="false" customWidth="true" hidden="false" outlineLevel="0" max="6" min="5" style="1" width="15.28"/>
    <col collapsed="false" customWidth="true" hidden="false" outlineLevel="0" max="7" min="7" style="2" width="14"/>
    <col collapsed="false" customWidth="true" hidden="false" outlineLevel="0" max="8" min="8" style="1" width="13.43"/>
    <col collapsed="false" customWidth="true" hidden="false" outlineLevel="0" max="9" min="9" style="1" width="10.43"/>
    <col collapsed="false" customWidth="true" hidden="false" outlineLevel="0" max="10" min="10" style="1" width="13.85"/>
    <col collapsed="false" customWidth="true" hidden="false" outlineLevel="0" max="11" min="11" style="1" width="12.14"/>
    <col collapsed="false" customWidth="true" hidden="false" outlineLevel="0" max="12" min="12" style="1" width="13.28"/>
    <col collapsed="false" customWidth="true" hidden="false" outlineLevel="0" max="13" min="13" style="1" width="11"/>
    <col collapsed="false" customWidth="true" hidden="false" outlineLevel="0" max="14" min="14" style="4" width="10.43"/>
    <col collapsed="false" customWidth="true" hidden="false" outlineLevel="0" max="15" min="15" style="5" width="10.71"/>
    <col collapsed="false" customWidth="false" hidden="false" outlineLevel="0" max="16" min="16" style="6" width="8.85"/>
    <col collapsed="false" customWidth="true" hidden="true" outlineLevel="0" max="17" min="17" style="46" width="12.85"/>
    <col collapsed="false" customWidth="true" hidden="true" outlineLevel="0" max="18" min="18" style="0" width="9.14"/>
  </cols>
  <sheetData>
    <row r="1" customFormat="false" ht="7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0" t="s">
        <v>13</v>
      </c>
      <c r="O1" s="10"/>
      <c r="P1" s="11" t="s">
        <v>14</v>
      </c>
      <c r="Q1" s="47" t="s">
        <v>22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</row>
    <row r="2" customFormat="false" ht="74.25" hidden="false" customHeight="true" outlineLevel="0" collapsed="false">
      <c r="A2" s="48" t="s">
        <v>15</v>
      </c>
      <c r="B2" s="48"/>
      <c r="C2" s="48"/>
      <c r="D2" s="48"/>
      <c r="E2" s="48"/>
      <c r="F2" s="48" t="n">
        <f aca="false">SUM(F3:F464)</f>
        <v>0</v>
      </c>
      <c r="G2" s="14" t="n">
        <f aca="false">SUM(G3:G464)</f>
        <v>0</v>
      </c>
      <c r="H2" s="48"/>
      <c r="I2" s="48"/>
      <c r="J2" s="48"/>
      <c r="K2" s="48"/>
      <c r="L2" s="14" t="n">
        <f aca="false">SUM(L3:L464)</f>
        <v>0</v>
      </c>
      <c r="M2" s="14"/>
      <c r="N2" s="49" t="s">
        <v>16</v>
      </c>
      <c r="O2" s="49" t="s">
        <v>17</v>
      </c>
      <c r="P2" s="60"/>
      <c r="Q2" s="51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</row>
    <row r="3" s="6" customFormat="true" ht="15" hidden="false" customHeight="false" outlineLevel="0" collapsed="false">
      <c r="A3" s="17"/>
      <c r="B3" s="18" t="s">
        <v>23</v>
      </c>
      <c r="C3" s="29"/>
      <c r="D3" s="29"/>
      <c r="E3" s="61"/>
      <c r="F3" s="29"/>
      <c r="G3" s="34"/>
      <c r="H3" s="29"/>
      <c r="I3" s="29"/>
      <c r="J3" s="29"/>
      <c r="K3" s="53"/>
      <c r="L3" s="36"/>
      <c r="M3" s="19" t="n">
        <v>-25</v>
      </c>
      <c r="N3" s="37"/>
      <c r="O3" s="30" t="n">
        <f aca="false">N3*J3</f>
        <v>0</v>
      </c>
      <c r="Q3" s="46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</row>
    <row r="4" s="6" customFormat="true" ht="15" hidden="false" customHeight="false" outlineLevel="0" collapsed="false">
      <c r="A4" s="17"/>
      <c r="B4" s="18" t="s">
        <v>23</v>
      </c>
      <c r="C4" s="29"/>
      <c r="D4" s="29"/>
      <c r="E4" s="61"/>
      <c r="F4" s="29"/>
      <c r="G4" s="34"/>
      <c r="H4" s="29"/>
      <c r="I4" s="29"/>
      <c r="J4" s="29"/>
      <c r="K4" s="53"/>
      <c r="L4" s="36"/>
      <c r="M4" s="19" t="n">
        <v>-25</v>
      </c>
      <c r="N4" s="37"/>
      <c r="O4" s="30" t="n">
        <f aca="false">N4*J4</f>
        <v>0</v>
      </c>
      <c r="Q4" s="4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</row>
    <row r="5" s="6" customFormat="true" ht="15" hidden="false" customHeight="false" outlineLevel="0" collapsed="false">
      <c r="A5" s="17"/>
      <c r="B5" s="18" t="s">
        <v>23</v>
      </c>
      <c r="C5" s="29"/>
      <c r="D5" s="29"/>
      <c r="E5" s="61"/>
      <c r="F5" s="29"/>
      <c r="G5" s="34"/>
      <c r="H5" s="29"/>
      <c r="I5" s="29"/>
      <c r="J5" s="29"/>
      <c r="K5" s="53"/>
      <c r="L5" s="36"/>
      <c r="M5" s="19" t="n">
        <v>-10</v>
      </c>
      <c r="N5" s="37"/>
      <c r="O5" s="30" t="n">
        <f aca="false">N5*J5</f>
        <v>0</v>
      </c>
      <c r="Q5" s="46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</row>
    <row r="6" s="6" customFormat="true" ht="15" hidden="false" customHeight="false" outlineLevel="0" collapsed="false">
      <c r="A6" s="17"/>
      <c r="B6" s="18" t="s">
        <v>23</v>
      </c>
      <c r="C6" s="29"/>
      <c r="D6" s="29"/>
      <c r="E6" s="61"/>
      <c r="F6" s="29"/>
      <c r="G6" s="34"/>
      <c r="H6" s="29"/>
      <c r="I6" s="29"/>
      <c r="J6" s="29"/>
      <c r="K6" s="53"/>
      <c r="L6" s="36"/>
      <c r="M6" s="19" t="n">
        <v>-10</v>
      </c>
      <c r="N6" s="37"/>
      <c r="O6" s="30" t="n">
        <f aca="false">N6*J6</f>
        <v>0</v>
      </c>
      <c r="Q6" s="4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</row>
    <row r="7" s="6" customFormat="true" ht="15" hidden="false" customHeight="false" outlineLevel="0" collapsed="false">
      <c r="A7" s="17"/>
      <c r="B7" s="18" t="s">
        <v>23</v>
      </c>
      <c r="C7" s="29"/>
      <c r="D7" s="29"/>
      <c r="E7" s="61"/>
      <c r="F7" s="29"/>
      <c r="G7" s="34"/>
      <c r="H7" s="29"/>
      <c r="I7" s="29"/>
      <c r="J7" s="29"/>
      <c r="K7" s="53"/>
      <c r="L7" s="36"/>
      <c r="M7" s="19" t="n">
        <v>-10</v>
      </c>
      <c r="N7" s="37"/>
      <c r="O7" s="30" t="n">
        <f aca="false">N7*J7</f>
        <v>0</v>
      </c>
      <c r="Q7" s="46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</row>
    <row r="8" s="6" customFormat="true" ht="15" hidden="false" customHeight="false" outlineLevel="0" collapsed="false">
      <c r="A8" s="17"/>
      <c r="B8" s="18" t="s">
        <v>23</v>
      </c>
      <c r="C8" s="29"/>
      <c r="D8" s="29"/>
      <c r="E8" s="61"/>
      <c r="F8" s="29"/>
      <c r="G8" s="34"/>
      <c r="H8" s="29"/>
      <c r="I8" s="29"/>
      <c r="J8" s="29"/>
      <c r="K8" s="53"/>
      <c r="L8" s="36"/>
      <c r="M8" s="19" t="n">
        <v>-10</v>
      </c>
      <c r="N8" s="37"/>
      <c r="O8" s="30" t="n">
        <f aca="false">N8*J8</f>
        <v>0</v>
      </c>
      <c r="Q8" s="4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</row>
    <row r="9" s="6" customFormat="true" ht="15" hidden="false" customHeight="false" outlineLevel="0" collapsed="false">
      <c r="A9" s="17"/>
      <c r="B9" s="18" t="s">
        <v>23</v>
      </c>
      <c r="C9" s="29"/>
      <c r="D9" s="29"/>
      <c r="E9" s="61"/>
      <c r="F9" s="29"/>
      <c r="G9" s="34"/>
      <c r="H9" s="29"/>
      <c r="I9" s="29"/>
      <c r="J9" s="29"/>
      <c r="K9" s="53"/>
      <c r="L9" s="36"/>
      <c r="M9" s="19" t="n">
        <v>-10</v>
      </c>
      <c r="N9" s="37"/>
      <c r="O9" s="30" t="n">
        <f aca="false">N9*J9</f>
        <v>0</v>
      </c>
      <c r="Q9" s="46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</row>
    <row r="10" s="6" customFormat="true" ht="15" hidden="false" customHeight="false" outlineLevel="0" collapsed="false">
      <c r="A10" s="17"/>
      <c r="B10" s="18" t="s">
        <v>23</v>
      </c>
      <c r="C10" s="29"/>
      <c r="D10" s="29"/>
      <c r="E10" s="61"/>
      <c r="F10" s="29"/>
      <c r="G10" s="34"/>
      <c r="H10" s="29"/>
      <c r="I10" s="29"/>
      <c r="J10" s="29"/>
      <c r="K10" s="53"/>
      <c r="L10" s="36"/>
      <c r="M10" s="19" t="n">
        <v>-10</v>
      </c>
      <c r="N10" s="37"/>
      <c r="O10" s="30" t="n">
        <f aca="false">N10*J10</f>
        <v>0</v>
      </c>
      <c r="Q10" s="46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</row>
    <row r="11" s="6" customFormat="true" ht="15" hidden="false" customHeight="false" outlineLevel="0" collapsed="false">
      <c r="A11" s="17"/>
      <c r="B11" s="18" t="s">
        <v>23</v>
      </c>
      <c r="C11" s="29"/>
      <c r="D11" s="29"/>
      <c r="E11" s="61"/>
      <c r="F11" s="29"/>
      <c r="G11" s="34"/>
      <c r="H11" s="29"/>
      <c r="I11" s="29"/>
      <c r="J11" s="29"/>
      <c r="K11" s="53"/>
      <c r="L11" s="36"/>
      <c r="M11" s="19" t="n">
        <v>-10</v>
      </c>
      <c r="N11" s="37"/>
      <c r="O11" s="30" t="n">
        <f aca="false">N11*J11</f>
        <v>0</v>
      </c>
      <c r="Q11" s="46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</row>
    <row r="12" s="6" customFormat="true" ht="15" hidden="false" customHeight="false" outlineLevel="0" collapsed="false">
      <c r="A12" s="17"/>
      <c r="B12" s="18" t="s">
        <v>23</v>
      </c>
      <c r="C12" s="29"/>
      <c r="D12" s="29"/>
      <c r="E12" s="61"/>
      <c r="F12" s="29"/>
      <c r="G12" s="34"/>
      <c r="H12" s="29"/>
      <c r="I12" s="29"/>
      <c r="J12" s="29"/>
      <c r="K12" s="53"/>
      <c r="L12" s="36"/>
      <c r="M12" s="19" t="n">
        <v>-10</v>
      </c>
      <c r="N12" s="37"/>
      <c r="O12" s="30" t="n">
        <f aca="false">N12*J12</f>
        <v>0</v>
      </c>
      <c r="Q12" s="46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</row>
    <row r="13" s="6" customFormat="true" ht="15" hidden="false" customHeight="false" outlineLevel="0" collapsed="false">
      <c r="A13" s="17"/>
      <c r="B13" s="18" t="s">
        <v>23</v>
      </c>
      <c r="C13" s="29"/>
      <c r="D13" s="29"/>
      <c r="E13" s="61"/>
      <c r="F13" s="29"/>
      <c r="G13" s="34"/>
      <c r="H13" s="29"/>
      <c r="I13" s="29"/>
      <c r="J13" s="29"/>
      <c r="K13" s="53"/>
      <c r="L13" s="36"/>
      <c r="M13" s="19" t="n">
        <v>-10</v>
      </c>
      <c r="N13" s="37"/>
      <c r="O13" s="30" t="n">
        <f aca="false">N13*J13</f>
        <v>0</v>
      </c>
      <c r="Q13" s="46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</row>
    <row r="14" s="6" customFormat="true" ht="15" hidden="false" customHeight="false" outlineLevel="0" collapsed="false">
      <c r="A14" s="17"/>
      <c r="B14" s="18" t="s">
        <v>23</v>
      </c>
      <c r="C14" s="29"/>
      <c r="D14" s="29"/>
      <c r="E14" s="61"/>
      <c r="F14" s="29"/>
      <c r="G14" s="34"/>
      <c r="H14" s="29"/>
      <c r="I14" s="29"/>
      <c r="J14" s="29"/>
      <c r="K14" s="53"/>
      <c r="L14" s="36"/>
      <c r="M14" s="19" t="n">
        <v>-10</v>
      </c>
      <c r="N14" s="37"/>
      <c r="O14" s="30" t="n">
        <f aca="false">N14*J14</f>
        <v>0</v>
      </c>
      <c r="Q14" s="46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</row>
    <row r="15" s="6" customFormat="true" ht="15" hidden="false" customHeight="false" outlineLevel="0" collapsed="false">
      <c r="A15" s="17"/>
      <c r="B15" s="18" t="s">
        <v>23</v>
      </c>
      <c r="C15" s="29"/>
      <c r="D15" s="29"/>
      <c r="E15" s="61"/>
      <c r="F15" s="29"/>
      <c r="G15" s="34"/>
      <c r="H15" s="29"/>
      <c r="I15" s="29"/>
      <c r="J15" s="29"/>
      <c r="K15" s="53"/>
      <c r="L15" s="36"/>
      <c r="M15" s="19" t="n">
        <v>-10</v>
      </c>
      <c r="N15" s="37"/>
      <c r="O15" s="30" t="n">
        <f aca="false">N15*J15</f>
        <v>0</v>
      </c>
      <c r="Q15" s="46"/>
      <c r="S15" s="27"/>
      <c r="T15" s="32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</row>
    <row r="16" s="6" customFormat="true" ht="15" hidden="false" customHeight="false" outlineLevel="0" collapsed="false">
      <c r="A16" s="17"/>
      <c r="B16" s="18" t="s">
        <v>23</v>
      </c>
      <c r="C16" s="29"/>
      <c r="D16" s="29"/>
      <c r="E16" s="61"/>
      <c r="F16" s="29"/>
      <c r="G16" s="34"/>
      <c r="H16" s="29"/>
      <c r="I16" s="29"/>
      <c r="J16" s="29"/>
      <c r="K16" s="53"/>
      <c r="L16" s="36"/>
      <c r="M16" s="19" t="n">
        <v>-10</v>
      </c>
      <c r="N16" s="37"/>
      <c r="O16" s="30" t="n">
        <f aca="false">N16*J16</f>
        <v>0</v>
      </c>
      <c r="Q16" s="46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</row>
    <row r="17" s="6" customFormat="true" ht="15" hidden="false" customHeight="false" outlineLevel="0" collapsed="false">
      <c r="A17" s="17"/>
      <c r="B17" s="18" t="s">
        <v>23</v>
      </c>
      <c r="C17" s="29"/>
      <c r="D17" s="29"/>
      <c r="E17" s="61"/>
      <c r="F17" s="29"/>
      <c r="G17" s="34"/>
      <c r="H17" s="29"/>
      <c r="I17" s="29"/>
      <c r="J17" s="29"/>
      <c r="K17" s="53"/>
      <c r="L17" s="36"/>
      <c r="M17" s="19" t="n">
        <v>-10</v>
      </c>
      <c r="N17" s="37"/>
      <c r="O17" s="30" t="n">
        <f aca="false">N17*J17</f>
        <v>0</v>
      </c>
      <c r="Q17" s="46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</row>
    <row r="18" s="6" customFormat="true" ht="15" hidden="false" customHeight="false" outlineLevel="0" collapsed="false">
      <c r="A18" s="17"/>
      <c r="B18" s="18" t="s">
        <v>23</v>
      </c>
      <c r="C18" s="29"/>
      <c r="D18" s="29"/>
      <c r="E18" s="61"/>
      <c r="F18" s="29"/>
      <c r="G18" s="34"/>
      <c r="H18" s="29"/>
      <c r="I18" s="29"/>
      <c r="J18" s="29"/>
      <c r="K18" s="53"/>
      <c r="L18" s="36"/>
      <c r="M18" s="19" t="n">
        <v>-10</v>
      </c>
      <c r="N18" s="37"/>
      <c r="O18" s="30" t="n">
        <f aca="false">N18*J18</f>
        <v>0</v>
      </c>
      <c r="Q18" s="46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</row>
    <row r="19" s="6" customFormat="true" ht="15" hidden="false" customHeight="false" outlineLevel="0" collapsed="false">
      <c r="A19" s="17"/>
      <c r="B19" s="18" t="s">
        <v>23</v>
      </c>
      <c r="C19" s="29"/>
      <c r="D19" s="29"/>
      <c r="E19" s="61"/>
      <c r="F19" s="29"/>
      <c r="G19" s="34"/>
      <c r="H19" s="29"/>
      <c r="I19" s="29"/>
      <c r="J19" s="29"/>
      <c r="K19" s="53"/>
      <c r="L19" s="36"/>
      <c r="M19" s="19" t="n">
        <v>-10</v>
      </c>
      <c r="N19" s="37"/>
      <c r="O19" s="30" t="n">
        <f aca="false">N19*J19</f>
        <v>0</v>
      </c>
      <c r="Q19" s="46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</row>
    <row r="20" s="6" customFormat="true" ht="15" hidden="false" customHeight="false" outlineLevel="0" collapsed="false">
      <c r="A20" s="17"/>
      <c r="B20" s="18" t="s">
        <v>23</v>
      </c>
      <c r="C20" s="29"/>
      <c r="D20" s="29"/>
      <c r="E20" s="61"/>
      <c r="F20" s="29"/>
      <c r="G20" s="34"/>
      <c r="H20" s="29"/>
      <c r="I20" s="29"/>
      <c r="J20" s="29"/>
      <c r="K20" s="53"/>
      <c r="L20" s="36"/>
      <c r="M20" s="19" t="n">
        <v>-10</v>
      </c>
      <c r="N20" s="37"/>
      <c r="O20" s="30" t="n">
        <f aca="false">N20*J20</f>
        <v>0</v>
      </c>
      <c r="Q20" s="46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</row>
    <row r="21" s="6" customFormat="true" ht="15" hidden="false" customHeight="false" outlineLevel="0" collapsed="false">
      <c r="A21" s="17"/>
      <c r="B21" s="18" t="s">
        <v>23</v>
      </c>
      <c r="C21" s="29"/>
      <c r="D21" s="29"/>
      <c r="E21" s="61"/>
      <c r="F21" s="29"/>
      <c r="G21" s="34"/>
      <c r="H21" s="29"/>
      <c r="I21" s="29"/>
      <c r="J21" s="29"/>
      <c r="K21" s="53"/>
      <c r="L21" s="36"/>
      <c r="M21" s="19" t="n">
        <v>-10</v>
      </c>
      <c r="N21" s="37"/>
      <c r="O21" s="30" t="n">
        <f aca="false">N21*J21</f>
        <v>0</v>
      </c>
      <c r="Q21" s="46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</row>
    <row r="22" s="6" customFormat="true" ht="15" hidden="false" customHeight="false" outlineLevel="0" collapsed="false">
      <c r="A22" s="17"/>
      <c r="B22" s="18" t="s">
        <v>23</v>
      </c>
      <c r="C22" s="29"/>
      <c r="D22" s="29"/>
      <c r="E22" s="61"/>
      <c r="F22" s="29"/>
      <c r="G22" s="34"/>
      <c r="H22" s="29"/>
      <c r="I22" s="29"/>
      <c r="J22" s="29"/>
      <c r="K22" s="53"/>
      <c r="L22" s="36"/>
      <c r="M22" s="19" t="n">
        <v>-10</v>
      </c>
      <c r="N22" s="37"/>
      <c r="O22" s="30" t="n">
        <f aca="false">N22*J22</f>
        <v>0</v>
      </c>
      <c r="Q22" s="46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</row>
    <row r="23" s="6" customFormat="true" ht="15" hidden="false" customHeight="false" outlineLevel="0" collapsed="false">
      <c r="A23" s="17"/>
      <c r="B23" s="18" t="s">
        <v>23</v>
      </c>
      <c r="C23" s="29"/>
      <c r="D23" s="29"/>
      <c r="E23" s="61"/>
      <c r="F23" s="29"/>
      <c r="G23" s="34"/>
      <c r="H23" s="29"/>
      <c r="I23" s="29"/>
      <c r="J23" s="29"/>
      <c r="K23" s="53"/>
      <c r="L23" s="36"/>
      <c r="M23" s="19" t="n">
        <v>-10</v>
      </c>
      <c r="N23" s="37"/>
      <c r="O23" s="30" t="n">
        <f aca="false">N23*J23</f>
        <v>0</v>
      </c>
      <c r="Q23" s="46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</row>
    <row r="24" s="6" customFormat="true" ht="15" hidden="false" customHeight="false" outlineLevel="0" collapsed="false">
      <c r="A24" s="17"/>
      <c r="B24" s="18" t="s">
        <v>23</v>
      </c>
      <c r="C24" s="29"/>
      <c r="D24" s="29"/>
      <c r="E24" s="61"/>
      <c r="F24" s="29"/>
      <c r="G24" s="34"/>
      <c r="H24" s="29"/>
      <c r="I24" s="29"/>
      <c r="J24" s="29"/>
      <c r="K24" s="53"/>
      <c r="L24" s="36"/>
      <c r="M24" s="19" t="n">
        <v>-10</v>
      </c>
      <c r="N24" s="37"/>
      <c r="O24" s="30" t="n">
        <f aca="false">N24*J24</f>
        <v>0</v>
      </c>
      <c r="Q24" s="46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</row>
    <row r="25" s="6" customFormat="true" ht="15" hidden="false" customHeight="false" outlineLevel="0" collapsed="false">
      <c r="A25" s="17"/>
      <c r="B25" s="18" t="s">
        <v>23</v>
      </c>
      <c r="C25" s="29"/>
      <c r="D25" s="29"/>
      <c r="E25" s="61"/>
      <c r="F25" s="29"/>
      <c r="G25" s="34"/>
      <c r="H25" s="29"/>
      <c r="I25" s="29"/>
      <c r="J25" s="29"/>
      <c r="K25" s="53"/>
      <c r="L25" s="36"/>
      <c r="M25" s="19" t="n">
        <v>-10</v>
      </c>
      <c r="N25" s="37"/>
      <c r="O25" s="30" t="n">
        <f aca="false">N25*J25</f>
        <v>0</v>
      </c>
      <c r="Q25" s="46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</row>
    <row r="26" s="6" customFormat="true" ht="15" hidden="false" customHeight="false" outlineLevel="0" collapsed="false">
      <c r="A26" s="17"/>
      <c r="B26" s="18" t="s">
        <v>23</v>
      </c>
      <c r="C26" s="29"/>
      <c r="D26" s="29"/>
      <c r="E26" s="61"/>
      <c r="F26" s="29"/>
      <c r="G26" s="34"/>
      <c r="H26" s="29"/>
      <c r="I26" s="29"/>
      <c r="J26" s="29"/>
      <c r="K26" s="53"/>
      <c r="L26" s="36"/>
      <c r="M26" s="19" t="n">
        <v>-9</v>
      </c>
      <c r="N26" s="37"/>
      <c r="O26" s="30" t="n">
        <f aca="false">N26*J26</f>
        <v>0</v>
      </c>
      <c r="Q26" s="46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</row>
    <row r="27" s="6" customFormat="true" ht="15" hidden="false" customHeight="false" outlineLevel="0" collapsed="false">
      <c r="A27" s="17"/>
      <c r="B27" s="18" t="s">
        <v>23</v>
      </c>
      <c r="C27" s="29"/>
      <c r="D27" s="29"/>
      <c r="E27" s="61"/>
      <c r="F27" s="29"/>
      <c r="G27" s="34"/>
      <c r="H27" s="29"/>
      <c r="I27" s="29"/>
      <c r="J27" s="29"/>
      <c r="K27" s="53"/>
      <c r="L27" s="36"/>
      <c r="M27" s="19" t="n">
        <v>-8</v>
      </c>
      <c r="N27" s="37"/>
      <c r="O27" s="30" t="n">
        <f aca="false">N27*J27</f>
        <v>0</v>
      </c>
      <c r="Q27" s="46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</row>
    <row r="28" s="6" customFormat="true" ht="15" hidden="false" customHeight="false" outlineLevel="0" collapsed="false">
      <c r="A28" s="17"/>
      <c r="B28" s="18" t="s">
        <v>23</v>
      </c>
      <c r="C28" s="29"/>
      <c r="D28" s="29"/>
      <c r="E28" s="61"/>
      <c r="F28" s="29"/>
      <c r="G28" s="34"/>
      <c r="H28" s="29"/>
      <c r="I28" s="29"/>
      <c r="J28" s="29"/>
      <c r="K28" s="53"/>
      <c r="L28" s="36"/>
      <c r="M28" s="19" t="n">
        <v>-7</v>
      </c>
      <c r="N28" s="37"/>
      <c r="O28" s="30" t="n">
        <f aca="false">N28*J28</f>
        <v>0</v>
      </c>
      <c r="Q28" s="46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</row>
    <row r="29" s="6" customFormat="true" ht="15" hidden="false" customHeight="false" outlineLevel="0" collapsed="false">
      <c r="A29" s="17"/>
      <c r="B29" s="18" t="s">
        <v>23</v>
      </c>
      <c r="C29" s="29"/>
      <c r="D29" s="29"/>
      <c r="E29" s="61"/>
      <c r="F29" s="29"/>
      <c r="G29" s="34"/>
      <c r="H29" s="29"/>
      <c r="I29" s="29"/>
      <c r="J29" s="29"/>
      <c r="K29" s="53"/>
      <c r="L29" s="36"/>
      <c r="M29" s="19" t="n">
        <v>-6</v>
      </c>
      <c r="N29" s="37"/>
      <c r="O29" s="30" t="n">
        <f aca="false">N29*J29</f>
        <v>0</v>
      </c>
      <c r="Q29" s="46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</row>
    <row r="30" s="6" customFormat="true" ht="15" hidden="false" customHeight="false" outlineLevel="0" collapsed="false">
      <c r="A30" s="17"/>
      <c r="B30" s="18" t="s">
        <v>23</v>
      </c>
      <c r="C30" s="29"/>
      <c r="D30" s="29"/>
      <c r="E30" s="61"/>
      <c r="F30" s="29"/>
      <c r="G30" s="34"/>
      <c r="H30" s="29"/>
      <c r="I30" s="29"/>
      <c r="J30" s="29"/>
      <c r="K30" s="53"/>
      <c r="L30" s="36"/>
      <c r="M30" s="19" t="n">
        <v>-5</v>
      </c>
      <c r="N30" s="37"/>
      <c r="O30" s="30" t="n">
        <f aca="false">N30*J30</f>
        <v>0</v>
      </c>
      <c r="Q30" s="46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</row>
    <row r="31" s="6" customFormat="true" ht="15" hidden="false" customHeight="false" outlineLevel="0" collapsed="false">
      <c r="A31" s="17"/>
      <c r="B31" s="18" t="s">
        <v>23</v>
      </c>
      <c r="C31" s="29"/>
      <c r="D31" s="29"/>
      <c r="E31" s="61"/>
      <c r="F31" s="29"/>
      <c r="G31" s="34"/>
      <c r="H31" s="29"/>
      <c r="I31" s="29"/>
      <c r="J31" s="29"/>
      <c r="K31" s="53"/>
      <c r="L31" s="36"/>
      <c r="M31" s="19" t="n">
        <v>-4</v>
      </c>
      <c r="N31" s="37"/>
      <c r="O31" s="30" t="n">
        <f aca="false">N31*J31</f>
        <v>0</v>
      </c>
      <c r="Q31" s="46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</row>
    <row r="32" s="6" customFormat="true" ht="15" hidden="false" customHeight="false" outlineLevel="0" collapsed="false">
      <c r="A32" s="17"/>
      <c r="B32" s="18" t="s">
        <v>23</v>
      </c>
      <c r="C32" s="29"/>
      <c r="D32" s="29"/>
      <c r="E32" s="61"/>
      <c r="F32" s="29"/>
      <c r="G32" s="34"/>
      <c r="H32" s="29"/>
      <c r="I32" s="29"/>
      <c r="J32" s="29"/>
      <c r="K32" s="53"/>
      <c r="L32" s="36"/>
      <c r="M32" s="19" t="n">
        <v>-3</v>
      </c>
      <c r="N32" s="37"/>
      <c r="O32" s="30" t="n">
        <f aca="false">N32*J32</f>
        <v>0</v>
      </c>
      <c r="Q32" s="46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</row>
    <row r="33" s="6" customFormat="true" ht="15" hidden="false" customHeight="false" outlineLevel="0" collapsed="false">
      <c r="A33" s="17"/>
      <c r="B33" s="18" t="s">
        <v>23</v>
      </c>
      <c r="C33" s="29"/>
      <c r="D33" s="29"/>
      <c r="E33" s="61"/>
      <c r="F33" s="29"/>
      <c r="G33" s="34"/>
      <c r="H33" s="29"/>
      <c r="I33" s="29"/>
      <c r="J33" s="29"/>
      <c r="K33" s="53"/>
      <c r="L33" s="36"/>
      <c r="M33" s="19" t="n">
        <v>-2</v>
      </c>
      <c r="N33" s="37"/>
      <c r="O33" s="30" t="n">
        <f aca="false">N33*J33</f>
        <v>0</v>
      </c>
      <c r="Q33" s="46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</row>
    <row r="34" s="6" customFormat="true" ht="15" hidden="false" customHeight="false" outlineLevel="0" collapsed="false">
      <c r="A34" s="17"/>
      <c r="B34" s="18" t="s">
        <v>23</v>
      </c>
      <c r="C34" s="29"/>
      <c r="D34" s="29"/>
      <c r="E34" s="61"/>
      <c r="F34" s="29"/>
      <c r="G34" s="34"/>
      <c r="H34" s="29"/>
      <c r="I34" s="29"/>
      <c r="J34" s="29"/>
      <c r="K34" s="53"/>
      <c r="L34" s="36"/>
      <c r="M34" s="19" t="n">
        <v>-1</v>
      </c>
      <c r="N34" s="37"/>
      <c r="O34" s="30" t="n">
        <f aca="false">N34*J34</f>
        <v>0</v>
      </c>
      <c r="Q34" s="46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</row>
    <row r="35" s="6" customFormat="true" ht="15" hidden="false" customHeight="false" outlineLevel="0" collapsed="false">
      <c r="A35" s="17"/>
      <c r="B35" s="18" t="s">
        <v>23</v>
      </c>
      <c r="C35" s="29"/>
      <c r="D35" s="29"/>
      <c r="E35" s="61"/>
      <c r="F35" s="29"/>
      <c r="G35" s="34"/>
      <c r="H35" s="29"/>
      <c r="I35" s="29"/>
      <c r="J35" s="29"/>
      <c r="K35" s="53"/>
      <c r="L35" s="36"/>
      <c r="M35" s="19" t="n">
        <v>0</v>
      </c>
      <c r="N35" s="37"/>
      <c r="O35" s="30" t="n">
        <f aca="false">N35*J35</f>
        <v>0</v>
      </c>
      <c r="Q35" s="46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</row>
    <row r="36" s="6" customFormat="true" ht="15" hidden="false" customHeight="false" outlineLevel="0" collapsed="false">
      <c r="A36" s="33"/>
      <c r="B36" s="18" t="s">
        <v>23</v>
      </c>
      <c r="C36" s="29"/>
      <c r="D36" s="29"/>
      <c r="E36" s="20"/>
      <c r="F36" s="29"/>
      <c r="G36" s="34"/>
      <c r="H36" s="52"/>
      <c r="I36" s="53"/>
      <c r="J36" s="29"/>
      <c r="K36" s="29"/>
      <c r="L36" s="36"/>
      <c r="M36" s="29"/>
      <c r="N36" s="37"/>
      <c r="O36" s="30" t="n">
        <f aca="false">N36*J36</f>
        <v>0</v>
      </c>
      <c r="Q36" s="46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</row>
    <row r="37" s="6" customFormat="true" ht="15" hidden="false" customHeight="false" outlineLevel="0" collapsed="false">
      <c r="A37" s="33"/>
      <c r="B37" s="18" t="s">
        <v>23</v>
      </c>
      <c r="C37" s="29"/>
      <c r="D37" s="29"/>
      <c r="E37" s="20"/>
      <c r="F37" s="29"/>
      <c r="G37" s="34"/>
      <c r="H37" s="52"/>
      <c r="I37" s="53"/>
      <c r="J37" s="29"/>
      <c r="K37" s="29"/>
      <c r="L37" s="36"/>
      <c r="M37" s="29"/>
      <c r="N37" s="37"/>
      <c r="O37" s="30" t="n">
        <f aca="false">N37*J37</f>
        <v>0</v>
      </c>
      <c r="Q37" s="46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</row>
    <row r="38" customFormat="false" ht="15" hidden="false" customHeight="false" outlineLevel="0" collapsed="false">
      <c r="A38" s="33"/>
      <c r="B38" s="18" t="s">
        <v>23</v>
      </c>
      <c r="C38" s="29"/>
      <c r="D38" s="29"/>
      <c r="E38" s="38"/>
      <c r="F38" s="29"/>
      <c r="G38" s="34"/>
      <c r="H38" s="52"/>
      <c r="I38" s="53"/>
      <c r="J38" s="29"/>
      <c r="K38" s="29"/>
      <c r="L38" s="36"/>
      <c r="M38" s="29"/>
      <c r="N38" s="37"/>
      <c r="O38" s="30" t="n">
        <f aca="false">N38*J38</f>
        <v>0</v>
      </c>
      <c r="R38" s="6"/>
    </row>
    <row r="39" customFormat="false" ht="15" hidden="false" customHeight="false" outlineLevel="0" collapsed="false">
      <c r="A39" s="33"/>
      <c r="B39" s="18" t="s">
        <v>23</v>
      </c>
      <c r="C39" s="29"/>
      <c r="D39" s="29"/>
      <c r="E39" s="38"/>
      <c r="F39" s="29"/>
      <c r="G39" s="34"/>
      <c r="H39" s="52"/>
      <c r="I39" s="53"/>
      <c r="J39" s="29"/>
      <c r="K39" s="29"/>
      <c r="L39" s="36"/>
      <c r="M39" s="29"/>
      <c r="N39" s="37"/>
      <c r="O39" s="30" t="n">
        <f aca="false">N39*J39</f>
        <v>0</v>
      </c>
      <c r="R39" s="6"/>
    </row>
    <row r="40" customFormat="false" ht="15" hidden="false" customHeight="false" outlineLevel="0" collapsed="false">
      <c r="A40" s="33"/>
      <c r="B40" s="18" t="s">
        <v>23</v>
      </c>
      <c r="C40" s="29"/>
      <c r="D40" s="29"/>
      <c r="E40" s="38"/>
      <c r="F40" s="29"/>
      <c r="G40" s="34"/>
      <c r="H40" s="52"/>
      <c r="I40" s="53"/>
      <c r="J40" s="29"/>
      <c r="K40" s="53"/>
      <c r="L40" s="36"/>
      <c r="M40" s="29"/>
      <c r="N40" s="37"/>
      <c r="O40" s="30" t="n">
        <f aca="false">N40*J40</f>
        <v>0</v>
      </c>
      <c r="R40" s="6"/>
    </row>
    <row r="41" customFormat="false" ht="15" hidden="false" customHeight="false" outlineLevel="0" collapsed="false">
      <c r="A41" s="33"/>
      <c r="B41" s="18" t="s">
        <v>23</v>
      </c>
      <c r="C41" s="29"/>
      <c r="D41" s="29"/>
      <c r="E41" s="38"/>
      <c r="F41" s="29"/>
      <c r="G41" s="34"/>
      <c r="H41" s="52"/>
      <c r="I41" s="53"/>
      <c r="J41" s="52"/>
      <c r="K41" s="29"/>
      <c r="L41" s="36"/>
      <c r="M41" s="29"/>
      <c r="N41" s="37"/>
      <c r="O41" s="30" t="n">
        <f aca="false">N41*J41</f>
        <v>0</v>
      </c>
      <c r="R41" s="6"/>
    </row>
    <row r="42" customFormat="false" ht="15" hidden="false" customHeight="false" outlineLevel="0" collapsed="false">
      <c r="A42" s="33"/>
      <c r="B42" s="18" t="s">
        <v>23</v>
      </c>
      <c r="C42" s="29"/>
      <c r="D42" s="29"/>
      <c r="E42" s="38"/>
      <c r="F42" s="29"/>
      <c r="G42" s="34"/>
      <c r="H42" s="52"/>
      <c r="I42" s="53"/>
      <c r="J42" s="29"/>
      <c r="K42" s="29"/>
      <c r="L42" s="36"/>
      <c r="M42" s="29"/>
      <c r="N42" s="37"/>
      <c r="O42" s="30" t="n">
        <f aca="false">N42*J42</f>
        <v>0</v>
      </c>
      <c r="R42" s="6"/>
    </row>
    <row r="43" customFormat="false" ht="15" hidden="false" customHeight="false" outlineLevel="0" collapsed="false">
      <c r="A43" s="33"/>
      <c r="B43" s="18" t="s">
        <v>23</v>
      </c>
      <c r="C43" s="29"/>
      <c r="D43" s="29"/>
      <c r="E43" s="38"/>
      <c r="F43" s="29"/>
      <c r="G43" s="34"/>
      <c r="H43" s="52"/>
      <c r="I43" s="53"/>
      <c r="J43" s="29"/>
      <c r="K43" s="29"/>
      <c r="L43" s="36"/>
      <c r="M43" s="29"/>
      <c r="N43" s="37"/>
      <c r="O43" s="30" t="n">
        <f aca="false">N43*J43</f>
        <v>0</v>
      </c>
      <c r="R43" s="6"/>
    </row>
    <row r="44" customFormat="false" ht="15" hidden="false" customHeight="false" outlineLevel="0" collapsed="false">
      <c r="A44" s="33"/>
      <c r="B44" s="18" t="s">
        <v>23</v>
      </c>
      <c r="C44" s="29"/>
      <c r="D44" s="29"/>
      <c r="E44" s="38"/>
      <c r="F44" s="29"/>
      <c r="G44" s="34"/>
      <c r="H44" s="29"/>
      <c r="I44" s="29"/>
      <c r="J44" s="29"/>
      <c r="K44" s="29"/>
      <c r="L44" s="36"/>
      <c r="M44" s="29"/>
      <c r="N44" s="37"/>
      <c r="O44" s="30" t="n">
        <f aca="false">N44*J44</f>
        <v>0</v>
      </c>
      <c r="R44" s="6"/>
    </row>
    <row r="45" customFormat="false" ht="15" hidden="false" customHeight="false" outlineLevel="0" collapsed="false">
      <c r="A45" s="33"/>
      <c r="B45" s="18" t="s">
        <v>23</v>
      </c>
      <c r="C45" s="29"/>
      <c r="D45" s="29"/>
      <c r="E45" s="38"/>
      <c r="F45" s="29"/>
      <c r="G45" s="34"/>
      <c r="H45" s="29"/>
      <c r="I45" s="29"/>
      <c r="J45" s="29"/>
      <c r="K45" s="29"/>
      <c r="L45" s="36"/>
      <c r="M45" s="29"/>
      <c r="N45" s="37"/>
      <c r="O45" s="30" t="n">
        <f aca="false">N45*J45</f>
        <v>0</v>
      </c>
      <c r="R45" s="6"/>
    </row>
    <row r="46" customFormat="false" ht="15" hidden="false" customHeight="false" outlineLevel="0" collapsed="false">
      <c r="A46" s="33"/>
      <c r="B46" s="18" t="s">
        <v>23</v>
      </c>
      <c r="C46" s="29"/>
      <c r="D46" s="29"/>
      <c r="E46" s="38"/>
      <c r="F46" s="29"/>
      <c r="G46" s="34"/>
      <c r="H46" s="29"/>
      <c r="I46" s="29"/>
      <c r="J46" s="29"/>
      <c r="K46" s="29"/>
      <c r="L46" s="36"/>
      <c r="M46" s="29"/>
      <c r="N46" s="37"/>
      <c r="O46" s="30" t="n">
        <f aca="false">N46*J46</f>
        <v>0</v>
      </c>
      <c r="R46" s="6"/>
    </row>
    <row r="47" customFormat="false" ht="15" hidden="false" customHeight="false" outlineLevel="0" collapsed="false">
      <c r="A47" s="33"/>
      <c r="B47" s="18" t="s">
        <v>23</v>
      </c>
      <c r="C47" s="29"/>
      <c r="D47" s="29"/>
      <c r="E47" s="38"/>
      <c r="F47" s="29"/>
      <c r="G47" s="34"/>
      <c r="H47" s="29"/>
      <c r="I47" s="29"/>
      <c r="J47" s="29"/>
      <c r="K47" s="29"/>
      <c r="L47" s="36"/>
      <c r="M47" s="29"/>
      <c r="N47" s="37"/>
      <c r="O47" s="30" t="n">
        <f aca="false">N47*J47</f>
        <v>0</v>
      </c>
      <c r="R47" s="6"/>
    </row>
    <row r="48" customFormat="false" ht="15" hidden="false" customHeight="false" outlineLevel="0" collapsed="false">
      <c r="A48" s="33"/>
      <c r="B48" s="18" t="s">
        <v>23</v>
      </c>
      <c r="C48" s="29"/>
      <c r="D48" s="29"/>
      <c r="E48" s="38"/>
      <c r="F48" s="29"/>
      <c r="G48" s="34"/>
      <c r="H48" s="29"/>
      <c r="I48" s="29"/>
      <c r="J48" s="29"/>
      <c r="K48" s="29"/>
      <c r="L48" s="36"/>
      <c r="M48" s="29"/>
      <c r="N48" s="37"/>
      <c r="O48" s="30" t="n">
        <f aca="false">N48*J48</f>
        <v>0</v>
      </c>
      <c r="R48" s="6"/>
    </row>
    <row r="49" customFormat="false" ht="15" hidden="false" customHeight="false" outlineLevel="0" collapsed="false">
      <c r="A49" s="33"/>
      <c r="B49" s="18" t="s">
        <v>23</v>
      </c>
      <c r="C49" s="29"/>
      <c r="D49" s="29"/>
      <c r="E49" s="38"/>
      <c r="F49" s="29"/>
      <c r="G49" s="34"/>
      <c r="H49" s="29"/>
      <c r="I49" s="29"/>
      <c r="J49" s="29"/>
      <c r="K49" s="29"/>
      <c r="L49" s="36"/>
      <c r="M49" s="29"/>
      <c r="N49" s="37"/>
      <c r="O49" s="30" t="n">
        <f aca="false">N49*J49</f>
        <v>0</v>
      </c>
      <c r="R49" s="6"/>
    </row>
    <row r="50" customFormat="false" ht="15" hidden="false" customHeight="false" outlineLevel="0" collapsed="false">
      <c r="A50" s="33"/>
      <c r="B50" s="18" t="s">
        <v>23</v>
      </c>
      <c r="C50" s="29"/>
      <c r="D50" s="29"/>
      <c r="E50" s="38"/>
      <c r="F50" s="29"/>
      <c r="G50" s="34"/>
      <c r="H50" s="29"/>
      <c r="I50" s="29"/>
      <c r="J50" s="29"/>
      <c r="K50" s="29"/>
      <c r="L50" s="36"/>
      <c r="M50" s="29"/>
      <c r="N50" s="37"/>
      <c r="O50" s="30" t="n">
        <f aca="false">N50*J50</f>
        <v>0</v>
      </c>
      <c r="R50" s="6"/>
    </row>
    <row r="51" customFormat="false" ht="15" hidden="false" customHeight="false" outlineLevel="0" collapsed="false">
      <c r="A51" s="33"/>
      <c r="B51" s="18" t="s">
        <v>23</v>
      </c>
      <c r="C51" s="29"/>
      <c r="D51" s="29"/>
      <c r="E51" s="38"/>
      <c r="F51" s="29"/>
      <c r="G51" s="34"/>
      <c r="H51" s="29"/>
      <c r="I51" s="29"/>
      <c r="J51" s="29"/>
      <c r="K51" s="29"/>
      <c r="L51" s="36"/>
      <c r="M51" s="29"/>
      <c r="N51" s="37"/>
      <c r="O51" s="30" t="n">
        <f aca="false">N51*J51</f>
        <v>0</v>
      </c>
      <c r="R51" s="6"/>
    </row>
    <row r="52" customFormat="false" ht="15" hidden="false" customHeight="false" outlineLevel="0" collapsed="false">
      <c r="A52" s="33"/>
      <c r="B52" s="18" t="s">
        <v>23</v>
      </c>
      <c r="C52" s="29"/>
      <c r="D52" s="29"/>
      <c r="E52" s="38"/>
      <c r="F52" s="29"/>
      <c r="G52" s="34"/>
      <c r="H52" s="29"/>
      <c r="I52" s="29"/>
      <c r="J52" s="29"/>
      <c r="K52" s="29"/>
      <c r="L52" s="36"/>
      <c r="M52" s="29"/>
      <c r="N52" s="37"/>
      <c r="O52" s="30" t="n">
        <f aca="false">N52*J52</f>
        <v>0</v>
      </c>
      <c r="R52" s="6"/>
    </row>
    <row r="53" customFormat="false" ht="15" hidden="false" customHeight="false" outlineLevel="0" collapsed="false">
      <c r="A53" s="33"/>
      <c r="B53" s="18" t="s">
        <v>23</v>
      </c>
      <c r="C53" s="29"/>
      <c r="D53" s="29"/>
      <c r="E53" s="38"/>
      <c r="F53" s="29"/>
      <c r="G53" s="34"/>
      <c r="H53" s="29"/>
      <c r="I53" s="29"/>
      <c r="J53" s="29"/>
      <c r="K53" s="29"/>
      <c r="L53" s="36"/>
      <c r="M53" s="29"/>
      <c r="N53" s="37"/>
      <c r="O53" s="30" t="n">
        <f aca="false">N53*J53</f>
        <v>0</v>
      </c>
      <c r="R53" s="6"/>
    </row>
    <row r="54" customFormat="false" ht="15" hidden="false" customHeight="false" outlineLevel="0" collapsed="false">
      <c r="A54" s="33"/>
      <c r="B54" s="18" t="s">
        <v>23</v>
      </c>
      <c r="C54" s="29"/>
      <c r="D54" s="29"/>
      <c r="E54" s="38"/>
      <c r="F54" s="29"/>
      <c r="G54" s="34"/>
      <c r="H54" s="29"/>
      <c r="I54" s="29"/>
      <c r="J54" s="29"/>
      <c r="K54" s="29"/>
      <c r="L54" s="36"/>
      <c r="M54" s="29"/>
      <c r="N54" s="37"/>
      <c r="O54" s="30" t="n">
        <f aca="false">N54*J54</f>
        <v>0</v>
      </c>
      <c r="R54" s="6"/>
    </row>
    <row r="55" customFormat="false" ht="15" hidden="false" customHeight="false" outlineLevel="0" collapsed="false">
      <c r="A55" s="33"/>
      <c r="B55" s="18" t="s">
        <v>23</v>
      </c>
      <c r="C55" s="29"/>
      <c r="D55" s="29"/>
      <c r="E55" s="38"/>
      <c r="F55" s="29"/>
      <c r="G55" s="34"/>
      <c r="H55" s="29"/>
      <c r="I55" s="29"/>
      <c r="J55" s="29"/>
      <c r="K55" s="29"/>
      <c r="L55" s="36"/>
      <c r="M55" s="29"/>
      <c r="N55" s="37"/>
      <c r="O55" s="30" t="n">
        <f aca="false">N55*J55</f>
        <v>0</v>
      </c>
      <c r="R55" s="6"/>
    </row>
    <row r="56" customFormat="false" ht="15" hidden="false" customHeight="false" outlineLevel="0" collapsed="false">
      <c r="A56" s="33"/>
      <c r="B56" s="18" t="s">
        <v>23</v>
      </c>
      <c r="C56" s="29"/>
      <c r="D56" s="29"/>
      <c r="E56" s="38"/>
      <c r="F56" s="29"/>
      <c r="G56" s="34"/>
      <c r="H56" s="29"/>
      <c r="I56" s="29"/>
      <c r="J56" s="29"/>
      <c r="K56" s="29"/>
      <c r="L56" s="36"/>
      <c r="M56" s="29"/>
      <c r="N56" s="37"/>
      <c r="O56" s="30" t="n">
        <f aca="false">N56*J56</f>
        <v>0</v>
      </c>
      <c r="R56" s="6"/>
    </row>
    <row r="57" customFormat="false" ht="15" hidden="false" customHeight="false" outlineLevel="0" collapsed="false">
      <c r="A57" s="33"/>
      <c r="B57" s="18" t="s">
        <v>23</v>
      </c>
      <c r="C57" s="29"/>
      <c r="D57" s="29"/>
      <c r="E57" s="38"/>
      <c r="F57" s="29"/>
      <c r="G57" s="34"/>
      <c r="H57" s="29"/>
      <c r="I57" s="29"/>
      <c r="J57" s="29"/>
      <c r="K57" s="29"/>
      <c r="L57" s="36"/>
      <c r="M57" s="29"/>
      <c r="N57" s="37"/>
      <c r="O57" s="30" t="n">
        <f aca="false">N57*J57</f>
        <v>0</v>
      </c>
      <c r="R57" s="6"/>
    </row>
    <row r="58" customFormat="false" ht="15" hidden="false" customHeight="false" outlineLevel="0" collapsed="false">
      <c r="A58" s="33"/>
      <c r="B58" s="18" t="s">
        <v>23</v>
      </c>
      <c r="C58" s="29"/>
      <c r="D58" s="29"/>
      <c r="E58" s="38"/>
      <c r="F58" s="29"/>
      <c r="G58" s="34"/>
      <c r="H58" s="29"/>
      <c r="I58" s="29"/>
      <c r="J58" s="29"/>
      <c r="K58" s="29"/>
      <c r="L58" s="36"/>
      <c r="M58" s="29"/>
      <c r="N58" s="37"/>
      <c r="O58" s="30" t="n">
        <f aca="false">N58*J58</f>
        <v>0</v>
      </c>
      <c r="R58" s="6"/>
    </row>
    <row r="59" customFormat="false" ht="15" hidden="false" customHeight="false" outlineLevel="0" collapsed="false">
      <c r="A59" s="33"/>
      <c r="B59" s="18" t="s">
        <v>23</v>
      </c>
      <c r="C59" s="29"/>
      <c r="D59" s="29"/>
      <c r="E59" s="38"/>
      <c r="F59" s="29"/>
      <c r="G59" s="34"/>
      <c r="H59" s="29"/>
      <c r="I59" s="29"/>
      <c r="J59" s="29"/>
      <c r="K59" s="29"/>
      <c r="L59" s="36"/>
      <c r="M59" s="29"/>
      <c r="N59" s="37"/>
      <c r="O59" s="30" t="n">
        <f aca="false">N59*J59</f>
        <v>0</v>
      </c>
      <c r="R59" s="6"/>
    </row>
    <row r="60" customFormat="false" ht="15" hidden="false" customHeight="false" outlineLevel="0" collapsed="false">
      <c r="A60" s="33"/>
      <c r="B60" s="18" t="s">
        <v>23</v>
      </c>
      <c r="C60" s="29"/>
      <c r="D60" s="29"/>
      <c r="E60" s="38"/>
      <c r="F60" s="29"/>
      <c r="G60" s="34"/>
      <c r="H60" s="29"/>
      <c r="I60" s="29"/>
      <c r="J60" s="29"/>
      <c r="K60" s="53"/>
      <c r="L60" s="36"/>
      <c r="M60" s="29"/>
      <c r="N60" s="37"/>
      <c r="O60" s="30" t="n">
        <f aca="false">N60*J60</f>
        <v>0</v>
      </c>
      <c r="R60" s="6"/>
    </row>
    <row r="61" customFormat="false" ht="15" hidden="false" customHeight="false" outlineLevel="0" collapsed="false">
      <c r="A61" s="33"/>
      <c r="B61" s="18" t="s">
        <v>23</v>
      </c>
      <c r="C61" s="29"/>
      <c r="D61" s="29"/>
      <c r="E61" s="38"/>
      <c r="F61" s="29"/>
      <c r="G61" s="34"/>
      <c r="H61" s="29"/>
      <c r="I61" s="29"/>
      <c r="J61" s="29"/>
      <c r="K61" s="29"/>
      <c r="L61" s="36"/>
      <c r="M61" s="29"/>
      <c r="N61" s="37"/>
      <c r="O61" s="30" t="n">
        <f aca="false">N61*J61</f>
        <v>0</v>
      </c>
      <c r="R61" s="6"/>
    </row>
    <row r="62" customFormat="false" ht="15" hidden="false" customHeight="false" outlineLevel="0" collapsed="false">
      <c r="A62" s="33"/>
      <c r="B62" s="18" t="s">
        <v>23</v>
      </c>
      <c r="C62" s="29"/>
      <c r="D62" s="29"/>
      <c r="E62" s="38"/>
      <c r="F62" s="29"/>
      <c r="G62" s="34"/>
      <c r="H62" s="29"/>
      <c r="I62" s="29"/>
      <c r="J62" s="29"/>
      <c r="K62" s="29"/>
      <c r="L62" s="36"/>
      <c r="M62" s="29"/>
      <c r="N62" s="37"/>
      <c r="O62" s="30" t="n">
        <f aca="false">N62*J62</f>
        <v>0</v>
      </c>
      <c r="R62" s="6"/>
    </row>
    <row r="63" customFormat="false" ht="15" hidden="false" customHeight="false" outlineLevel="0" collapsed="false">
      <c r="A63" s="33"/>
      <c r="B63" s="18" t="s">
        <v>23</v>
      </c>
      <c r="C63" s="29"/>
      <c r="D63" s="29"/>
      <c r="E63" s="38"/>
      <c r="F63" s="29"/>
      <c r="G63" s="34"/>
      <c r="H63" s="29"/>
      <c r="I63" s="29"/>
      <c r="J63" s="29"/>
      <c r="K63" s="29"/>
      <c r="L63" s="36"/>
      <c r="M63" s="29"/>
      <c r="N63" s="37"/>
      <c r="O63" s="30" t="n">
        <f aca="false">N63*J63</f>
        <v>0</v>
      </c>
      <c r="R63" s="6"/>
    </row>
    <row r="64" customFormat="false" ht="15" hidden="false" customHeight="false" outlineLevel="0" collapsed="false">
      <c r="A64" s="33"/>
      <c r="B64" s="18" t="s">
        <v>23</v>
      </c>
      <c r="C64" s="29"/>
      <c r="D64" s="29"/>
      <c r="E64" s="38"/>
      <c r="F64" s="29"/>
      <c r="G64" s="34"/>
      <c r="H64" s="29"/>
      <c r="I64" s="29"/>
      <c r="J64" s="29"/>
      <c r="K64" s="29"/>
      <c r="L64" s="36"/>
      <c r="M64" s="29"/>
      <c r="N64" s="37"/>
      <c r="O64" s="30" t="n">
        <f aca="false">N64*J64</f>
        <v>0</v>
      </c>
      <c r="R64" s="6"/>
    </row>
    <row r="65" customFormat="false" ht="15" hidden="false" customHeight="false" outlineLevel="0" collapsed="false">
      <c r="A65" s="33"/>
      <c r="B65" s="18" t="s">
        <v>23</v>
      </c>
      <c r="C65" s="29"/>
      <c r="D65" s="29"/>
      <c r="E65" s="38"/>
      <c r="F65" s="29"/>
      <c r="G65" s="34"/>
      <c r="H65" s="29"/>
      <c r="I65" s="29"/>
      <c r="J65" s="29"/>
      <c r="K65" s="29"/>
      <c r="L65" s="56"/>
      <c r="M65" s="29"/>
      <c r="N65" s="37"/>
      <c r="O65" s="30" t="n">
        <f aca="false">N65*J65</f>
        <v>0</v>
      </c>
      <c r="R65" s="6"/>
    </row>
    <row r="66" customFormat="false" ht="15" hidden="false" customHeight="false" outlineLevel="0" collapsed="false">
      <c r="A66" s="33"/>
      <c r="B66" s="18" t="s">
        <v>23</v>
      </c>
      <c r="C66" s="29"/>
      <c r="D66" s="29"/>
      <c r="E66" s="38"/>
      <c r="F66" s="29"/>
      <c r="G66" s="34"/>
      <c r="H66" s="29"/>
      <c r="I66" s="29"/>
      <c r="J66" s="29"/>
      <c r="K66" s="29"/>
      <c r="L66" s="36"/>
      <c r="M66" s="29"/>
      <c r="N66" s="37"/>
      <c r="O66" s="30" t="n">
        <f aca="false">N66*J66</f>
        <v>0</v>
      </c>
      <c r="R66" s="6"/>
    </row>
    <row r="67" customFormat="false" ht="15" hidden="false" customHeight="false" outlineLevel="0" collapsed="false">
      <c r="A67" s="33"/>
      <c r="B67" s="18" t="s">
        <v>23</v>
      </c>
      <c r="C67" s="29"/>
      <c r="D67" s="29"/>
      <c r="E67" s="38"/>
      <c r="F67" s="29"/>
      <c r="G67" s="34"/>
      <c r="H67" s="29"/>
      <c r="I67" s="29"/>
      <c r="J67" s="29"/>
      <c r="K67" s="29"/>
      <c r="L67" s="36"/>
      <c r="M67" s="29"/>
      <c r="N67" s="37"/>
      <c r="O67" s="30" t="n">
        <f aca="false">N67*J67</f>
        <v>0</v>
      </c>
      <c r="R67" s="6"/>
    </row>
    <row r="68" customFormat="false" ht="15" hidden="false" customHeight="false" outlineLevel="0" collapsed="false">
      <c r="A68" s="33"/>
      <c r="B68" s="18" t="s">
        <v>23</v>
      </c>
      <c r="C68" s="29"/>
      <c r="D68" s="29"/>
      <c r="E68" s="38"/>
      <c r="F68" s="29"/>
      <c r="G68" s="34"/>
      <c r="H68" s="29"/>
      <c r="I68" s="29"/>
      <c r="J68" s="29"/>
      <c r="K68" s="29"/>
      <c r="L68" s="36"/>
      <c r="M68" s="29"/>
      <c r="N68" s="37"/>
      <c r="O68" s="30" t="n">
        <f aca="false">N68*J68</f>
        <v>0</v>
      </c>
      <c r="R68" s="6"/>
    </row>
    <row r="69" customFormat="false" ht="15" hidden="false" customHeight="false" outlineLevel="0" collapsed="false">
      <c r="A69" s="33"/>
      <c r="B69" s="18" t="s">
        <v>23</v>
      </c>
      <c r="C69" s="29"/>
      <c r="D69" s="29"/>
      <c r="E69" s="38"/>
      <c r="F69" s="29"/>
      <c r="G69" s="34"/>
      <c r="H69" s="29"/>
      <c r="I69" s="29"/>
      <c r="J69" s="29"/>
      <c r="K69" s="29"/>
      <c r="L69" s="36"/>
      <c r="M69" s="29"/>
      <c r="N69" s="37"/>
      <c r="O69" s="30" t="n">
        <f aca="false">N69*J69</f>
        <v>0</v>
      </c>
      <c r="R69" s="6"/>
    </row>
    <row r="70" customFormat="false" ht="15" hidden="false" customHeight="false" outlineLevel="0" collapsed="false">
      <c r="A70" s="33"/>
      <c r="B70" s="18" t="s">
        <v>23</v>
      </c>
      <c r="C70" s="29"/>
      <c r="D70" s="29"/>
      <c r="E70" s="38"/>
      <c r="F70" s="29"/>
      <c r="G70" s="34"/>
      <c r="H70" s="29"/>
      <c r="I70" s="29"/>
      <c r="J70" s="29"/>
      <c r="K70" s="29"/>
      <c r="L70" s="36"/>
      <c r="M70" s="29"/>
      <c r="N70" s="37"/>
      <c r="O70" s="30" t="n">
        <f aca="false">N70*J70</f>
        <v>0</v>
      </c>
      <c r="R70" s="6"/>
    </row>
    <row r="71" customFormat="false" ht="15" hidden="false" customHeight="false" outlineLevel="0" collapsed="false">
      <c r="A71" s="33"/>
      <c r="B71" s="18" t="s">
        <v>23</v>
      </c>
      <c r="C71" s="29"/>
      <c r="D71" s="29"/>
      <c r="E71" s="38"/>
      <c r="F71" s="29"/>
      <c r="G71" s="34"/>
      <c r="H71" s="29"/>
      <c r="I71" s="29"/>
      <c r="J71" s="29"/>
      <c r="K71" s="29"/>
      <c r="L71" s="36"/>
      <c r="M71" s="29"/>
      <c r="N71" s="37"/>
      <c r="O71" s="30" t="n">
        <f aca="false">N71*J71</f>
        <v>0</v>
      </c>
      <c r="R71" s="6"/>
    </row>
    <row r="72" customFormat="false" ht="15" hidden="false" customHeight="false" outlineLevel="0" collapsed="false">
      <c r="A72" s="33"/>
      <c r="B72" s="18" t="s">
        <v>23</v>
      </c>
      <c r="C72" s="29"/>
      <c r="D72" s="29"/>
      <c r="E72" s="38"/>
      <c r="F72" s="29"/>
      <c r="G72" s="34"/>
      <c r="H72" s="29"/>
      <c r="I72" s="29"/>
      <c r="J72" s="29"/>
      <c r="K72" s="29"/>
      <c r="L72" s="36"/>
      <c r="M72" s="29"/>
      <c r="N72" s="37"/>
      <c r="O72" s="30" t="n">
        <f aca="false">N72*J72</f>
        <v>0</v>
      </c>
      <c r="R72" s="6"/>
    </row>
    <row r="73" customFormat="false" ht="15" hidden="false" customHeight="false" outlineLevel="0" collapsed="false">
      <c r="A73" s="33"/>
      <c r="B73" s="18" t="s">
        <v>23</v>
      </c>
      <c r="C73" s="29"/>
      <c r="D73" s="29"/>
      <c r="E73" s="38"/>
      <c r="F73" s="29"/>
      <c r="G73" s="34"/>
      <c r="H73" s="29"/>
      <c r="I73" s="29"/>
      <c r="J73" s="29"/>
      <c r="K73" s="29"/>
      <c r="L73" s="36"/>
      <c r="M73" s="29"/>
      <c r="N73" s="37"/>
      <c r="O73" s="30" t="n">
        <f aca="false">N73*J73</f>
        <v>0</v>
      </c>
      <c r="R73" s="6"/>
    </row>
    <row r="74" customFormat="false" ht="15" hidden="false" customHeight="false" outlineLevel="0" collapsed="false">
      <c r="A74" s="33"/>
      <c r="B74" s="18" t="s">
        <v>23</v>
      </c>
      <c r="C74" s="29"/>
      <c r="D74" s="29"/>
      <c r="E74" s="29"/>
      <c r="F74" s="29"/>
      <c r="G74" s="34"/>
      <c r="H74" s="29"/>
      <c r="I74" s="29"/>
      <c r="J74" s="29"/>
      <c r="K74" s="29"/>
      <c r="L74" s="36"/>
      <c r="M74" s="29"/>
      <c r="N74" s="37"/>
      <c r="O74" s="30" t="n">
        <f aca="false">N74*J74</f>
        <v>0</v>
      </c>
      <c r="R74" s="6"/>
    </row>
    <row r="75" customFormat="false" ht="15" hidden="false" customHeight="false" outlineLevel="0" collapsed="false">
      <c r="A75" s="33"/>
      <c r="B75" s="18" t="s">
        <v>23</v>
      </c>
      <c r="C75" s="29"/>
      <c r="D75" s="29"/>
      <c r="E75" s="29"/>
      <c r="F75" s="29"/>
      <c r="G75" s="34"/>
      <c r="H75" s="29"/>
      <c r="I75" s="29"/>
      <c r="J75" s="29"/>
      <c r="K75" s="29"/>
      <c r="L75" s="36"/>
      <c r="M75" s="29"/>
      <c r="N75" s="37"/>
      <c r="O75" s="30" t="n">
        <f aca="false">N75*J75</f>
        <v>0</v>
      </c>
      <c r="R75" s="6"/>
    </row>
    <row r="76" customFormat="false" ht="15" hidden="false" customHeight="false" outlineLevel="0" collapsed="false">
      <c r="A76" s="33"/>
      <c r="B76" s="18" t="s">
        <v>23</v>
      </c>
      <c r="C76" s="29"/>
      <c r="D76" s="29"/>
      <c r="E76" s="29"/>
      <c r="F76" s="29"/>
      <c r="G76" s="34"/>
      <c r="H76" s="29"/>
      <c r="I76" s="29"/>
      <c r="J76" s="29"/>
      <c r="K76" s="29"/>
      <c r="L76" s="36"/>
      <c r="M76" s="29"/>
      <c r="N76" s="37"/>
      <c r="O76" s="30" t="n">
        <f aca="false">N76*J76</f>
        <v>0</v>
      </c>
      <c r="R76" s="6"/>
    </row>
    <row r="77" customFormat="false" ht="15" hidden="false" customHeight="false" outlineLevel="0" collapsed="false">
      <c r="A77" s="33"/>
      <c r="B77" s="18" t="s">
        <v>23</v>
      </c>
      <c r="C77" s="29"/>
      <c r="D77" s="29"/>
      <c r="E77" s="29"/>
      <c r="F77" s="29"/>
      <c r="G77" s="34"/>
      <c r="H77" s="29"/>
      <c r="I77" s="29"/>
      <c r="J77" s="29"/>
      <c r="K77" s="29"/>
      <c r="L77" s="36"/>
      <c r="M77" s="29"/>
      <c r="N77" s="37"/>
      <c r="O77" s="30" t="n">
        <f aca="false">N77*J77</f>
        <v>0</v>
      </c>
      <c r="R77" s="6"/>
    </row>
    <row r="78" customFormat="false" ht="15" hidden="false" customHeight="false" outlineLevel="0" collapsed="false">
      <c r="A78" s="33"/>
      <c r="B78" s="18" t="s">
        <v>23</v>
      </c>
      <c r="C78" s="29"/>
      <c r="D78" s="29"/>
      <c r="E78" s="29"/>
      <c r="F78" s="29"/>
      <c r="G78" s="34"/>
      <c r="H78" s="29"/>
      <c r="I78" s="29"/>
      <c r="J78" s="29"/>
      <c r="K78" s="29"/>
      <c r="L78" s="36"/>
      <c r="M78" s="29"/>
      <c r="N78" s="37"/>
      <c r="O78" s="30" t="n">
        <f aca="false">N78*J78</f>
        <v>0</v>
      </c>
      <c r="R78" s="6"/>
    </row>
    <row r="79" customFormat="false" ht="15" hidden="false" customHeight="false" outlineLevel="0" collapsed="false">
      <c r="A79" s="33"/>
      <c r="B79" s="18" t="s">
        <v>23</v>
      </c>
      <c r="C79" s="29"/>
      <c r="D79" s="29"/>
      <c r="E79" s="29"/>
      <c r="F79" s="29"/>
      <c r="G79" s="34"/>
      <c r="H79" s="29"/>
      <c r="I79" s="29"/>
      <c r="J79" s="29"/>
      <c r="K79" s="29"/>
      <c r="L79" s="36"/>
      <c r="M79" s="29"/>
      <c r="N79" s="37"/>
      <c r="O79" s="30" t="n">
        <f aca="false">N79*J79</f>
        <v>0</v>
      </c>
      <c r="R79" s="6"/>
    </row>
    <row r="80" customFormat="false" ht="15" hidden="false" customHeight="false" outlineLevel="0" collapsed="false">
      <c r="A80" s="33"/>
      <c r="B80" s="18" t="s">
        <v>23</v>
      </c>
      <c r="C80" s="29"/>
      <c r="D80" s="29"/>
      <c r="E80" s="29"/>
      <c r="F80" s="29"/>
      <c r="G80" s="34"/>
      <c r="H80" s="29"/>
      <c r="I80" s="29"/>
      <c r="J80" s="29"/>
      <c r="K80" s="29"/>
      <c r="L80" s="36"/>
      <c r="M80" s="29"/>
      <c r="N80" s="37"/>
      <c r="O80" s="30" t="n">
        <f aca="false">N80*J80</f>
        <v>0</v>
      </c>
      <c r="R80" s="6"/>
    </row>
    <row r="81" customFormat="false" ht="15" hidden="false" customHeight="false" outlineLevel="0" collapsed="false">
      <c r="A81" s="33"/>
      <c r="B81" s="18" t="s">
        <v>23</v>
      </c>
      <c r="C81" s="29"/>
      <c r="D81" s="29"/>
      <c r="E81" s="29"/>
      <c r="F81" s="29"/>
      <c r="G81" s="34"/>
      <c r="H81" s="29"/>
      <c r="I81" s="29"/>
      <c r="J81" s="29"/>
      <c r="K81" s="29"/>
      <c r="L81" s="36"/>
      <c r="M81" s="29"/>
      <c r="N81" s="37"/>
      <c r="O81" s="30" t="n">
        <f aca="false">N81*J81</f>
        <v>0</v>
      </c>
      <c r="R81" s="6"/>
    </row>
    <row r="82" customFormat="false" ht="15" hidden="false" customHeight="false" outlineLevel="0" collapsed="false">
      <c r="A82" s="33"/>
      <c r="B82" s="18" t="s">
        <v>23</v>
      </c>
      <c r="C82" s="29"/>
      <c r="D82" s="29"/>
      <c r="E82" s="29"/>
      <c r="F82" s="29"/>
      <c r="G82" s="34"/>
      <c r="H82" s="29"/>
      <c r="I82" s="29"/>
      <c r="J82" s="29"/>
      <c r="K82" s="29"/>
      <c r="L82" s="36"/>
      <c r="M82" s="29"/>
      <c r="N82" s="37"/>
      <c r="O82" s="30" t="n">
        <f aca="false">N82*J82</f>
        <v>0</v>
      </c>
      <c r="R82" s="6"/>
    </row>
    <row r="83" customFormat="false" ht="15" hidden="false" customHeight="false" outlineLevel="0" collapsed="false">
      <c r="A83" s="33"/>
      <c r="B83" s="18" t="s">
        <v>23</v>
      </c>
      <c r="C83" s="29"/>
      <c r="D83" s="29"/>
      <c r="E83" s="29"/>
      <c r="F83" s="29"/>
      <c r="G83" s="34"/>
      <c r="H83" s="29"/>
      <c r="I83" s="29"/>
      <c r="J83" s="29"/>
      <c r="K83" s="29"/>
      <c r="L83" s="36"/>
      <c r="M83" s="29"/>
      <c r="N83" s="37"/>
      <c r="O83" s="30" t="n">
        <f aca="false">N83*J83</f>
        <v>0</v>
      </c>
      <c r="R83" s="6"/>
    </row>
    <row r="84" customFormat="false" ht="15" hidden="false" customHeight="false" outlineLevel="0" collapsed="false">
      <c r="A84" s="33"/>
      <c r="B84" s="18" t="s">
        <v>23</v>
      </c>
      <c r="C84" s="29"/>
      <c r="D84" s="29"/>
      <c r="E84" s="29"/>
      <c r="F84" s="29"/>
      <c r="G84" s="34"/>
      <c r="H84" s="29"/>
      <c r="I84" s="29"/>
      <c r="J84" s="29"/>
      <c r="K84" s="29"/>
      <c r="L84" s="36"/>
      <c r="M84" s="29"/>
      <c r="N84" s="37"/>
      <c r="O84" s="30" t="n">
        <f aca="false">N84*J84</f>
        <v>0</v>
      </c>
      <c r="R84" s="6"/>
    </row>
    <row r="85" customFormat="false" ht="15" hidden="false" customHeight="false" outlineLevel="0" collapsed="false">
      <c r="A85" s="33"/>
      <c r="B85" s="18" t="s">
        <v>23</v>
      </c>
      <c r="C85" s="29"/>
      <c r="D85" s="29"/>
      <c r="E85" s="29"/>
      <c r="F85" s="29"/>
      <c r="G85" s="34"/>
      <c r="H85" s="29"/>
      <c r="I85" s="29"/>
      <c r="J85" s="29"/>
      <c r="K85" s="29"/>
      <c r="L85" s="36"/>
      <c r="M85" s="29"/>
      <c r="N85" s="37"/>
      <c r="O85" s="30" t="n">
        <f aca="false">N85*J85</f>
        <v>0</v>
      </c>
      <c r="R85" s="6"/>
    </row>
    <row r="86" customFormat="false" ht="15" hidden="false" customHeight="false" outlineLevel="0" collapsed="false">
      <c r="A86" s="33"/>
      <c r="B86" s="18" t="s">
        <v>23</v>
      </c>
      <c r="C86" s="29"/>
      <c r="D86" s="29"/>
      <c r="E86" s="29"/>
      <c r="F86" s="29"/>
      <c r="G86" s="34"/>
      <c r="H86" s="29"/>
      <c r="I86" s="29"/>
      <c r="J86" s="29"/>
      <c r="K86" s="29"/>
      <c r="L86" s="36"/>
      <c r="M86" s="29"/>
      <c r="N86" s="37"/>
      <c r="O86" s="30" t="n">
        <f aca="false">N86*J86</f>
        <v>0</v>
      </c>
      <c r="R86" s="6"/>
    </row>
    <row r="87" customFormat="false" ht="15" hidden="false" customHeight="false" outlineLevel="0" collapsed="false">
      <c r="A87" s="33"/>
      <c r="B87" s="18" t="s">
        <v>23</v>
      </c>
      <c r="C87" s="29"/>
      <c r="D87" s="29"/>
      <c r="E87" s="29"/>
      <c r="F87" s="29"/>
      <c r="G87" s="34"/>
      <c r="H87" s="29"/>
      <c r="I87" s="29"/>
      <c r="J87" s="29"/>
      <c r="K87" s="29"/>
      <c r="L87" s="36"/>
      <c r="M87" s="29"/>
      <c r="N87" s="37"/>
      <c r="O87" s="30" t="n">
        <f aca="false">N87*J87</f>
        <v>0</v>
      </c>
      <c r="R87" s="6"/>
    </row>
    <row r="88" customFormat="false" ht="15" hidden="false" customHeight="false" outlineLevel="0" collapsed="false">
      <c r="A88" s="33"/>
      <c r="B88" s="18" t="s">
        <v>23</v>
      </c>
      <c r="C88" s="29"/>
      <c r="D88" s="29"/>
      <c r="E88" s="29"/>
      <c r="F88" s="29"/>
      <c r="G88" s="34"/>
      <c r="H88" s="29"/>
      <c r="I88" s="29"/>
      <c r="J88" s="29"/>
      <c r="K88" s="29"/>
      <c r="L88" s="36"/>
      <c r="M88" s="29"/>
      <c r="N88" s="37"/>
      <c r="O88" s="30" t="n">
        <f aca="false">N88*J88</f>
        <v>0</v>
      </c>
      <c r="R88" s="6"/>
    </row>
    <row r="89" customFormat="false" ht="15" hidden="false" customHeight="false" outlineLevel="0" collapsed="false">
      <c r="A89" s="33"/>
      <c r="B89" s="18" t="s">
        <v>23</v>
      </c>
      <c r="C89" s="29"/>
      <c r="D89" s="29"/>
      <c r="E89" s="29"/>
      <c r="F89" s="29"/>
      <c r="G89" s="34"/>
      <c r="H89" s="29"/>
      <c r="I89" s="29"/>
      <c r="J89" s="29"/>
      <c r="K89" s="29"/>
      <c r="L89" s="36"/>
      <c r="M89" s="29"/>
      <c r="N89" s="37"/>
      <c r="O89" s="30" t="n">
        <f aca="false">N89*J89</f>
        <v>0</v>
      </c>
      <c r="R89" s="6"/>
    </row>
    <row r="90" customFormat="false" ht="15" hidden="false" customHeight="false" outlineLevel="0" collapsed="false">
      <c r="A90" s="33"/>
      <c r="B90" s="18" t="s">
        <v>23</v>
      </c>
      <c r="C90" s="29"/>
      <c r="D90" s="29"/>
      <c r="E90" s="29"/>
      <c r="F90" s="29"/>
      <c r="G90" s="34"/>
      <c r="H90" s="29"/>
      <c r="I90" s="29"/>
      <c r="J90" s="29"/>
      <c r="K90" s="29"/>
      <c r="L90" s="36"/>
      <c r="M90" s="29"/>
      <c r="N90" s="37"/>
      <c r="O90" s="30" t="n">
        <f aca="false">N90*J90</f>
        <v>0</v>
      </c>
      <c r="R90" s="6"/>
    </row>
    <row r="91" customFormat="false" ht="15" hidden="false" customHeight="false" outlineLevel="0" collapsed="false">
      <c r="A91" s="33"/>
      <c r="B91" s="18" t="s">
        <v>23</v>
      </c>
      <c r="C91" s="29"/>
      <c r="D91" s="29"/>
      <c r="E91" s="29"/>
      <c r="F91" s="29"/>
      <c r="G91" s="34"/>
      <c r="H91" s="29"/>
      <c r="I91" s="29"/>
      <c r="J91" s="29"/>
      <c r="K91" s="29"/>
      <c r="L91" s="36"/>
      <c r="M91" s="29"/>
      <c r="N91" s="37"/>
      <c r="O91" s="30" t="n">
        <f aca="false">N91*J91</f>
        <v>0</v>
      </c>
      <c r="R91" s="6"/>
    </row>
    <row r="92" customFormat="false" ht="15" hidden="false" customHeight="false" outlineLevel="0" collapsed="false">
      <c r="A92" s="33"/>
      <c r="B92" s="18" t="s">
        <v>23</v>
      </c>
      <c r="C92" s="29"/>
      <c r="D92" s="29"/>
      <c r="E92" s="29"/>
      <c r="F92" s="29"/>
      <c r="G92" s="34"/>
      <c r="H92" s="29"/>
      <c r="I92" s="29"/>
      <c r="J92" s="29"/>
      <c r="K92" s="29"/>
      <c r="L92" s="36"/>
      <c r="M92" s="29"/>
      <c r="N92" s="37"/>
      <c r="O92" s="30" t="n">
        <f aca="false">N92*J92</f>
        <v>0</v>
      </c>
      <c r="R92" s="6"/>
    </row>
    <row r="93" customFormat="false" ht="15" hidden="false" customHeight="false" outlineLevel="0" collapsed="false">
      <c r="A93" s="33"/>
      <c r="B93" s="18" t="s">
        <v>23</v>
      </c>
      <c r="C93" s="29"/>
      <c r="D93" s="29"/>
      <c r="E93" s="29"/>
      <c r="F93" s="29"/>
      <c r="G93" s="34"/>
      <c r="H93" s="29"/>
      <c r="I93" s="29"/>
      <c r="J93" s="29"/>
      <c r="K93" s="29"/>
      <c r="L93" s="36"/>
      <c r="M93" s="29"/>
      <c r="N93" s="37"/>
      <c r="O93" s="30" t="n">
        <f aca="false">N93*J93</f>
        <v>0</v>
      </c>
      <c r="R93" s="6"/>
    </row>
    <row r="94" customFormat="false" ht="15" hidden="false" customHeight="false" outlineLevel="0" collapsed="false">
      <c r="A94" s="33"/>
      <c r="B94" s="18" t="s">
        <v>23</v>
      </c>
      <c r="C94" s="29"/>
      <c r="D94" s="29"/>
      <c r="E94" s="29"/>
      <c r="F94" s="29"/>
      <c r="G94" s="34"/>
      <c r="H94" s="29"/>
      <c r="I94" s="29"/>
      <c r="J94" s="29"/>
      <c r="K94" s="29"/>
      <c r="L94" s="36"/>
      <c r="M94" s="29"/>
      <c r="N94" s="37"/>
      <c r="O94" s="30" t="n">
        <f aca="false">N94*J94</f>
        <v>0</v>
      </c>
      <c r="R94" s="6"/>
    </row>
    <row r="95" customFormat="false" ht="15" hidden="false" customHeight="false" outlineLevel="0" collapsed="false">
      <c r="A95" s="33"/>
      <c r="B95" s="18" t="s">
        <v>23</v>
      </c>
      <c r="C95" s="29"/>
      <c r="D95" s="29"/>
      <c r="E95" s="29"/>
      <c r="F95" s="29"/>
      <c r="G95" s="34"/>
      <c r="H95" s="29"/>
      <c r="I95" s="29"/>
      <c r="J95" s="29"/>
      <c r="K95" s="29"/>
      <c r="L95" s="36"/>
      <c r="M95" s="29"/>
      <c r="N95" s="37"/>
      <c r="O95" s="30" t="n">
        <f aca="false">N95*J95</f>
        <v>0</v>
      </c>
      <c r="R95" s="6"/>
    </row>
    <row r="96" customFormat="false" ht="15" hidden="false" customHeight="false" outlineLevel="0" collapsed="false">
      <c r="A96" s="33"/>
      <c r="B96" s="18" t="s">
        <v>23</v>
      </c>
      <c r="C96" s="29"/>
      <c r="D96" s="29"/>
      <c r="E96" s="29"/>
      <c r="F96" s="29"/>
      <c r="G96" s="34"/>
      <c r="H96" s="29"/>
      <c r="I96" s="29"/>
      <c r="J96" s="29"/>
      <c r="K96" s="29"/>
      <c r="L96" s="36"/>
      <c r="M96" s="29"/>
      <c r="N96" s="37"/>
      <c r="O96" s="30" t="n">
        <f aca="false">N96*J96</f>
        <v>0</v>
      </c>
      <c r="R96" s="6"/>
    </row>
    <row r="97" customFormat="false" ht="15" hidden="false" customHeight="false" outlineLevel="0" collapsed="false">
      <c r="A97" s="33"/>
      <c r="B97" s="18" t="s">
        <v>23</v>
      </c>
      <c r="C97" s="29"/>
      <c r="D97" s="29"/>
      <c r="E97" s="29"/>
      <c r="F97" s="29"/>
      <c r="G97" s="34"/>
      <c r="H97" s="29"/>
      <c r="I97" s="29"/>
      <c r="J97" s="29"/>
      <c r="K97" s="29"/>
      <c r="L97" s="36"/>
      <c r="M97" s="29"/>
      <c r="N97" s="37"/>
      <c r="O97" s="30" t="n">
        <f aca="false">N97*J97</f>
        <v>0</v>
      </c>
      <c r="R97" s="6"/>
    </row>
    <row r="98" customFormat="false" ht="15" hidden="false" customHeight="false" outlineLevel="0" collapsed="false">
      <c r="A98" s="33"/>
      <c r="B98" s="18" t="s">
        <v>23</v>
      </c>
      <c r="C98" s="29"/>
      <c r="D98" s="29"/>
      <c r="E98" s="29"/>
      <c r="F98" s="29"/>
      <c r="G98" s="34"/>
      <c r="H98" s="29"/>
      <c r="I98" s="29"/>
      <c r="J98" s="29"/>
      <c r="K98" s="29"/>
      <c r="L98" s="36"/>
      <c r="M98" s="29"/>
      <c r="N98" s="37"/>
      <c r="O98" s="30" t="n">
        <f aca="false">N98*J98</f>
        <v>0</v>
      </c>
      <c r="R98" s="6"/>
    </row>
    <row r="99" customFormat="false" ht="15" hidden="false" customHeight="false" outlineLevel="0" collapsed="false">
      <c r="A99" s="33"/>
      <c r="B99" s="18" t="s">
        <v>23</v>
      </c>
      <c r="C99" s="29"/>
      <c r="D99" s="29"/>
      <c r="E99" s="29"/>
      <c r="F99" s="29"/>
      <c r="G99" s="34"/>
      <c r="H99" s="29"/>
      <c r="I99" s="29"/>
      <c r="J99" s="29"/>
      <c r="K99" s="29"/>
      <c r="L99" s="36"/>
      <c r="M99" s="29"/>
      <c r="N99" s="37"/>
      <c r="O99" s="30" t="n">
        <f aca="false">N99*J99</f>
        <v>0</v>
      </c>
      <c r="R99" s="6"/>
    </row>
    <row r="100" customFormat="false" ht="15" hidden="false" customHeight="false" outlineLevel="0" collapsed="false">
      <c r="A100" s="33"/>
      <c r="B100" s="18" t="s">
        <v>23</v>
      </c>
      <c r="C100" s="29"/>
      <c r="D100" s="29"/>
      <c r="E100" s="29"/>
      <c r="F100" s="29"/>
      <c r="G100" s="34"/>
      <c r="H100" s="29"/>
      <c r="I100" s="29"/>
      <c r="J100" s="29"/>
      <c r="K100" s="29"/>
      <c r="L100" s="36"/>
      <c r="M100" s="29"/>
      <c r="N100" s="37"/>
      <c r="O100" s="30" t="n">
        <f aca="false">N100*J100</f>
        <v>0</v>
      </c>
      <c r="R100" s="6"/>
    </row>
    <row r="101" customFormat="false" ht="15" hidden="false" customHeight="false" outlineLevel="0" collapsed="false">
      <c r="A101" s="33"/>
      <c r="B101" s="18" t="s">
        <v>23</v>
      </c>
      <c r="C101" s="29"/>
      <c r="D101" s="29"/>
      <c r="E101" s="29"/>
      <c r="F101" s="29"/>
      <c r="G101" s="34"/>
      <c r="H101" s="29"/>
      <c r="I101" s="29"/>
      <c r="J101" s="29"/>
      <c r="K101" s="29"/>
      <c r="L101" s="36"/>
      <c r="M101" s="29"/>
      <c r="N101" s="37"/>
      <c r="O101" s="30" t="n">
        <f aca="false">N101*J101</f>
        <v>0</v>
      </c>
      <c r="R101" s="6"/>
    </row>
    <row r="102" customFormat="false" ht="15" hidden="false" customHeight="false" outlineLevel="0" collapsed="false">
      <c r="A102" s="33"/>
      <c r="B102" s="18" t="s">
        <v>23</v>
      </c>
      <c r="C102" s="29"/>
      <c r="D102" s="29"/>
      <c r="E102" s="29"/>
      <c r="F102" s="29"/>
      <c r="G102" s="34"/>
      <c r="H102" s="29"/>
      <c r="I102" s="29"/>
      <c r="J102" s="29"/>
      <c r="K102" s="29"/>
      <c r="L102" s="36"/>
      <c r="M102" s="29"/>
      <c r="N102" s="37"/>
      <c r="O102" s="30" t="n">
        <f aca="false">N102*J102</f>
        <v>0</v>
      </c>
      <c r="R102" s="6"/>
    </row>
    <row r="103" customFormat="false" ht="15" hidden="false" customHeight="false" outlineLevel="0" collapsed="false">
      <c r="A103" s="33"/>
      <c r="B103" s="18" t="s">
        <v>23</v>
      </c>
      <c r="C103" s="29"/>
      <c r="D103" s="29"/>
      <c r="E103" s="29"/>
      <c r="F103" s="29"/>
      <c r="G103" s="34"/>
      <c r="H103" s="29"/>
      <c r="I103" s="29"/>
      <c r="J103" s="29"/>
      <c r="K103" s="29"/>
      <c r="L103" s="36"/>
      <c r="M103" s="29"/>
      <c r="N103" s="37"/>
      <c r="O103" s="30" t="n">
        <f aca="false">N103*J103</f>
        <v>0</v>
      </c>
      <c r="R103" s="6"/>
    </row>
    <row r="104" customFormat="false" ht="15" hidden="false" customHeight="false" outlineLevel="0" collapsed="false">
      <c r="A104" s="33"/>
      <c r="B104" s="18" t="s">
        <v>23</v>
      </c>
      <c r="C104" s="29"/>
      <c r="D104" s="29"/>
      <c r="E104" s="29"/>
      <c r="F104" s="29"/>
      <c r="G104" s="34"/>
      <c r="H104" s="29"/>
      <c r="I104" s="29"/>
      <c r="J104" s="29"/>
      <c r="K104" s="29"/>
      <c r="L104" s="36"/>
      <c r="M104" s="29"/>
      <c r="N104" s="37"/>
      <c r="O104" s="30" t="n">
        <f aca="false">N104*J104</f>
        <v>0</v>
      </c>
      <c r="R104" s="6"/>
    </row>
    <row r="105" customFormat="false" ht="15" hidden="false" customHeight="false" outlineLevel="0" collapsed="false">
      <c r="A105" s="33"/>
      <c r="B105" s="18" t="s">
        <v>23</v>
      </c>
      <c r="C105" s="29"/>
      <c r="D105" s="29"/>
      <c r="E105" s="29"/>
      <c r="F105" s="29"/>
      <c r="G105" s="34"/>
      <c r="H105" s="29"/>
      <c r="I105" s="29"/>
      <c r="J105" s="29"/>
      <c r="K105" s="29"/>
      <c r="L105" s="36"/>
      <c r="M105" s="29"/>
      <c r="N105" s="37"/>
      <c r="O105" s="30" t="n">
        <f aca="false">N105*J105</f>
        <v>0</v>
      </c>
      <c r="R105" s="6"/>
    </row>
    <row r="106" customFormat="false" ht="15" hidden="false" customHeight="false" outlineLevel="0" collapsed="false">
      <c r="A106" s="33"/>
      <c r="B106" s="18" t="s">
        <v>23</v>
      </c>
      <c r="C106" s="29"/>
      <c r="D106" s="29"/>
      <c r="E106" s="29"/>
      <c r="F106" s="29"/>
      <c r="G106" s="34"/>
      <c r="H106" s="29"/>
      <c r="I106" s="29"/>
      <c r="J106" s="29"/>
      <c r="K106" s="29"/>
      <c r="L106" s="36"/>
      <c r="M106" s="29"/>
      <c r="N106" s="37"/>
      <c r="O106" s="30" t="n">
        <f aca="false">N106*J106</f>
        <v>0</v>
      </c>
      <c r="R106" s="6"/>
    </row>
    <row r="107" customFormat="false" ht="15" hidden="false" customHeight="false" outlineLevel="0" collapsed="false">
      <c r="A107" s="33"/>
      <c r="B107" s="18" t="s">
        <v>23</v>
      </c>
      <c r="C107" s="29"/>
      <c r="D107" s="29"/>
      <c r="E107" s="29"/>
      <c r="F107" s="29"/>
      <c r="G107" s="34"/>
      <c r="H107" s="29"/>
      <c r="I107" s="29"/>
      <c r="J107" s="29"/>
      <c r="K107" s="29"/>
      <c r="L107" s="36"/>
      <c r="M107" s="29"/>
      <c r="N107" s="37"/>
      <c r="O107" s="30" t="n">
        <f aca="false">N107*J107</f>
        <v>0</v>
      </c>
      <c r="R107" s="6"/>
    </row>
    <row r="108" customFormat="false" ht="15" hidden="false" customHeight="false" outlineLevel="0" collapsed="false">
      <c r="A108" s="33"/>
      <c r="B108" s="18" t="s">
        <v>23</v>
      </c>
      <c r="C108" s="29"/>
      <c r="D108" s="29"/>
      <c r="E108" s="29"/>
      <c r="F108" s="29"/>
      <c r="G108" s="34"/>
      <c r="H108" s="29"/>
      <c r="I108" s="29"/>
      <c r="J108" s="29"/>
      <c r="K108" s="29"/>
      <c r="L108" s="36"/>
      <c r="M108" s="29"/>
      <c r="N108" s="37"/>
      <c r="O108" s="30" t="n">
        <f aca="false">N108*J108</f>
        <v>0</v>
      </c>
      <c r="R108" s="6"/>
    </row>
    <row r="109" customFormat="false" ht="15" hidden="false" customHeight="false" outlineLevel="0" collapsed="false">
      <c r="A109" s="33"/>
      <c r="B109" s="18" t="s">
        <v>23</v>
      </c>
      <c r="C109" s="29"/>
      <c r="D109" s="29"/>
      <c r="E109" s="29"/>
      <c r="F109" s="29"/>
      <c r="G109" s="34"/>
      <c r="H109" s="29"/>
      <c r="I109" s="29"/>
      <c r="J109" s="29"/>
      <c r="K109" s="29"/>
      <c r="L109" s="36"/>
      <c r="M109" s="29"/>
      <c r="N109" s="37"/>
      <c r="O109" s="30" t="n">
        <f aca="false">N109*J109</f>
        <v>0</v>
      </c>
      <c r="R109" s="6"/>
    </row>
    <row r="110" customFormat="false" ht="15" hidden="false" customHeight="false" outlineLevel="0" collapsed="false">
      <c r="A110" s="33"/>
      <c r="B110" s="18" t="s">
        <v>23</v>
      </c>
      <c r="C110" s="29"/>
      <c r="D110" s="29"/>
      <c r="E110" s="29"/>
      <c r="F110" s="29"/>
      <c r="G110" s="34"/>
      <c r="H110" s="29"/>
      <c r="I110" s="29"/>
      <c r="J110" s="29"/>
      <c r="K110" s="29"/>
      <c r="L110" s="36"/>
      <c r="M110" s="29"/>
      <c r="N110" s="37"/>
      <c r="O110" s="30" t="n">
        <f aca="false">N110*J110</f>
        <v>0</v>
      </c>
      <c r="R110" s="6"/>
    </row>
    <row r="111" customFormat="false" ht="15" hidden="false" customHeight="false" outlineLevel="0" collapsed="false">
      <c r="A111" s="33"/>
      <c r="B111" s="18" t="s">
        <v>23</v>
      </c>
      <c r="C111" s="29"/>
      <c r="D111" s="29"/>
      <c r="E111" s="29"/>
      <c r="F111" s="29"/>
      <c r="G111" s="34"/>
      <c r="H111" s="29"/>
      <c r="I111" s="29"/>
      <c r="J111" s="29"/>
      <c r="K111" s="29"/>
      <c r="L111" s="36"/>
      <c r="M111" s="29"/>
      <c r="N111" s="37"/>
      <c r="O111" s="30" t="n">
        <f aca="false">N111*J111</f>
        <v>0</v>
      </c>
      <c r="R111" s="6"/>
    </row>
    <row r="112" customFormat="false" ht="15" hidden="false" customHeight="false" outlineLevel="0" collapsed="false">
      <c r="A112" s="33"/>
      <c r="B112" s="18" t="s">
        <v>23</v>
      </c>
      <c r="C112" s="29"/>
      <c r="D112" s="29"/>
      <c r="E112" s="29"/>
      <c r="F112" s="29"/>
      <c r="G112" s="34"/>
      <c r="H112" s="29"/>
      <c r="I112" s="29"/>
      <c r="J112" s="29"/>
      <c r="K112" s="29"/>
      <c r="L112" s="36"/>
      <c r="M112" s="29"/>
      <c r="N112" s="37"/>
      <c r="O112" s="30" t="n">
        <f aca="false">N112*J112</f>
        <v>0</v>
      </c>
      <c r="R112" s="6"/>
    </row>
    <row r="113" customFormat="false" ht="15" hidden="false" customHeight="false" outlineLevel="0" collapsed="false">
      <c r="A113" s="33"/>
      <c r="B113" s="18" t="s">
        <v>23</v>
      </c>
      <c r="C113" s="29"/>
      <c r="D113" s="29"/>
      <c r="E113" s="29"/>
      <c r="F113" s="29"/>
      <c r="G113" s="34"/>
      <c r="H113" s="29"/>
      <c r="I113" s="29"/>
      <c r="J113" s="29"/>
      <c r="K113" s="29"/>
      <c r="L113" s="36"/>
      <c r="M113" s="29"/>
      <c r="N113" s="37"/>
      <c r="O113" s="30" t="n">
        <f aca="false">N113*J113</f>
        <v>0</v>
      </c>
      <c r="R113" s="6"/>
    </row>
    <row r="114" customFormat="false" ht="15" hidden="false" customHeight="false" outlineLevel="0" collapsed="false">
      <c r="A114" s="33"/>
      <c r="B114" s="18" t="s">
        <v>23</v>
      </c>
      <c r="C114" s="29"/>
      <c r="D114" s="29"/>
      <c r="E114" s="29"/>
      <c r="F114" s="29"/>
      <c r="G114" s="34"/>
      <c r="H114" s="29"/>
      <c r="I114" s="29"/>
      <c r="J114" s="29"/>
      <c r="K114" s="29"/>
      <c r="L114" s="36"/>
      <c r="M114" s="29"/>
      <c r="N114" s="37"/>
      <c r="O114" s="30" t="n">
        <f aca="false">N114*J114</f>
        <v>0</v>
      </c>
      <c r="R114" s="6"/>
    </row>
    <row r="115" customFormat="false" ht="15" hidden="false" customHeight="false" outlineLevel="0" collapsed="false">
      <c r="A115" s="33"/>
      <c r="B115" s="18" t="s">
        <v>23</v>
      </c>
      <c r="C115" s="29"/>
      <c r="D115" s="29"/>
      <c r="E115" s="29"/>
      <c r="F115" s="29"/>
      <c r="G115" s="34"/>
      <c r="H115" s="29"/>
      <c r="I115" s="29"/>
      <c r="J115" s="29"/>
      <c r="K115" s="29"/>
      <c r="L115" s="36"/>
      <c r="M115" s="29"/>
      <c r="N115" s="37"/>
      <c r="O115" s="30" t="n">
        <f aca="false">N115*J115</f>
        <v>0</v>
      </c>
      <c r="R115" s="6"/>
    </row>
    <row r="116" customFormat="false" ht="15" hidden="false" customHeight="false" outlineLevel="0" collapsed="false">
      <c r="A116" s="33"/>
      <c r="B116" s="18" t="s">
        <v>23</v>
      </c>
      <c r="C116" s="29"/>
      <c r="D116" s="29"/>
      <c r="E116" s="29"/>
      <c r="F116" s="29"/>
      <c r="G116" s="34"/>
      <c r="H116" s="29"/>
      <c r="I116" s="29"/>
      <c r="J116" s="29"/>
      <c r="K116" s="29"/>
      <c r="L116" s="36"/>
      <c r="M116" s="29"/>
      <c r="N116" s="37"/>
      <c r="O116" s="30" t="n">
        <f aca="false">N116*J116</f>
        <v>0</v>
      </c>
      <c r="R116" s="6"/>
    </row>
    <row r="117" customFormat="false" ht="15" hidden="false" customHeight="false" outlineLevel="0" collapsed="false">
      <c r="A117" s="33"/>
      <c r="B117" s="18" t="s">
        <v>23</v>
      </c>
      <c r="C117" s="29"/>
      <c r="D117" s="29"/>
      <c r="E117" s="29"/>
      <c r="F117" s="29"/>
      <c r="G117" s="34"/>
      <c r="H117" s="29"/>
      <c r="I117" s="29"/>
      <c r="J117" s="29"/>
      <c r="K117" s="29"/>
      <c r="L117" s="36"/>
      <c r="M117" s="29"/>
      <c r="N117" s="37"/>
      <c r="O117" s="30" t="n">
        <f aca="false">N117*J117</f>
        <v>0</v>
      </c>
      <c r="R117" s="6"/>
    </row>
    <row r="118" customFormat="false" ht="15" hidden="false" customHeight="false" outlineLevel="0" collapsed="false">
      <c r="A118" s="33"/>
      <c r="B118" s="18" t="s">
        <v>23</v>
      </c>
      <c r="C118" s="29"/>
      <c r="D118" s="29"/>
      <c r="E118" s="29"/>
      <c r="F118" s="29"/>
      <c r="G118" s="34"/>
      <c r="H118" s="29"/>
      <c r="I118" s="29"/>
      <c r="J118" s="29"/>
      <c r="K118" s="29"/>
      <c r="L118" s="36"/>
      <c r="M118" s="29"/>
      <c r="N118" s="37"/>
      <c r="O118" s="30" t="n">
        <f aca="false">N118*J118</f>
        <v>0</v>
      </c>
      <c r="R118" s="6"/>
    </row>
    <row r="119" customFormat="false" ht="15" hidden="false" customHeight="false" outlineLevel="0" collapsed="false">
      <c r="A119" s="33"/>
      <c r="B119" s="18" t="s">
        <v>23</v>
      </c>
      <c r="C119" s="29"/>
      <c r="D119" s="29"/>
      <c r="E119" s="29"/>
      <c r="F119" s="29"/>
      <c r="G119" s="34"/>
      <c r="H119" s="29"/>
      <c r="I119" s="29"/>
      <c r="J119" s="29"/>
      <c r="K119" s="29"/>
      <c r="L119" s="36"/>
      <c r="M119" s="29"/>
      <c r="N119" s="37"/>
      <c r="O119" s="30" t="n">
        <f aca="false">N119*J119</f>
        <v>0</v>
      </c>
      <c r="R119" s="6"/>
    </row>
    <row r="120" customFormat="false" ht="15" hidden="false" customHeight="false" outlineLevel="0" collapsed="false">
      <c r="A120" s="33"/>
      <c r="B120" s="18" t="s">
        <v>23</v>
      </c>
      <c r="C120" s="29"/>
      <c r="D120" s="29"/>
      <c r="E120" s="29"/>
      <c r="F120" s="29"/>
      <c r="G120" s="34"/>
      <c r="H120" s="29"/>
      <c r="I120" s="29"/>
      <c r="J120" s="29"/>
      <c r="K120" s="29"/>
      <c r="L120" s="36"/>
      <c r="M120" s="29"/>
      <c r="N120" s="37"/>
      <c r="O120" s="30" t="n">
        <f aca="false">N120*J120</f>
        <v>0</v>
      </c>
      <c r="R120" s="6"/>
    </row>
    <row r="121" customFormat="false" ht="15" hidden="false" customHeight="false" outlineLevel="0" collapsed="false">
      <c r="A121" s="33"/>
      <c r="B121" s="18" t="s">
        <v>23</v>
      </c>
      <c r="C121" s="29"/>
      <c r="D121" s="29"/>
      <c r="E121" s="29"/>
      <c r="F121" s="29"/>
      <c r="G121" s="34"/>
      <c r="H121" s="29"/>
      <c r="I121" s="29"/>
      <c r="J121" s="29"/>
      <c r="K121" s="29"/>
      <c r="L121" s="36"/>
      <c r="M121" s="29"/>
      <c r="N121" s="37"/>
      <c r="O121" s="30" t="n">
        <f aca="false">N121*J121</f>
        <v>0</v>
      </c>
      <c r="R121" s="6"/>
    </row>
    <row r="122" customFormat="false" ht="15" hidden="false" customHeight="false" outlineLevel="0" collapsed="false">
      <c r="A122" s="33"/>
      <c r="B122" s="18" t="s">
        <v>23</v>
      </c>
      <c r="C122" s="29"/>
      <c r="D122" s="29"/>
      <c r="E122" s="29"/>
      <c r="F122" s="29"/>
      <c r="G122" s="34"/>
      <c r="H122" s="29"/>
      <c r="I122" s="29"/>
      <c r="J122" s="29"/>
      <c r="K122" s="29"/>
      <c r="L122" s="36"/>
      <c r="M122" s="29"/>
      <c r="N122" s="37"/>
      <c r="O122" s="30" t="n">
        <f aca="false">N122*J122</f>
        <v>0</v>
      </c>
      <c r="R122" s="6"/>
    </row>
    <row r="123" customFormat="false" ht="15" hidden="false" customHeight="false" outlineLevel="0" collapsed="false">
      <c r="A123" s="33"/>
      <c r="B123" s="18" t="s">
        <v>23</v>
      </c>
      <c r="C123" s="29"/>
      <c r="D123" s="29"/>
      <c r="E123" s="29"/>
      <c r="F123" s="29"/>
      <c r="G123" s="34"/>
      <c r="H123" s="29"/>
      <c r="I123" s="29"/>
      <c r="J123" s="29"/>
      <c r="K123" s="29"/>
      <c r="L123" s="36"/>
      <c r="M123" s="29"/>
      <c r="N123" s="37"/>
      <c r="O123" s="30" t="n">
        <f aca="false">N123*J123</f>
        <v>0</v>
      </c>
      <c r="R123" s="6"/>
    </row>
    <row r="124" customFormat="false" ht="15" hidden="false" customHeight="false" outlineLevel="0" collapsed="false">
      <c r="A124" s="33"/>
      <c r="B124" s="18" t="s">
        <v>23</v>
      </c>
      <c r="C124" s="29"/>
      <c r="D124" s="29"/>
      <c r="E124" s="29"/>
      <c r="F124" s="29"/>
      <c r="G124" s="34"/>
      <c r="H124" s="29"/>
      <c r="I124" s="29"/>
      <c r="J124" s="29"/>
      <c r="K124" s="29"/>
      <c r="L124" s="36"/>
      <c r="M124" s="29"/>
      <c r="N124" s="37"/>
      <c r="O124" s="30" t="n">
        <f aca="false">N124*J124</f>
        <v>0</v>
      </c>
      <c r="R124" s="6"/>
    </row>
    <row r="125" customFormat="false" ht="15" hidden="false" customHeight="false" outlineLevel="0" collapsed="false">
      <c r="A125" s="33"/>
      <c r="B125" s="18" t="s">
        <v>23</v>
      </c>
      <c r="C125" s="29"/>
      <c r="D125" s="29"/>
      <c r="E125" s="29"/>
      <c r="F125" s="29"/>
      <c r="G125" s="34"/>
      <c r="H125" s="29"/>
      <c r="I125" s="29"/>
      <c r="J125" s="29"/>
      <c r="K125" s="29"/>
      <c r="L125" s="36"/>
      <c r="M125" s="29"/>
      <c r="N125" s="37"/>
      <c r="O125" s="30" t="n">
        <f aca="false">N125*J125</f>
        <v>0</v>
      </c>
      <c r="R125" s="6"/>
    </row>
    <row r="126" customFormat="false" ht="15" hidden="false" customHeight="false" outlineLevel="0" collapsed="false">
      <c r="A126" s="33"/>
      <c r="B126" s="18" t="s">
        <v>23</v>
      </c>
      <c r="C126" s="29"/>
      <c r="D126" s="29"/>
      <c r="E126" s="29"/>
      <c r="F126" s="29"/>
      <c r="G126" s="34"/>
      <c r="H126" s="29"/>
      <c r="I126" s="29"/>
      <c r="J126" s="29"/>
      <c r="K126" s="29"/>
      <c r="L126" s="36"/>
      <c r="M126" s="29"/>
      <c r="N126" s="37"/>
      <c r="O126" s="30" t="n">
        <f aca="false">N126*J126</f>
        <v>0</v>
      </c>
      <c r="R126" s="6"/>
    </row>
    <row r="127" customFormat="false" ht="15" hidden="false" customHeight="false" outlineLevel="0" collapsed="false">
      <c r="A127" s="33"/>
      <c r="B127" s="18" t="s">
        <v>23</v>
      </c>
      <c r="C127" s="29"/>
      <c r="D127" s="29"/>
      <c r="E127" s="29"/>
      <c r="F127" s="29"/>
      <c r="G127" s="34"/>
      <c r="H127" s="29"/>
      <c r="I127" s="29"/>
      <c r="J127" s="29"/>
      <c r="K127" s="29"/>
      <c r="L127" s="36"/>
      <c r="M127" s="29"/>
      <c r="N127" s="37"/>
      <c r="O127" s="30" t="n">
        <f aca="false">N127*J127</f>
        <v>0</v>
      </c>
      <c r="R127" s="6"/>
    </row>
    <row r="128" customFormat="false" ht="15" hidden="false" customHeight="false" outlineLevel="0" collapsed="false">
      <c r="A128" s="33"/>
      <c r="B128" s="18" t="s">
        <v>23</v>
      </c>
      <c r="C128" s="29"/>
      <c r="D128" s="29"/>
      <c r="E128" s="29"/>
      <c r="F128" s="29"/>
      <c r="G128" s="34"/>
      <c r="H128" s="29"/>
      <c r="I128" s="29"/>
      <c r="J128" s="29"/>
      <c r="K128" s="29"/>
      <c r="L128" s="36"/>
      <c r="M128" s="29"/>
      <c r="N128" s="37"/>
      <c r="O128" s="30" t="n">
        <f aca="false">N128*J128</f>
        <v>0</v>
      </c>
      <c r="R128" s="6"/>
    </row>
    <row r="129" customFormat="false" ht="15" hidden="false" customHeight="false" outlineLevel="0" collapsed="false">
      <c r="A129" s="33"/>
      <c r="B129" s="18" t="s">
        <v>23</v>
      </c>
      <c r="C129" s="29"/>
      <c r="D129" s="29"/>
      <c r="E129" s="29"/>
      <c r="F129" s="29"/>
      <c r="G129" s="34"/>
      <c r="H129" s="29"/>
      <c r="I129" s="29"/>
      <c r="J129" s="29"/>
      <c r="K129" s="29"/>
      <c r="L129" s="36"/>
      <c r="M129" s="29"/>
      <c r="N129" s="37"/>
      <c r="O129" s="30" t="n">
        <f aca="false">N129*J129</f>
        <v>0</v>
      </c>
      <c r="R129" s="6"/>
    </row>
    <row r="130" customFormat="false" ht="15" hidden="false" customHeight="false" outlineLevel="0" collapsed="false">
      <c r="A130" s="33"/>
      <c r="B130" s="18" t="s">
        <v>23</v>
      </c>
      <c r="C130" s="29"/>
      <c r="D130" s="29"/>
      <c r="E130" s="29"/>
      <c r="F130" s="29"/>
      <c r="G130" s="34"/>
      <c r="H130" s="29"/>
      <c r="I130" s="29"/>
      <c r="J130" s="29"/>
      <c r="K130" s="29"/>
      <c r="L130" s="36"/>
      <c r="M130" s="29"/>
      <c r="N130" s="37"/>
      <c r="O130" s="30" t="n">
        <f aca="false">N130*J130</f>
        <v>0</v>
      </c>
      <c r="R130" s="6"/>
    </row>
    <row r="131" customFormat="false" ht="15" hidden="false" customHeight="false" outlineLevel="0" collapsed="false">
      <c r="A131" s="33"/>
      <c r="B131" s="18" t="s">
        <v>23</v>
      </c>
      <c r="C131" s="29"/>
      <c r="D131" s="29"/>
      <c r="E131" s="29"/>
      <c r="F131" s="29"/>
      <c r="G131" s="34"/>
      <c r="H131" s="29"/>
      <c r="I131" s="29"/>
      <c r="J131" s="29"/>
      <c r="K131" s="29"/>
      <c r="L131" s="36"/>
      <c r="M131" s="29"/>
      <c r="N131" s="37"/>
      <c r="O131" s="30" t="n">
        <f aca="false">N131*J131</f>
        <v>0</v>
      </c>
      <c r="R131" s="6"/>
    </row>
    <row r="132" customFormat="false" ht="15" hidden="false" customHeight="false" outlineLevel="0" collapsed="false">
      <c r="A132" s="33"/>
      <c r="B132" s="18" t="s">
        <v>23</v>
      </c>
      <c r="C132" s="29"/>
      <c r="D132" s="29"/>
      <c r="E132" s="29"/>
      <c r="F132" s="29"/>
      <c r="G132" s="34"/>
      <c r="H132" s="29"/>
      <c r="I132" s="29"/>
      <c r="J132" s="29"/>
      <c r="K132" s="29"/>
      <c r="L132" s="36"/>
      <c r="M132" s="29"/>
      <c r="N132" s="37"/>
      <c r="O132" s="30" t="n">
        <f aca="false">N132*J132</f>
        <v>0</v>
      </c>
      <c r="R132" s="6"/>
    </row>
    <row r="133" customFormat="false" ht="15" hidden="false" customHeight="false" outlineLevel="0" collapsed="false">
      <c r="A133" s="33"/>
      <c r="B133" s="18" t="s">
        <v>23</v>
      </c>
      <c r="C133" s="29"/>
      <c r="D133" s="29"/>
      <c r="E133" s="29"/>
      <c r="F133" s="29"/>
      <c r="G133" s="34"/>
      <c r="H133" s="29"/>
      <c r="I133" s="29"/>
      <c r="J133" s="29"/>
      <c r="K133" s="29"/>
      <c r="L133" s="36"/>
      <c r="M133" s="29"/>
      <c r="N133" s="37"/>
      <c r="O133" s="30" t="n">
        <f aca="false">N133*J133</f>
        <v>0</v>
      </c>
      <c r="R133" s="6"/>
    </row>
    <row r="134" customFormat="false" ht="15" hidden="false" customHeight="false" outlineLevel="0" collapsed="false">
      <c r="A134" s="33"/>
      <c r="B134" s="18" t="s">
        <v>23</v>
      </c>
      <c r="C134" s="29"/>
      <c r="D134" s="29"/>
      <c r="E134" s="29"/>
      <c r="F134" s="29"/>
      <c r="G134" s="34"/>
      <c r="H134" s="29"/>
      <c r="I134" s="29"/>
      <c r="J134" s="29"/>
      <c r="K134" s="29"/>
      <c r="L134" s="36"/>
      <c r="M134" s="29"/>
      <c r="N134" s="37"/>
      <c r="O134" s="30" t="n">
        <f aca="false">N134*J134</f>
        <v>0</v>
      </c>
      <c r="Q134" s="57"/>
    </row>
    <row r="135" customFormat="false" ht="15" hidden="false" customHeight="false" outlineLevel="0" collapsed="false">
      <c r="A135" s="33"/>
      <c r="B135" s="18" t="s">
        <v>23</v>
      </c>
      <c r="C135" s="29"/>
      <c r="D135" s="29"/>
      <c r="E135" s="29"/>
      <c r="F135" s="29"/>
      <c r="G135" s="34"/>
      <c r="H135" s="29"/>
      <c r="I135" s="29"/>
      <c r="J135" s="29"/>
      <c r="K135" s="29"/>
      <c r="L135" s="36"/>
      <c r="M135" s="29"/>
      <c r="N135" s="37"/>
      <c r="O135" s="30" t="n">
        <f aca="false">N135*J135</f>
        <v>0</v>
      </c>
    </row>
    <row r="136" customFormat="false" ht="15" hidden="false" customHeight="false" outlineLevel="0" collapsed="false">
      <c r="A136" s="33"/>
      <c r="B136" s="18" t="s">
        <v>23</v>
      </c>
      <c r="C136" s="29"/>
      <c r="D136" s="29"/>
      <c r="E136" s="29"/>
      <c r="F136" s="29"/>
      <c r="G136" s="36"/>
      <c r="H136" s="29"/>
      <c r="I136" s="29"/>
      <c r="J136" s="29"/>
      <c r="K136" s="29"/>
      <c r="L136" s="36"/>
      <c r="M136" s="29"/>
      <c r="N136" s="37"/>
      <c r="O136" s="30" t="n">
        <f aca="false">N136*J136</f>
        <v>0</v>
      </c>
    </row>
    <row r="137" customFormat="false" ht="15" hidden="false" customHeight="false" outlineLevel="0" collapsed="false">
      <c r="A137" s="33"/>
      <c r="B137" s="18" t="s">
        <v>23</v>
      </c>
      <c r="C137" s="29"/>
      <c r="D137" s="29"/>
      <c r="E137" s="29"/>
      <c r="F137" s="29"/>
      <c r="G137" s="34"/>
      <c r="H137" s="29"/>
      <c r="I137" s="29"/>
      <c r="J137" s="29"/>
      <c r="K137" s="29"/>
      <c r="L137" s="36"/>
      <c r="M137" s="29"/>
      <c r="N137" s="37"/>
      <c r="O137" s="30" t="n">
        <f aca="false">N137*J137</f>
        <v>0</v>
      </c>
    </row>
    <row r="138" customFormat="false" ht="15" hidden="false" customHeight="false" outlineLevel="0" collapsed="false">
      <c r="A138" s="33"/>
      <c r="B138" s="18" t="s">
        <v>23</v>
      </c>
      <c r="C138" s="29"/>
      <c r="D138" s="29"/>
      <c r="E138" s="29"/>
      <c r="F138" s="29"/>
      <c r="G138" s="34"/>
      <c r="H138" s="29"/>
      <c r="I138" s="29"/>
      <c r="J138" s="29"/>
      <c r="K138" s="29"/>
      <c r="L138" s="36"/>
      <c r="M138" s="29"/>
      <c r="N138" s="37"/>
      <c r="O138" s="30" t="n">
        <f aca="false">N138*J138</f>
        <v>0</v>
      </c>
    </row>
    <row r="139" customFormat="false" ht="15" hidden="false" customHeight="false" outlineLevel="0" collapsed="false">
      <c r="A139" s="33"/>
      <c r="B139" s="18" t="s">
        <v>23</v>
      </c>
      <c r="C139" s="29"/>
      <c r="D139" s="29"/>
      <c r="E139" s="29"/>
      <c r="F139" s="29"/>
      <c r="G139" s="34"/>
      <c r="H139" s="29"/>
      <c r="I139" s="29"/>
      <c r="J139" s="29"/>
      <c r="K139" s="29"/>
      <c r="L139" s="36"/>
      <c r="M139" s="29"/>
      <c r="N139" s="37"/>
      <c r="O139" s="30" t="n">
        <f aca="false">N139*J139</f>
        <v>0</v>
      </c>
    </row>
    <row r="140" customFormat="false" ht="15" hidden="false" customHeight="false" outlineLevel="0" collapsed="false">
      <c r="A140" s="33"/>
      <c r="B140" s="18" t="s">
        <v>23</v>
      </c>
      <c r="C140" s="29"/>
      <c r="D140" s="29"/>
      <c r="E140" s="29"/>
      <c r="F140" s="29"/>
      <c r="G140" s="34"/>
      <c r="H140" s="29"/>
      <c r="I140" s="29"/>
      <c r="J140" s="29"/>
      <c r="K140" s="29"/>
      <c r="L140" s="36"/>
      <c r="M140" s="29"/>
      <c r="N140" s="37"/>
      <c r="O140" s="30" t="n">
        <f aca="false">N140*J140</f>
        <v>0</v>
      </c>
    </row>
    <row r="141" customFormat="false" ht="15" hidden="false" customHeight="false" outlineLevel="0" collapsed="false">
      <c r="A141" s="33"/>
      <c r="B141" s="18" t="s">
        <v>23</v>
      </c>
      <c r="C141" s="29"/>
      <c r="D141" s="29"/>
      <c r="E141" s="29"/>
      <c r="F141" s="29"/>
      <c r="G141" s="34"/>
      <c r="H141" s="29"/>
      <c r="I141" s="29"/>
      <c r="J141" s="29"/>
      <c r="K141" s="29"/>
      <c r="L141" s="36"/>
      <c r="M141" s="29"/>
      <c r="N141" s="37"/>
      <c r="O141" s="30" t="n">
        <f aca="false">N141*J141</f>
        <v>0</v>
      </c>
    </row>
    <row r="142" customFormat="false" ht="15" hidden="false" customHeight="false" outlineLevel="0" collapsed="false">
      <c r="A142" s="33"/>
      <c r="B142" s="18" t="s">
        <v>23</v>
      </c>
      <c r="C142" s="29"/>
      <c r="D142" s="29"/>
      <c r="E142" s="29"/>
      <c r="F142" s="29"/>
      <c r="G142" s="34"/>
      <c r="H142" s="29"/>
      <c r="I142" s="29"/>
      <c r="J142" s="29"/>
      <c r="K142" s="29"/>
      <c r="L142" s="36"/>
      <c r="M142" s="29"/>
      <c r="N142" s="37"/>
      <c r="O142" s="30" t="n">
        <f aca="false">N142*J142</f>
        <v>0</v>
      </c>
    </row>
    <row r="143" customFormat="false" ht="15" hidden="false" customHeight="false" outlineLevel="0" collapsed="false">
      <c r="A143" s="33"/>
      <c r="B143" s="18" t="s">
        <v>23</v>
      </c>
      <c r="C143" s="29"/>
      <c r="D143" s="29"/>
      <c r="E143" s="29"/>
      <c r="F143" s="29"/>
      <c r="G143" s="34"/>
      <c r="H143" s="29"/>
      <c r="I143" s="29"/>
      <c r="J143" s="29"/>
      <c r="K143" s="29"/>
      <c r="L143" s="36"/>
      <c r="M143" s="29"/>
      <c r="N143" s="37"/>
      <c r="O143" s="30" t="n">
        <f aca="false">N143*J143</f>
        <v>0</v>
      </c>
    </row>
    <row r="144" customFormat="false" ht="15" hidden="false" customHeight="false" outlineLevel="0" collapsed="false">
      <c r="A144" s="33"/>
      <c r="B144" s="18" t="s">
        <v>23</v>
      </c>
      <c r="C144" s="29"/>
      <c r="D144" s="29"/>
      <c r="E144" s="29"/>
      <c r="F144" s="29"/>
      <c r="G144" s="34"/>
      <c r="H144" s="29"/>
      <c r="I144" s="29"/>
      <c r="J144" s="29"/>
      <c r="K144" s="29"/>
      <c r="L144" s="36"/>
      <c r="M144" s="29"/>
      <c r="N144" s="37"/>
      <c r="O144" s="30" t="n">
        <f aca="false">N144*J144</f>
        <v>0</v>
      </c>
    </row>
    <row r="145" customFormat="false" ht="15" hidden="false" customHeight="false" outlineLevel="0" collapsed="false">
      <c r="A145" s="33"/>
      <c r="B145" s="18" t="s">
        <v>23</v>
      </c>
      <c r="C145" s="29"/>
      <c r="D145" s="29"/>
      <c r="E145" s="29"/>
      <c r="F145" s="29"/>
      <c r="G145" s="34"/>
      <c r="H145" s="29"/>
      <c r="I145" s="29"/>
      <c r="J145" s="29"/>
      <c r="K145" s="29"/>
      <c r="L145" s="36"/>
      <c r="M145" s="29"/>
      <c r="N145" s="37"/>
      <c r="O145" s="30" t="n">
        <f aca="false">N145*J145</f>
        <v>0</v>
      </c>
    </row>
    <row r="146" customFormat="false" ht="15" hidden="false" customHeight="false" outlineLevel="0" collapsed="false">
      <c r="A146" s="33"/>
      <c r="B146" s="18" t="s">
        <v>23</v>
      </c>
      <c r="C146" s="29"/>
      <c r="D146" s="29"/>
      <c r="E146" s="29"/>
      <c r="F146" s="29"/>
      <c r="G146" s="34"/>
      <c r="H146" s="29"/>
      <c r="I146" s="29"/>
      <c r="J146" s="29"/>
      <c r="K146" s="29"/>
      <c r="L146" s="36"/>
      <c r="M146" s="29"/>
      <c r="N146" s="37"/>
      <c r="O146" s="30" t="n">
        <f aca="false">N146*J146</f>
        <v>0</v>
      </c>
    </row>
    <row r="147" customFormat="false" ht="15" hidden="false" customHeight="false" outlineLevel="0" collapsed="false">
      <c r="A147" s="33"/>
      <c r="B147" s="18" t="s">
        <v>23</v>
      </c>
      <c r="C147" s="29"/>
      <c r="D147" s="29"/>
      <c r="E147" s="29"/>
      <c r="F147" s="29"/>
      <c r="G147" s="34"/>
      <c r="H147" s="29"/>
      <c r="I147" s="29"/>
      <c r="J147" s="29"/>
      <c r="K147" s="29"/>
      <c r="L147" s="36"/>
      <c r="M147" s="29"/>
      <c r="N147" s="37"/>
      <c r="O147" s="30" t="n">
        <f aca="false">N147*J147</f>
        <v>0</v>
      </c>
    </row>
    <row r="148" customFormat="false" ht="15" hidden="false" customHeight="false" outlineLevel="0" collapsed="false">
      <c r="A148" s="33"/>
      <c r="B148" s="18" t="s">
        <v>23</v>
      </c>
      <c r="C148" s="29"/>
      <c r="D148" s="29"/>
      <c r="E148" s="29"/>
      <c r="F148" s="29"/>
      <c r="G148" s="34"/>
      <c r="H148" s="29"/>
      <c r="I148" s="29"/>
      <c r="J148" s="29"/>
      <c r="K148" s="29"/>
      <c r="L148" s="36"/>
      <c r="M148" s="29"/>
      <c r="N148" s="37"/>
      <c r="O148" s="30" t="n">
        <f aca="false">N148*J148</f>
        <v>0</v>
      </c>
    </row>
    <row r="149" customFormat="false" ht="15" hidden="false" customHeight="false" outlineLevel="0" collapsed="false">
      <c r="A149" s="33"/>
      <c r="B149" s="18" t="s">
        <v>23</v>
      </c>
      <c r="C149" s="29"/>
      <c r="D149" s="29"/>
      <c r="E149" s="29"/>
      <c r="F149" s="29"/>
      <c r="G149" s="34"/>
      <c r="H149" s="29"/>
      <c r="I149" s="29"/>
      <c r="J149" s="29"/>
      <c r="K149" s="29"/>
      <c r="L149" s="36"/>
      <c r="M149" s="29"/>
      <c r="N149" s="37"/>
      <c r="O149" s="30" t="n">
        <f aca="false">N149*J149</f>
        <v>0</v>
      </c>
    </row>
    <row r="150" customFormat="false" ht="15" hidden="false" customHeight="false" outlineLevel="0" collapsed="false">
      <c r="A150" s="33"/>
      <c r="B150" s="18" t="s">
        <v>23</v>
      </c>
      <c r="C150" s="29"/>
      <c r="D150" s="29"/>
      <c r="E150" s="29"/>
      <c r="F150" s="29"/>
      <c r="G150" s="34"/>
      <c r="H150" s="29"/>
      <c r="I150" s="29"/>
      <c r="J150" s="29"/>
      <c r="K150" s="29"/>
      <c r="L150" s="36"/>
      <c r="M150" s="29"/>
      <c r="N150" s="37"/>
      <c r="O150" s="30" t="n">
        <f aca="false">N150*J150</f>
        <v>0</v>
      </c>
    </row>
    <row r="151" customFormat="false" ht="15" hidden="false" customHeight="false" outlineLevel="0" collapsed="false">
      <c r="A151" s="33"/>
      <c r="B151" s="18" t="s">
        <v>23</v>
      </c>
      <c r="C151" s="29"/>
      <c r="D151" s="29"/>
      <c r="E151" s="29"/>
      <c r="F151" s="29"/>
      <c r="G151" s="34"/>
      <c r="H151" s="29"/>
      <c r="I151" s="29"/>
      <c r="J151" s="29"/>
      <c r="K151" s="29"/>
      <c r="L151" s="36"/>
      <c r="M151" s="29"/>
      <c r="N151" s="37"/>
      <c r="O151" s="30" t="n">
        <f aca="false">N151*J151</f>
        <v>0</v>
      </c>
    </row>
    <row r="152" customFormat="false" ht="15" hidden="false" customHeight="false" outlineLevel="0" collapsed="false">
      <c r="A152" s="33"/>
      <c r="B152" s="18" t="s">
        <v>23</v>
      </c>
      <c r="C152" s="29"/>
      <c r="D152" s="29"/>
      <c r="E152" s="29"/>
      <c r="F152" s="29"/>
      <c r="G152" s="34"/>
      <c r="H152" s="29"/>
      <c r="I152" s="29"/>
      <c r="J152" s="29"/>
      <c r="K152" s="29"/>
      <c r="L152" s="36"/>
      <c r="M152" s="29"/>
      <c r="N152" s="37"/>
      <c r="O152" s="30" t="n">
        <f aca="false">N152*J152</f>
        <v>0</v>
      </c>
    </row>
    <row r="153" customFormat="false" ht="15" hidden="false" customHeight="false" outlineLevel="0" collapsed="false">
      <c r="A153" s="33"/>
      <c r="B153" s="18" t="s">
        <v>23</v>
      </c>
      <c r="C153" s="29"/>
      <c r="D153" s="29"/>
      <c r="E153" s="29"/>
      <c r="F153" s="29"/>
      <c r="G153" s="34"/>
      <c r="H153" s="29"/>
      <c r="I153" s="29"/>
      <c r="J153" s="29"/>
      <c r="K153" s="29"/>
      <c r="L153" s="36"/>
      <c r="M153" s="29"/>
      <c r="N153" s="37"/>
      <c r="O153" s="30" t="n">
        <f aca="false">N153*J153</f>
        <v>0</v>
      </c>
    </row>
    <row r="154" customFormat="false" ht="15" hidden="false" customHeight="false" outlineLevel="0" collapsed="false">
      <c r="A154" s="33"/>
      <c r="B154" s="18" t="s">
        <v>23</v>
      </c>
      <c r="C154" s="29"/>
      <c r="D154" s="29"/>
      <c r="E154" s="29"/>
      <c r="F154" s="29"/>
      <c r="G154" s="34"/>
      <c r="H154" s="29"/>
      <c r="I154" s="29"/>
      <c r="J154" s="29"/>
      <c r="K154" s="29"/>
      <c r="L154" s="36"/>
      <c r="M154" s="29"/>
      <c r="N154" s="37"/>
      <c r="O154" s="30" t="n">
        <f aca="false">N154*J154</f>
        <v>0</v>
      </c>
    </row>
    <row r="155" customFormat="false" ht="15" hidden="false" customHeight="false" outlineLevel="0" collapsed="false">
      <c r="A155" s="33"/>
      <c r="B155" s="18" t="s">
        <v>23</v>
      </c>
      <c r="C155" s="29"/>
      <c r="D155" s="29"/>
      <c r="E155" s="29"/>
      <c r="F155" s="29"/>
      <c r="G155" s="34"/>
      <c r="H155" s="29"/>
      <c r="I155" s="29"/>
      <c r="J155" s="29"/>
      <c r="K155" s="29"/>
      <c r="L155" s="36"/>
      <c r="M155" s="29"/>
      <c r="N155" s="37"/>
      <c r="O155" s="30" t="n">
        <f aca="false">N155*J155</f>
        <v>0</v>
      </c>
    </row>
    <row r="156" customFormat="false" ht="15" hidden="false" customHeight="false" outlineLevel="0" collapsed="false">
      <c r="A156" s="33"/>
      <c r="B156" s="18" t="s">
        <v>23</v>
      </c>
      <c r="C156" s="29"/>
      <c r="D156" s="29"/>
      <c r="E156" s="29"/>
      <c r="F156" s="29"/>
      <c r="G156" s="34"/>
      <c r="H156" s="29"/>
      <c r="I156" s="29"/>
      <c r="J156" s="29"/>
      <c r="K156" s="29"/>
      <c r="L156" s="36"/>
      <c r="M156" s="29"/>
      <c r="N156" s="37"/>
      <c r="O156" s="30" t="n">
        <f aca="false">N156*J156</f>
        <v>0</v>
      </c>
    </row>
    <row r="157" customFormat="false" ht="15" hidden="false" customHeight="false" outlineLevel="0" collapsed="false">
      <c r="A157" s="33"/>
      <c r="B157" s="18" t="s">
        <v>23</v>
      </c>
      <c r="C157" s="29"/>
      <c r="D157" s="29"/>
      <c r="E157" s="29"/>
      <c r="F157" s="29"/>
      <c r="G157" s="34"/>
      <c r="H157" s="29"/>
      <c r="I157" s="29"/>
      <c r="J157" s="29"/>
      <c r="K157" s="29"/>
      <c r="L157" s="36"/>
      <c r="M157" s="29"/>
      <c r="N157" s="37"/>
      <c r="O157" s="30" t="n">
        <f aca="false">N157*J157</f>
        <v>0</v>
      </c>
    </row>
    <row r="158" customFormat="false" ht="15" hidden="false" customHeight="false" outlineLevel="0" collapsed="false">
      <c r="A158" s="33"/>
      <c r="B158" s="18" t="s">
        <v>23</v>
      </c>
      <c r="C158" s="29"/>
      <c r="D158" s="29"/>
      <c r="E158" s="29"/>
      <c r="F158" s="29"/>
      <c r="G158" s="34"/>
      <c r="H158" s="29"/>
      <c r="I158" s="29"/>
      <c r="J158" s="29"/>
      <c r="K158" s="29"/>
      <c r="L158" s="36"/>
      <c r="M158" s="29"/>
      <c r="N158" s="37"/>
      <c r="O158" s="30" t="n">
        <f aca="false">N158*J158</f>
        <v>0</v>
      </c>
    </row>
    <row r="159" customFormat="false" ht="15" hidden="false" customHeight="false" outlineLevel="0" collapsed="false">
      <c r="A159" s="33"/>
      <c r="B159" s="18" t="s">
        <v>23</v>
      </c>
      <c r="C159" s="29"/>
      <c r="D159" s="29"/>
      <c r="E159" s="29"/>
      <c r="F159" s="29"/>
      <c r="G159" s="34"/>
      <c r="H159" s="29"/>
      <c r="I159" s="29"/>
      <c r="J159" s="29"/>
      <c r="K159" s="29"/>
      <c r="L159" s="36"/>
      <c r="M159" s="29"/>
      <c r="N159" s="37"/>
      <c r="O159" s="30" t="n">
        <f aca="false">N159*J159</f>
        <v>0</v>
      </c>
    </row>
    <row r="160" customFormat="false" ht="15" hidden="false" customHeight="false" outlineLevel="0" collapsed="false">
      <c r="A160" s="33"/>
      <c r="B160" s="18" t="s">
        <v>23</v>
      </c>
      <c r="C160" s="29"/>
      <c r="D160" s="29"/>
      <c r="E160" s="29"/>
      <c r="F160" s="29"/>
      <c r="G160" s="34"/>
      <c r="H160" s="29"/>
      <c r="I160" s="29"/>
      <c r="J160" s="29"/>
      <c r="K160" s="29"/>
      <c r="L160" s="36"/>
      <c r="M160" s="29"/>
      <c r="N160" s="37"/>
      <c r="O160" s="30" t="n">
        <f aca="false">N160*J160</f>
        <v>0</v>
      </c>
    </row>
    <row r="161" customFormat="false" ht="15" hidden="false" customHeight="false" outlineLevel="0" collapsed="false">
      <c r="A161" s="33"/>
      <c r="B161" s="18" t="s">
        <v>23</v>
      </c>
      <c r="C161" s="29"/>
      <c r="D161" s="29"/>
      <c r="E161" s="29"/>
      <c r="F161" s="29"/>
      <c r="G161" s="34"/>
      <c r="H161" s="29"/>
      <c r="I161" s="29"/>
      <c r="J161" s="29"/>
      <c r="K161" s="29"/>
      <c r="L161" s="36"/>
      <c r="M161" s="29"/>
      <c r="N161" s="37"/>
      <c r="O161" s="30" t="n">
        <f aca="false">N161*J161</f>
        <v>0</v>
      </c>
    </row>
    <row r="162" customFormat="false" ht="15" hidden="false" customHeight="false" outlineLevel="0" collapsed="false">
      <c r="A162" s="33"/>
      <c r="B162" s="18" t="s">
        <v>23</v>
      </c>
      <c r="C162" s="29"/>
      <c r="D162" s="29"/>
      <c r="E162" s="29"/>
      <c r="F162" s="29"/>
      <c r="G162" s="34"/>
      <c r="H162" s="29"/>
      <c r="I162" s="29"/>
      <c r="J162" s="29"/>
      <c r="K162" s="29"/>
      <c r="L162" s="36"/>
      <c r="M162" s="29"/>
      <c r="N162" s="37"/>
      <c r="O162" s="30" t="n">
        <f aca="false">N162*J162</f>
        <v>0</v>
      </c>
    </row>
    <row r="163" customFormat="false" ht="15" hidden="false" customHeight="false" outlineLevel="0" collapsed="false">
      <c r="A163" s="33"/>
      <c r="B163" s="18" t="s">
        <v>23</v>
      </c>
      <c r="C163" s="29"/>
      <c r="D163" s="29"/>
      <c r="E163" s="29"/>
      <c r="F163" s="29"/>
      <c r="G163" s="34"/>
      <c r="H163" s="29"/>
      <c r="I163" s="29"/>
      <c r="J163" s="29"/>
      <c r="K163" s="29"/>
      <c r="L163" s="36"/>
      <c r="M163" s="29"/>
      <c r="N163" s="37"/>
      <c r="O163" s="30" t="n">
        <f aca="false">N163*J163</f>
        <v>0</v>
      </c>
    </row>
    <row r="164" customFormat="false" ht="15" hidden="false" customHeight="false" outlineLevel="0" collapsed="false">
      <c r="A164" s="33"/>
      <c r="B164" s="18" t="s">
        <v>23</v>
      </c>
      <c r="C164" s="29"/>
      <c r="D164" s="29"/>
      <c r="E164" s="29"/>
      <c r="F164" s="29"/>
      <c r="G164" s="34"/>
      <c r="H164" s="29"/>
      <c r="I164" s="29"/>
      <c r="J164" s="29"/>
      <c r="K164" s="29"/>
      <c r="L164" s="36"/>
      <c r="M164" s="29"/>
      <c r="N164" s="37"/>
      <c r="O164" s="30" t="n">
        <f aca="false">N164*J164</f>
        <v>0</v>
      </c>
    </row>
    <row r="165" customFormat="false" ht="15" hidden="false" customHeight="false" outlineLevel="0" collapsed="false">
      <c r="A165" s="33"/>
      <c r="B165" s="18" t="s">
        <v>23</v>
      </c>
      <c r="C165" s="29"/>
      <c r="D165" s="29"/>
      <c r="E165" s="29"/>
      <c r="F165" s="29"/>
      <c r="G165" s="34"/>
      <c r="H165" s="29"/>
      <c r="I165" s="29"/>
      <c r="J165" s="29"/>
      <c r="K165" s="29"/>
      <c r="L165" s="36"/>
      <c r="M165" s="29"/>
      <c r="N165" s="37"/>
      <c r="O165" s="30" t="n">
        <f aca="false">N165*J165</f>
        <v>0</v>
      </c>
    </row>
    <row r="166" customFormat="false" ht="15" hidden="false" customHeight="false" outlineLevel="0" collapsed="false">
      <c r="A166" s="33"/>
      <c r="B166" s="18" t="s">
        <v>23</v>
      </c>
      <c r="C166" s="29"/>
      <c r="D166" s="29"/>
      <c r="E166" s="29"/>
      <c r="F166" s="29"/>
      <c r="G166" s="34"/>
      <c r="H166" s="29"/>
      <c r="I166" s="29"/>
      <c r="J166" s="29"/>
      <c r="K166" s="29"/>
      <c r="L166" s="36"/>
      <c r="M166" s="29"/>
      <c r="N166" s="37"/>
      <c r="O166" s="30" t="n">
        <f aca="false">N166*J166</f>
        <v>0</v>
      </c>
    </row>
    <row r="167" customFormat="false" ht="15" hidden="false" customHeight="false" outlineLevel="0" collapsed="false">
      <c r="A167" s="33"/>
      <c r="B167" s="18" t="s">
        <v>23</v>
      </c>
      <c r="C167" s="29"/>
      <c r="D167" s="29"/>
      <c r="E167" s="29"/>
      <c r="F167" s="29"/>
      <c r="G167" s="34"/>
      <c r="H167" s="29"/>
      <c r="I167" s="29"/>
      <c r="J167" s="29"/>
      <c r="K167" s="29"/>
      <c r="L167" s="36"/>
      <c r="M167" s="29"/>
      <c r="N167" s="37"/>
      <c r="O167" s="30" t="n">
        <f aca="false">N167*J167</f>
        <v>0</v>
      </c>
    </row>
    <row r="168" customFormat="false" ht="15" hidden="false" customHeight="false" outlineLevel="0" collapsed="false">
      <c r="A168" s="33"/>
      <c r="B168" s="18" t="s">
        <v>23</v>
      </c>
      <c r="C168" s="29"/>
      <c r="D168" s="29"/>
      <c r="E168" s="29"/>
      <c r="F168" s="29"/>
      <c r="G168" s="34"/>
      <c r="H168" s="29"/>
      <c r="I168" s="29"/>
      <c r="J168" s="29"/>
      <c r="K168" s="29"/>
      <c r="L168" s="36"/>
      <c r="M168" s="29"/>
      <c r="N168" s="37"/>
      <c r="O168" s="30" t="n">
        <f aca="false">N168*J168</f>
        <v>0</v>
      </c>
    </row>
    <row r="169" customFormat="false" ht="15" hidden="false" customHeight="false" outlineLevel="0" collapsed="false">
      <c r="A169" s="33"/>
      <c r="B169" s="18" t="s">
        <v>23</v>
      </c>
      <c r="C169" s="29"/>
      <c r="D169" s="29"/>
      <c r="E169" s="29"/>
      <c r="F169" s="29"/>
      <c r="G169" s="34"/>
      <c r="H169" s="29"/>
      <c r="I169" s="29"/>
      <c r="J169" s="29"/>
      <c r="K169" s="29"/>
      <c r="L169" s="36"/>
      <c r="M169" s="29"/>
      <c r="N169" s="37"/>
      <c r="O169" s="30" t="n">
        <f aca="false">N169*J169</f>
        <v>0</v>
      </c>
    </row>
    <row r="170" customFormat="false" ht="15" hidden="false" customHeight="false" outlineLevel="0" collapsed="false">
      <c r="A170" s="33"/>
      <c r="B170" s="18" t="s">
        <v>23</v>
      </c>
      <c r="C170" s="29"/>
      <c r="D170" s="29"/>
      <c r="E170" s="29"/>
      <c r="F170" s="29"/>
      <c r="G170" s="34"/>
      <c r="H170" s="29"/>
      <c r="I170" s="29"/>
      <c r="J170" s="29"/>
      <c r="K170" s="29"/>
      <c r="L170" s="36"/>
      <c r="M170" s="29"/>
      <c r="N170" s="37"/>
      <c r="O170" s="30" t="n">
        <f aca="false">N170*J170</f>
        <v>0</v>
      </c>
    </row>
    <row r="171" customFormat="false" ht="15" hidden="false" customHeight="false" outlineLevel="0" collapsed="false">
      <c r="A171" s="33"/>
      <c r="B171" s="18" t="s">
        <v>23</v>
      </c>
      <c r="C171" s="33"/>
      <c r="D171" s="29"/>
      <c r="E171" s="29"/>
      <c r="F171" s="29"/>
      <c r="G171" s="34"/>
      <c r="H171" s="29"/>
      <c r="I171" s="29"/>
      <c r="J171" s="29"/>
      <c r="K171" s="29"/>
      <c r="L171" s="36"/>
      <c r="M171" s="29"/>
      <c r="N171" s="37"/>
      <c r="O171" s="30" t="n">
        <f aca="false">N171*J171</f>
        <v>0</v>
      </c>
    </row>
    <row r="172" customFormat="false" ht="15" hidden="false" customHeight="false" outlineLevel="0" collapsed="false">
      <c r="A172" s="33"/>
      <c r="B172" s="18" t="s">
        <v>23</v>
      </c>
      <c r="C172" s="29"/>
      <c r="D172" s="29"/>
      <c r="E172" s="29"/>
      <c r="F172" s="29"/>
      <c r="G172" s="34"/>
      <c r="H172" s="29"/>
      <c r="I172" s="29"/>
      <c r="J172" s="29"/>
      <c r="K172" s="29"/>
      <c r="L172" s="36"/>
      <c r="M172" s="29"/>
      <c r="N172" s="37"/>
      <c r="O172" s="30" t="n">
        <f aca="false">N172*J172</f>
        <v>0</v>
      </c>
    </row>
    <row r="173" customFormat="false" ht="15" hidden="false" customHeight="false" outlineLevel="0" collapsed="false">
      <c r="A173" s="33"/>
      <c r="B173" s="18" t="s">
        <v>23</v>
      </c>
      <c r="C173" s="29"/>
      <c r="D173" s="29"/>
      <c r="E173" s="29"/>
      <c r="F173" s="29"/>
      <c r="G173" s="34"/>
      <c r="H173" s="29"/>
      <c r="I173" s="29"/>
      <c r="J173" s="29"/>
      <c r="K173" s="29"/>
      <c r="L173" s="36"/>
      <c r="M173" s="29"/>
      <c r="N173" s="37"/>
      <c r="O173" s="30" t="n">
        <f aca="false">N173*J173</f>
        <v>0</v>
      </c>
    </row>
    <row r="174" customFormat="false" ht="15" hidden="false" customHeight="false" outlineLevel="0" collapsed="false">
      <c r="A174" s="33"/>
      <c r="B174" s="18" t="s">
        <v>23</v>
      </c>
      <c r="C174" s="29"/>
      <c r="D174" s="29"/>
      <c r="E174" s="29"/>
      <c r="F174" s="29"/>
      <c r="G174" s="34"/>
      <c r="H174" s="29"/>
      <c r="I174" s="29"/>
      <c r="J174" s="29"/>
      <c r="K174" s="29"/>
      <c r="L174" s="36"/>
      <c r="M174" s="29"/>
      <c r="N174" s="37"/>
      <c r="O174" s="30" t="n">
        <f aca="false">N174*J174</f>
        <v>0</v>
      </c>
    </row>
    <row r="175" customFormat="false" ht="15" hidden="false" customHeight="false" outlineLevel="0" collapsed="false">
      <c r="A175" s="33"/>
      <c r="B175" s="18" t="s">
        <v>23</v>
      </c>
      <c r="C175" s="29"/>
      <c r="D175" s="29"/>
      <c r="E175" s="29"/>
      <c r="F175" s="29"/>
      <c r="G175" s="34"/>
      <c r="H175" s="29"/>
      <c r="I175" s="29"/>
      <c r="J175" s="29"/>
      <c r="K175" s="29"/>
      <c r="L175" s="36"/>
      <c r="M175" s="29"/>
      <c r="N175" s="37"/>
      <c r="O175" s="30" t="n">
        <f aca="false">N175*J175</f>
        <v>0</v>
      </c>
    </row>
    <row r="176" customFormat="false" ht="15" hidden="false" customHeight="false" outlineLevel="0" collapsed="false">
      <c r="A176" s="33"/>
      <c r="B176" s="18" t="s">
        <v>23</v>
      </c>
      <c r="C176" s="29"/>
      <c r="D176" s="29"/>
      <c r="E176" s="29"/>
      <c r="F176" s="29"/>
      <c r="G176" s="34"/>
      <c r="H176" s="29"/>
      <c r="I176" s="29"/>
      <c r="J176" s="29"/>
      <c r="K176" s="29"/>
      <c r="L176" s="36"/>
      <c r="M176" s="29"/>
      <c r="N176" s="37"/>
      <c r="O176" s="30" t="n">
        <f aca="false">N176*J176</f>
        <v>0</v>
      </c>
    </row>
    <row r="177" customFormat="false" ht="15" hidden="false" customHeight="false" outlineLevel="0" collapsed="false">
      <c r="A177" s="33"/>
      <c r="B177" s="18" t="s">
        <v>23</v>
      </c>
      <c r="C177" s="33"/>
      <c r="D177" s="29"/>
      <c r="E177" s="29"/>
      <c r="F177" s="29"/>
      <c r="G177" s="34"/>
      <c r="H177" s="29"/>
      <c r="I177" s="29"/>
      <c r="J177" s="29"/>
      <c r="K177" s="29"/>
      <c r="L177" s="36"/>
      <c r="M177" s="29"/>
      <c r="N177" s="37"/>
      <c r="O177" s="30" t="n">
        <f aca="false">N177*J177</f>
        <v>0</v>
      </c>
    </row>
    <row r="178" customFormat="false" ht="15" hidden="false" customHeight="false" outlineLevel="0" collapsed="false">
      <c r="A178" s="33"/>
      <c r="B178" s="18" t="s">
        <v>23</v>
      </c>
      <c r="C178" s="29"/>
      <c r="D178" s="29"/>
      <c r="E178" s="29"/>
      <c r="F178" s="29"/>
      <c r="G178" s="34"/>
      <c r="H178" s="29"/>
      <c r="I178" s="29"/>
      <c r="J178" s="29"/>
      <c r="K178" s="29"/>
      <c r="L178" s="36"/>
      <c r="M178" s="29"/>
      <c r="N178" s="37"/>
      <c r="O178" s="30" t="n">
        <f aca="false">N178*J178</f>
        <v>0</v>
      </c>
    </row>
    <row r="179" customFormat="false" ht="15" hidden="false" customHeight="false" outlineLevel="0" collapsed="false">
      <c r="A179" s="33"/>
      <c r="B179" s="18" t="s">
        <v>23</v>
      </c>
      <c r="C179" s="41"/>
      <c r="D179" s="41"/>
      <c r="E179" s="41"/>
      <c r="F179" s="34"/>
      <c r="G179" s="34"/>
      <c r="H179" s="29"/>
      <c r="I179" s="29"/>
      <c r="J179" s="29"/>
      <c r="K179" s="29"/>
      <c r="L179" s="36"/>
      <c r="M179" s="29"/>
      <c r="N179" s="37"/>
      <c r="O179" s="30" t="n">
        <f aca="false">N179*J179</f>
        <v>0</v>
      </c>
    </row>
    <row r="180" customFormat="false" ht="15" hidden="false" customHeight="false" outlineLevel="0" collapsed="false">
      <c r="A180" s="33"/>
      <c r="B180" s="18" t="s">
        <v>23</v>
      </c>
      <c r="C180" s="29"/>
      <c r="D180" s="29"/>
      <c r="E180" s="29"/>
      <c r="F180" s="29"/>
      <c r="G180" s="34"/>
      <c r="H180" s="29"/>
      <c r="I180" s="29"/>
      <c r="J180" s="29"/>
      <c r="K180" s="29"/>
      <c r="L180" s="36"/>
      <c r="M180" s="29"/>
      <c r="N180" s="37"/>
      <c r="O180" s="30" t="n">
        <f aca="false">N180*J180</f>
        <v>0</v>
      </c>
    </row>
    <row r="181" customFormat="false" ht="15" hidden="false" customHeight="false" outlineLevel="0" collapsed="false">
      <c r="A181" s="33"/>
      <c r="B181" s="18" t="s">
        <v>23</v>
      </c>
      <c r="C181" s="29"/>
      <c r="D181" s="29"/>
      <c r="E181" s="29"/>
      <c r="F181" s="29"/>
      <c r="G181" s="34"/>
      <c r="H181" s="29"/>
      <c r="I181" s="29"/>
      <c r="J181" s="29"/>
      <c r="K181" s="29"/>
      <c r="L181" s="36"/>
      <c r="M181" s="29"/>
      <c r="N181" s="37"/>
      <c r="O181" s="30" t="n">
        <f aca="false">N181*J181</f>
        <v>0</v>
      </c>
    </row>
    <row r="182" customFormat="false" ht="15" hidden="false" customHeight="false" outlineLevel="0" collapsed="false">
      <c r="A182" s="33"/>
      <c r="B182" s="18" t="s">
        <v>23</v>
      </c>
      <c r="C182" s="29"/>
      <c r="D182" s="29"/>
      <c r="E182" s="29"/>
      <c r="F182" s="29"/>
      <c r="G182" s="34"/>
      <c r="H182" s="29"/>
      <c r="I182" s="29"/>
      <c r="J182" s="29"/>
      <c r="K182" s="29"/>
      <c r="L182" s="36"/>
      <c r="M182" s="29"/>
      <c r="N182" s="37"/>
      <c r="O182" s="30" t="n">
        <f aca="false">N182*J182</f>
        <v>0</v>
      </c>
    </row>
    <row r="183" customFormat="false" ht="15" hidden="false" customHeight="false" outlineLevel="0" collapsed="false">
      <c r="A183" s="33"/>
      <c r="B183" s="18" t="s">
        <v>23</v>
      </c>
      <c r="C183" s="29"/>
      <c r="D183" s="29"/>
      <c r="E183" s="29"/>
      <c r="F183" s="29"/>
      <c r="G183" s="34"/>
      <c r="H183" s="29"/>
      <c r="I183" s="29"/>
      <c r="J183" s="29"/>
      <c r="K183" s="29"/>
      <c r="L183" s="36"/>
      <c r="M183" s="29"/>
      <c r="N183" s="37"/>
      <c r="O183" s="30" t="n">
        <f aca="false">N183*J183</f>
        <v>0</v>
      </c>
    </row>
    <row r="184" customFormat="false" ht="15" hidden="false" customHeight="false" outlineLevel="0" collapsed="false">
      <c r="A184" s="33"/>
      <c r="B184" s="18" t="s">
        <v>23</v>
      </c>
      <c r="C184" s="29"/>
      <c r="D184" s="29"/>
      <c r="E184" s="29"/>
      <c r="F184" s="29"/>
      <c r="G184" s="34"/>
      <c r="H184" s="29"/>
      <c r="I184" s="29"/>
      <c r="J184" s="29"/>
      <c r="K184" s="29"/>
      <c r="L184" s="36"/>
      <c r="M184" s="29"/>
      <c r="N184" s="37"/>
      <c r="O184" s="30" t="n">
        <f aca="false">N184*J184</f>
        <v>0</v>
      </c>
    </row>
    <row r="185" customFormat="false" ht="15" hidden="false" customHeight="false" outlineLevel="0" collapsed="false">
      <c r="A185" s="33"/>
      <c r="B185" s="18" t="s">
        <v>23</v>
      </c>
      <c r="C185" s="29"/>
      <c r="D185" s="29"/>
      <c r="E185" s="29"/>
      <c r="F185" s="29"/>
      <c r="G185" s="34"/>
      <c r="H185" s="29"/>
      <c r="I185" s="29"/>
      <c r="J185" s="29"/>
      <c r="K185" s="29"/>
      <c r="L185" s="36"/>
      <c r="M185" s="29"/>
      <c r="N185" s="37"/>
      <c r="O185" s="30" t="n">
        <f aca="false">N185*J185</f>
        <v>0</v>
      </c>
    </row>
    <row r="186" customFormat="false" ht="15" hidden="false" customHeight="false" outlineLevel="0" collapsed="false">
      <c r="A186" s="33"/>
      <c r="B186" s="18" t="s">
        <v>23</v>
      </c>
      <c r="C186" s="29"/>
      <c r="D186" s="29"/>
      <c r="E186" s="29"/>
      <c r="F186" s="29"/>
      <c r="G186" s="34"/>
      <c r="H186" s="29"/>
      <c r="I186" s="29"/>
      <c r="J186" s="29"/>
      <c r="K186" s="29"/>
      <c r="L186" s="36"/>
      <c r="M186" s="29"/>
      <c r="N186" s="37"/>
      <c r="O186" s="30" t="n">
        <f aca="false">N186*J186</f>
        <v>0</v>
      </c>
    </row>
    <row r="187" customFormat="false" ht="15" hidden="false" customHeight="false" outlineLevel="0" collapsed="false">
      <c r="A187" s="33"/>
      <c r="B187" s="18" t="s">
        <v>23</v>
      </c>
      <c r="C187" s="29"/>
      <c r="D187" s="29"/>
      <c r="E187" s="29"/>
      <c r="F187" s="29"/>
      <c r="G187" s="34"/>
      <c r="H187" s="29"/>
      <c r="I187" s="29"/>
      <c r="J187" s="29"/>
      <c r="K187" s="29"/>
      <c r="L187" s="36"/>
      <c r="M187" s="29"/>
      <c r="N187" s="37"/>
      <c r="O187" s="30" t="n">
        <f aca="false">N187*J187</f>
        <v>0</v>
      </c>
    </row>
    <row r="188" customFormat="false" ht="15" hidden="false" customHeight="false" outlineLevel="0" collapsed="false">
      <c r="A188" s="33"/>
      <c r="B188" s="18" t="s">
        <v>23</v>
      </c>
      <c r="C188" s="29"/>
      <c r="D188" s="29"/>
      <c r="E188" s="29"/>
      <c r="F188" s="29"/>
      <c r="G188" s="34"/>
      <c r="H188" s="29"/>
      <c r="I188" s="29"/>
      <c r="J188" s="29"/>
      <c r="K188" s="29"/>
      <c r="L188" s="36"/>
      <c r="M188" s="29"/>
      <c r="N188" s="37"/>
      <c r="O188" s="30" t="n">
        <f aca="false">N188*J188</f>
        <v>0</v>
      </c>
    </row>
    <row r="189" customFormat="false" ht="15" hidden="false" customHeight="false" outlineLevel="0" collapsed="false">
      <c r="A189" s="33"/>
      <c r="B189" s="18" t="s">
        <v>23</v>
      </c>
      <c r="C189" s="29"/>
      <c r="D189" s="29"/>
      <c r="E189" s="29"/>
      <c r="F189" s="29"/>
      <c r="G189" s="34"/>
      <c r="H189" s="29"/>
      <c r="I189" s="29"/>
      <c r="J189" s="29"/>
      <c r="K189" s="29"/>
      <c r="L189" s="36"/>
      <c r="M189" s="29"/>
      <c r="N189" s="37"/>
      <c r="O189" s="30" t="n">
        <f aca="false">N189*J189</f>
        <v>0</v>
      </c>
    </row>
    <row r="190" customFormat="false" ht="15" hidden="false" customHeight="false" outlineLevel="0" collapsed="false">
      <c r="A190" s="33"/>
      <c r="B190" s="18" t="s">
        <v>23</v>
      </c>
      <c r="C190" s="29"/>
      <c r="D190" s="29"/>
      <c r="E190" s="29"/>
      <c r="F190" s="29"/>
      <c r="G190" s="34"/>
      <c r="H190" s="29"/>
      <c r="I190" s="29"/>
      <c r="J190" s="29"/>
      <c r="K190" s="29"/>
      <c r="L190" s="36"/>
      <c r="M190" s="29"/>
      <c r="N190" s="37"/>
      <c r="O190" s="30" t="n">
        <f aca="false">N190*J190</f>
        <v>0</v>
      </c>
    </row>
    <row r="191" customFormat="false" ht="15" hidden="false" customHeight="false" outlineLevel="0" collapsed="false">
      <c r="A191" s="33"/>
      <c r="B191" s="18" t="s">
        <v>23</v>
      </c>
      <c r="C191" s="29"/>
      <c r="D191" s="29"/>
      <c r="E191" s="29"/>
      <c r="F191" s="29"/>
      <c r="G191" s="34"/>
      <c r="H191" s="29"/>
      <c r="I191" s="29"/>
      <c r="J191" s="29"/>
      <c r="K191" s="29"/>
      <c r="L191" s="36"/>
      <c r="M191" s="29"/>
      <c r="N191" s="37"/>
      <c r="O191" s="30" t="n">
        <f aca="false">N191*J191</f>
        <v>0</v>
      </c>
    </row>
    <row r="192" customFormat="false" ht="15" hidden="false" customHeight="false" outlineLevel="0" collapsed="false">
      <c r="A192" s="33"/>
      <c r="B192" s="18" t="s">
        <v>23</v>
      </c>
      <c r="C192" s="29"/>
      <c r="D192" s="29"/>
      <c r="E192" s="29"/>
      <c r="F192" s="29"/>
      <c r="G192" s="34"/>
      <c r="H192" s="29"/>
      <c r="I192" s="29"/>
      <c r="J192" s="29"/>
      <c r="K192" s="29"/>
      <c r="L192" s="36"/>
      <c r="M192" s="29"/>
      <c r="N192" s="37"/>
      <c r="O192" s="30" t="n">
        <f aca="false">N192*J192</f>
        <v>0</v>
      </c>
    </row>
    <row r="193" customFormat="false" ht="15" hidden="false" customHeight="false" outlineLevel="0" collapsed="false">
      <c r="A193" s="33"/>
      <c r="B193" s="18" t="s">
        <v>23</v>
      </c>
      <c r="C193" s="29"/>
      <c r="D193" s="29"/>
      <c r="E193" s="29"/>
      <c r="F193" s="29"/>
      <c r="G193" s="34"/>
      <c r="H193" s="29"/>
      <c r="I193" s="29"/>
      <c r="J193" s="29"/>
      <c r="K193" s="29"/>
      <c r="L193" s="36"/>
      <c r="M193" s="29"/>
      <c r="N193" s="37"/>
      <c r="O193" s="30" t="n">
        <f aca="false">N193*J193</f>
        <v>0</v>
      </c>
    </row>
    <row r="194" customFormat="false" ht="15" hidden="false" customHeight="false" outlineLevel="0" collapsed="false">
      <c r="A194" s="33"/>
      <c r="B194" s="18" t="s">
        <v>23</v>
      </c>
      <c r="C194" s="29"/>
      <c r="D194" s="29"/>
      <c r="E194" s="29"/>
      <c r="F194" s="29"/>
      <c r="G194" s="34"/>
      <c r="H194" s="29"/>
      <c r="I194" s="29"/>
      <c r="J194" s="29"/>
      <c r="K194" s="29"/>
      <c r="L194" s="36"/>
      <c r="M194" s="29"/>
      <c r="N194" s="37"/>
      <c r="O194" s="30" t="n">
        <f aca="false">N194*J194</f>
        <v>0</v>
      </c>
    </row>
    <row r="195" customFormat="false" ht="15" hidden="false" customHeight="false" outlineLevel="0" collapsed="false">
      <c r="A195" s="33"/>
      <c r="B195" s="18" t="s">
        <v>23</v>
      </c>
      <c r="C195" s="29"/>
      <c r="D195" s="29"/>
      <c r="E195" s="29"/>
      <c r="F195" s="29"/>
      <c r="G195" s="34"/>
      <c r="H195" s="29"/>
      <c r="I195" s="29"/>
      <c r="J195" s="29"/>
      <c r="K195" s="29"/>
      <c r="L195" s="36"/>
      <c r="M195" s="29"/>
      <c r="N195" s="37"/>
      <c r="O195" s="30" t="n">
        <f aca="false">N195*J195</f>
        <v>0</v>
      </c>
    </row>
    <row r="196" customFormat="false" ht="15" hidden="false" customHeight="false" outlineLevel="0" collapsed="false">
      <c r="A196" s="33"/>
      <c r="B196" s="18" t="s">
        <v>23</v>
      </c>
      <c r="C196" s="29"/>
      <c r="D196" s="29"/>
      <c r="E196" s="29"/>
      <c r="F196" s="29"/>
      <c r="G196" s="34"/>
      <c r="H196" s="29"/>
      <c r="I196" s="29"/>
      <c r="J196" s="29"/>
      <c r="K196" s="29"/>
      <c r="L196" s="36"/>
      <c r="M196" s="29"/>
      <c r="N196" s="37"/>
      <c r="O196" s="30" t="n">
        <f aca="false">N196*J196</f>
        <v>0</v>
      </c>
    </row>
    <row r="197" customFormat="false" ht="15" hidden="false" customHeight="false" outlineLevel="0" collapsed="false">
      <c r="A197" s="33"/>
      <c r="B197" s="18" t="s">
        <v>23</v>
      </c>
      <c r="C197" s="29"/>
      <c r="D197" s="29"/>
      <c r="E197" s="29"/>
      <c r="F197" s="29"/>
      <c r="G197" s="34"/>
      <c r="H197" s="29"/>
      <c r="I197" s="29"/>
      <c r="J197" s="29"/>
      <c r="K197" s="29"/>
      <c r="L197" s="36"/>
      <c r="M197" s="29"/>
      <c r="N197" s="37"/>
      <c r="O197" s="30" t="n">
        <f aca="false">N197*J197</f>
        <v>0</v>
      </c>
    </row>
    <row r="198" customFormat="false" ht="15" hidden="false" customHeight="false" outlineLevel="0" collapsed="false">
      <c r="A198" s="33"/>
      <c r="B198" s="18" t="s">
        <v>23</v>
      </c>
      <c r="C198" s="29"/>
      <c r="D198" s="29"/>
      <c r="E198" s="29"/>
      <c r="F198" s="29"/>
      <c r="G198" s="34"/>
      <c r="H198" s="29"/>
      <c r="I198" s="29"/>
      <c r="J198" s="29"/>
      <c r="K198" s="29"/>
      <c r="L198" s="36"/>
      <c r="M198" s="29"/>
      <c r="N198" s="37"/>
      <c r="O198" s="30" t="n">
        <f aca="false">N198*J198</f>
        <v>0</v>
      </c>
    </row>
    <row r="199" customFormat="false" ht="15" hidden="false" customHeight="false" outlineLevel="0" collapsed="false">
      <c r="A199" s="33"/>
      <c r="B199" s="18" t="s">
        <v>23</v>
      </c>
      <c r="C199" s="29"/>
      <c r="D199" s="29"/>
      <c r="E199" s="29"/>
      <c r="F199" s="29"/>
      <c r="G199" s="34"/>
      <c r="H199" s="29"/>
      <c r="I199" s="29"/>
      <c r="J199" s="29"/>
      <c r="K199" s="29"/>
      <c r="L199" s="36"/>
      <c r="M199" s="29"/>
      <c r="N199" s="37"/>
      <c r="O199" s="30" t="n">
        <f aca="false">N199*J199</f>
        <v>0</v>
      </c>
    </row>
    <row r="200" customFormat="false" ht="15" hidden="false" customHeight="false" outlineLevel="0" collapsed="false">
      <c r="A200" s="33"/>
      <c r="B200" s="18" t="s">
        <v>23</v>
      </c>
      <c r="C200" s="29"/>
      <c r="D200" s="29"/>
      <c r="E200" s="29"/>
      <c r="F200" s="29"/>
      <c r="G200" s="34"/>
      <c r="H200" s="29"/>
      <c r="I200" s="29"/>
      <c r="J200" s="29"/>
      <c r="K200" s="29"/>
      <c r="L200" s="36"/>
      <c r="M200" s="29"/>
      <c r="N200" s="37"/>
      <c r="O200" s="30" t="n">
        <f aca="false">N200*J200</f>
        <v>0</v>
      </c>
    </row>
    <row r="201" customFormat="false" ht="15" hidden="false" customHeight="false" outlineLevel="0" collapsed="false">
      <c r="A201" s="33"/>
      <c r="B201" s="18" t="s">
        <v>23</v>
      </c>
      <c r="C201" s="29"/>
      <c r="D201" s="29"/>
      <c r="E201" s="29"/>
      <c r="F201" s="29"/>
      <c r="G201" s="34"/>
      <c r="H201" s="29"/>
      <c r="I201" s="29"/>
      <c r="J201" s="29"/>
      <c r="K201" s="29"/>
      <c r="L201" s="36"/>
      <c r="M201" s="29"/>
      <c r="N201" s="37"/>
      <c r="O201" s="30" t="n">
        <f aca="false">N201*J201</f>
        <v>0</v>
      </c>
    </row>
    <row r="202" customFormat="false" ht="15" hidden="false" customHeight="false" outlineLevel="0" collapsed="false">
      <c r="A202" s="33"/>
      <c r="B202" s="18" t="s">
        <v>23</v>
      </c>
      <c r="C202" s="29"/>
      <c r="D202" s="29"/>
      <c r="E202" s="29"/>
      <c r="F202" s="29"/>
      <c r="G202" s="34"/>
      <c r="H202" s="29"/>
      <c r="I202" s="29"/>
      <c r="J202" s="29"/>
      <c r="K202" s="29"/>
      <c r="L202" s="36"/>
      <c r="M202" s="29"/>
      <c r="N202" s="37"/>
      <c r="O202" s="30" t="n">
        <f aca="false">N202*J202</f>
        <v>0</v>
      </c>
    </row>
    <row r="203" customFormat="false" ht="15" hidden="false" customHeight="false" outlineLevel="0" collapsed="false">
      <c r="A203" s="33"/>
      <c r="B203" s="18" t="s">
        <v>23</v>
      </c>
      <c r="C203" s="29"/>
      <c r="D203" s="29"/>
      <c r="E203" s="29"/>
      <c r="F203" s="29"/>
      <c r="G203" s="34"/>
      <c r="H203" s="29"/>
      <c r="I203" s="29"/>
      <c r="J203" s="29"/>
      <c r="K203" s="29"/>
      <c r="L203" s="36"/>
      <c r="M203" s="29"/>
      <c r="N203" s="37"/>
      <c r="O203" s="30" t="n">
        <f aca="false">N203*J203</f>
        <v>0</v>
      </c>
    </row>
    <row r="204" customFormat="false" ht="15" hidden="false" customHeight="false" outlineLevel="0" collapsed="false">
      <c r="A204" s="33"/>
      <c r="B204" s="18" t="s">
        <v>23</v>
      </c>
      <c r="C204" s="29"/>
      <c r="D204" s="29"/>
      <c r="E204" s="29"/>
      <c r="F204" s="29"/>
      <c r="G204" s="34"/>
      <c r="H204" s="29"/>
      <c r="I204" s="29"/>
      <c r="J204" s="29"/>
      <c r="K204" s="29"/>
      <c r="L204" s="36"/>
      <c r="M204" s="29"/>
      <c r="N204" s="37"/>
      <c r="O204" s="30" t="n">
        <f aca="false">N204*J204</f>
        <v>0</v>
      </c>
    </row>
    <row r="205" customFormat="false" ht="15" hidden="false" customHeight="false" outlineLevel="0" collapsed="false">
      <c r="A205" s="33"/>
      <c r="B205" s="18" t="s">
        <v>23</v>
      </c>
      <c r="C205" s="29"/>
      <c r="D205" s="29"/>
      <c r="E205" s="29"/>
      <c r="F205" s="29"/>
      <c r="G205" s="34"/>
      <c r="H205" s="29"/>
      <c r="I205" s="29"/>
      <c r="J205" s="29"/>
      <c r="K205" s="29"/>
      <c r="L205" s="36"/>
      <c r="M205" s="29"/>
      <c r="N205" s="37"/>
      <c r="O205" s="30" t="n">
        <f aca="false">N205*J205</f>
        <v>0</v>
      </c>
    </row>
    <row r="206" customFormat="false" ht="15" hidden="false" customHeight="false" outlineLevel="0" collapsed="false">
      <c r="A206" s="33"/>
      <c r="B206" s="18" t="s">
        <v>23</v>
      </c>
      <c r="C206" s="29"/>
      <c r="D206" s="29"/>
      <c r="E206" s="29"/>
      <c r="F206" s="29"/>
      <c r="G206" s="34"/>
      <c r="H206" s="29"/>
      <c r="I206" s="29"/>
      <c r="J206" s="29"/>
      <c r="K206" s="29"/>
      <c r="L206" s="36"/>
      <c r="M206" s="29"/>
      <c r="N206" s="37"/>
      <c r="O206" s="30" t="n">
        <f aca="false">N206*J206</f>
        <v>0</v>
      </c>
    </row>
    <row r="207" customFormat="false" ht="15" hidden="false" customHeight="false" outlineLevel="0" collapsed="false">
      <c r="A207" s="33"/>
      <c r="B207" s="18" t="s">
        <v>23</v>
      </c>
      <c r="C207" s="29"/>
      <c r="D207" s="29"/>
      <c r="E207" s="29"/>
      <c r="F207" s="29"/>
      <c r="G207" s="34"/>
      <c r="H207" s="29"/>
      <c r="I207" s="29"/>
      <c r="J207" s="29"/>
      <c r="K207" s="29"/>
      <c r="L207" s="36"/>
      <c r="M207" s="29"/>
      <c r="N207" s="37"/>
      <c r="O207" s="30" t="n">
        <f aca="false">N207*J207</f>
        <v>0</v>
      </c>
    </row>
    <row r="208" customFormat="false" ht="15" hidden="false" customHeight="false" outlineLevel="0" collapsed="false">
      <c r="A208" s="33"/>
      <c r="B208" s="18" t="s">
        <v>23</v>
      </c>
      <c r="C208" s="29"/>
      <c r="D208" s="29"/>
      <c r="E208" s="29"/>
      <c r="F208" s="29"/>
      <c r="G208" s="34"/>
      <c r="H208" s="29"/>
      <c r="I208" s="29"/>
      <c r="J208" s="29"/>
      <c r="K208" s="29"/>
      <c r="L208" s="36"/>
      <c r="M208" s="29"/>
      <c r="N208" s="37"/>
      <c r="O208" s="30" t="n">
        <f aca="false">N208*J208</f>
        <v>0</v>
      </c>
    </row>
    <row r="209" customFormat="false" ht="15" hidden="false" customHeight="false" outlineLevel="0" collapsed="false">
      <c r="A209" s="33"/>
      <c r="B209" s="18" t="s">
        <v>23</v>
      </c>
      <c r="C209" s="29"/>
      <c r="D209" s="29"/>
      <c r="E209" s="29"/>
      <c r="F209" s="29"/>
      <c r="G209" s="34"/>
      <c r="H209" s="29"/>
      <c r="I209" s="29"/>
      <c r="J209" s="29"/>
      <c r="K209" s="29"/>
      <c r="L209" s="36"/>
      <c r="M209" s="29"/>
      <c r="N209" s="37"/>
      <c r="O209" s="30" t="n">
        <f aca="false">N209*J209</f>
        <v>0</v>
      </c>
    </row>
    <row r="210" customFormat="false" ht="15" hidden="false" customHeight="false" outlineLevel="0" collapsed="false">
      <c r="A210" s="33"/>
      <c r="B210" s="18" t="s">
        <v>23</v>
      </c>
      <c r="C210" s="29"/>
      <c r="D210" s="29"/>
      <c r="E210" s="29"/>
      <c r="F210" s="29"/>
      <c r="G210" s="34"/>
      <c r="H210" s="29"/>
      <c r="I210" s="29"/>
      <c r="J210" s="29"/>
      <c r="K210" s="29"/>
      <c r="L210" s="36"/>
      <c r="M210" s="29"/>
      <c r="N210" s="37"/>
      <c r="O210" s="30" t="n">
        <f aca="false">N210*J210</f>
        <v>0</v>
      </c>
    </row>
    <row r="211" customFormat="false" ht="15" hidden="false" customHeight="false" outlineLevel="0" collapsed="false">
      <c r="A211" s="33"/>
      <c r="B211" s="18" t="s">
        <v>23</v>
      </c>
      <c r="C211" s="29"/>
      <c r="D211" s="29"/>
      <c r="E211" s="29"/>
      <c r="F211" s="29"/>
      <c r="G211" s="34"/>
      <c r="H211" s="29"/>
      <c r="I211" s="29"/>
      <c r="J211" s="29"/>
      <c r="K211" s="29"/>
      <c r="L211" s="36"/>
      <c r="M211" s="29"/>
      <c r="N211" s="37"/>
      <c r="O211" s="30" t="n">
        <f aca="false">N211*J211</f>
        <v>0</v>
      </c>
    </row>
    <row r="212" customFormat="false" ht="15" hidden="false" customHeight="false" outlineLevel="0" collapsed="false">
      <c r="A212" s="33"/>
      <c r="B212" s="18" t="s">
        <v>23</v>
      </c>
      <c r="C212" s="29"/>
      <c r="D212" s="29"/>
      <c r="E212" s="29"/>
      <c r="F212" s="29"/>
      <c r="G212" s="34"/>
      <c r="H212" s="29"/>
      <c r="I212" s="29"/>
      <c r="J212" s="29"/>
      <c r="K212" s="29"/>
      <c r="L212" s="36"/>
      <c r="M212" s="29"/>
      <c r="N212" s="37"/>
      <c r="O212" s="30" t="n">
        <f aca="false">N212*J212</f>
        <v>0</v>
      </c>
    </row>
    <row r="213" customFormat="false" ht="15" hidden="false" customHeight="false" outlineLevel="0" collapsed="false">
      <c r="A213" s="33"/>
      <c r="B213" s="18" t="s">
        <v>23</v>
      </c>
      <c r="C213" s="29"/>
      <c r="D213" s="29"/>
      <c r="E213" s="29"/>
      <c r="F213" s="29"/>
      <c r="G213" s="34"/>
      <c r="H213" s="29"/>
      <c r="I213" s="29"/>
      <c r="J213" s="29"/>
      <c r="K213" s="29"/>
      <c r="L213" s="36"/>
      <c r="M213" s="29"/>
      <c r="N213" s="37"/>
      <c r="O213" s="30" t="n">
        <f aca="false">N213*J213</f>
        <v>0</v>
      </c>
    </row>
    <row r="214" customFormat="false" ht="15" hidden="false" customHeight="false" outlineLevel="0" collapsed="false">
      <c r="A214" s="33"/>
      <c r="B214" s="18" t="s">
        <v>23</v>
      </c>
      <c r="C214" s="29"/>
      <c r="D214" s="29"/>
      <c r="E214" s="29"/>
      <c r="F214" s="29"/>
      <c r="G214" s="34"/>
      <c r="H214" s="29"/>
      <c r="I214" s="29"/>
      <c r="J214" s="29"/>
      <c r="K214" s="29"/>
      <c r="L214" s="36"/>
      <c r="M214" s="29"/>
      <c r="N214" s="37"/>
      <c r="O214" s="30" t="n">
        <f aca="false">N214*J214</f>
        <v>0</v>
      </c>
    </row>
    <row r="215" customFormat="false" ht="15" hidden="false" customHeight="false" outlineLevel="0" collapsed="false">
      <c r="A215" s="33"/>
      <c r="B215" s="18" t="s">
        <v>23</v>
      </c>
      <c r="C215" s="29"/>
      <c r="D215" s="29"/>
      <c r="E215" s="29"/>
      <c r="F215" s="29"/>
      <c r="G215" s="34"/>
      <c r="H215" s="29"/>
      <c r="I215" s="29"/>
      <c r="J215" s="29"/>
      <c r="K215" s="29"/>
      <c r="L215" s="36"/>
      <c r="M215" s="29"/>
      <c r="N215" s="37"/>
      <c r="O215" s="30" t="n">
        <f aca="false">N215*J215</f>
        <v>0</v>
      </c>
    </row>
    <row r="216" customFormat="false" ht="15" hidden="false" customHeight="false" outlineLevel="0" collapsed="false">
      <c r="A216" s="33"/>
      <c r="B216" s="18" t="s">
        <v>23</v>
      </c>
      <c r="C216" s="29"/>
      <c r="D216" s="29"/>
      <c r="E216" s="29"/>
      <c r="F216" s="29"/>
      <c r="G216" s="34"/>
      <c r="H216" s="29"/>
      <c r="I216" s="29"/>
      <c r="J216" s="29"/>
      <c r="K216" s="29"/>
      <c r="L216" s="36"/>
      <c r="M216" s="29"/>
      <c r="N216" s="37"/>
      <c r="O216" s="30" t="n">
        <f aca="false">N216*J216</f>
        <v>0</v>
      </c>
    </row>
    <row r="217" customFormat="false" ht="15" hidden="false" customHeight="false" outlineLevel="0" collapsed="false">
      <c r="A217" s="33"/>
      <c r="B217" s="18" t="s">
        <v>23</v>
      </c>
      <c r="C217" s="29"/>
      <c r="D217" s="29"/>
      <c r="E217" s="29"/>
      <c r="F217" s="29"/>
      <c r="G217" s="34"/>
      <c r="H217" s="29"/>
      <c r="I217" s="29"/>
      <c r="J217" s="29"/>
      <c r="K217" s="29"/>
      <c r="L217" s="36"/>
      <c r="M217" s="29"/>
      <c r="N217" s="37"/>
      <c r="O217" s="30" t="n">
        <f aca="false">N217*J217</f>
        <v>0</v>
      </c>
    </row>
    <row r="218" customFormat="false" ht="15" hidden="false" customHeight="false" outlineLevel="0" collapsed="false">
      <c r="A218" s="33"/>
      <c r="B218" s="18" t="s">
        <v>23</v>
      </c>
      <c r="C218" s="29"/>
      <c r="D218" s="29"/>
      <c r="E218" s="29"/>
      <c r="F218" s="29"/>
      <c r="G218" s="34"/>
      <c r="H218" s="29"/>
      <c r="I218" s="29"/>
      <c r="J218" s="29"/>
      <c r="K218" s="29"/>
      <c r="L218" s="36"/>
      <c r="M218" s="29"/>
      <c r="N218" s="37"/>
      <c r="O218" s="30" t="n">
        <f aca="false">N218*J218</f>
        <v>0</v>
      </c>
    </row>
    <row r="219" customFormat="false" ht="15" hidden="false" customHeight="false" outlineLevel="0" collapsed="false">
      <c r="A219" s="33"/>
      <c r="B219" s="18" t="s">
        <v>23</v>
      </c>
      <c r="C219" s="29"/>
      <c r="D219" s="29"/>
      <c r="E219" s="29"/>
      <c r="F219" s="29"/>
      <c r="G219" s="34"/>
      <c r="H219" s="29"/>
      <c r="I219" s="29"/>
      <c r="J219" s="29"/>
      <c r="K219" s="29"/>
      <c r="L219" s="36"/>
      <c r="M219" s="29"/>
      <c r="N219" s="37"/>
      <c r="O219" s="30" t="n">
        <f aca="false">N219*J219</f>
        <v>0</v>
      </c>
    </row>
    <row r="220" customFormat="false" ht="15" hidden="false" customHeight="false" outlineLevel="0" collapsed="false">
      <c r="A220" s="33"/>
      <c r="B220" s="18" t="s">
        <v>23</v>
      </c>
      <c r="C220" s="29"/>
      <c r="D220" s="29"/>
      <c r="E220" s="29"/>
      <c r="F220" s="29"/>
      <c r="G220" s="34"/>
      <c r="H220" s="29"/>
      <c r="I220" s="29"/>
      <c r="J220" s="29"/>
      <c r="K220" s="29"/>
      <c r="L220" s="36"/>
      <c r="M220" s="29"/>
      <c r="N220" s="37"/>
      <c r="O220" s="30" t="n">
        <f aca="false">N220*J220</f>
        <v>0</v>
      </c>
    </row>
    <row r="221" customFormat="false" ht="15" hidden="false" customHeight="false" outlineLevel="0" collapsed="false">
      <c r="A221" s="33"/>
      <c r="B221" s="18" t="s">
        <v>23</v>
      </c>
      <c r="C221" s="29"/>
      <c r="D221" s="29"/>
      <c r="E221" s="29"/>
      <c r="F221" s="29"/>
      <c r="G221" s="34"/>
      <c r="H221" s="29"/>
      <c r="I221" s="29"/>
      <c r="J221" s="29"/>
      <c r="K221" s="29"/>
      <c r="L221" s="36"/>
      <c r="M221" s="29"/>
      <c r="N221" s="37"/>
      <c r="O221" s="30" t="n">
        <f aca="false">N221*J221</f>
        <v>0</v>
      </c>
    </row>
    <row r="222" customFormat="false" ht="15" hidden="false" customHeight="false" outlineLevel="0" collapsed="false">
      <c r="A222" s="33"/>
      <c r="B222" s="18" t="s">
        <v>23</v>
      </c>
      <c r="C222" s="29"/>
      <c r="D222" s="29"/>
      <c r="E222" s="29"/>
      <c r="F222" s="29"/>
      <c r="G222" s="34"/>
      <c r="H222" s="29"/>
      <c r="I222" s="29"/>
      <c r="J222" s="29"/>
      <c r="K222" s="29"/>
      <c r="L222" s="36"/>
      <c r="M222" s="29"/>
      <c r="N222" s="37"/>
      <c r="O222" s="30" t="n">
        <f aca="false">N222*J222</f>
        <v>0</v>
      </c>
    </row>
    <row r="223" customFormat="false" ht="15" hidden="false" customHeight="false" outlineLevel="0" collapsed="false">
      <c r="A223" s="33"/>
      <c r="B223" s="18" t="s">
        <v>23</v>
      </c>
      <c r="C223" s="29"/>
      <c r="D223" s="29"/>
      <c r="E223" s="29"/>
      <c r="F223" s="29"/>
      <c r="G223" s="34"/>
      <c r="H223" s="29"/>
      <c r="I223" s="29"/>
      <c r="J223" s="29"/>
      <c r="K223" s="29"/>
      <c r="L223" s="36"/>
      <c r="M223" s="29"/>
      <c r="N223" s="37"/>
      <c r="O223" s="30" t="n">
        <f aca="false">N223*J223</f>
        <v>0</v>
      </c>
    </row>
    <row r="224" customFormat="false" ht="15" hidden="false" customHeight="false" outlineLevel="0" collapsed="false">
      <c r="A224" s="33"/>
      <c r="B224" s="18" t="s">
        <v>23</v>
      </c>
      <c r="C224" s="29"/>
      <c r="D224" s="29"/>
      <c r="E224" s="29"/>
      <c r="F224" s="29"/>
      <c r="G224" s="34"/>
      <c r="H224" s="29"/>
      <c r="I224" s="29"/>
      <c r="J224" s="29"/>
      <c r="K224" s="29"/>
      <c r="L224" s="36"/>
      <c r="M224" s="29"/>
      <c r="N224" s="37"/>
      <c r="O224" s="30" t="n">
        <f aca="false">N224*J224</f>
        <v>0</v>
      </c>
    </row>
    <row r="225" customFormat="false" ht="15" hidden="false" customHeight="false" outlineLevel="0" collapsed="false">
      <c r="A225" s="33"/>
      <c r="B225" s="18" t="s">
        <v>23</v>
      </c>
      <c r="C225" s="29"/>
      <c r="D225" s="29"/>
      <c r="E225" s="29"/>
      <c r="F225" s="29"/>
      <c r="G225" s="34"/>
      <c r="H225" s="29"/>
      <c r="I225" s="29"/>
      <c r="J225" s="29"/>
      <c r="K225" s="29"/>
      <c r="L225" s="36"/>
      <c r="M225" s="29"/>
      <c r="N225" s="37"/>
      <c r="O225" s="30" t="n">
        <f aca="false">N225*J225</f>
        <v>0</v>
      </c>
    </row>
    <row r="226" customFormat="false" ht="15" hidden="false" customHeight="false" outlineLevel="0" collapsed="false">
      <c r="A226" s="33"/>
      <c r="B226" s="18" t="s">
        <v>23</v>
      </c>
      <c r="C226" s="29"/>
      <c r="D226" s="29"/>
      <c r="E226" s="29"/>
      <c r="F226" s="29"/>
      <c r="G226" s="34"/>
      <c r="H226" s="29"/>
      <c r="I226" s="29"/>
      <c r="J226" s="29"/>
      <c r="K226" s="29"/>
      <c r="L226" s="36"/>
      <c r="M226" s="29"/>
      <c r="N226" s="37"/>
      <c r="O226" s="30" t="n">
        <f aca="false">N226*J226</f>
        <v>0</v>
      </c>
    </row>
    <row r="227" customFormat="false" ht="15" hidden="false" customHeight="false" outlineLevel="0" collapsed="false">
      <c r="A227" s="33"/>
      <c r="B227" s="18" t="s">
        <v>23</v>
      </c>
      <c r="C227" s="29"/>
      <c r="D227" s="29"/>
      <c r="E227" s="29"/>
      <c r="F227" s="29"/>
      <c r="G227" s="34"/>
      <c r="H227" s="29"/>
      <c r="I227" s="29"/>
      <c r="J227" s="29"/>
      <c r="K227" s="29"/>
      <c r="L227" s="36"/>
      <c r="M227" s="29"/>
      <c r="N227" s="37"/>
      <c r="O227" s="30" t="n">
        <f aca="false">N227*J227</f>
        <v>0</v>
      </c>
    </row>
    <row r="228" customFormat="false" ht="15" hidden="false" customHeight="false" outlineLevel="0" collapsed="false">
      <c r="A228" s="33"/>
      <c r="B228" s="18" t="s">
        <v>23</v>
      </c>
      <c r="C228" s="29"/>
      <c r="D228" s="29"/>
      <c r="E228" s="29"/>
      <c r="F228" s="29"/>
      <c r="G228" s="34"/>
      <c r="H228" s="29"/>
      <c r="I228" s="29"/>
      <c r="J228" s="29"/>
      <c r="K228" s="29"/>
      <c r="L228" s="36"/>
      <c r="M228" s="29"/>
      <c r="N228" s="37"/>
      <c r="O228" s="30" t="n">
        <f aca="false">N228*J228</f>
        <v>0</v>
      </c>
    </row>
    <row r="229" customFormat="false" ht="15" hidden="false" customHeight="false" outlineLevel="0" collapsed="false">
      <c r="A229" s="33"/>
      <c r="B229" s="18" t="s">
        <v>23</v>
      </c>
      <c r="C229" s="29"/>
      <c r="D229" s="29"/>
      <c r="E229" s="29"/>
      <c r="F229" s="29"/>
      <c r="G229" s="34"/>
      <c r="H229" s="29"/>
      <c r="I229" s="29"/>
      <c r="J229" s="29"/>
      <c r="K229" s="29"/>
      <c r="L229" s="36"/>
      <c r="M229" s="29"/>
      <c r="N229" s="37"/>
      <c r="O229" s="30" t="n">
        <f aca="false">N229*J229</f>
        <v>0</v>
      </c>
    </row>
    <row r="230" customFormat="false" ht="15" hidden="false" customHeight="false" outlineLevel="0" collapsed="false">
      <c r="A230" s="33"/>
      <c r="B230" s="18" t="s">
        <v>23</v>
      </c>
      <c r="C230" s="29"/>
      <c r="D230" s="29"/>
      <c r="E230" s="29"/>
      <c r="F230" s="29"/>
      <c r="G230" s="34"/>
      <c r="H230" s="29"/>
      <c r="I230" s="29"/>
      <c r="J230" s="29"/>
      <c r="K230" s="29"/>
      <c r="L230" s="36"/>
      <c r="M230" s="29"/>
      <c r="N230" s="37"/>
      <c r="O230" s="30" t="n">
        <f aca="false">N230*J230</f>
        <v>0</v>
      </c>
    </row>
    <row r="231" customFormat="false" ht="15" hidden="false" customHeight="false" outlineLevel="0" collapsed="false">
      <c r="A231" s="33"/>
      <c r="B231" s="18" t="s">
        <v>23</v>
      </c>
      <c r="C231" s="29"/>
      <c r="D231" s="29"/>
      <c r="E231" s="29"/>
      <c r="F231" s="29"/>
      <c r="G231" s="34"/>
      <c r="H231" s="29"/>
      <c r="I231" s="29"/>
      <c r="J231" s="29"/>
      <c r="K231" s="29"/>
      <c r="L231" s="36"/>
      <c r="M231" s="29"/>
      <c r="N231" s="37"/>
      <c r="O231" s="30" t="n">
        <f aca="false">N231*J231</f>
        <v>0</v>
      </c>
    </row>
    <row r="232" customFormat="false" ht="15" hidden="false" customHeight="false" outlineLevel="0" collapsed="false">
      <c r="A232" s="33"/>
      <c r="B232" s="18" t="s">
        <v>23</v>
      </c>
      <c r="C232" s="29"/>
      <c r="D232" s="29"/>
      <c r="E232" s="29"/>
      <c r="F232" s="29"/>
      <c r="G232" s="34"/>
      <c r="H232" s="29"/>
      <c r="I232" s="29"/>
      <c r="J232" s="29"/>
      <c r="K232" s="29"/>
      <c r="L232" s="36"/>
      <c r="M232" s="29"/>
      <c r="N232" s="37"/>
      <c r="O232" s="30" t="n">
        <f aca="false">N232*J232</f>
        <v>0</v>
      </c>
    </row>
    <row r="233" customFormat="false" ht="15" hidden="false" customHeight="false" outlineLevel="0" collapsed="false">
      <c r="A233" s="33"/>
      <c r="B233" s="18" t="s">
        <v>23</v>
      </c>
      <c r="C233" s="29"/>
      <c r="D233" s="29"/>
      <c r="E233" s="29"/>
      <c r="F233" s="29"/>
      <c r="G233" s="34"/>
      <c r="H233" s="29"/>
      <c r="I233" s="29"/>
      <c r="J233" s="29"/>
      <c r="K233" s="29"/>
      <c r="L233" s="36"/>
      <c r="M233" s="29"/>
      <c r="N233" s="37"/>
      <c r="O233" s="30" t="n">
        <f aca="false">N233*J233</f>
        <v>0</v>
      </c>
    </row>
    <row r="234" customFormat="false" ht="15" hidden="false" customHeight="false" outlineLevel="0" collapsed="false">
      <c r="A234" s="33"/>
      <c r="B234" s="18" t="s">
        <v>23</v>
      </c>
      <c r="C234" s="29"/>
      <c r="D234" s="29"/>
      <c r="E234" s="29"/>
      <c r="F234" s="29"/>
      <c r="G234" s="34"/>
      <c r="H234" s="29"/>
      <c r="I234" s="29"/>
      <c r="J234" s="29"/>
      <c r="K234" s="29"/>
      <c r="L234" s="36"/>
      <c r="M234" s="29"/>
      <c r="N234" s="37"/>
      <c r="O234" s="30" t="n">
        <f aca="false">N234*J234</f>
        <v>0</v>
      </c>
    </row>
    <row r="235" customFormat="false" ht="15" hidden="false" customHeight="false" outlineLevel="0" collapsed="false">
      <c r="A235" s="33"/>
      <c r="B235" s="18" t="s">
        <v>23</v>
      </c>
      <c r="C235" s="29"/>
      <c r="D235" s="29"/>
      <c r="E235" s="29"/>
      <c r="F235" s="29"/>
      <c r="G235" s="34"/>
      <c r="H235" s="29"/>
      <c r="I235" s="29"/>
      <c r="J235" s="29"/>
      <c r="K235" s="29"/>
      <c r="L235" s="36"/>
      <c r="M235" s="29"/>
      <c r="N235" s="37"/>
      <c r="O235" s="30" t="n">
        <f aca="false">N235*J235</f>
        <v>0</v>
      </c>
    </row>
    <row r="236" customFormat="false" ht="15" hidden="false" customHeight="false" outlineLevel="0" collapsed="false">
      <c r="A236" s="33"/>
      <c r="B236" s="18" t="s">
        <v>23</v>
      </c>
      <c r="C236" s="29"/>
      <c r="D236" s="29"/>
      <c r="E236" s="29"/>
      <c r="F236" s="29"/>
      <c r="G236" s="34"/>
      <c r="H236" s="29"/>
      <c r="I236" s="29"/>
      <c r="J236" s="29"/>
      <c r="K236" s="29"/>
      <c r="L236" s="36"/>
      <c r="M236" s="29"/>
      <c r="N236" s="37"/>
      <c r="O236" s="30" t="n">
        <f aca="false">N236*J236</f>
        <v>0</v>
      </c>
    </row>
    <row r="237" customFormat="false" ht="15" hidden="false" customHeight="false" outlineLevel="0" collapsed="false">
      <c r="A237" s="33"/>
      <c r="B237" s="18" t="s">
        <v>23</v>
      </c>
      <c r="C237" s="29"/>
      <c r="D237" s="29"/>
      <c r="E237" s="29"/>
      <c r="F237" s="29"/>
      <c r="G237" s="34"/>
      <c r="H237" s="29"/>
      <c r="I237" s="29"/>
      <c r="J237" s="29"/>
      <c r="K237" s="29"/>
      <c r="L237" s="36"/>
      <c r="M237" s="29"/>
      <c r="N237" s="37"/>
      <c r="O237" s="30" t="n">
        <f aca="false">N237*J237</f>
        <v>0</v>
      </c>
    </row>
    <row r="238" customFormat="false" ht="15" hidden="false" customHeight="false" outlineLevel="0" collapsed="false">
      <c r="A238" s="33"/>
      <c r="B238" s="18" t="s">
        <v>23</v>
      </c>
      <c r="C238" s="29"/>
      <c r="D238" s="29"/>
      <c r="E238" s="29"/>
      <c r="F238" s="29"/>
      <c r="G238" s="34"/>
      <c r="H238" s="29"/>
      <c r="I238" s="29"/>
      <c r="J238" s="29"/>
      <c r="K238" s="29"/>
      <c r="L238" s="36"/>
      <c r="M238" s="29" t="n">
        <v>-15</v>
      </c>
      <c r="N238" s="37"/>
      <c r="O238" s="30" t="n">
        <f aca="false">N238*J238</f>
        <v>0</v>
      </c>
    </row>
    <row r="239" customFormat="false" ht="15" hidden="false" customHeight="false" outlineLevel="0" collapsed="false">
      <c r="A239" s="33"/>
      <c r="B239" s="18" t="s">
        <v>23</v>
      </c>
      <c r="C239" s="29"/>
      <c r="D239" s="29"/>
      <c r="E239" s="29"/>
      <c r="F239" s="29"/>
      <c r="G239" s="34"/>
      <c r="H239" s="29"/>
      <c r="I239" s="29"/>
      <c r="J239" s="29"/>
      <c r="K239" s="29"/>
      <c r="L239" s="36"/>
      <c r="M239" s="29" t="n">
        <v>-15</v>
      </c>
      <c r="N239" s="37"/>
      <c r="O239" s="30" t="n">
        <f aca="false">N239*J239</f>
        <v>0</v>
      </c>
    </row>
    <row r="240" customFormat="false" ht="15" hidden="false" customHeight="false" outlineLevel="0" collapsed="false">
      <c r="A240" s="33"/>
      <c r="B240" s="18" t="s">
        <v>23</v>
      </c>
      <c r="C240" s="29"/>
      <c r="D240" s="29"/>
      <c r="E240" s="29"/>
      <c r="F240" s="29"/>
      <c r="G240" s="34"/>
      <c r="H240" s="29"/>
      <c r="I240" s="29"/>
      <c r="J240" s="29"/>
      <c r="K240" s="29"/>
      <c r="L240" s="36"/>
      <c r="M240" s="29" t="n">
        <v>-15</v>
      </c>
      <c r="N240" s="37"/>
      <c r="O240" s="30" t="n">
        <f aca="false">N240*J240</f>
        <v>0</v>
      </c>
    </row>
    <row r="241" customFormat="false" ht="15" hidden="false" customHeight="false" outlineLevel="0" collapsed="false">
      <c r="A241" s="33"/>
      <c r="B241" s="18" t="s">
        <v>23</v>
      </c>
      <c r="C241" s="29"/>
      <c r="D241" s="29"/>
      <c r="E241" s="29"/>
      <c r="F241" s="29"/>
      <c r="G241" s="34"/>
      <c r="H241" s="29"/>
      <c r="I241" s="29"/>
      <c r="J241" s="29"/>
      <c r="K241" s="29"/>
      <c r="L241" s="36"/>
      <c r="M241" s="29" t="n">
        <v>-15</v>
      </c>
      <c r="N241" s="37"/>
      <c r="O241" s="30" t="n">
        <f aca="false">N241*J241</f>
        <v>0</v>
      </c>
    </row>
    <row r="242" customFormat="false" ht="15" hidden="false" customHeight="false" outlineLevel="0" collapsed="false">
      <c r="A242" s="33"/>
      <c r="B242" s="18" t="s">
        <v>23</v>
      </c>
      <c r="C242" s="29"/>
      <c r="D242" s="29"/>
      <c r="E242" s="29"/>
      <c r="F242" s="29"/>
      <c r="G242" s="34"/>
      <c r="H242" s="29"/>
      <c r="I242" s="29"/>
      <c r="J242" s="29"/>
      <c r="K242" s="29"/>
      <c r="L242" s="36"/>
      <c r="M242" s="29" t="n">
        <v>-15</v>
      </c>
      <c r="N242" s="37"/>
      <c r="O242" s="30" t="n">
        <f aca="false">N242*J242</f>
        <v>0</v>
      </c>
    </row>
    <row r="243" customFormat="false" ht="15" hidden="false" customHeight="false" outlineLevel="0" collapsed="false">
      <c r="A243" s="33"/>
      <c r="B243" s="18" t="s">
        <v>23</v>
      </c>
      <c r="C243" s="29"/>
      <c r="D243" s="29"/>
      <c r="E243" s="29"/>
      <c r="F243" s="29"/>
      <c r="G243" s="34"/>
      <c r="H243" s="29"/>
      <c r="I243" s="29"/>
      <c r="J243" s="29"/>
      <c r="K243" s="29"/>
      <c r="L243" s="36"/>
      <c r="M243" s="29" t="n">
        <v>-15</v>
      </c>
      <c r="N243" s="37"/>
      <c r="O243" s="30" t="n">
        <f aca="false">N243*J243</f>
        <v>0</v>
      </c>
    </row>
    <row r="244" customFormat="false" ht="15" hidden="false" customHeight="false" outlineLevel="0" collapsed="false">
      <c r="A244" s="33"/>
      <c r="B244" s="18" t="s">
        <v>23</v>
      </c>
      <c r="C244" s="29"/>
      <c r="D244" s="29"/>
      <c r="E244" s="29"/>
      <c r="F244" s="29"/>
      <c r="G244" s="34"/>
      <c r="H244" s="29"/>
      <c r="I244" s="29"/>
      <c r="J244" s="29"/>
      <c r="K244" s="29"/>
      <c r="L244" s="36"/>
      <c r="M244" s="29" t="n">
        <v>-15</v>
      </c>
      <c r="N244" s="37"/>
      <c r="O244" s="30" t="n">
        <f aca="false">N244*J244</f>
        <v>0</v>
      </c>
    </row>
    <row r="245" customFormat="false" ht="15" hidden="false" customHeight="false" outlineLevel="0" collapsed="false">
      <c r="A245" s="33"/>
      <c r="B245" s="18" t="s">
        <v>23</v>
      </c>
      <c r="C245" s="29"/>
      <c r="D245" s="29"/>
      <c r="E245" s="29"/>
      <c r="F245" s="29"/>
      <c r="G245" s="34"/>
      <c r="H245" s="29"/>
      <c r="I245" s="29"/>
      <c r="J245" s="29"/>
      <c r="K245" s="29"/>
      <c r="L245" s="36"/>
      <c r="M245" s="29" t="n">
        <v>-15</v>
      </c>
      <c r="N245" s="37"/>
      <c r="O245" s="30" t="n">
        <f aca="false">N245*J245</f>
        <v>0</v>
      </c>
    </row>
    <row r="246" customFormat="false" ht="15" hidden="false" customHeight="false" outlineLevel="0" collapsed="false">
      <c r="A246" s="33"/>
      <c r="B246" s="18" t="s">
        <v>23</v>
      </c>
      <c r="C246" s="29"/>
      <c r="D246" s="29"/>
      <c r="E246" s="29"/>
      <c r="F246" s="29"/>
      <c r="G246" s="34"/>
      <c r="H246" s="29"/>
      <c r="I246" s="29"/>
      <c r="J246" s="29"/>
      <c r="K246" s="29"/>
      <c r="L246" s="36"/>
      <c r="M246" s="29" t="n">
        <v>-15</v>
      </c>
      <c r="N246" s="37"/>
      <c r="O246" s="30" t="n">
        <f aca="false">N246*J246</f>
        <v>0</v>
      </c>
    </row>
    <row r="247" customFormat="false" ht="15" hidden="false" customHeight="false" outlineLevel="0" collapsed="false">
      <c r="A247" s="33"/>
      <c r="B247" s="18" t="s">
        <v>23</v>
      </c>
      <c r="C247" s="29"/>
      <c r="D247" s="29"/>
      <c r="E247" s="29"/>
      <c r="F247" s="29"/>
      <c r="G247" s="34"/>
      <c r="H247" s="29"/>
      <c r="I247" s="29"/>
      <c r="J247" s="29"/>
      <c r="K247" s="29"/>
      <c r="L247" s="36"/>
      <c r="M247" s="29" t="n">
        <v>-15</v>
      </c>
      <c r="N247" s="37"/>
      <c r="O247" s="30" t="n">
        <f aca="false">N247*J247</f>
        <v>0</v>
      </c>
    </row>
    <row r="248" customFormat="false" ht="15" hidden="false" customHeight="false" outlineLevel="0" collapsed="false">
      <c r="A248" s="33"/>
      <c r="B248" s="18" t="s">
        <v>23</v>
      </c>
      <c r="C248" s="29"/>
      <c r="D248" s="29"/>
      <c r="E248" s="29"/>
      <c r="F248" s="29"/>
      <c r="G248" s="34"/>
      <c r="H248" s="29"/>
      <c r="I248" s="29"/>
      <c r="J248" s="29"/>
      <c r="K248" s="29"/>
      <c r="L248" s="36"/>
      <c r="M248" s="29" t="n">
        <v>-15</v>
      </c>
      <c r="N248" s="37"/>
      <c r="O248" s="30" t="n">
        <f aca="false">N248*J248</f>
        <v>0</v>
      </c>
    </row>
    <row r="249" customFormat="false" ht="15" hidden="false" customHeight="false" outlineLevel="0" collapsed="false">
      <c r="A249" s="33"/>
      <c r="B249" s="18" t="s">
        <v>23</v>
      </c>
      <c r="C249" s="29"/>
      <c r="D249" s="29"/>
      <c r="E249" s="29"/>
      <c r="F249" s="29"/>
      <c r="G249" s="34"/>
      <c r="H249" s="29"/>
      <c r="I249" s="29"/>
      <c r="J249" s="29"/>
      <c r="K249" s="29"/>
      <c r="L249" s="36"/>
      <c r="M249" s="29" t="n">
        <v>-15</v>
      </c>
      <c r="N249" s="37"/>
      <c r="O249" s="30" t="n">
        <f aca="false">N249*J249</f>
        <v>0</v>
      </c>
    </row>
    <row r="250" customFormat="false" ht="15" hidden="false" customHeight="false" outlineLevel="0" collapsed="false">
      <c r="A250" s="33"/>
      <c r="B250" s="18" t="s">
        <v>23</v>
      </c>
      <c r="C250" s="29"/>
      <c r="D250" s="29"/>
      <c r="E250" s="29"/>
      <c r="F250" s="29"/>
      <c r="G250" s="34"/>
      <c r="H250" s="29"/>
      <c r="I250" s="29"/>
      <c r="J250" s="29"/>
      <c r="K250" s="29"/>
      <c r="L250" s="36"/>
      <c r="M250" s="29" t="n">
        <v>-15</v>
      </c>
      <c r="N250" s="37"/>
      <c r="O250" s="30" t="n">
        <f aca="false">N250*J250</f>
        <v>0</v>
      </c>
    </row>
    <row r="251" customFormat="false" ht="15" hidden="false" customHeight="false" outlineLevel="0" collapsed="false">
      <c r="A251" s="33"/>
      <c r="B251" s="18" t="s">
        <v>23</v>
      </c>
      <c r="C251" s="29"/>
      <c r="D251" s="29"/>
      <c r="E251" s="29"/>
      <c r="F251" s="29"/>
      <c r="G251" s="34"/>
      <c r="H251" s="29"/>
      <c r="I251" s="29"/>
      <c r="J251" s="29"/>
      <c r="K251" s="29"/>
      <c r="L251" s="36"/>
      <c r="M251" s="29" t="n">
        <v>-15</v>
      </c>
      <c r="N251" s="37"/>
      <c r="O251" s="30" t="n">
        <f aca="false">N251*J251</f>
        <v>0</v>
      </c>
    </row>
    <row r="252" customFormat="false" ht="15" hidden="false" customHeight="false" outlineLevel="0" collapsed="false">
      <c r="A252" s="33"/>
      <c r="B252" s="18" t="s">
        <v>23</v>
      </c>
      <c r="C252" s="29"/>
      <c r="D252" s="29"/>
      <c r="E252" s="29"/>
      <c r="F252" s="29"/>
      <c r="G252" s="34"/>
      <c r="H252" s="29"/>
      <c r="I252" s="29"/>
      <c r="J252" s="29"/>
      <c r="K252" s="29"/>
      <c r="L252" s="36"/>
      <c r="M252" s="29" t="n">
        <v>-15</v>
      </c>
      <c r="N252" s="37"/>
      <c r="O252" s="30" t="n">
        <f aca="false">N252*J252</f>
        <v>0</v>
      </c>
    </row>
    <row r="253" customFormat="false" ht="15" hidden="false" customHeight="false" outlineLevel="0" collapsed="false">
      <c r="A253" s="33"/>
      <c r="B253" s="18" t="s">
        <v>23</v>
      </c>
      <c r="C253" s="29"/>
      <c r="D253" s="29"/>
      <c r="E253" s="29"/>
      <c r="F253" s="29"/>
      <c r="G253" s="34"/>
      <c r="H253" s="29"/>
      <c r="I253" s="29"/>
      <c r="J253" s="29"/>
      <c r="K253" s="29"/>
      <c r="L253" s="36"/>
      <c r="M253" s="29" t="n">
        <v>-15</v>
      </c>
      <c r="N253" s="37"/>
      <c r="O253" s="30" t="n">
        <f aca="false">N253*J253</f>
        <v>0</v>
      </c>
    </row>
    <row r="254" customFormat="false" ht="15" hidden="false" customHeight="false" outlineLevel="0" collapsed="false">
      <c r="A254" s="33"/>
      <c r="B254" s="18" t="s">
        <v>23</v>
      </c>
      <c r="C254" s="29"/>
      <c r="D254" s="29"/>
      <c r="E254" s="29"/>
      <c r="F254" s="29"/>
      <c r="G254" s="34"/>
      <c r="H254" s="29"/>
      <c r="I254" s="29"/>
      <c r="J254" s="29"/>
      <c r="K254" s="29"/>
      <c r="L254" s="36"/>
      <c r="M254" s="29" t="n">
        <v>-15</v>
      </c>
      <c r="N254" s="37"/>
      <c r="O254" s="30" t="n">
        <f aca="false">N254*J254</f>
        <v>0</v>
      </c>
    </row>
    <row r="255" customFormat="false" ht="15" hidden="false" customHeight="false" outlineLevel="0" collapsed="false">
      <c r="A255" s="33"/>
      <c r="B255" s="18" t="s">
        <v>23</v>
      </c>
      <c r="C255" s="29"/>
      <c r="D255" s="29"/>
      <c r="E255" s="29"/>
      <c r="F255" s="29"/>
      <c r="G255" s="34"/>
      <c r="H255" s="29"/>
      <c r="I255" s="29"/>
      <c r="J255" s="29"/>
      <c r="K255" s="29"/>
      <c r="L255" s="36"/>
      <c r="M255" s="29" t="n">
        <v>-15</v>
      </c>
      <c r="N255" s="37"/>
      <c r="O255" s="30" t="n">
        <f aca="false">N255*J255</f>
        <v>0</v>
      </c>
    </row>
    <row r="256" customFormat="false" ht="15" hidden="false" customHeight="false" outlineLevel="0" collapsed="false">
      <c r="A256" s="33"/>
      <c r="B256" s="18" t="s">
        <v>23</v>
      </c>
      <c r="C256" s="29"/>
      <c r="D256" s="29"/>
      <c r="E256" s="29"/>
      <c r="F256" s="29"/>
      <c r="G256" s="34"/>
      <c r="H256" s="29"/>
      <c r="I256" s="29"/>
      <c r="J256" s="29"/>
      <c r="K256" s="29"/>
      <c r="L256" s="36"/>
      <c r="M256" s="29" t="n">
        <v>-15</v>
      </c>
      <c r="N256" s="37"/>
      <c r="O256" s="30" t="n">
        <f aca="false">N256*J256</f>
        <v>0</v>
      </c>
    </row>
    <row r="257" customFormat="false" ht="15" hidden="false" customHeight="false" outlineLevel="0" collapsed="false">
      <c r="A257" s="33"/>
      <c r="B257" s="18" t="s">
        <v>23</v>
      </c>
      <c r="C257" s="29"/>
      <c r="D257" s="29"/>
      <c r="E257" s="29"/>
      <c r="F257" s="29"/>
      <c r="G257" s="34"/>
      <c r="H257" s="29"/>
      <c r="I257" s="29"/>
      <c r="J257" s="29"/>
      <c r="K257" s="29"/>
      <c r="L257" s="36"/>
      <c r="M257" s="29" t="n">
        <v>-15</v>
      </c>
      <c r="N257" s="37"/>
      <c r="O257" s="30" t="n">
        <f aca="false">N257*J257</f>
        <v>0</v>
      </c>
    </row>
    <row r="258" customFormat="false" ht="15" hidden="false" customHeight="false" outlineLevel="0" collapsed="false">
      <c r="A258" s="33"/>
      <c r="B258" s="18" t="s">
        <v>23</v>
      </c>
      <c r="C258" s="29"/>
      <c r="D258" s="29"/>
      <c r="E258" s="29"/>
      <c r="F258" s="29"/>
      <c r="G258" s="34"/>
      <c r="H258" s="29"/>
      <c r="I258" s="29"/>
      <c r="J258" s="29"/>
      <c r="K258" s="29"/>
      <c r="L258" s="36"/>
      <c r="M258" s="29" t="n">
        <v>-15</v>
      </c>
      <c r="N258" s="37"/>
      <c r="O258" s="30" t="n">
        <f aca="false">N258*J258</f>
        <v>0</v>
      </c>
    </row>
    <row r="259" customFormat="false" ht="15" hidden="false" customHeight="false" outlineLevel="0" collapsed="false">
      <c r="A259" s="33"/>
      <c r="B259" s="18" t="s">
        <v>23</v>
      </c>
      <c r="C259" s="29"/>
      <c r="D259" s="29"/>
      <c r="E259" s="29"/>
      <c r="F259" s="29"/>
      <c r="G259" s="34"/>
      <c r="H259" s="29"/>
      <c r="I259" s="29"/>
      <c r="J259" s="29"/>
      <c r="K259" s="29"/>
      <c r="L259" s="36"/>
      <c r="M259" s="29" t="n">
        <v>-15</v>
      </c>
      <c r="N259" s="37"/>
      <c r="O259" s="30" t="n">
        <f aca="false">N259*J259</f>
        <v>0</v>
      </c>
    </row>
    <row r="260" customFormat="false" ht="15" hidden="false" customHeight="false" outlineLevel="0" collapsed="false">
      <c r="A260" s="33"/>
      <c r="B260" s="18" t="s">
        <v>23</v>
      </c>
      <c r="C260" s="29"/>
      <c r="D260" s="29"/>
      <c r="E260" s="29"/>
      <c r="F260" s="29"/>
      <c r="G260" s="34"/>
      <c r="H260" s="29"/>
      <c r="I260" s="29"/>
      <c r="J260" s="29"/>
      <c r="K260" s="29"/>
      <c r="L260" s="36"/>
      <c r="M260" s="29" t="n">
        <v>-15</v>
      </c>
      <c r="N260" s="37"/>
      <c r="O260" s="30" t="n">
        <f aca="false">N260*J260</f>
        <v>0</v>
      </c>
    </row>
    <row r="261" customFormat="false" ht="15" hidden="false" customHeight="false" outlineLevel="0" collapsed="false">
      <c r="A261" s="33"/>
      <c r="B261" s="18" t="s">
        <v>23</v>
      </c>
      <c r="C261" s="29"/>
      <c r="D261" s="29"/>
      <c r="E261" s="29"/>
      <c r="F261" s="29"/>
      <c r="G261" s="34"/>
      <c r="H261" s="29"/>
      <c r="I261" s="29"/>
      <c r="J261" s="29"/>
      <c r="K261" s="29"/>
      <c r="L261" s="36"/>
      <c r="M261" s="29" t="n">
        <v>-15</v>
      </c>
      <c r="N261" s="37"/>
      <c r="O261" s="30" t="n">
        <f aca="false">N261*J261</f>
        <v>0</v>
      </c>
    </row>
    <row r="262" customFormat="false" ht="15" hidden="false" customHeight="false" outlineLevel="0" collapsed="false">
      <c r="A262" s="33"/>
      <c r="B262" s="18" t="s">
        <v>23</v>
      </c>
      <c r="C262" s="29"/>
      <c r="D262" s="29"/>
      <c r="E262" s="29"/>
      <c r="F262" s="29"/>
      <c r="G262" s="34"/>
      <c r="H262" s="29"/>
      <c r="I262" s="29"/>
      <c r="J262" s="29"/>
      <c r="K262" s="29"/>
      <c r="L262" s="36"/>
      <c r="M262" s="29" t="n">
        <v>-15</v>
      </c>
      <c r="N262" s="37"/>
      <c r="O262" s="30" t="n">
        <f aca="false">N262*J262</f>
        <v>0</v>
      </c>
    </row>
    <row r="263" customFormat="false" ht="15" hidden="false" customHeight="false" outlineLevel="0" collapsed="false">
      <c r="A263" s="33"/>
      <c r="B263" s="18" t="s">
        <v>23</v>
      </c>
      <c r="C263" s="29"/>
      <c r="D263" s="29"/>
      <c r="E263" s="29"/>
      <c r="F263" s="29"/>
      <c r="G263" s="34"/>
      <c r="H263" s="29"/>
      <c r="I263" s="29"/>
      <c r="J263" s="29"/>
      <c r="K263" s="29"/>
      <c r="L263" s="36"/>
      <c r="M263" s="29" t="n">
        <v>-15</v>
      </c>
      <c r="N263" s="37"/>
      <c r="O263" s="30" t="n">
        <f aca="false">N263*J263</f>
        <v>0</v>
      </c>
    </row>
    <row r="264" customFormat="false" ht="15" hidden="false" customHeight="false" outlineLevel="0" collapsed="false">
      <c r="A264" s="33"/>
      <c r="B264" s="18" t="s">
        <v>23</v>
      </c>
      <c r="C264" s="29"/>
      <c r="D264" s="29"/>
      <c r="E264" s="29"/>
      <c r="F264" s="29"/>
      <c r="G264" s="34"/>
      <c r="H264" s="29"/>
      <c r="I264" s="29"/>
      <c r="J264" s="29"/>
      <c r="K264" s="29"/>
      <c r="L264" s="36"/>
      <c r="M264" s="29" t="n">
        <v>-15</v>
      </c>
      <c r="N264" s="37"/>
      <c r="O264" s="30" t="n">
        <f aca="false">N264*J264</f>
        <v>0</v>
      </c>
    </row>
    <row r="265" customFormat="false" ht="15" hidden="false" customHeight="false" outlineLevel="0" collapsed="false">
      <c r="A265" s="33"/>
      <c r="B265" s="28" t="s">
        <v>21</v>
      </c>
      <c r="C265" s="29"/>
      <c r="D265" s="29"/>
      <c r="E265" s="29"/>
      <c r="F265" s="29"/>
      <c r="G265" s="34"/>
      <c r="H265" s="29"/>
      <c r="I265" s="29"/>
      <c r="J265" s="29"/>
      <c r="K265" s="29"/>
      <c r="L265" s="36"/>
      <c r="M265" s="29" t="n">
        <v>-15</v>
      </c>
      <c r="N265" s="37"/>
      <c r="O265" s="30" t="n">
        <f aca="false">N265*J265</f>
        <v>0</v>
      </c>
    </row>
    <row r="266" customFormat="false" ht="15" hidden="false" customHeight="false" outlineLevel="0" collapsed="false">
      <c r="A266" s="33"/>
      <c r="B266" s="28" t="s">
        <v>21</v>
      </c>
      <c r="C266" s="29"/>
      <c r="D266" s="29"/>
      <c r="E266" s="29"/>
      <c r="F266" s="29"/>
      <c r="G266" s="34"/>
      <c r="H266" s="29"/>
      <c r="I266" s="29"/>
      <c r="J266" s="29"/>
      <c r="K266" s="29"/>
      <c r="L266" s="36"/>
      <c r="M266" s="29" t="n">
        <v>-15</v>
      </c>
      <c r="N266" s="37"/>
      <c r="O266" s="30" t="n">
        <f aca="false">N266*J266</f>
        <v>0</v>
      </c>
    </row>
    <row r="267" customFormat="false" ht="15" hidden="false" customHeight="false" outlineLevel="0" collapsed="false">
      <c r="A267" s="33"/>
      <c r="B267" s="28" t="s">
        <v>21</v>
      </c>
      <c r="C267" s="29"/>
      <c r="D267" s="29"/>
      <c r="E267" s="29"/>
      <c r="F267" s="29"/>
      <c r="G267" s="34"/>
      <c r="H267" s="29"/>
      <c r="I267" s="29"/>
      <c r="J267" s="29"/>
      <c r="K267" s="29"/>
      <c r="L267" s="36"/>
      <c r="M267" s="29" t="n">
        <v>-15</v>
      </c>
      <c r="N267" s="37"/>
      <c r="O267" s="30" t="n">
        <f aca="false">N267*J267</f>
        <v>0</v>
      </c>
    </row>
    <row r="268" customFormat="false" ht="15" hidden="false" customHeight="false" outlineLevel="0" collapsed="false">
      <c r="A268" s="33"/>
      <c r="B268" s="28" t="s">
        <v>21</v>
      </c>
      <c r="C268" s="29"/>
      <c r="D268" s="29"/>
      <c r="E268" s="29"/>
      <c r="F268" s="29"/>
      <c r="G268" s="34"/>
      <c r="H268" s="29"/>
      <c r="I268" s="29"/>
      <c r="J268" s="29"/>
      <c r="K268" s="29"/>
      <c r="L268" s="36"/>
      <c r="M268" s="29"/>
      <c r="N268" s="37"/>
      <c r="O268" s="30" t="n">
        <f aca="false">N268*J268</f>
        <v>0</v>
      </c>
    </row>
    <row r="269" customFormat="false" ht="15" hidden="false" customHeight="false" outlineLevel="0" collapsed="false">
      <c r="A269" s="33"/>
      <c r="B269" s="28" t="s">
        <v>21</v>
      </c>
      <c r="C269" s="29"/>
      <c r="D269" s="29"/>
      <c r="E269" s="29"/>
      <c r="F269" s="29"/>
      <c r="G269" s="34"/>
      <c r="H269" s="29"/>
      <c r="I269" s="29"/>
      <c r="J269" s="29"/>
      <c r="K269" s="29"/>
      <c r="L269" s="36"/>
      <c r="M269" s="29"/>
      <c r="N269" s="37"/>
      <c r="O269" s="30" t="n">
        <f aca="false">N269*J269</f>
        <v>0</v>
      </c>
    </row>
    <row r="270" customFormat="false" ht="15" hidden="false" customHeight="false" outlineLevel="0" collapsed="false">
      <c r="A270" s="33"/>
      <c r="B270" s="28" t="s">
        <v>21</v>
      </c>
      <c r="C270" s="29"/>
      <c r="D270" s="29"/>
      <c r="E270" s="29"/>
      <c r="F270" s="29"/>
      <c r="G270" s="34"/>
      <c r="H270" s="29"/>
      <c r="I270" s="29"/>
      <c r="J270" s="29"/>
      <c r="K270" s="29"/>
      <c r="L270" s="36"/>
      <c r="M270" s="29"/>
      <c r="N270" s="37"/>
      <c r="O270" s="30" t="n">
        <f aca="false">N270*J270</f>
        <v>0</v>
      </c>
    </row>
    <row r="271" customFormat="false" ht="15" hidden="false" customHeight="false" outlineLevel="0" collapsed="false">
      <c r="A271" s="33"/>
      <c r="B271" s="28" t="s">
        <v>21</v>
      </c>
      <c r="C271" s="29"/>
      <c r="D271" s="29"/>
      <c r="E271" s="29"/>
      <c r="F271" s="29"/>
      <c r="G271" s="34"/>
      <c r="H271" s="29"/>
      <c r="I271" s="29"/>
      <c r="J271" s="29"/>
      <c r="K271" s="29"/>
      <c r="L271" s="36"/>
      <c r="M271" s="29"/>
      <c r="N271" s="37"/>
      <c r="O271" s="30" t="n">
        <f aca="false">N271*J271</f>
        <v>0</v>
      </c>
    </row>
    <row r="272" customFormat="false" ht="15" hidden="false" customHeight="false" outlineLevel="0" collapsed="false">
      <c r="A272" s="33"/>
      <c r="B272" s="28" t="s">
        <v>21</v>
      </c>
      <c r="C272" s="29"/>
      <c r="D272" s="29"/>
      <c r="E272" s="29"/>
      <c r="F272" s="29"/>
      <c r="G272" s="34"/>
      <c r="H272" s="29"/>
      <c r="I272" s="29"/>
      <c r="J272" s="29"/>
      <c r="K272" s="29"/>
      <c r="L272" s="36"/>
      <c r="M272" s="29"/>
      <c r="N272" s="37"/>
      <c r="O272" s="30" t="n">
        <f aca="false">N272*J272</f>
        <v>0</v>
      </c>
    </row>
    <row r="273" customFormat="false" ht="15" hidden="false" customHeight="false" outlineLevel="0" collapsed="false">
      <c r="A273" s="33"/>
      <c r="B273" s="28" t="s">
        <v>21</v>
      </c>
      <c r="C273" s="29"/>
      <c r="D273" s="29"/>
      <c r="E273" s="29"/>
      <c r="F273" s="29"/>
      <c r="G273" s="34"/>
      <c r="H273" s="29"/>
      <c r="I273" s="29"/>
      <c r="J273" s="29"/>
      <c r="K273" s="29"/>
      <c r="L273" s="36"/>
      <c r="M273" s="29"/>
      <c r="N273" s="37"/>
      <c r="O273" s="30" t="n">
        <f aca="false">N273*J273</f>
        <v>0</v>
      </c>
    </row>
    <row r="274" customFormat="false" ht="15" hidden="false" customHeight="false" outlineLevel="0" collapsed="false">
      <c r="A274" s="33"/>
      <c r="B274" s="28" t="s">
        <v>21</v>
      </c>
      <c r="C274" s="29"/>
      <c r="D274" s="29"/>
      <c r="E274" s="29"/>
      <c r="F274" s="29"/>
      <c r="G274" s="34"/>
      <c r="H274" s="29"/>
      <c r="I274" s="29"/>
      <c r="J274" s="29"/>
      <c r="K274" s="29"/>
      <c r="L274" s="36"/>
      <c r="M274" s="29"/>
      <c r="N274" s="37"/>
      <c r="O274" s="30" t="n">
        <f aca="false">N274*J274</f>
        <v>0</v>
      </c>
    </row>
    <row r="275" customFormat="false" ht="15" hidden="false" customHeight="false" outlineLevel="0" collapsed="false">
      <c r="A275" s="33"/>
      <c r="B275" s="28" t="s">
        <v>21</v>
      </c>
      <c r="C275" s="29"/>
      <c r="D275" s="29"/>
      <c r="E275" s="29"/>
      <c r="F275" s="29"/>
      <c r="G275" s="34"/>
      <c r="H275" s="29"/>
      <c r="I275" s="29"/>
      <c r="J275" s="29"/>
      <c r="K275" s="29"/>
      <c r="L275" s="36"/>
      <c r="M275" s="29"/>
      <c r="N275" s="37"/>
      <c r="O275" s="30" t="n">
        <f aca="false">N275*J275</f>
        <v>0</v>
      </c>
    </row>
    <row r="276" customFormat="false" ht="15" hidden="false" customHeight="false" outlineLevel="0" collapsed="false">
      <c r="A276" s="33"/>
      <c r="B276" s="28" t="s">
        <v>21</v>
      </c>
      <c r="C276" s="29"/>
      <c r="D276" s="29"/>
      <c r="E276" s="29"/>
      <c r="F276" s="29"/>
      <c r="G276" s="34"/>
      <c r="H276" s="29"/>
      <c r="I276" s="29"/>
      <c r="J276" s="29"/>
      <c r="K276" s="29"/>
      <c r="L276" s="36"/>
      <c r="M276" s="29"/>
      <c r="N276" s="37"/>
      <c r="O276" s="30" t="n">
        <f aca="false">N276*J276</f>
        <v>0</v>
      </c>
    </row>
    <row r="277" customFormat="false" ht="15" hidden="false" customHeight="false" outlineLevel="0" collapsed="false">
      <c r="A277" s="33"/>
      <c r="B277" s="28" t="s">
        <v>21</v>
      </c>
      <c r="C277" s="29"/>
      <c r="D277" s="29"/>
      <c r="E277" s="29"/>
      <c r="F277" s="29"/>
      <c r="G277" s="36"/>
      <c r="H277" s="29"/>
      <c r="I277" s="29"/>
      <c r="J277" s="29"/>
      <c r="K277" s="29"/>
      <c r="L277" s="36"/>
      <c r="M277" s="29"/>
      <c r="N277" s="37"/>
      <c r="O277" s="30" t="n">
        <f aca="false">N277*J277</f>
        <v>0</v>
      </c>
    </row>
    <row r="278" customFormat="false" ht="15" hidden="false" customHeight="false" outlineLevel="0" collapsed="false">
      <c r="A278" s="33"/>
      <c r="B278" s="28" t="s">
        <v>21</v>
      </c>
      <c r="C278" s="29"/>
      <c r="D278" s="29"/>
      <c r="E278" s="29"/>
      <c r="F278" s="29"/>
      <c r="G278" s="36"/>
      <c r="H278" s="29"/>
      <c r="I278" s="29"/>
      <c r="J278" s="29"/>
      <c r="K278" s="29"/>
      <c r="L278" s="36"/>
      <c r="M278" s="29"/>
      <c r="N278" s="37"/>
      <c r="O278" s="30" t="n">
        <f aca="false">N278*J278</f>
        <v>0</v>
      </c>
    </row>
    <row r="279" customFormat="false" ht="15" hidden="false" customHeight="false" outlineLevel="0" collapsed="false">
      <c r="A279" s="33"/>
      <c r="B279" s="28" t="s">
        <v>21</v>
      </c>
      <c r="C279" s="29"/>
      <c r="D279" s="29"/>
      <c r="E279" s="29"/>
      <c r="F279" s="29"/>
      <c r="G279" s="36"/>
      <c r="H279" s="29"/>
      <c r="I279" s="29"/>
      <c r="J279" s="29"/>
      <c r="K279" s="29"/>
      <c r="L279" s="36"/>
      <c r="M279" s="29"/>
      <c r="N279" s="37"/>
      <c r="O279" s="30" t="n">
        <f aca="false">N279*J279</f>
        <v>0</v>
      </c>
    </row>
    <row r="280" customFormat="false" ht="15" hidden="false" customHeight="false" outlineLevel="0" collapsed="false">
      <c r="A280" s="33"/>
      <c r="B280" s="28" t="s">
        <v>21</v>
      </c>
      <c r="C280" s="29"/>
      <c r="D280" s="29"/>
      <c r="E280" s="29"/>
      <c r="F280" s="29"/>
      <c r="G280" s="36"/>
      <c r="H280" s="29"/>
      <c r="I280" s="29"/>
      <c r="J280" s="29"/>
      <c r="K280" s="29"/>
      <c r="L280" s="36"/>
      <c r="M280" s="29"/>
      <c r="N280" s="37"/>
      <c r="O280" s="30" t="n">
        <f aca="false">N280*J280</f>
        <v>0</v>
      </c>
    </row>
    <row r="281" customFormat="false" ht="15" hidden="false" customHeight="false" outlineLevel="0" collapsed="false">
      <c r="A281" s="33"/>
      <c r="B281" s="28" t="s">
        <v>21</v>
      </c>
      <c r="C281" s="29"/>
      <c r="D281" s="29"/>
      <c r="E281" s="29"/>
      <c r="F281" s="29"/>
      <c r="G281" s="36"/>
      <c r="H281" s="29"/>
      <c r="I281" s="29"/>
      <c r="J281" s="29"/>
      <c r="K281" s="29"/>
      <c r="L281" s="36"/>
      <c r="M281" s="29"/>
      <c r="N281" s="37"/>
      <c r="O281" s="30" t="n">
        <f aca="false">N281*J281</f>
        <v>0</v>
      </c>
    </row>
    <row r="282" customFormat="false" ht="15" hidden="false" customHeight="false" outlineLevel="0" collapsed="false">
      <c r="A282" s="33"/>
      <c r="B282" s="28" t="s">
        <v>21</v>
      </c>
      <c r="C282" s="29"/>
      <c r="D282" s="29"/>
      <c r="E282" s="29"/>
      <c r="F282" s="29"/>
      <c r="G282" s="36"/>
      <c r="H282" s="29"/>
      <c r="I282" s="29"/>
      <c r="J282" s="29"/>
      <c r="K282" s="29"/>
      <c r="L282" s="36"/>
      <c r="M282" s="29"/>
      <c r="N282" s="37"/>
      <c r="O282" s="30" t="n">
        <f aca="false">N282*J282</f>
        <v>0</v>
      </c>
    </row>
    <row r="283" customFormat="false" ht="15" hidden="false" customHeight="false" outlineLevel="0" collapsed="false">
      <c r="A283" s="33"/>
      <c r="B283" s="28" t="s">
        <v>21</v>
      </c>
      <c r="C283" s="29"/>
      <c r="D283" s="29"/>
      <c r="E283" s="29"/>
      <c r="F283" s="29"/>
      <c r="G283" s="36"/>
      <c r="H283" s="29"/>
      <c r="I283" s="29"/>
      <c r="J283" s="29"/>
      <c r="K283" s="29"/>
      <c r="L283" s="36"/>
      <c r="M283" s="29"/>
      <c r="N283" s="37"/>
      <c r="O283" s="30" t="n">
        <f aca="false">N283*J283</f>
        <v>0</v>
      </c>
    </row>
    <row r="284" customFormat="false" ht="15" hidden="false" customHeight="false" outlineLevel="0" collapsed="false">
      <c r="A284" s="33"/>
      <c r="B284" s="28" t="s">
        <v>21</v>
      </c>
      <c r="C284" s="29"/>
      <c r="D284" s="29"/>
      <c r="E284" s="29"/>
      <c r="F284" s="29"/>
      <c r="G284" s="36"/>
      <c r="H284" s="29"/>
      <c r="I284" s="29"/>
      <c r="J284" s="29"/>
      <c r="K284" s="29"/>
      <c r="L284" s="36"/>
      <c r="M284" s="29"/>
      <c r="N284" s="37"/>
      <c r="O284" s="30" t="n">
        <f aca="false">N284*J284</f>
        <v>0</v>
      </c>
    </row>
    <row r="285" customFormat="false" ht="15" hidden="false" customHeight="false" outlineLevel="0" collapsed="false">
      <c r="A285" s="33"/>
      <c r="B285" s="28" t="s">
        <v>21</v>
      </c>
      <c r="C285" s="29"/>
      <c r="D285" s="29"/>
      <c r="E285" s="29"/>
      <c r="F285" s="29"/>
      <c r="G285" s="36"/>
      <c r="H285" s="29"/>
      <c r="I285" s="29"/>
      <c r="J285" s="29"/>
      <c r="K285" s="29"/>
      <c r="L285" s="36"/>
      <c r="M285" s="29"/>
      <c r="N285" s="37"/>
      <c r="O285" s="30" t="n">
        <f aca="false">N285*J285</f>
        <v>0</v>
      </c>
    </row>
    <row r="286" customFormat="false" ht="15" hidden="false" customHeight="false" outlineLevel="0" collapsed="false">
      <c r="A286" s="33"/>
      <c r="B286" s="28" t="s">
        <v>21</v>
      </c>
      <c r="C286" s="29"/>
      <c r="D286" s="29"/>
      <c r="E286" s="29"/>
      <c r="F286" s="29"/>
      <c r="G286" s="36"/>
      <c r="H286" s="29"/>
      <c r="I286" s="29"/>
      <c r="J286" s="29"/>
      <c r="K286" s="29"/>
      <c r="L286" s="36"/>
      <c r="M286" s="29"/>
      <c r="N286" s="37"/>
      <c r="O286" s="30" t="n">
        <f aca="false">N286*J286</f>
        <v>0</v>
      </c>
    </row>
    <row r="287" customFormat="false" ht="15" hidden="false" customHeight="false" outlineLevel="0" collapsed="false">
      <c r="A287" s="33"/>
      <c r="B287" s="28" t="s">
        <v>21</v>
      </c>
      <c r="C287" s="29"/>
      <c r="D287" s="29"/>
      <c r="E287" s="29"/>
      <c r="F287" s="29"/>
      <c r="G287" s="36"/>
      <c r="H287" s="29"/>
      <c r="I287" s="29"/>
      <c r="J287" s="29"/>
      <c r="K287" s="29"/>
      <c r="L287" s="36"/>
      <c r="M287" s="29"/>
      <c r="N287" s="37"/>
      <c r="O287" s="30" t="n">
        <f aca="false">N287*J287</f>
        <v>0</v>
      </c>
    </row>
    <row r="288" customFormat="false" ht="15" hidden="false" customHeight="false" outlineLevel="0" collapsed="false">
      <c r="A288" s="33"/>
      <c r="B288" s="28" t="s">
        <v>21</v>
      </c>
      <c r="C288" s="29"/>
      <c r="D288" s="29"/>
      <c r="E288" s="29"/>
      <c r="F288" s="29"/>
      <c r="G288" s="36"/>
      <c r="H288" s="29"/>
      <c r="I288" s="29"/>
      <c r="J288" s="29"/>
      <c r="K288" s="29"/>
      <c r="L288" s="36"/>
      <c r="M288" s="29"/>
      <c r="N288" s="37"/>
      <c r="O288" s="30" t="n">
        <f aca="false">N288*J288</f>
        <v>0</v>
      </c>
    </row>
    <row r="289" customFormat="false" ht="15" hidden="false" customHeight="false" outlineLevel="0" collapsed="false">
      <c r="A289" s="33"/>
      <c r="B289" s="28" t="s">
        <v>21</v>
      </c>
      <c r="C289" s="29"/>
      <c r="D289" s="29"/>
      <c r="E289" s="29"/>
      <c r="F289" s="29"/>
      <c r="G289" s="36"/>
      <c r="H289" s="29"/>
      <c r="I289" s="29"/>
      <c r="J289" s="29"/>
      <c r="K289" s="29"/>
      <c r="L289" s="36"/>
      <c r="M289" s="29"/>
      <c r="N289" s="37"/>
      <c r="O289" s="30" t="n">
        <f aca="false">N289*J289</f>
        <v>0</v>
      </c>
    </row>
    <row r="290" customFormat="false" ht="15" hidden="false" customHeight="false" outlineLevel="0" collapsed="false">
      <c r="A290" s="33"/>
      <c r="B290" s="28" t="s">
        <v>21</v>
      </c>
      <c r="C290" s="29"/>
      <c r="D290" s="29"/>
      <c r="E290" s="29"/>
      <c r="F290" s="29"/>
      <c r="G290" s="36"/>
      <c r="H290" s="29"/>
      <c r="I290" s="29"/>
      <c r="J290" s="29"/>
      <c r="K290" s="29"/>
      <c r="L290" s="36"/>
      <c r="M290" s="29"/>
      <c r="N290" s="37"/>
      <c r="O290" s="30" t="n">
        <f aca="false">N290*J290</f>
        <v>0</v>
      </c>
    </row>
    <row r="291" customFormat="false" ht="15" hidden="false" customHeight="false" outlineLevel="0" collapsed="false">
      <c r="A291" s="42"/>
      <c r="B291" s="28" t="s">
        <v>21</v>
      </c>
      <c r="C291" s="41"/>
      <c r="D291" s="41"/>
      <c r="E291" s="41"/>
      <c r="F291" s="41"/>
      <c r="G291" s="34"/>
      <c r="H291" s="41"/>
      <c r="I291" s="41"/>
      <c r="J291" s="41"/>
      <c r="K291" s="41"/>
      <c r="L291" s="36"/>
      <c r="M291" s="29"/>
      <c r="N291" s="37"/>
      <c r="O291" s="30" t="n">
        <f aca="false">N291*J291</f>
        <v>0</v>
      </c>
    </row>
    <row r="292" customFormat="false" ht="15" hidden="false" customHeight="false" outlineLevel="0" collapsed="false">
      <c r="A292" s="33"/>
      <c r="B292" s="28" t="s">
        <v>21</v>
      </c>
      <c r="C292" s="29"/>
      <c r="D292" s="29"/>
      <c r="E292" s="29"/>
      <c r="F292" s="29"/>
      <c r="G292" s="36"/>
      <c r="H292" s="29"/>
      <c r="I292" s="29"/>
      <c r="J292" s="29"/>
      <c r="K292" s="29"/>
      <c r="L292" s="36"/>
      <c r="M292" s="29"/>
      <c r="N292" s="37"/>
      <c r="O292" s="30" t="n">
        <f aca="false">N292*J292</f>
        <v>0</v>
      </c>
    </row>
    <row r="293" customFormat="false" ht="15" hidden="false" customHeight="false" outlineLevel="0" collapsed="false">
      <c r="A293" s="33"/>
      <c r="B293" s="28" t="s">
        <v>21</v>
      </c>
      <c r="C293" s="29"/>
      <c r="D293" s="29"/>
      <c r="E293" s="29"/>
      <c r="F293" s="29"/>
      <c r="G293" s="36"/>
      <c r="H293" s="29"/>
      <c r="I293" s="29"/>
      <c r="J293" s="29"/>
      <c r="K293" s="29"/>
      <c r="L293" s="36"/>
      <c r="M293" s="29"/>
      <c r="N293" s="37"/>
      <c r="O293" s="30" t="n">
        <f aca="false">N293*J293</f>
        <v>0</v>
      </c>
    </row>
    <row r="294" customFormat="false" ht="15" hidden="false" customHeight="false" outlineLevel="0" collapsed="false">
      <c r="A294" s="33"/>
      <c r="B294" s="28" t="s">
        <v>21</v>
      </c>
      <c r="C294" s="29"/>
      <c r="D294" s="29"/>
      <c r="E294" s="29"/>
      <c r="F294" s="29"/>
      <c r="G294" s="36"/>
      <c r="H294" s="29"/>
      <c r="I294" s="29"/>
      <c r="J294" s="29"/>
      <c r="K294" s="29"/>
      <c r="L294" s="36"/>
      <c r="M294" s="29"/>
      <c r="N294" s="37"/>
      <c r="O294" s="30" t="n">
        <f aca="false">N294*J294</f>
        <v>0</v>
      </c>
    </row>
    <row r="295" customFormat="false" ht="15" hidden="false" customHeight="false" outlineLevel="0" collapsed="false">
      <c r="A295" s="33"/>
      <c r="B295" s="28" t="s">
        <v>21</v>
      </c>
      <c r="C295" s="29"/>
      <c r="D295" s="29"/>
      <c r="E295" s="29"/>
      <c r="F295" s="29"/>
      <c r="G295" s="36"/>
      <c r="H295" s="29"/>
      <c r="I295" s="29"/>
      <c r="J295" s="29"/>
      <c r="K295" s="29"/>
      <c r="L295" s="36"/>
      <c r="M295" s="29"/>
      <c r="N295" s="37"/>
      <c r="O295" s="30" t="n">
        <f aca="false">N295*J295</f>
        <v>0</v>
      </c>
    </row>
    <row r="296" customFormat="false" ht="15" hidden="false" customHeight="false" outlineLevel="0" collapsed="false">
      <c r="A296" s="33"/>
      <c r="B296" s="28" t="s">
        <v>21</v>
      </c>
      <c r="C296" s="29"/>
      <c r="D296" s="29"/>
      <c r="E296" s="29"/>
      <c r="F296" s="29"/>
      <c r="G296" s="36"/>
      <c r="H296" s="29"/>
      <c r="I296" s="29"/>
      <c r="J296" s="29"/>
      <c r="K296" s="29"/>
      <c r="L296" s="36"/>
      <c r="M296" s="29"/>
      <c r="N296" s="37"/>
      <c r="O296" s="30" t="n">
        <f aca="false">N296*J296</f>
        <v>0</v>
      </c>
    </row>
    <row r="297" customFormat="false" ht="15" hidden="false" customHeight="false" outlineLevel="0" collapsed="false">
      <c r="A297" s="33"/>
      <c r="B297" s="28" t="s">
        <v>21</v>
      </c>
      <c r="C297" s="29"/>
      <c r="D297" s="29"/>
      <c r="E297" s="29"/>
      <c r="F297" s="29"/>
      <c r="G297" s="36"/>
      <c r="H297" s="29"/>
      <c r="I297" s="29"/>
      <c r="J297" s="29"/>
      <c r="K297" s="29"/>
      <c r="L297" s="36"/>
      <c r="M297" s="29"/>
      <c r="N297" s="37"/>
      <c r="O297" s="30" t="n">
        <f aca="false">N297*J297</f>
        <v>0</v>
      </c>
    </row>
    <row r="298" customFormat="false" ht="15" hidden="false" customHeight="false" outlineLevel="0" collapsed="false">
      <c r="A298" s="33"/>
      <c r="B298" s="28" t="s">
        <v>21</v>
      </c>
      <c r="C298" s="29"/>
      <c r="D298" s="29"/>
      <c r="E298" s="29"/>
      <c r="F298" s="29"/>
      <c r="G298" s="36"/>
      <c r="H298" s="29"/>
      <c r="I298" s="29"/>
      <c r="J298" s="29"/>
      <c r="K298" s="29"/>
      <c r="L298" s="36"/>
      <c r="M298" s="29"/>
      <c r="N298" s="37"/>
      <c r="O298" s="30" t="n">
        <f aca="false">N298*J298</f>
        <v>0</v>
      </c>
    </row>
    <row r="299" customFormat="false" ht="15" hidden="false" customHeight="false" outlineLevel="0" collapsed="false">
      <c r="A299" s="33"/>
      <c r="B299" s="28" t="s">
        <v>21</v>
      </c>
      <c r="C299" s="29"/>
      <c r="D299" s="29"/>
      <c r="E299" s="29"/>
      <c r="F299" s="29"/>
      <c r="G299" s="36"/>
      <c r="H299" s="29"/>
      <c r="I299" s="29"/>
      <c r="J299" s="29"/>
      <c r="K299" s="29"/>
      <c r="L299" s="36"/>
      <c r="M299" s="29"/>
      <c r="N299" s="37"/>
      <c r="O299" s="30" t="n">
        <f aca="false">N299*J299</f>
        <v>0</v>
      </c>
    </row>
    <row r="300" customFormat="false" ht="15" hidden="false" customHeight="false" outlineLevel="0" collapsed="false">
      <c r="A300" s="33"/>
      <c r="B300" s="28" t="s">
        <v>21</v>
      </c>
      <c r="C300" s="29"/>
      <c r="D300" s="29"/>
      <c r="E300" s="29"/>
      <c r="F300" s="29"/>
      <c r="G300" s="36"/>
      <c r="H300" s="29"/>
      <c r="I300" s="29"/>
      <c r="J300" s="29"/>
      <c r="K300" s="29"/>
      <c r="L300" s="36"/>
      <c r="M300" s="29"/>
      <c r="N300" s="37"/>
      <c r="O300" s="30" t="n">
        <f aca="false">N300*J300</f>
        <v>0</v>
      </c>
    </row>
    <row r="301" customFormat="false" ht="15" hidden="false" customHeight="false" outlineLevel="0" collapsed="false">
      <c r="A301" s="33"/>
      <c r="B301" s="28" t="s">
        <v>21</v>
      </c>
      <c r="C301" s="29"/>
      <c r="D301" s="29"/>
      <c r="E301" s="29"/>
      <c r="F301" s="29"/>
      <c r="G301" s="36"/>
      <c r="H301" s="29"/>
      <c r="I301" s="29"/>
      <c r="J301" s="29"/>
      <c r="K301" s="29"/>
      <c r="L301" s="36"/>
      <c r="M301" s="29"/>
      <c r="N301" s="37"/>
      <c r="O301" s="30" t="n">
        <f aca="false">N301*J301</f>
        <v>0</v>
      </c>
    </row>
    <row r="302" customFormat="false" ht="15" hidden="false" customHeight="false" outlineLevel="0" collapsed="false">
      <c r="A302" s="33"/>
      <c r="B302" s="28" t="s">
        <v>21</v>
      </c>
      <c r="C302" s="29"/>
      <c r="D302" s="29"/>
      <c r="E302" s="29"/>
      <c r="F302" s="29"/>
      <c r="G302" s="36"/>
      <c r="H302" s="29"/>
      <c r="I302" s="29"/>
      <c r="J302" s="29"/>
      <c r="K302" s="29"/>
      <c r="L302" s="36"/>
      <c r="M302" s="29"/>
      <c r="N302" s="37"/>
      <c r="O302" s="30" t="n">
        <f aca="false">N302*J302</f>
        <v>0</v>
      </c>
    </row>
    <row r="303" customFormat="false" ht="15" hidden="false" customHeight="false" outlineLevel="0" collapsed="false">
      <c r="A303" s="33"/>
      <c r="B303" s="28" t="s">
        <v>21</v>
      </c>
      <c r="C303" s="29"/>
      <c r="D303" s="29"/>
      <c r="E303" s="29"/>
      <c r="F303" s="29"/>
      <c r="G303" s="36"/>
      <c r="H303" s="29"/>
      <c r="I303" s="29"/>
      <c r="J303" s="29"/>
      <c r="K303" s="29"/>
      <c r="L303" s="36"/>
      <c r="M303" s="29"/>
      <c r="N303" s="37"/>
      <c r="O303" s="30" t="n">
        <f aca="false">N303*J303</f>
        <v>0</v>
      </c>
    </row>
    <row r="304" customFormat="false" ht="15" hidden="false" customHeight="false" outlineLevel="0" collapsed="false">
      <c r="A304" s="33"/>
      <c r="B304" s="28" t="s">
        <v>21</v>
      </c>
      <c r="C304" s="29"/>
      <c r="D304" s="29"/>
      <c r="E304" s="29"/>
      <c r="F304" s="29"/>
      <c r="G304" s="36"/>
      <c r="H304" s="29"/>
      <c r="I304" s="29"/>
      <c r="J304" s="29"/>
      <c r="K304" s="29"/>
      <c r="L304" s="36"/>
      <c r="M304" s="29"/>
      <c r="N304" s="37"/>
      <c r="O304" s="30" t="n">
        <f aca="false">N304*J304</f>
        <v>0</v>
      </c>
    </row>
    <row r="305" customFormat="false" ht="15" hidden="false" customHeight="false" outlineLevel="0" collapsed="false">
      <c r="A305" s="33"/>
      <c r="B305" s="28" t="s">
        <v>21</v>
      </c>
      <c r="C305" s="29"/>
      <c r="D305" s="29"/>
      <c r="E305" s="29"/>
      <c r="F305" s="29"/>
      <c r="G305" s="36"/>
      <c r="H305" s="29"/>
      <c r="I305" s="29"/>
      <c r="J305" s="29"/>
      <c r="K305" s="29"/>
      <c r="L305" s="36"/>
      <c r="M305" s="29"/>
      <c r="N305" s="37"/>
      <c r="O305" s="30" t="n">
        <f aca="false">N305*J305</f>
        <v>0</v>
      </c>
    </row>
    <row r="306" customFormat="false" ht="15" hidden="false" customHeight="false" outlineLevel="0" collapsed="false">
      <c r="A306" s="33"/>
      <c r="B306" s="28" t="s">
        <v>21</v>
      </c>
      <c r="C306" s="29"/>
      <c r="D306" s="29"/>
      <c r="E306" s="29"/>
      <c r="F306" s="29"/>
      <c r="G306" s="36"/>
      <c r="H306" s="29"/>
      <c r="I306" s="29"/>
      <c r="J306" s="29"/>
      <c r="K306" s="29"/>
      <c r="L306" s="36"/>
      <c r="M306" s="29"/>
      <c r="N306" s="37"/>
      <c r="O306" s="30" t="n">
        <f aca="false">N306*J306</f>
        <v>0</v>
      </c>
    </row>
    <row r="307" customFormat="false" ht="15" hidden="false" customHeight="false" outlineLevel="0" collapsed="false">
      <c r="A307" s="33"/>
      <c r="B307" s="28" t="s">
        <v>21</v>
      </c>
      <c r="C307" s="29"/>
      <c r="D307" s="29"/>
      <c r="E307" s="29"/>
      <c r="F307" s="29"/>
      <c r="G307" s="36"/>
      <c r="H307" s="29"/>
      <c r="I307" s="29"/>
      <c r="J307" s="29"/>
      <c r="K307" s="29"/>
      <c r="L307" s="36"/>
      <c r="M307" s="29"/>
      <c r="N307" s="37"/>
      <c r="O307" s="30" t="n">
        <f aca="false">N307*J307</f>
        <v>0</v>
      </c>
    </row>
    <row r="308" customFormat="false" ht="15" hidden="false" customHeight="false" outlineLevel="0" collapsed="false">
      <c r="A308" s="33"/>
      <c r="B308" s="28" t="s">
        <v>21</v>
      </c>
      <c r="C308" s="29"/>
      <c r="D308" s="29"/>
      <c r="E308" s="29"/>
      <c r="F308" s="29"/>
      <c r="G308" s="36"/>
      <c r="H308" s="29"/>
      <c r="I308" s="29"/>
      <c r="J308" s="29"/>
      <c r="K308" s="29"/>
      <c r="L308" s="36"/>
      <c r="M308" s="29"/>
      <c r="N308" s="37"/>
      <c r="O308" s="30" t="n">
        <f aca="false">N308*J308</f>
        <v>0</v>
      </c>
    </row>
    <row r="309" customFormat="false" ht="15" hidden="false" customHeight="false" outlineLevel="0" collapsed="false">
      <c r="A309" s="33"/>
      <c r="B309" s="28" t="s">
        <v>21</v>
      </c>
      <c r="C309" s="29"/>
      <c r="D309" s="29"/>
      <c r="E309" s="29"/>
      <c r="F309" s="29"/>
      <c r="G309" s="36"/>
      <c r="H309" s="29"/>
      <c r="I309" s="29"/>
      <c r="J309" s="29"/>
      <c r="K309" s="29"/>
      <c r="L309" s="36"/>
      <c r="M309" s="29"/>
      <c r="N309" s="37"/>
      <c r="O309" s="30" t="n">
        <f aca="false">N309*J309</f>
        <v>0</v>
      </c>
    </row>
    <row r="310" customFormat="false" ht="15" hidden="false" customHeight="false" outlineLevel="0" collapsed="false">
      <c r="A310" s="33"/>
      <c r="B310" s="28" t="s">
        <v>21</v>
      </c>
      <c r="C310" s="29"/>
      <c r="D310" s="29"/>
      <c r="E310" s="29"/>
      <c r="F310" s="29"/>
      <c r="G310" s="36"/>
      <c r="H310" s="29"/>
      <c r="I310" s="29"/>
      <c r="J310" s="29"/>
      <c r="K310" s="29"/>
      <c r="L310" s="36"/>
      <c r="M310" s="29"/>
      <c r="N310" s="37"/>
      <c r="O310" s="30" t="n">
        <f aca="false">N310*J310</f>
        <v>0</v>
      </c>
    </row>
    <row r="311" customFormat="false" ht="15" hidden="false" customHeight="false" outlineLevel="0" collapsed="false">
      <c r="A311" s="33"/>
      <c r="B311" s="28" t="s">
        <v>21</v>
      </c>
      <c r="C311" s="29"/>
      <c r="D311" s="29"/>
      <c r="E311" s="29"/>
      <c r="F311" s="29"/>
      <c r="G311" s="36"/>
      <c r="H311" s="29"/>
      <c r="I311" s="29"/>
      <c r="J311" s="29"/>
      <c r="K311" s="29"/>
      <c r="L311" s="36"/>
      <c r="M311" s="29"/>
      <c r="N311" s="37"/>
      <c r="O311" s="30" t="n">
        <f aca="false">N311*J311</f>
        <v>0</v>
      </c>
    </row>
    <row r="312" customFormat="false" ht="15" hidden="false" customHeight="false" outlineLevel="0" collapsed="false">
      <c r="A312" s="33"/>
      <c r="B312" s="28" t="s">
        <v>21</v>
      </c>
      <c r="C312" s="29"/>
      <c r="D312" s="29"/>
      <c r="E312" s="29"/>
      <c r="F312" s="29"/>
      <c r="G312" s="36"/>
      <c r="H312" s="29"/>
      <c r="I312" s="29"/>
      <c r="J312" s="29"/>
      <c r="K312" s="29"/>
      <c r="L312" s="36"/>
      <c r="M312" s="29"/>
      <c r="N312" s="37"/>
      <c r="O312" s="30" t="n">
        <f aca="false">N312*J312</f>
        <v>0</v>
      </c>
    </row>
    <row r="313" customFormat="false" ht="15" hidden="false" customHeight="false" outlineLevel="0" collapsed="false">
      <c r="A313" s="33"/>
      <c r="B313" s="28" t="s">
        <v>21</v>
      </c>
      <c r="C313" s="29"/>
      <c r="D313" s="29"/>
      <c r="E313" s="29"/>
      <c r="F313" s="29"/>
      <c r="G313" s="36"/>
      <c r="H313" s="29"/>
      <c r="I313" s="29"/>
      <c r="J313" s="29"/>
      <c r="K313" s="29"/>
      <c r="L313" s="36"/>
      <c r="M313" s="29"/>
      <c r="N313" s="37"/>
      <c r="O313" s="30" t="n">
        <f aca="false">N313*J313</f>
        <v>0</v>
      </c>
    </row>
    <row r="314" customFormat="false" ht="15" hidden="false" customHeight="false" outlineLevel="0" collapsed="false">
      <c r="A314" s="33"/>
      <c r="B314" s="28" t="s">
        <v>21</v>
      </c>
      <c r="C314" s="29"/>
      <c r="D314" s="29"/>
      <c r="E314" s="29"/>
      <c r="F314" s="29"/>
      <c r="G314" s="36"/>
      <c r="H314" s="29"/>
      <c r="I314" s="29"/>
      <c r="J314" s="29"/>
      <c r="K314" s="29"/>
      <c r="L314" s="36"/>
      <c r="M314" s="29"/>
      <c r="N314" s="37"/>
      <c r="O314" s="30" t="n">
        <f aca="false">N314*J314</f>
        <v>0</v>
      </c>
    </row>
    <row r="315" customFormat="false" ht="15" hidden="false" customHeight="false" outlineLevel="0" collapsed="false">
      <c r="A315" s="33"/>
      <c r="B315" s="28" t="s">
        <v>21</v>
      </c>
      <c r="C315" s="29"/>
      <c r="D315" s="29"/>
      <c r="E315" s="29"/>
      <c r="F315" s="29"/>
      <c r="G315" s="36"/>
      <c r="H315" s="29"/>
      <c r="I315" s="29"/>
      <c r="J315" s="29"/>
      <c r="K315" s="29"/>
      <c r="L315" s="36"/>
      <c r="M315" s="29"/>
      <c r="N315" s="37"/>
      <c r="O315" s="30" t="n">
        <f aca="false">N315*J315</f>
        <v>0</v>
      </c>
    </row>
    <row r="316" customFormat="false" ht="15" hidden="false" customHeight="false" outlineLevel="0" collapsed="false">
      <c r="A316" s="33"/>
      <c r="B316" s="28" t="s">
        <v>21</v>
      </c>
      <c r="C316" s="29"/>
      <c r="D316" s="29"/>
      <c r="E316" s="29"/>
      <c r="F316" s="29"/>
      <c r="G316" s="36"/>
      <c r="H316" s="29"/>
      <c r="I316" s="29"/>
      <c r="J316" s="29"/>
      <c r="K316" s="29"/>
      <c r="L316" s="36"/>
      <c r="M316" s="29"/>
      <c r="N316" s="37"/>
      <c r="O316" s="30" t="n">
        <f aca="false">N316*J316</f>
        <v>0</v>
      </c>
    </row>
    <row r="317" customFormat="false" ht="15" hidden="false" customHeight="false" outlineLevel="0" collapsed="false">
      <c r="A317" s="33"/>
      <c r="B317" s="28" t="s">
        <v>21</v>
      </c>
      <c r="C317" s="29"/>
      <c r="D317" s="29"/>
      <c r="E317" s="29"/>
      <c r="F317" s="29"/>
      <c r="G317" s="36"/>
      <c r="H317" s="29"/>
      <c r="I317" s="29"/>
      <c r="J317" s="29"/>
      <c r="K317" s="29"/>
      <c r="L317" s="36"/>
      <c r="M317" s="29"/>
      <c r="N317" s="37"/>
      <c r="O317" s="30" t="n">
        <f aca="false">N317*J317</f>
        <v>0</v>
      </c>
    </row>
    <row r="318" customFormat="false" ht="15" hidden="false" customHeight="false" outlineLevel="0" collapsed="false">
      <c r="A318" s="33"/>
      <c r="B318" s="28" t="s">
        <v>21</v>
      </c>
      <c r="C318" s="29"/>
      <c r="D318" s="29"/>
      <c r="E318" s="29"/>
      <c r="F318" s="29"/>
      <c r="G318" s="36"/>
      <c r="H318" s="29"/>
      <c r="I318" s="29"/>
      <c r="J318" s="29"/>
      <c r="K318" s="29"/>
      <c r="L318" s="36"/>
      <c r="M318" s="29"/>
      <c r="N318" s="37"/>
      <c r="O318" s="30" t="n">
        <f aca="false">N318*J318</f>
        <v>0</v>
      </c>
    </row>
    <row r="319" customFormat="false" ht="15" hidden="false" customHeight="false" outlineLevel="0" collapsed="false">
      <c r="A319" s="33"/>
      <c r="B319" s="28" t="s">
        <v>21</v>
      </c>
      <c r="C319" s="29"/>
      <c r="D319" s="29"/>
      <c r="E319" s="29"/>
      <c r="F319" s="29"/>
      <c r="G319" s="36"/>
      <c r="H319" s="29"/>
      <c r="I319" s="29"/>
      <c r="J319" s="29"/>
      <c r="K319" s="29"/>
      <c r="L319" s="36"/>
      <c r="M319" s="29"/>
      <c r="N319" s="37"/>
      <c r="O319" s="30" t="n">
        <f aca="false">N319*J319</f>
        <v>0</v>
      </c>
    </row>
    <row r="320" customFormat="false" ht="15" hidden="false" customHeight="false" outlineLevel="0" collapsed="false">
      <c r="A320" s="33"/>
      <c r="B320" s="28" t="s">
        <v>21</v>
      </c>
      <c r="C320" s="29"/>
      <c r="D320" s="29"/>
      <c r="E320" s="29"/>
      <c r="F320" s="29"/>
      <c r="G320" s="36"/>
      <c r="H320" s="29"/>
      <c r="I320" s="29"/>
      <c r="J320" s="29"/>
      <c r="K320" s="29"/>
      <c r="L320" s="36"/>
      <c r="M320" s="29"/>
      <c r="N320" s="37"/>
      <c r="O320" s="30" t="n">
        <f aca="false">N320*J320</f>
        <v>0</v>
      </c>
    </row>
    <row r="321" customFormat="false" ht="15" hidden="false" customHeight="false" outlineLevel="0" collapsed="false">
      <c r="A321" s="33"/>
      <c r="B321" s="28" t="s">
        <v>21</v>
      </c>
      <c r="C321" s="29"/>
      <c r="D321" s="29"/>
      <c r="E321" s="29"/>
      <c r="F321" s="29"/>
      <c r="G321" s="36"/>
      <c r="H321" s="29"/>
      <c r="I321" s="29"/>
      <c r="J321" s="29"/>
      <c r="K321" s="29"/>
      <c r="L321" s="36"/>
      <c r="M321" s="29"/>
      <c r="N321" s="37"/>
      <c r="O321" s="30" t="n">
        <f aca="false">N321*J321</f>
        <v>0</v>
      </c>
    </row>
    <row r="322" customFormat="false" ht="15" hidden="false" customHeight="false" outlineLevel="0" collapsed="false">
      <c r="A322" s="33"/>
      <c r="B322" s="28" t="s">
        <v>21</v>
      </c>
      <c r="C322" s="29"/>
      <c r="D322" s="29"/>
      <c r="E322" s="29"/>
      <c r="F322" s="29"/>
      <c r="G322" s="36"/>
      <c r="H322" s="29"/>
      <c r="I322" s="29"/>
      <c r="J322" s="29"/>
      <c r="K322" s="29"/>
      <c r="L322" s="36"/>
      <c r="M322" s="29"/>
      <c r="N322" s="37"/>
      <c r="O322" s="30" t="n">
        <f aca="false">N322*J322</f>
        <v>0</v>
      </c>
    </row>
    <row r="323" customFormat="false" ht="15" hidden="false" customHeight="false" outlineLevel="0" collapsed="false">
      <c r="A323" s="33"/>
      <c r="B323" s="28" t="s">
        <v>21</v>
      </c>
      <c r="C323" s="29"/>
      <c r="D323" s="29"/>
      <c r="E323" s="29"/>
      <c r="F323" s="29"/>
      <c r="G323" s="36"/>
      <c r="H323" s="29"/>
      <c r="I323" s="29"/>
      <c r="J323" s="29"/>
      <c r="K323" s="29"/>
      <c r="L323" s="36"/>
      <c r="M323" s="29"/>
      <c r="N323" s="37"/>
      <c r="O323" s="30" t="n">
        <f aca="false">N323*J323</f>
        <v>0</v>
      </c>
    </row>
    <row r="324" customFormat="false" ht="15" hidden="false" customHeight="false" outlineLevel="0" collapsed="false">
      <c r="A324" s="33"/>
      <c r="B324" s="28" t="s">
        <v>21</v>
      </c>
      <c r="C324" s="29"/>
      <c r="D324" s="29"/>
      <c r="E324" s="29"/>
      <c r="F324" s="29"/>
      <c r="G324" s="36"/>
      <c r="H324" s="29"/>
      <c r="I324" s="29"/>
      <c r="J324" s="29"/>
      <c r="K324" s="29"/>
      <c r="L324" s="36"/>
      <c r="M324" s="29"/>
      <c r="N324" s="37"/>
      <c r="O324" s="30" t="n">
        <f aca="false">N324*J324</f>
        <v>0</v>
      </c>
    </row>
    <row r="325" customFormat="false" ht="15" hidden="false" customHeight="false" outlineLevel="0" collapsed="false">
      <c r="A325" s="33"/>
      <c r="B325" s="28" t="s">
        <v>21</v>
      </c>
      <c r="C325" s="29"/>
      <c r="D325" s="29"/>
      <c r="E325" s="29"/>
      <c r="F325" s="29"/>
      <c r="G325" s="36"/>
      <c r="H325" s="29"/>
      <c r="I325" s="29"/>
      <c r="J325" s="29"/>
      <c r="K325" s="29"/>
      <c r="L325" s="36"/>
      <c r="M325" s="29"/>
      <c r="N325" s="37"/>
      <c r="O325" s="30" t="n">
        <f aca="false">N325*J325</f>
        <v>0</v>
      </c>
    </row>
    <row r="326" customFormat="false" ht="15" hidden="false" customHeight="false" outlineLevel="0" collapsed="false">
      <c r="A326" s="42"/>
      <c r="B326" s="28" t="s">
        <v>21</v>
      </c>
      <c r="C326" s="41"/>
      <c r="D326" s="41"/>
      <c r="E326" s="41"/>
      <c r="F326" s="41"/>
      <c r="G326" s="34"/>
      <c r="H326" s="41"/>
      <c r="I326" s="41"/>
      <c r="J326" s="41"/>
      <c r="K326" s="41"/>
      <c r="L326" s="36"/>
      <c r="M326" s="29"/>
      <c r="N326" s="37"/>
      <c r="O326" s="30" t="n">
        <f aca="false">N326*J326</f>
        <v>0</v>
      </c>
    </row>
    <row r="327" customFormat="false" ht="15" hidden="false" customHeight="false" outlineLevel="0" collapsed="false">
      <c r="A327" s="33"/>
      <c r="B327" s="28" t="s">
        <v>21</v>
      </c>
      <c r="C327" s="29"/>
      <c r="D327" s="29"/>
      <c r="E327" s="29"/>
      <c r="F327" s="29"/>
      <c r="G327" s="36"/>
      <c r="H327" s="29"/>
      <c r="I327" s="29"/>
      <c r="J327" s="29"/>
      <c r="K327" s="29"/>
      <c r="L327" s="36"/>
      <c r="M327" s="29"/>
      <c r="N327" s="37"/>
      <c r="O327" s="30" t="n">
        <f aca="false">N327*J327</f>
        <v>0</v>
      </c>
    </row>
    <row r="328" customFormat="false" ht="15" hidden="false" customHeight="false" outlineLevel="0" collapsed="false">
      <c r="A328" s="33"/>
      <c r="B328" s="28" t="s">
        <v>21</v>
      </c>
      <c r="C328" s="29"/>
      <c r="D328" s="29"/>
      <c r="E328" s="29"/>
      <c r="F328" s="29"/>
      <c r="G328" s="36"/>
      <c r="H328" s="29"/>
      <c r="I328" s="29"/>
      <c r="J328" s="29"/>
      <c r="K328" s="29"/>
      <c r="L328" s="36"/>
      <c r="M328" s="29"/>
      <c r="N328" s="37"/>
      <c r="O328" s="30" t="n">
        <f aca="false">N328*J328</f>
        <v>0</v>
      </c>
    </row>
    <row r="329" customFormat="false" ht="15" hidden="false" customHeight="false" outlineLevel="0" collapsed="false">
      <c r="A329" s="33"/>
      <c r="B329" s="28" t="s">
        <v>21</v>
      </c>
      <c r="C329" s="29"/>
      <c r="D329" s="29"/>
      <c r="E329" s="29"/>
      <c r="F329" s="29"/>
      <c r="G329" s="36"/>
      <c r="H329" s="29"/>
      <c r="I329" s="29"/>
      <c r="J329" s="29"/>
      <c r="K329" s="29"/>
      <c r="L329" s="36"/>
      <c r="M329" s="29"/>
      <c r="N329" s="37"/>
      <c r="O329" s="30" t="n">
        <f aca="false">N329*J329</f>
        <v>0</v>
      </c>
    </row>
    <row r="330" customFormat="false" ht="15" hidden="false" customHeight="false" outlineLevel="0" collapsed="false">
      <c r="A330" s="33"/>
      <c r="B330" s="28" t="s">
        <v>21</v>
      </c>
      <c r="C330" s="29"/>
      <c r="D330" s="29"/>
      <c r="E330" s="29"/>
      <c r="F330" s="29"/>
      <c r="G330" s="36"/>
      <c r="H330" s="29"/>
      <c r="I330" s="29"/>
      <c r="J330" s="29"/>
      <c r="K330" s="29"/>
      <c r="L330" s="36"/>
      <c r="M330" s="29"/>
      <c r="N330" s="37"/>
      <c r="O330" s="30" t="n">
        <f aca="false">N330*J330</f>
        <v>0</v>
      </c>
    </row>
    <row r="331" customFormat="false" ht="15" hidden="false" customHeight="false" outlineLevel="0" collapsed="false">
      <c r="A331" s="33"/>
      <c r="B331" s="28" t="s">
        <v>21</v>
      </c>
      <c r="C331" s="29"/>
      <c r="D331" s="29"/>
      <c r="E331" s="29"/>
      <c r="F331" s="29"/>
      <c r="G331" s="36"/>
      <c r="H331" s="29"/>
      <c r="I331" s="29"/>
      <c r="J331" s="29"/>
      <c r="K331" s="29"/>
      <c r="L331" s="36"/>
      <c r="M331" s="29"/>
      <c r="N331" s="37"/>
      <c r="O331" s="30" t="n">
        <f aca="false">N331*J331</f>
        <v>0</v>
      </c>
    </row>
    <row r="332" customFormat="false" ht="15" hidden="false" customHeight="false" outlineLevel="0" collapsed="false">
      <c r="A332" s="33"/>
      <c r="B332" s="28" t="s">
        <v>21</v>
      </c>
      <c r="C332" s="29"/>
      <c r="D332" s="29"/>
      <c r="E332" s="29"/>
      <c r="F332" s="29"/>
      <c r="G332" s="36"/>
      <c r="H332" s="29"/>
      <c r="I332" s="29"/>
      <c r="J332" s="29"/>
      <c r="K332" s="29"/>
      <c r="L332" s="36"/>
      <c r="M332" s="29"/>
      <c r="N332" s="37"/>
      <c r="O332" s="30" t="n">
        <f aca="false">N332*J332</f>
        <v>0</v>
      </c>
    </row>
    <row r="333" customFormat="false" ht="15" hidden="false" customHeight="false" outlineLevel="0" collapsed="false">
      <c r="A333" s="33"/>
      <c r="B333" s="28" t="s">
        <v>21</v>
      </c>
      <c r="C333" s="29"/>
      <c r="D333" s="29"/>
      <c r="E333" s="29"/>
      <c r="F333" s="29"/>
      <c r="G333" s="36"/>
      <c r="H333" s="29"/>
      <c r="I333" s="29"/>
      <c r="J333" s="29"/>
      <c r="K333" s="29"/>
      <c r="L333" s="36"/>
      <c r="M333" s="29"/>
      <c r="N333" s="37"/>
      <c r="O333" s="30" t="n">
        <f aca="false">N333*J333</f>
        <v>0</v>
      </c>
    </row>
    <row r="334" customFormat="false" ht="15" hidden="false" customHeight="false" outlineLevel="0" collapsed="false">
      <c r="A334" s="33"/>
      <c r="B334" s="28" t="s">
        <v>21</v>
      </c>
      <c r="C334" s="29"/>
      <c r="D334" s="29"/>
      <c r="E334" s="29"/>
      <c r="F334" s="29"/>
      <c r="G334" s="36"/>
      <c r="H334" s="29"/>
      <c r="I334" s="29"/>
      <c r="J334" s="29"/>
      <c r="K334" s="29"/>
      <c r="L334" s="36"/>
      <c r="M334" s="29"/>
      <c r="N334" s="37"/>
      <c r="O334" s="30" t="n">
        <f aca="false">N334*J334</f>
        <v>0</v>
      </c>
    </row>
    <row r="335" customFormat="false" ht="15" hidden="false" customHeight="false" outlineLevel="0" collapsed="false">
      <c r="A335" s="33"/>
      <c r="B335" s="28" t="s">
        <v>21</v>
      </c>
      <c r="C335" s="29"/>
      <c r="D335" s="29"/>
      <c r="E335" s="29"/>
      <c r="F335" s="29"/>
      <c r="G335" s="36"/>
      <c r="H335" s="29"/>
      <c r="I335" s="29"/>
      <c r="J335" s="29"/>
      <c r="K335" s="29"/>
      <c r="L335" s="36"/>
      <c r="M335" s="29"/>
      <c r="N335" s="37"/>
      <c r="O335" s="30" t="n">
        <f aca="false">N335*J335</f>
        <v>0</v>
      </c>
    </row>
    <row r="336" customFormat="false" ht="15" hidden="false" customHeight="false" outlineLevel="0" collapsed="false">
      <c r="A336" s="33"/>
      <c r="B336" s="28" t="s">
        <v>21</v>
      </c>
      <c r="C336" s="29"/>
      <c r="D336" s="29"/>
      <c r="E336" s="29"/>
      <c r="F336" s="29"/>
      <c r="G336" s="36"/>
      <c r="H336" s="29"/>
      <c r="I336" s="29"/>
      <c r="J336" s="29"/>
      <c r="K336" s="29"/>
      <c r="L336" s="36"/>
      <c r="M336" s="29"/>
      <c r="N336" s="37"/>
      <c r="O336" s="30" t="n">
        <f aca="false">N336*J336</f>
        <v>0</v>
      </c>
    </row>
    <row r="337" customFormat="false" ht="15" hidden="false" customHeight="false" outlineLevel="0" collapsed="false">
      <c r="A337" s="33"/>
      <c r="B337" s="28" t="s">
        <v>21</v>
      </c>
      <c r="C337" s="29"/>
      <c r="D337" s="29"/>
      <c r="E337" s="29"/>
      <c r="F337" s="29"/>
      <c r="G337" s="36"/>
      <c r="H337" s="29"/>
      <c r="I337" s="29"/>
      <c r="J337" s="29"/>
      <c r="K337" s="29"/>
      <c r="L337" s="36"/>
      <c r="M337" s="29"/>
      <c r="N337" s="37"/>
      <c r="O337" s="30" t="n">
        <f aca="false">N337*J337</f>
        <v>0</v>
      </c>
    </row>
    <row r="338" customFormat="false" ht="15" hidden="false" customHeight="false" outlineLevel="0" collapsed="false">
      <c r="A338" s="33"/>
      <c r="B338" s="28" t="s">
        <v>21</v>
      </c>
      <c r="C338" s="29"/>
      <c r="D338" s="29"/>
      <c r="E338" s="29"/>
      <c r="F338" s="29"/>
      <c r="G338" s="36"/>
      <c r="H338" s="29"/>
      <c r="I338" s="29"/>
      <c r="J338" s="29"/>
      <c r="K338" s="29"/>
      <c r="L338" s="36"/>
      <c r="M338" s="29"/>
      <c r="N338" s="37"/>
      <c r="O338" s="30" t="n">
        <f aca="false">N338*J338</f>
        <v>0</v>
      </c>
    </row>
    <row r="339" customFormat="false" ht="15" hidden="false" customHeight="false" outlineLevel="0" collapsed="false">
      <c r="A339" s="33"/>
      <c r="B339" s="28" t="s">
        <v>21</v>
      </c>
      <c r="C339" s="29"/>
      <c r="D339" s="29"/>
      <c r="E339" s="29"/>
      <c r="F339" s="29"/>
      <c r="G339" s="36"/>
      <c r="H339" s="29"/>
      <c r="I339" s="29"/>
      <c r="J339" s="29"/>
      <c r="K339" s="29"/>
      <c r="L339" s="36"/>
      <c r="M339" s="29"/>
      <c r="N339" s="37"/>
      <c r="O339" s="30" t="n">
        <f aca="false">N339*J339</f>
        <v>0</v>
      </c>
    </row>
    <row r="340" customFormat="false" ht="15" hidden="false" customHeight="false" outlineLevel="0" collapsed="false">
      <c r="A340" s="33"/>
      <c r="B340" s="28" t="s">
        <v>21</v>
      </c>
      <c r="C340" s="29"/>
      <c r="D340" s="29"/>
      <c r="E340" s="29"/>
      <c r="F340" s="29"/>
      <c r="G340" s="36"/>
      <c r="H340" s="29"/>
      <c r="I340" s="29"/>
      <c r="J340" s="29"/>
      <c r="K340" s="29"/>
      <c r="L340" s="36"/>
      <c r="M340" s="29"/>
      <c r="N340" s="37"/>
      <c r="O340" s="30" t="n">
        <f aca="false">N340*J340</f>
        <v>0</v>
      </c>
    </row>
    <row r="341" customFormat="false" ht="15" hidden="false" customHeight="false" outlineLevel="0" collapsed="false">
      <c r="A341" s="33"/>
      <c r="B341" s="28" t="s">
        <v>21</v>
      </c>
      <c r="C341" s="29"/>
      <c r="D341" s="29"/>
      <c r="E341" s="29"/>
      <c r="F341" s="29"/>
      <c r="G341" s="36"/>
      <c r="H341" s="29"/>
      <c r="I341" s="29"/>
      <c r="J341" s="29"/>
      <c r="K341" s="29"/>
      <c r="L341" s="36"/>
      <c r="M341" s="29"/>
      <c r="N341" s="37"/>
      <c r="O341" s="30" t="n">
        <f aca="false">N341*J341</f>
        <v>0</v>
      </c>
    </row>
    <row r="342" customFormat="false" ht="15" hidden="false" customHeight="false" outlineLevel="0" collapsed="false">
      <c r="A342" s="33"/>
      <c r="B342" s="28" t="s">
        <v>21</v>
      </c>
      <c r="C342" s="29"/>
      <c r="D342" s="29"/>
      <c r="E342" s="29"/>
      <c r="F342" s="29"/>
      <c r="G342" s="36"/>
      <c r="H342" s="29"/>
      <c r="I342" s="29"/>
      <c r="J342" s="29"/>
      <c r="K342" s="29"/>
      <c r="L342" s="36"/>
      <c r="M342" s="29"/>
      <c r="N342" s="37"/>
      <c r="O342" s="30" t="n">
        <f aca="false">N342*J342</f>
        <v>0</v>
      </c>
    </row>
    <row r="343" customFormat="false" ht="15" hidden="false" customHeight="false" outlineLevel="0" collapsed="false">
      <c r="A343" s="33"/>
      <c r="B343" s="28" t="s">
        <v>21</v>
      </c>
      <c r="C343" s="29"/>
      <c r="D343" s="29"/>
      <c r="E343" s="29"/>
      <c r="F343" s="29"/>
      <c r="G343" s="36"/>
      <c r="H343" s="29"/>
      <c r="I343" s="29"/>
      <c r="J343" s="29"/>
      <c r="K343" s="29"/>
      <c r="L343" s="36"/>
      <c r="M343" s="29"/>
      <c r="N343" s="37"/>
      <c r="O343" s="30" t="n">
        <f aca="false">N343*J343</f>
        <v>0</v>
      </c>
    </row>
    <row r="344" customFormat="false" ht="15" hidden="false" customHeight="false" outlineLevel="0" collapsed="false">
      <c r="A344" s="33"/>
      <c r="B344" s="28" t="s">
        <v>21</v>
      </c>
      <c r="C344" s="29"/>
      <c r="D344" s="29"/>
      <c r="E344" s="29"/>
      <c r="F344" s="29"/>
      <c r="G344" s="36"/>
      <c r="H344" s="29"/>
      <c r="I344" s="29"/>
      <c r="J344" s="29"/>
      <c r="K344" s="29"/>
      <c r="L344" s="36"/>
      <c r="M344" s="29"/>
      <c r="N344" s="37"/>
      <c r="O344" s="30" t="n">
        <f aca="false">N344*J344</f>
        <v>0</v>
      </c>
    </row>
    <row r="345" customFormat="false" ht="15" hidden="false" customHeight="false" outlineLevel="0" collapsed="false">
      <c r="A345" s="33"/>
      <c r="B345" s="28" t="s">
        <v>21</v>
      </c>
      <c r="C345" s="29"/>
      <c r="D345" s="29"/>
      <c r="E345" s="29"/>
      <c r="F345" s="29"/>
      <c r="G345" s="36"/>
      <c r="H345" s="29"/>
      <c r="I345" s="29"/>
      <c r="J345" s="29"/>
      <c r="K345" s="29"/>
      <c r="L345" s="36"/>
      <c r="M345" s="29"/>
      <c r="N345" s="37"/>
      <c r="O345" s="30" t="n">
        <f aca="false">N345*J345</f>
        <v>0</v>
      </c>
    </row>
    <row r="346" customFormat="false" ht="15" hidden="false" customHeight="false" outlineLevel="0" collapsed="false">
      <c r="A346" s="33"/>
      <c r="B346" s="28" t="s">
        <v>21</v>
      </c>
      <c r="C346" s="29"/>
      <c r="D346" s="29"/>
      <c r="E346" s="29"/>
      <c r="F346" s="29"/>
      <c r="G346" s="36"/>
      <c r="H346" s="29"/>
      <c r="I346" s="29"/>
      <c r="J346" s="29"/>
      <c r="K346" s="29"/>
      <c r="L346" s="36"/>
      <c r="M346" s="29"/>
      <c r="N346" s="37"/>
      <c r="O346" s="30" t="n">
        <f aca="false">N346*J346</f>
        <v>0</v>
      </c>
    </row>
    <row r="347" customFormat="false" ht="15" hidden="false" customHeight="false" outlineLevel="0" collapsed="false">
      <c r="A347" s="33"/>
      <c r="B347" s="28" t="s">
        <v>21</v>
      </c>
      <c r="C347" s="29"/>
      <c r="D347" s="29"/>
      <c r="E347" s="29"/>
      <c r="F347" s="29"/>
      <c r="G347" s="36"/>
      <c r="H347" s="29"/>
      <c r="I347" s="29"/>
      <c r="J347" s="29"/>
      <c r="K347" s="29"/>
      <c r="L347" s="36"/>
      <c r="M347" s="29"/>
      <c r="N347" s="37"/>
      <c r="O347" s="30" t="n">
        <f aca="false">N347*J347</f>
        <v>0</v>
      </c>
    </row>
    <row r="348" customFormat="false" ht="15" hidden="false" customHeight="false" outlineLevel="0" collapsed="false">
      <c r="A348" s="33"/>
      <c r="B348" s="28" t="s">
        <v>21</v>
      </c>
      <c r="C348" s="29"/>
      <c r="D348" s="29"/>
      <c r="E348" s="29"/>
      <c r="F348" s="29"/>
      <c r="G348" s="36"/>
      <c r="H348" s="29"/>
      <c r="I348" s="29"/>
      <c r="J348" s="29"/>
      <c r="K348" s="29"/>
      <c r="L348" s="36"/>
      <c r="M348" s="29"/>
      <c r="N348" s="37"/>
      <c r="O348" s="30" t="n">
        <f aca="false">N348*J348</f>
        <v>0</v>
      </c>
    </row>
    <row r="349" customFormat="false" ht="15" hidden="false" customHeight="false" outlineLevel="0" collapsed="false">
      <c r="A349" s="33"/>
      <c r="B349" s="28" t="s">
        <v>21</v>
      </c>
      <c r="C349" s="29"/>
      <c r="D349" s="29"/>
      <c r="E349" s="29"/>
      <c r="F349" s="29"/>
      <c r="G349" s="36"/>
      <c r="H349" s="29"/>
      <c r="I349" s="29"/>
      <c r="J349" s="29"/>
      <c r="K349" s="29"/>
      <c r="L349" s="36"/>
      <c r="M349" s="29"/>
      <c r="N349" s="37"/>
      <c r="O349" s="30" t="n">
        <f aca="false">N349*J349</f>
        <v>0</v>
      </c>
    </row>
    <row r="350" customFormat="false" ht="15" hidden="false" customHeight="false" outlineLevel="0" collapsed="false">
      <c r="A350" s="33"/>
      <c r="B350" s="28" t="s">
        <v>21</v>
      </c>
      <c r="C350" s="29"/>
      <c r="D350" s="29"/>
      <c r="E350" s="29"/>
      <c r="F350" s="29"/>
      <c r="G350" s="36"/>
      <c r="H350" s="29"/>
      <c r="I350" s="29"/>
      <c r="J350" s="29"/>
      <c r="K350" s="29"/>
      <c r="L350" s="36"/>
      <c r="M350" s="29"/>
      <c r="N350" s="37"/>
      <c r="O350" s="30" t="n">
        <f aca="false">N350*J350</f>
        <v>0</v>
      </c>
    </row>
    <row r="351" customFormat="false" ht="15" hidden="false" customHeight="false" outlineLevel="0" collapsed="false">
      <c r="A351" s="33"/>
      <c r="B351" s="28" t="s">
        <v>21</v>
      </c>
      <c r="C351" s="29"/>
      <c r="D351" s="29"/>
      <c r="E351" s="29"/>
      <c r="F351" s="29"/>
      <c r="G351" s="36"/>
      <c r="H351" s="29"/>
      <c r="I351" s="29"/>
      <c r="J351" s="29"/>
      <c r="K351" s="29"/>
      <c r="L351" s="36"/>
      <c r="M351" s="29"/>
      <c r="N351" s="37"/>
      <c r="O351" s="30" t="n">
        <f aca="false">N351*J351</f>
        <v>0</v>
      </c>
    </row>
    <row r="352" customFormat="false" ht="15" hidden="false" customHeight="false" outlineLevel="0" collapsed="false">
      <c r="A352" s="33"/>
      <c r="B352" s="28" t="s">
        <v>21</v>
      </c>
      <c r="C352" s="29"/>
      <c r="D352" s="29"/>
      <c r="E352" s="29"/>
      <c r="F352" s="29"/>
      <c r="G352" s="36"/>
      <c r="H352" s="29"/>
      <c r="I352" s="29"/>
      <c r="J352" s="29"/>
      <c r="K352" s="29"/>
      <c r="L352" s="36"/>
      <c r="M352" s="29"/>
      <c r="N352" s="37"/>
      <c r="O352" s="30" t="n">
        <f aca="false">N352*J352</f>
        <v>0</v>
      </c>
    </row>
    <row r="353" customFormat="false" ht="15" hidden="false" customHeight="false" outlineLevel="0" collapsed="false">
      <c r="A353" s="33"/>
      <c r="B353" s="28" t="s">
        <v>21</v>
      </c>
      <c r="C353" s="29"/>
      <c r="D353" s="29"/>
      <c r="E353" s="29"/>
      <c r="F353" s="29"/>
      <c r="G353" s="36"/>
      <c r="H353" s="29"/>
      <c r="I353" s="29"/>
      <c r="J353" s="29"/>
      <c r="K353" s="29"/>
      <c r="L353" s="36"/>
      <c r="M353" s="29"/>
      <c r="N353" s="37"/>
      <c r="O353" s="30" t="n">
        <f aca="false">N353*J353</f>
        <v>0</v>
      </c>
    </row>
    <row r="354" customFormat="false" ht="15" hidden="false" customHeight="false" outlineLevel="0" collapsed="false">
      <c r="A354" s="33"/>
      <c r="B354" s="28" t="s">
        <v>21</v>
      </c>
      <c r="C354" s="29"/>
      <c r="D354" s="29"/>
      <c r="E354" s="29"/>
      <c r="F354" s="29"/>
      <c r="G354" s="36"/>
      <c r="H354" s="29"/>
      <c r="I354" s="29"/>
      <c r="J354" s="29"/>
      <c r="K354" s="29"/>
      <c r="L354" s="36"/>
      <c r="M354" s="29"/>
      <c r="N354" s="37"/>
      <c r="O354" s="30" t="n">
        <f aca="false">N354*J354</f>
        <v>0</v>
      </c>
    </row>
    <row r="355" customFormat="false" ht="15" hidden="false" customHeight="false" outlineLevel="0" collapsed="false">
      <c r="A355" s="33"/>
      <c r="B355" s="28" t="s">
        <v>21</v>
      </c>
      <c r="C355" s="29"/>
      <c r="D355" s="29"/>
      <c r="E355" s="29"/>
      <c r="F355" s="29"/>
      <c r="G355" s="36"/>
      <c r="H355" s="29"/>
      <c r="I355" s="29"/>
      <c r="J355" s="29"/>
      <c r="K355" s="29"/>
      <c r="L355" s="36"/>
      <c r="M355" s="29"/>
      <c r="N355" s="37"/>
      <c r="O355" s="30" t="n">
        <f aca="false">N355*J355</f>
        <v>0</v>
      </c>
    </row>
    <row r="356" customFormat="false" ht="15" hidden="false" customHeight="false" outlineLevel="0" collapsed="false">
      <c r="A356" s="33"/>
      <c r="B356" s="28" t="s">
        <v>21</v>
      </c>
      <c r="C356" s="29"/>
      <c r="D356" s="29"/>
      <c r="E356" s="29"/>
      <c r="F356" s="29"/>
      <c r="G356" s="36"/>
      <c r="H356" s="29"/>
      <c r="I356" s="29"/>
      <c r="J356" s="29"/>
      <c r="K356" s="29"/>
      <c r="L356" s="36"/>
      <c r="M356" s="29"/>
      <c r="N356" s="37"/>
      <c r="O356" s="30" t="n">
        <f aca="false">N356*J356</f>
        <v>0</v>
      </c>
    </row>
    <row r="357" customFormat="false" ht="15" hidden="false" customHeight="false" outlineLevel="0" collapsed="false">
      <c r="A357" s="33"/>
      <c r="B357" s="28" t="s">
        <v>21</v>
      </c>
      <c r="C357" s="29"/>
      <c r="D357" s="29"/>
      <c r="E357" s="29"/>
      <c r="F357" s="29"/>
      <c r="G357" s="36"/>
      <c r="H357" s="29"/>
      <c r="I357" s="29"/>
      <c r="J357" s="29"/>
      <c r="K357" s="29"/>
      <c r="L357" s="36"/>
      <c r="M357" s="29"/>
      <c r="N357" s="37"/>
      <c r="O357" s="30" t="n">
        <f aca="false">N357*J357</f>
        <v>0</v>
      </c>
    </row>
    <row r="358" customFormat="false" ht="15" hidden="false" customHeight="false" outlineLevel="0" collapsed="false">
      <c r="A358" s="33"/>
      <c r="B358" s="28" t="s">
        <v>21</v>
      </c>
      <c r="C358" s="29"/>
      <c r="D358" s="29"/>
      <c r="E358" s="29"/>
      <c r="F358" s="29"/>
      <c r="G358" s="36"/>
      <c r="H358" s="29"/>
      <c r="I358" s="29"/>
      <c r="J358" s="29"/>
      <c r="K358" s="29"/>
      <c r="L358" s="36"/>
      <c r="M358" s="29"/>
      <c r="N358" s="37"/>
      <c r="O358" s="30" t="n">
        <f aca="false">N358*J358</f>
        <v>0</v>
      </c>
    </row>
    <row r="359" customFormat="false" ht="15" hidden="false" customHeight="false" outlineLevel="0" collapsed="false">
      <c r="A359" s="33"/>
      <c r="B359" s="28" t="s">
        <v>21</v>
      </c>
      <c r="C359" s="29"/>
      <c r="D359" s="29"/>
      <c r="E359" s="29"/>
      <c r="F359" s="29"/>
      <c r="G359" s="36"/>
      <c r="H359" s="29"/>
      <c r="I359" s="29"/>
      <c r="J359" s="29"/>
      <c r="K359" s="29"/>
      <c r="L359" s="36"/>
      <c r="M359" s="29"/>
      <c r="N359" s="37"/>
      <c r="O359" s="30" t="n">
        <f aca="false">N359*J359</f>
        <v>0</v>
      </c>
    </row>
    <row r="360" customFormat="false" ht="15" hidden="false" customHeight="false" outlineLevel="0" collapsed="false">
      <c r="A360" s="33"/>
      <c r="B360" s="28" t="s">
        <v>21</v>
      </c>
      <c r="C360" s="29"/>
      <c r="D360" s="29"/>
      <c r="E360" s="29"/>
      <c r="F360" s="29"/>
      <c r="G360" s="36"/>
      <c r="H360" s="29"/>
      <c r="I360" s="29"/>
      <c r="J360" s="29"/>
      <c r="K360" s="29"/>
      <c r="L360" s="36"/>
      <c r="M360" s="29"/>
      <c r="N360" s="37"/>
      <c r="O360" s="30" t="n">
        <f aca="false">N360*J360</f>
        <v>0</v>
      </c>
    </row>
    <row r="361" customFormat="false" ht="15" hidden="false" customHeight="false" outlineLevel="0" collapsed="false">
      <c r="A361" s="33"/>
      <c r="B361" s="28" t="s">
        <v>21</v>
      </c>
      <c r="C361" s="29"/>
      <c r="D361" s="29"/>
      <c r="E361" s="29"/>
      <c r="F361" s="29"/>
      <c r="G361" s="36"/>
      <c r="H361" s="29"/>
      <c r="I361" s="29"/>
      <c r="J361" s="29"/>
      <c r="K361" s="29"/>
      <c r="L361" s="36"/>
      <c r="M361" s="29"/>
      <c r="N361" s="37"/>
      <c r="O361" s="30" t="n">
        <f aca="false">N361*J361</f>
        <v>0</v>
      </c>
    </row>
    <row r="362" customFormat="false" ht="15" hidden="false" customHeight="false" outlineLevel="0" collapsed="false">
      <c r="A362" s="33"/>
      <c r="B362" s="28" t="s">
        <v>21</v>
      </c>
      <c r="C362" s="29"/>
      <c r="D362" s="29"/>
      <c r="E362" s="29"/>
      <c r="F362" s="29"/>
      <c r="G362" s="36"/>
      <c r="H362" s="29"/>
      <c r="I362" s="29"/>
      <c r="J362" s="29"/>
      <c r="K362" s="29"/>
      <c r="L362" s="36"/>
      <c r="M362" s="29"/>
      <c r="N362" s="37"/>
      <c r="O362" s="30" t="n">
        <f aca="false">N362*J362</f>
        <v>0</v>
      </c>
    </row>
    <row r="363" customFormat="false" ht="15" hidden="false" customHeight="false" outlineLevel="0" collapsed="false">
      <c r="A363" s="33"/>
      <c r="B363" s="28" t="s">
        <v>21</v>
      </c>
      <c r="C363" s="29"/>
      <c r="D363" s="29"/>
      <c r="E363" s="29"/>
      <c r="F363" s="29"/>
      <c r="G363" s="36"/>
      <c r="H363" s="29"/>
      <c r="I363" s="29"/>
      <c r="J363" s="29"/>
      <c r="K363" s="29"/>
      <c r="L363" s="36"/>
      <c r="M363" s="29"/>
      <c r="N363" s="37"/>
      <c r="O363" s="30" t="n">
        <f aca="false">N363*J363</f>
        <v>0</v>
      </c>
    </row>
    <row r="364" customFormat="false" ht="15" hidden="false" customHeight="false" outlineLevel="0" collapsed="false">
      <c r="A364" s="33"/>
      <c r="B364" s="28" t="s">
        <v>21</v>
      </c>
      <c r="C364" s="29"/>
      <c r="D364" s="29"/>
      <c r="E364" s="29"/>
      <c r="F364" s="29"/>
      <c r="G364" s="36"/>
      <c r="H364" s="29"/>
      <c r="I364" s="29"/>
      <c r="J364" s="29"/>
      <c r="K364" s="29"/>
      <c r="L364" s="36"/>
      <c r="M364" s="29"/>
      <c r="N364" s="37"/>
      <c r="O364" s="30" t="n">
        <f aca="false">N364*J364</f>
        <v>0</v>
      </c>
    </row>
    <row r="365" customFormat="false" ht="15" hidden="false" customHeight="false" outlineLevel="0" collapsed="false">
      <c r="A365" s="33"/>
      <c r="B365" s="28" t="s">
        <v>21</v>
      </c>
      <c r="C365" s="29"/>
      <c r="D365" s="29"/>
      <c r="E365" s="29"/>
      <c r="F365" s="29"/>
      <c r="G365" s="36"/>
      <c r="H365" s="29"/>
      <c r="I365" s="29"/>
      <c r="J365" s="29"/>
      <c r="K365" s="29"/>
      <c r="L365" s="36"/>
      <c r="M365" s="29"/>
      <c r="N365" s="37"/>
      <c r="O365" s="30" t="n">
        <f aca="false">N365*J365</f>
        <v>0</v>
      </c>
    </row>
    <row r="366" customFormat="false" ht="15" hidden="false" customHeight="false" outlineLevel="0" collapsed="false">
      <c r="A366" s="33"/>
      <c r="B366" s="28" t="s">
        <v>21</v>
      </c>
      <c r="C366" s="29"/>
      <c r="D366" s="29"/>
      <c r="E366" s="29"/>
      <c r="F366" s="29"/>
      <c r="G366" s="36"/>
      <c r="H366" s="29"/>
      <c r="I366" s="29"/>
      <c r="J366" s="29"/>
      <c r="K366" s="29"/>
      <c r="L366" s="36"/>
      <c r="M366" s="29"/>
      <c r="N366" s="37"/>
      <c r="O366" s="30" t="n">
        <f aca="false">N366*J366</f>
        <v>0</v>
      </c>
    </row>
    <row r="367" customFormat="false" ht="15" hidden="false" customHeight="false" outlineLevel="0" collapsed="false">
      <c r="A367" s="33"/>
      <c r="B367" s="28" t="s">
        <v>21</v>
      </c>
      <c r="C367" s="29"/>
      <c r="D367" s="29"/>
      <c r="E367" s="29"/>
      <c r="F367" s="29"/>
      <c r="G367" s="36"/>
      <c r="H367" s="29"/>
      <c r="I367" s="29"/>
      <c r="J367" s="29"/>
      <c r="K367" s="29"/>
      <c r="L367" s="36"/>
      <c r="M367" s="29"/>
      <c r="N367" s="37"/>
      <c r="O367" s="30" t="n">
        <f aca="false">N367*J367</f>
        <v>0</v>
      </c>
    </row>
    <row r="368" customFormat="false" ht="15" hidden="false" customHeight="false" outlineLevel="0" collapsed="false">
      <c r="A368" s="33"/>
      <c r="B368" s="28" t="s">
        <v>21</v>
      </c>
      <c r="C368" s="29"/>
      <c r="D368" s="29"/>
      <c r="E368" s="29"/>
      <c r="F368" s="29"/>
      <c r="G368" s="36"/>
      <c r="H368" s="29"/>
      <c r="I368" s="29"/>
      <c r="J368" s="29"/>
      <c r="K368" s="29"/>
      <c r="L368" s="36"/>
      <c r="M368" s="29"/>
      <c r="N368" s="37"/>
      <c r="O368" s="30" t="n">
        <f aca="false">N368*J368</f>
        <v>0</v>
      </c>
    </row>
    <row r="369" customFormat="false" ht="15" hidden="false" customHeight="false" outlineLevel="0" collapsed="false">
      <c r="A369" s="33"/>
      <c r="B369" s="28" t="s">
        <v>21</v>
      </c>
      <c r="C369" s="29"/>
      <c r="D369" s="29"/>
      <c r="E369" s="29"/>
      <c r="F369" s="29"/>
      <c r="G369" s="36"/>
      <c r="H369" s="29"/>
      <c r="I369" s="29"/>
      <c r="J369" s="29"/>
      <c r="K369" s="29"/>
      <c r="L369" s="36"/>
      <c r="M369" s="29"/>
      <c r="N369" s="37"/>
      <c r="O369" s="30" t="n">
        <f aca="false">N369*J369</f>
        <v>0</v>
      </c>
    </row>
    <row r="370" customFormat="false" ht="15" hidden="false" customHeight="false" outlineLevel="0" collapsed="false">
      <c r="A370" s="33"/>
      <c r="B370" s="28" t="s">
        <v>21</v>
      </c>
      <c r="C370" s="29"/>
      <c r="D370" s="29"/>
      <c r="E370" s="29"/>
      <c r="F370" s="29"/>
      <c r="G370" s="36"/>
      <c r="H370" s="29"/>
      <c r="I370" s="29"/>
      <c r="J370" s="29"/>
      <c r="K370" s="29"/>
      <c r="L370" s="36"/>
      <c r="M370" s="29"/>
      <c r="N370" s="37"/>
      <c r="O370" s="30" t="n">
        <f aca="false">N370*J370</f>
        <v>0</v>
      </c>
    </row>
    <row r="371" customFormat="false" ht="15" hidden="false" customHeight="false" outlineLevel="0" collapsed="false">
      <c r="A371" s="33"/>
      <c r="B371" s="28" t="s">
        <v>21</v>
      </c>
      <c r="C371" s="29"/>
      <c r="D371" s="29"/>
      <c r="E371" s="29"/>
      <c r="F371" s="29"/>
      <c r="G371" s="36"/>
      <c r="H371" s="29"/>
      <c r="I371" s="29"/>
      <c r="J371" s="29"/>
      <c r="K371" s="29"/>
      <c r="L371" s="36"/>
      <c r="M371" s="29"/>
      <c r="N371" s="37"/>
      <c r="O371" s="30" t="n">
        <f aca="false">N371*J371</f>
        <v>0</v>
      </c>
    </row>
    <row r="372" customFormat="false" ht="15" hidden="false" customHeight="false" outlineLevel="0" collapsed="false">
      <c r="A372" s="33"/>
      <c r="B372" s="28" t="s">
        <v>21</v>
      </c>
      <c r="C372" s="29"/>
      <c r="D372" s="29"/>
      <c r="E372" s="29"/>
      <c r="F372" s="29"/>
      <c r="G372" s="36"/>
      <c r="H372" s="29"/>
      <c r="I372" s="29"/>
      <c r="J372" s="29"/>
      <c r="K372" s="29"/>
      <c r="L372" s="36"/>
      <c r="M372" s="29"/>
      <c r="N372" s="37"/>
      <c r="O372" s="30" t="n">
        <f aca="false">N372*J372</f>
        <v>0</v>
      </c>
    </row>
    <row r="373" customFormat="false" ht="15" hidden="false" customHeight="false" outlineLevel="0" collapsed="false">
      <c r="A373" s="33"/>
      <c r="B373" s="28" t="s">
        <v>21</v>
      </c>
      <c r="C373" s="29"/>
      <c r="D373" s="29"/>
      <c r="E373" s="29"/>
      <c r="F373" s="29"/>
      <c r="G373" s="36"/>
      <c r="H373" s="29"/>
      <c r="I373" s="29"/>
      <c r="J373" s="29"/>
      <c r="K373" s="29"/>
      <c r="L373" s="36"/>
      <c r="M373" s="29"/>
      <c r="N373" s="37"/>
      <c r="O373" s="30" t="n">
        <f aca="false">N373*J373</f>
        <v>0</v>
      </c>
    </row>
    <row r="374" customFormat="false" ht="15" hidden="false" customHeight="false" outlineLevel="0" collapsed="false">
      <c r="A374" s="33"/>
      <c r="B374" s="28" t="s">
        <v>21</v>
      </c>
      <c r="C374" s="29"/>
      <c r="D374" s="29"/>
      <c r="E374" s="29"/>
      <c r="F374" s="29"/>
      <c r="G374" s="36"/>
      <c r="H374" s="29"/>
      <c r="I374" s="29"/>
      <c r="J374" s="29"/>
      <c r="K374" s="29"/>
      <c r="L374" s="36"/>
      <c r="M374" s="29"/>
      <c r="N374" s="37"/>
      <c r="O374" s="30" t="n">
        <f aca="false">N374*J374</f>
        <v>0</v>
      </c>
    </row>
    <row r="375" customFormat="false" ht="15" hidden="false" customHeight="false" outlineLevel="0" collapsed="false">
      <c r="A375" s="33"/>
      <c r="B375" s="28" t="s">
        <v>21</v>
      </c>
      <c r="C375" s="29"/>
      <c r="D375" s="29"/>
      <c r="E375" s="29"/>
      <c r="F375" s="29"/>
      <c r="G375" s="36"/>
      <c r="H375" s="29"/>
      <c r="I375" s="29"/>
      <c r="J375" s="29"/>
      <c r="K375" s="29"/>
      <c r="L375" s="36"/>
      <c r="M375" s="29"/>
      <c r="N375" s="37"/>
      <c r="O375" s="30" t="n">
        <f aca="false">N375*J375</f>
        <v>0</v>
      </c>
    </row>
    <row r="376" customFormat="false" ht="15" hidden="false" customHeight="false" outlineLevel="0" collapsed="false">
      <c r="A376" s="33"/>
      <c r="B376" s="28" t="s">
        <v>21</v>
      </c>
      <c r="C376" s="29"/>
      <c r="D376" s="29"/>
      <c r="E376" s="29"/>
      <c r="F376" s="29"/>
      <c r="G376" s="36"/>
      <c r="H376" s="29"/>
      <c r="I376" s="29"/>
      <c r="J376" s="29"/>
      <c r="K376" s="29"/>
      <c r="L376" s="36"/>
      <c r="M376" s="29"/>
      <c r="N376" s="37"/>
      <c r="O376" s="30" t="n">
        <f aca="false">N376*J376</f>
        <v>0</v>
      </c>
    </row>
    <row r="377" customFormat="false" ht="15" hidden="false" customHeight="false" outlineLevel="0" collapsed="false">
      <c r="A377" s="33"/>
      <c r="B377" s="28" t="s">
        <v>21</v>
      </c>
      <c r="C377" s="29"/>
      <c r="D377" s="29"/>
      <c r="E377" s="29"/>
      <c r="F377" s="29"/>
      <c r="G377" s="36"/>
      <c r="H377" s="29"/>
      <c r="I377" s="29"/>
      <c r="J377" s="29"/>
      <c r="K377" s="29"/>
      <c r="L377" s="36"/>
      <c r="M377" s="29"/>
      <c r="N377" s="37"/>
      <c r="O377" s="30" t="n">
        <f aca="false">N377*J377</f>
        <v>0</v>
      </c>
    </row>
    <row r="378" customFormat="false" ht="15" hidden="false" customHeight="false" outlineLevel="0" collapsed="false">
      <c r="A378" s="33"/>
      <c r="B378" s="28" t="s">
        <v>21</v>
      </c>
      <c r="C378" s="29"/>
      <c r="D378" s="29"/>
      <c r="E378" s="29"/>
      <c r="F378" s="29"/>
      <c r="G378" s="36"/>
      <c r="H378" s="29"/>
      <c r="I378" s="29"/>
      <c r="J378" s="29"/>
      <c r="K378" s="29"/>
      <c r="L378" s="36"/>
      <c r="M378" s="29"/>
      <c r="N378" s="37"/>
      <c r="O378" s="30" t="n">
        <f aca="false">N378*J378</f>
        <v>0</v>
      </c>
    </row>
    <row r="379" customFormat="false" ht="15" hidden="false" customHeight="false" outlineLevel="0" collapsed="false">
      <c r="A379" s="33"/>
      <c r="B379" s="28" t="s">
        <v>21</v>
      </c>
      <c r="C379" s="29"/>
      <c r="D379" s="29"/>
      <c r="E379" s="29"/>
      <c r="F379" s="29"/>
      <c r="G379" s="36"/>
      <c r="H379" s="29"/>
      <c r="I379" s="29"/>
      <c r="J379" s="29"/>
      <c r="K379" s="29"/>
      <c r="L379" s="36"/>
      <c r="M379" s="29"/>
      <c r="N379" s="37"/>
      <c r="O379" s="30" t="n">
        <f aca="false">N379*J379</f>
        <v>0</v>
      </c>
    </row>
    <row r="380" customFormat="false" ht="15" hidden="false" customHeight="false" outlineLevel="0" collapsed="false">
      <c r="A380" s="33"/>
      <c r="B380" s="28" t="s">
        <v>21</v>
      </c>
      <c r="C380" s="29"/>
      <c r="D380" s="29"/>
      <c r="E380" s="29"/>
      <c r="F380" s="29"/>
      <c r="G380" s="36"/>
      <c r="H380" s="29"/>
      <c r="I380" s="29"/>
      <c r="J380" s="29"/>
      <c r="K380" s="29"/>
      <c r="L380" s="36"/>
      <c r="M380" s="29"/>
      <c r="N380" s="37"/>
      <c r="O380" s="30" t="n">
        <f aca="false">N380*J380</f>
        <v>0</v>
      </c>
    </row>
    <row r="381" customFormat="false" ht="15" hidden="false" customHeight="false" outlineLevel="0" collapsed="false">
      <c r="A381" s="33"/>
      <c r="B381" s="28" t="s">
        <v>21</v>
      </c>
      <c r="C381" s="29"/>
      <c r="D381" s="29"/>
      <c r="E381" s="29"/>
      <c r="F381" s="29"/>
      <c r="G381" s="36"/>
      <c r="H381" s="29"/>
      <c r="I381" s="29"/>
      <c r="J381" s="29"/>
      <c r="K381" s="29"/>
      <c r="L381" s="36"/>
      <c r="M381" s="29"/>
      <c r="N381" s="37"/>
      <c r="O381" s="30" t="n">
        <f aca="false">N381*J381</f>
        <v>0</v>
      </c>
    </row>
    <row r="382" customFormat="false" ht="15" hidden="false" customHeight="false" outlineLevel="0" collapsed="false">
      <c r="A382" s="33"/>
      <c r="B382" s="28" t="s">
        <v>21</v>
      </c>
      <c r="C382" s="29"/>
      <c r="D382" s="29"/>
      <c r="E382" s="29"/>
      <c r="F382" s="29"/>
      <c r="G382" s="36"/>
      <c r="H382" s="29"/>
      <c r="I382" s="29"/>
      <c r="J382" s="29"/>
      <c r="K382" s="29"/>
      <c r="L382" s="36"/>
      <c r="M382" s="29"/>
      <c r="N382" s="37"/>
      <c r="O382" s="30" t="n">
        <f aca="false">N382*J382</f>
        <v>0</v>
      </c>
    </row>
    <row r="383" customFormat="false" ht="15" hidden="false" customHeight="false" outlineLevel="0" collapsed="false">
      <c r="A383" s="33"/>
      <c r="B383" s="28" t="s">
        <v>21</v>
      </c>
      <c r="C383" s="29"/>
      <c r="D383" s="29"/>
      <c r="E383" s="29"/>
      <c r="F383" s="29"/>
      <c r="G383" s="36"/>
      <c r="H383" s="29"/>
      <c r="I383" s="29"/>
      <c r="J383" s="29"/>
      <c r="K383" s="29"/>
      <c r="L383" s="36"/>
      <c r="M383" s="29"/>
      <c r="N383" s="37"/>
      <c r="O383" s="30" t="n">
        <f aca="false">N383*J383</f>
        <v>0</v>
      </c>
    </row>
    <row r="384" customFormat="false" ht="15" hidden="false" customHeight="false" outlineLevel="0" collapsed="false">
      <c r="A384" s="33"/>
      <c r="B384" s="28" t="s">
        <v>21</v>
      </c>
      <c r="C384" s="29"/>
      <c r="D384" s="29"/>
      <c r="E384" s="29"/>
      <c r="F384" s="29"/>
      <c r="G384" s="36"/>
      <c r="H384" s="29"/>
      <c r="I384" s="29"/>
      <c r="J384" s="29"/>
      <c r="K384" s="29"/>
      <c r="L384" s="36"/>
      <c r="M384" s="29"/>
      <c r="N384" s="37"/>
      <c r="O384" s="30" t="n">
        <f aca="false">N384*J384</f>
        <v>0</v>
      </c>
    </row>
    <row r="385" customFormat="false" ht="15" hidden="false" customHeight="false" outlineLevel="0" collapsed="false">
      <c r="A385" s="33"/>
      <c r="B385" s="28" t="s">
        <v>21</v>
      </c>
      <c r="C385" s="29"/>
      <c r="D385" s="29"/>
      <c r="E385" s="29"/>
      <c r="F385" s="29"/>
      <c r="G385" s="36"/>
      <c r="H385" s="29"/>
      <c r="I385" s="29"/>
      <c r="J385" s="29"/>
      <c r="K385" s="29"/>
      <c r="L385" s="36"/>
      <c r="M385" s="29"/>
      <c r="N385" s="37"/>
      <c r="O385" s="30" t="n">
        <f aca="false">N385*J385</f>
        <v>0</v>
      </c>
    </row>
    <row r="386" customFormat="false" ht="15" hidden="false" customHeight="false" outlineLevel="0" collapsed="false">
      <c r="A386" s="33"/>
      <c r="B386" s="28" t="s">
        <v>21</v>
      </c>
      <c r="C386" s="29"/>
      <c r="D386" s="29"/>
      <c r="E386" s="29"/>
      <c r="F386" s="29"/>
      <c r="G386" s="36"/>
      <c r="H386" s="29"/>
      <c r="I386" s="29"/>
      <c r="J386" s="29"/>
      <c r="K386" s="29"/>
      <c r="L386" s="36"/>
      <c r="M386" s="29"/>
      <c r="N386" s="37"/>
      <c r="O386" s="30" t="n">
        <f aca="false">N386*J386</f>
        <v>0</v>
      </c>
    </row>
    <row r="387" customFormat="false" ht="15" hidden="false" customHeight="false" outlineLevel="0" collapsed="false">
      <c r="A387" s="33"/>
      <c r="B387" s="28" t="s">
        <v>21</v>
      </c>
      <c r="C387" s="29"/>
      <c r="D387" s="29"/>
      <c r="E387" s="29"/>
      <c r="F387" s="29"/>
      <c r="G387" s="36"/>
      <c r="H387" s="29"/>
      <c r="I387" s="29"/>
      <c r="J387" s="29"/>
      <c r="K387" s="29"/>
      <c r="L387" s="36"/>
      <c r="M387" s="29"/>
      <c r="N387" s="37"/>
      <c r="O387" s="30" t="n">
        <f aca="false">N387*J387</f>
        <v>0</v>
      </c>
    </row>
    <row r="388" customFormat="false" ht="15" hidden="false" customHeight="false" outlineLevel="0" collapsed="false">
      <c r="A388" s="33"/>
      <c r="B388" s="28" t="s">
        <v>21</v>
      </c>
      <c r="C388" s="29"/>
      <c r="D388" s="29"/>
      <c r="E388" s="29"/>
      <c r="F388" s="29"/>
      <c r="G388" s="36"/>
      <c r="H388" s="29"/>
      <c r="I388" s="29"/>
      <c r="J388" s="29"/>
      <c r="K388" s="29"/>
      <c r="L388" s="36"/>
      <c r="M388" s="29"/>
      <c r="N388" s="37"/>
      <c r="O388" s="30" t="n">
        <f aca="false">N388*J388</f>
        <v>0</v>
      </c>
    </row>
    <row r="389" customFormat="false" ht="15" hidden="false" customHeight="false" outlineLevel="0" collapsed="false">
      <c r="A389" s="33"/>
      <c r="B389" s="28" t="s">
        <v>21</v>
      </c>
      <c r="C389" s="29"/>
      <c r="D389" s="29"/>
      <c r="E389" s="29"/>
      <c r="F389" s="29"/>
      <c r="G389" s="36"/>
      <c r="H389" s="29"/>
      <c r="I389" s="29"/>
      <c r="J389" s="29"/>
      <c r="K389" s="29"/>
      <c r="L389" s="36"/>
      <c r="M389" s="29"/>
      <c r="N389" s="37"/>
      <c r="O389" s="30" t="n">
        <f aca="false">N389*J389</f>
        <v>0</v>
      </c>
    </row>
    <row r="390" customFormat="false" ht="15" hidden="false" customHeight="false" outlineLevel="0" collapsed="false">
      <c r="A390" s="33"/>
      <c r="B390" s="28" t="s">
        <v>21</v>
      </c>
      <c r="C390" s="29"/>
      <c r="D390" s="29"/>
      <c r="E390" s="29"/>
      <c r="F390" s="29"/>
      <c r="G390" s="36"/>
      <c r="H390" s="29"/>
      <c r="I390" s="29"/>
      <c r="J390" s="29"/>
      <c r="K390" s="29"/>
      <c r="L390" s="36"/>
      <c r="M390" s="29"/>
      <c r="N390" s="37"/>
      <c r="O390" s="30" t="n">
        <f aca="false">N390*J390</f>
        <v>0</v>
      </c>
    </row>
    <row r="391" customFormat="false" ht="15" hidden="false" customHeight="false" outlineLevel="0" collapsed="false">
      <c r="A391" s="33"/>
      <c r="B391" s="28" t="s">
        <v>21</v>
      </c>
      <c r="C391" s="29"/>
      <c r="D391" s="29"/>
      <c r="E391" s="29"/>
      <c r="F391" s="29"/>
      <c r="G391" s="36"/>
      <c r="H391" s="29"/>
      <c r="I391" s="29"/>
      <c r="J391" s="29"/>
      <c r="K391" s="29"/>
      <c r="L391" s="36"/>
      <c r="M391" s="29"/>
      <c r="N391" s="37"/>
      <c r="O391" s="30" t="n">
        <f aca="false">N391*J391</f>
        <v>0</v>
      </c>
    </row>
    <row r="392" customFormat="false" ht="15" hidden="false" customHeight="false" outlineLevel="0" collapsed="false">
      <c r="A392" s="33"/>
      <c r="B392" s="28" t="s">
        <v>21</v>
      </c>
      <c r="C392" s="29"/>
      <c r="D392" s="29"/>
      <c r="E392" s="29"/>
      <c r="F392" s="29"/>
      <c r="G392" s="36"/>
      <c r="H392" s="29"/>
      <c r="I392" s="29"/>
      <c r="J392" s="29"/>
      <c r="K392" s="29"/>
      <c r="L392" s="36"/>
      <c r="M392" s="29"/>
      <c r="N392" s="37"/>
      <c r="O392" s="30" t="n">
        <f aca="false">N392*J392</f>
        <v>0</v>
      </c>
    </row>
    <row r="393" customFormat="false" ht="15" hidden="false" customHeight="false" outlineLevel="0" collapsed="false">
      <c r="A393" s="33"/>
      <c r="B393" s="28" t="s">
        <v>21</v>
      </c>
      <c r="C393" s="29"/>
      <c r="D393" s="29"/>
      <c r="E393" s="29"/>
      <c r="F393" s="29"/>
      <c r="G393" s="36"/>
      <c r="H393" s="29"/>
      <c r="I393" s="29"/>
      <c r="J393" s="29"/>
      <c r="K393" s="29"/>
      <c r="L393" s="36"/>
      <c r="M393" s="29"/>
      <c r="N393" s="37"/>
      <c r="O393" s="30" t="n">
        <f aca="false">N393*J393</f>
        <v>0</v>
      </c>
    </row>
    <row r="394" customFormat="false" ht="15" hidden="false" customHeight="false" outlineLevel="0" collapsed="false">
      <c r="A394" s="33"/>
      <c r="B394" s="28" t="s">
        <v>21</v>
      </c>
      <c r="C394" s="29"/>
      <c r="D394" s="29"/>
      <c r="E394" s="29"/>
      <c r="F394" s="29"/>
      <c r="G394" s="36"/>
      <c r="H394" s="29"/>
      <c r="I394" s="29"/>
      <c r="J394" s="29"/>
      <c r="K394" s="29"/>
      <c r="L394" s="36"/>
      <c r="M394" s="29"/>
      <c r="N394" s="37"/>
      <c r="O394" s="30" t="n">
        <f aca="false">N394*J394</f>
        <v>0</v>
      </c>
    </row>
    <row r="395" customFormat="false" ht="15" hidden="false" customHeight="false" outlineLevel="0" collapsed="false">
      <c r="A395" s="33"/>
      <c r="B395" s="28" t="s">
        <v>21</v>
      </c>
      <c r="C395" s="29"/>
      <c r="D395" s="29"/>
      <c r="E395" s="29"/>
      <c r="F395" s="29"/>
      <c r="G395" s="36"/>
      <c r="H395" s="29"/>
      <c r="I395" s="29"/>
      <c r="J395" s="29"/>
      <c r="K395" s="29"/>
      <c r="L395" s="36"/>
      <c r="M395" s="29"/>
      <c r="N395" s="37"/>
      <c r="O395" s="30" t="n">
        <f aca="false">N395*J395</f>
        <v>0</v>
      </c>
    </row>
    <row r="396" customFormat="false" ht="15" hidden="false" customHeight="false" outlineLevel="0" collapsed="false">
      <c r="A396" s="33"/>
      <c r="B396" s="28" t="s">
        <v>21</v>
      </c>
      <c r="C396" s="29"/>
      <c r="D396" s="29"/>
      <c r="E396" s="29"/>
      <c r="F396" s="29"/>
      <c r="G396" s="36"/>
      <c r="H396" s="29"/>
      <c r="I396" s="29"/>
      <c r="J396" s="29"/>
      <c r="K396" s="29"/>
      <c r="L396" s="36"/>
      <c r="M396" s="29"/>
      <c r="N396" s="37"/>
      <c r="O396" s="30" t="n">
        <f aca="false">N396*J396</f>
        <v>0</v>
      </c>
    </row>
    <row r="397" customFormat="false" ht="15" hidden="false" customHeight="false" outlineLevel="0" collapsed="false">
      <c r="A397" s="33"/>
      <c r="B397" s="28" t="s">
        <v>21</v>
      </c>
      <c r="C397" s="29"/>
      <c r="D397" s="29"/>
      <c r="E397" s="29"/>
      <c r="F397" s="29"/>
      <c r="G397" s="36"/>
      <c r="H397" s="29"/>
      <c r="I397" s="29"/>
      <c r="J397" s="29"/>
      <c r="K397" s="29"/>
      <c r="L397" s="36"/>
      <c r="M397" s="29"/>
      <c r="N397" s="37"/>
      <c r="O397" s="30" t="n">
        <f aca="false">N397*J397</f>
        <v>0</v>
      </c>
    </row>
    <row r="398" customFormat="false" ht="15" hidden="false" customHeight="false" outlineLevel="0" collapsed="false">
      <c r="A398" s="33"/>
      <c r="B398" s="28" t="s">
        <v>21</v>
      </c>
      <c r="C398" s="29"/>
      <c r="D398" s="29"/>
      <c r="E398" s="29"/>
      <c r="F398" s="29"/>
      <c r="G398" s="36"/>
      <c r="H398" s="29"/>
      <c r="I398" s="29"/>
      <c r="J398" s="29"/>
      <c r="K398" s="29"/>
      <c r="L398" s="36"/>
      <c r="M398" s="29"/>
      <c r="N398" s="37"/>
      <c r="O398" s="30" t="n">
        <f aca="false">N398*J398</f>
        <v>0</v>
      </c>
    </row>
    <row r="399" customFormat="false" ht="15" hidden="false" customHeight="false" outlineLevel="0" collapsed="false">
      <c r="A399" s="33"/>
      <c r="B399" s="28" t="s">
        <v>21</v>
      </c>
      <c r="C399" s="29"/>
      <c r="D399" s="29"/>
      <c r="E399" s="29"/>
      <c r="F399" s="29"/>
      <c r="G399" s="36"/>
      <c r="H399" s="29"/>
      <c r="I399" s="29"/>
      <c r="J399" s="29"/>
      <c r="K399" s="29"/>
      <c r="L399" s="36"/>
      <c r="M399" s="29"/>
      <c r="N399" s="37"/>
      <c r="O399" s="30" t="n">
        <f aca="false">N399*J399</f>
        <v>0</v>
      </c>
    </row>
    <row r="400" customFormat="false" ht="15" hidden="false" customHeight="false" outlineLevel="0" collapsed="false">
      <c r="A400" s="33"/>
      <c r="B400" s="28" t="s">
        <v>21</v>
      </c>
      <c r="C400" s="29"/>
      <c r="D400" s="29"/>
      <c r="E400" s="29"/>
      <c r="F400" s="29"/>
      <c r="G400" s="36"/>
      <c r="H400" s="29"/>
      <c r="I400" s="29"/>
      <c r="J400" s="29"/>
      <c r="K400" s="29"/>
      <c r="L400" s="36"/>
      <c r="M400" s="29"/>
      <c r="N400" s="37"/>
      <c r="O400" s="30" t="n">
        <f aca="false">N400*J400</f>
        <v>0</v>
      </c>
    </row>
    <row r="401" customFormat="false" ht="15" hidden="false" customHeight="false" outlineLevel="0" collapsed="false">
      <c r="A401" s="33"/>
      <c r="B401" s="28" t="s">
        <v>21</v>
      </c>
      <c r="C401" s="29"/>
      <c r="D401" s="29"/>
      <c r="E401" s="29"/>
      <c r="F401" s="29"/>
      <c r="G401" s="36"/>
      <c r="H401" s="29"/>
      <c r="I401" s="29"/>
      <c r="J401" s="29"/>
      <c r="K401" s="29"/>
      <c r="L401" s="36"/>
      <c r="M401" s="29"/>
      <c r="N401" s="37"/>
      <c r="O401" s="30" t="n">
        <f aca="false">N401*J401</f>
        <v>0</v>
      </c>
    </row>
    <row r="402" customFormat="false" ht="15" hidden="false" customHeight="false" outlineLevel="0" collapsed="false">
      <c r="A402" s="33"/>
      <c r="B402" s="28" t="s">
        <v>21</v>
      </c>
      <c r="C402" s="29"/>
      <c r="D402" s="29"/>
      <c r="E402" s="29"/>
      <c r="F402" s="29"/>
      <c r="G402" s="36"/>
      <c r="H402" s="29"/>
      <c r="I402" s="29"/>
      <c r="J402" s="29"/>
      <c r="K402" s="29"/>
      <c r="L402" s="36"/>
      <c r="M402" s="29"/>
      <c r="N402" s="37"/>
      <c r="O402" s="30" t="n">
        <f aca="false">N402*J402</f>
        <v>0</v>
      </c>
    </row>
    <row r="403" customFormat="false" ht="15" hidden="false" customHeight="false" outlineLevel="0" collapsed="false">
      <c r="A403" s="33"/>
      <c r="B403" s="28" t="s">
        <v>21</v>
      </c>
      <c r="C403" s="29"/>
      <c r="D403" s="29"/>
      <c r="E403" s="29"/>
      <c r="F403" s="29"/>
      <c r="G403" s="36"/>
      <c r="H403" s="29"/>
      <c r="I403" s="29"/>
      <c r="J403" s="29"/>
      <c r="K403" s="29"/>
      <c r="L403" s="36"/>
      <c r="M403" s="29"/>
      <c r="N403" s="37"/>
      <c r="O403" s="30" t="n">
        <f aca="false">N403*J403</f>
        <v>0</v>
      </c>
    </row>
    <row r="404" customFormat="false" ht="15" hidden="false" customHeight="false" outlineLevel="0" collapsed="false">
      <c r="A404" s="33"/>
      <c r="B404" s="28"/>
      <c r="C404" s="29"/>
      <c r="D404" s="29"/>
      <c r="E404" s="29"/>
      <c r="F404" s="29"/>
      <c r="G404" s="36"/>
      <c r="H404" s="29"/>
      <c r="I404" s="29"/>
      <c r="J404" s="29"/>
      <c r="K404" s="29"/>
      <c r="L404" s="36"/>
      <c r="M404" s="29"/>
      <c r="N404" s="37"/>
      <c r="O404" s="30" t="n">
        <f aca="false">N404*J404</f>
        <v>0</v>
      </c>
    </row>
    <row r="405" customFormat="false" ht="15" hidden="false" customHeight="false" outlineLevel="0" collapsed="false">
      <c r="A405" s="33"/>
      <c r="B405" s="28"/>
      <c r="C405" s="29"/>
      <c r="D405" s="29"/>
      <c r="E405" s="29"/>
      <c r="F405" s="29"/>
      <c r="G405" s="36"/>
      <c r="H405" s="29"/>
      <c r="I405" s="29"/>
      <c r="J405" s="29"/>
      <c r="K405" s="29"/>
      <c r="L405" s="36"/>
      <c r="M405" s="29"/>
      <c r="N405" s="37"/>
      <c r="O405" s="30" t="n">
        <f aca="false">N405*J405</f>
        <v>0</v>
      </c>
    </row>
    <row r="406" customFormat="false" ht="15" hidden="false" customHeight="false" outlineLevel="0" collapsed="false">
      <c r="A406" s="33"/>
      <c r="B406" s="28"/>
      <c r="C406" s="29"/>
      <c r="D406" s="29"/>
      <c r="E406" s="29"/>
      <c r="F406" s="29"/>
      <c r="G406" s="36"/>
      <c r="H406" s="29"/>
      <c r="I406" s="29"/>
      <c r="J406" s="29"/>
      <c r="K406" s="29"/>
      <c r="L406" s="36"/>
      <c r="M406" s="29"/>
      <c r="N406" s="37"/>
      <c r="O406" s="30" t="n">
        <f aca="false">N406*J406</f>
        <v>0</v>
      </c>
    </row>
    <row r="407" customFormat="false" ht="15" hidden="false" customHeight="false" outlineLevel="0" collapsed="false">
      <c r="A407" s="33"/>
      <c r="B407" s="28"/>
      <c r="C407" s="29"/>
      <c r="D407" s="29"/>
      <c r="E407" s="29"/>
      <c r="F407" s="29"/>
      <c r="G407" s="36"/>
      <c r="H407" s="29"/>
      <c r="I407" s="29"/>
      <c r="J407" s="29"/>
      <c r="K407" s="29"/>
      <c r="L407" s="36"/>
      <c r="M407" s="29"/>
      <c r="N407" s="37"/>
      <c r="O407" s="30" t="n">
        <f aca="false">N407*J407</f>
        <v>0</v>
      </c>
    </row>
    <row r="408" customFormat="false" ht="15" hidden="false" customHeight="false" outlineLevel="0" collapsed="false">
      <c r="A408" s="33"/>
      <c r="B408" s="28"/>
      <c r="C408" s="29"/>
      <c r="D408" s="29"/>
      <c r="E408" s="29"/>
      <c r="F408" s="29"/>
      <c r="G408" s="36"/>
      <c r="H408" s="29"/>
      <c r="I408" s="29"/>
      <c r="J408" s="29"/>
      <c r="K408" s="29"/>
      <c r="L408" s="36"/>
      <c r="M408" s="29"/>
      <c r="N408" s="37"/>
      <c r="O408" s="30" t="n">
        <f aca="false">N408*J408</f>
        <v>0</v>
      </c>
    </row>
    <row r="409" customFormat="false" ht="15" hidden="false" customHeight="false" outlineLevel="0" collapsed="false">
      <c r="A409" s="33"/>
      <c r="B409" s="28"/>
      <c r="C409" s="29"/>
      <c r="D409" s="29"/>
      <c r="E409" s="29"/>
      <c r="F409" s="29"/>
      <c r="G409" s="36"/>
      <c r="H409" s="29"/>
      <c r="I409" s="29"/>
      <c r="J409" s="29"/>
      <c r="K409" s="29"/>
      <c r="L409" s="36"/>
      <c r="M409" s="29"/>
      <c r="N409" s="37"/>
      <c r="O409" s="30" t="n">
        <f aca="false">N409*J409</f>
        <v>0</v>
      </c>
    </row>
    <row r="410" customFormat="false" ht="15" hidden="false" customHeight="false" outlineLevel="0" collapsed="false">
      <c r="A410" s="33"/>
      <c r="B410" s="28"/>
      <c r="C410" s="29"/>
      <c r="D410" s="29"/>
      <c r="E410" s="29"/>
      <c r="F410" s="29"/>
      <c r="G410" s="36"/>
      <c r="H410" s="29"/>
      <c r="I410" s="29"/>
      <c r="J410" s="29"/>
      <c r="K410" s="29"/>
      <c r="L410" s="36"/>
      <c r="M410" s="29"/>
      <c r="N410" s="37"/>
      <c r="O410" s="30" t="n">
        <f aca="false">N410*J410</f>
        <v>0</v>
      </c>
    </row>
    <row r="411" customFormat="false" ht="15" hidden="false" customHeight="false" outlineLevel="0" collapsed="false">
      <c r="A411" s="33"/>
      <c r="B411" s="28"/>
      <c r="C411" s="29"/>
      <c r="D411" s="29"/>
      <c r="E411" s="29"/>
      <c r="F411" s="29"/>
      <c r="G411" s="36"/>
      <c r="H411" s="29"/>
      <c r="I411" s="29"/>
      <c r="J411" s="29"/>
      <c r="K411" s="29"/>
      <c r="L411" s="36"/>
      <c r="M411" s="29"/>
      <c r="N411" s="37"/>
      <c r="O411" s="30" t="n">
        <f aca="false">N411*J411</f>
        <v>0</v>
      </c>
    </row>
    <row r="412" customFormat="false" ht="15" hidden="false" customHeight="false" outlineLevel="0" collapsed="false">
      <c r="A412" s="33"/>
      <c r="B412" s="28"/>
      <c r="C412" s="29"/>
      <c r="D412" s="29"/>
      <c r="E412" s="29"/>
      <c r="F412" s="29"/>
      <c r="G412" s="36"/>
      <c r="H412" s="29"/>
      <c r="I412" s="29"/>
      <c r="J412" s="29"/>
      <c r="K412" s="29"/>
      <c r="L412" s="36"/>
      <c r="M412" s="29"/>
      <c r="N412" s="37"/>
      <c r="O412" s="30" t="n">
        <f aca="false">N412*J412</f>
        <v>0</v>
      </c>
    </row>
    <row r="413" customFormat="false" ht="15" hidden="false" customHeight="false" outlineLevel="0" collapsed="false">
      <c r="A413" s="33"/>
      <c r="B413" s="28"/>
      <c r="C413" s="29"/>
      <c r="D413" s="29"/>
      <c r="E413" s="29"/>
      <c r="F413" s="29"/>
      <c r="G413" s="36"/>
      <c r="H413" s="29"/>
      <c r="I413" s="29"/>
      <c r="J413" s="29"/>
      <c r="K413" s="29"/>
      <c r="L413" s="36"/>
      <c r="M413" s="29"/>
      <c r="N413" s="37"/>
      <c r="O413" s="30" t="n">
        <f aca="false">N413*J413</f>
        <v>0</v>
      </c>
    </row>
    <row r="414" customFormat="false" ht="15" hidden="false" customHeight="false" outlineLevel="0" collapsed="false">
      <c r="A414" s="33"/>
      <c r="B414" s="28"/>
      <c r="C414" s="29"/>
      <c r="D414" s="29"/>
      <c r="E414" s="29"/>
      <c r="F414" s="29"/>
      <c r="G414" s="36"/>
      <c r="H414" s="29"/>
      <c r="I414" s="29"/>
      <c r="J414" s="29"/>
      <c r="K414" s="29"/>
      <c r="L414" s="36"/>
      <c r="M414" s="29"/>
      <c r="N414" s="37"/>
      <c r="O414" s="30" t="n">
        <f aca="false">N414*J414</f>
        <v>0</v>
      </c>
    </row>
    <row r="415" customFormat="false" ht="15" hidden="false" customHeight="false" outlineLevel="0" collapsed="false">
      <c r="A415" s="33"/>
      <c r="B415" s="28"/>
      <c r="C415" s="29"/>
      <c r="D415" s="29"/>
      <c r="E415" s="29"/>
      <c r="F415" s="29"/>
      <c r="G415" s="36"/>
      <c r="H415" s="29"/>
      <c r="I415" s="29"/>
      <c r="J415" s="29"/>
      <c r="K415" s="29"/>
      <c r="L415" s="36"/>
      <c r="M415" s="29"/>
      <c r="N415" s="37"/>
      <c r="O415" s="30" t="n">
        <f aca="false">N415*J415</f>
        <v>0</v>
      </c>
    </row>
    <row r="416" customFormat="false" ht="15" hidden="false" customHeight="false" outlineLevel="0" collapsed="false">
      <c r="A416" s="33"/>
      <c r="B416" s="28"/>
      <c r="C416" s="29"/>
      <c r="D416" s="29"/>
      <c r="E416" s="29"/>
      <c r="F416" s="29"/>
      <c r="G416" s="36"/>
      <c r="H416" s="29"/>
      <c r="I416" s="29"/>
      <c r="J416" s="29"/>
      <c r="K416" s="29"/>
      <c r="L416" s="36"/>
      <c r="M416" s="29"/>
      <c r="N416" s="37"/>
      <c r="O416" s="30" t="n">
        <f aca="false">N416*J416</f>
        <v>0</v>
      </c>
    </row>
    <row r="417" customFormat="false" ht="15" hidden="false" customHeight="false" outlineLevel="0" collapsed="false">
      <c r="A417" s="33"/>
      <c r="B417" s="28"/>
      <c r="C417" s="29"/>
      <c r="D417" s="29"/>
      <c r="E417" s="29"/>
      <c r="F417" s="29"/>
      <c r="G417" s="36"/>
      <c r="H417" s="29"/>
      <c r="I417" s="29"/>
      <c r="J417" s="29"/>
      <c r="K417" s="29"/>
      <c r="L417" s="36"/>
      <c r="M417" s="29"/>
      <c r="N417" s="37"/>
      <c r="O417" s="30" t="n">
        <f aca="false">N417*J417</f>
        <v>0</v>
      </c>
    </row>
    <row r="418" customFormat="false" ht="15" hidden="false" customHeight="false" outlineLevel="0" collapsed="false">
      <c r="A418" s="33"/>
      <c r="B418" s="28"/>
      <c r="C418" s="29"/>
      <c r="D418" s="29"/>
      <c r="E418" s="29"/>
      <c r="F418" s="29"/>
      <c r="G418" s="36"/>
      <c r="H418" s="29"/>
      <c r="I418" s="29"/>
      <c r="J418" s="29"/>
      <c r="K418" s="29"/>
      <c r="L418" s="36"/>
      <c r="M418" s="29"/>
      <c r="N418" s="37"/>
      <c r="O418" s="30" t="n">
        <f aca="false">N418*J418</f>
        <v>0</v>
      </c>
    </row>
    <row r="419" customFormat="false" ht="15" hidden="false" customHeight="false" outlineLevel="0" collapsed="false">
      <c r="A419" s="33"/>
      <c r="B419" s="28"/>
      <c r="C419" s="29"/>
      <c r="D419" s="29"/>
      <c r="E419" s="29"/>
      <c r="F419" s="29"/>
      <c r="G419" s="36"/>
      <c r="H419" s="29"/>
      <c r="I419" s="29"/>
      <c r="J419" s="29"/>
      <c r="K419" s="29"/>
      <c r="L419" s="36"/>
      <c r="M419" s="29"/>
      <c r="N419" s="37"/>
      <c r="O419" s="30" t="n">
        <f aca="false">N419*J419</f>
        <v>0</v>
      </c>
    </row>
    <row r="420" customFormat="false" ht="15" hidden="false" customHeight="false" outlineLevel="0" collapsed="false">
      <c r="A420" s="33"/>
      <c r="B420" s="28"/>
      <c r="C420" s="29"/>
      <c r="D420" s="29"/>
      <c r="E420" s="29"/>
      <c r="F420" s="29"/>
      <c r="G420" s="36"/>
      <c r="H420" s="29"/>
      <c r="I420" s="29"/>
      <c r="J420" s="29"/>
      <c r="K420" s="29"/>
      <c r="L420" s="36"/>
      <c r="M420" s="29"/>
      <c r="N420" s="37"/>
      <c r="O420" s="30" t="n">
        <f aca="false">N420*J420</f>
        <v>0</v>
      </c>
    </row>
    <row r="421" customFormat="false" ht="15" hidden="false" customHeight="false" outlineLevel="0" collapsed="false">
      <c r="A421" s="33"/>
      <c r="B421" s="28"/>
      <c r="C421" s="29"/>
      <c r="D421" s="29"/>
      <c r="E421" s="29"/>
      <c r="F421" s="29"/>
      <c r="G421" s="36"/>
      <c r="H421" s="29"/>
      <c r="I421" s="29"/>
      <c r="J421" s="29"/>
      <c r="K421" s="29"/>
      <c r="L421" s="36"/>
      <c r="M421" s="29"/>
      <c r="N421" s="37"/>
      <c r="O421" s="30" t="n">
        <f aca="false">N421*J421</f>
        <v>0</v>
      </c>
    </row>
    <row r="422" customFormat="false" ht="15" hidden="false" customHeight="false" outlineLevel="0" collapsed="false">
      <c r="A422" s="33"/>
      <c r="B422" s="28"/>
      <c r="C422" s="29"/>
      <c r="D422" s="29"/>
      <c r="E422" s="29"/>
      <c r="F422" s="29"/>
      <c r="G422" s="36"/>
      <c r="H422" s="29"/>
      <c r="I422" s="29"/>
      <c r="J422" s="29"/>
      <c r="K422" s="29"/>
      <c r="L422" s="36"/>
      <c r="M422" s="29"/>
      <c r="N422" s="37"/>
      <c r="O422" s="30" t="n">
        <f aca="false">N422*J422</f>
        <v>0</v>
      </c>
    </row>
    <row r="423" customFormat="false" ht="15" hidden="false" customHeight="false" outlineLevel="0" collapsed="false">
      <c r="A423" s="33"/>
      <c r="B423" s="28"/>
      <c r="C423" s="29"/>
      <c r="D423" s="29"/>
      <c r="E423" s="29"/>
      <c r="F423" s="29"/>
      <c r="G423" s="36"/>
      <c r="H423" s="29"/>
      <c r="I423" s="29"/>
      <c r="J423" s="29"/>
      <c r="K423" s="29"/>
      <c r="L423" s="36"/>
      <c r="M423" s="29"/>
      <c r="N423" s="37"/>
      <c r="O423" s="30" t="n">
        <f aca="false">N423*J423</f>
        <v>0</v>
      </c>
    </row>
    <row r="424" customFormat="false" ht="15" hidden="false" customHeight="false" outlineLevel="0" collapsed="false">
      <c r="A424" s="33"/>
      <c r="B424" s="28"/>
      <c r="C424" s="29"/>
      <c r="D424" s="29"/>
      <c r="E424" s="29"/>
      <c r="F424" s="29"/>
      <c r="G424" s="36"/>
      <c r="H424" s="29"/>
      <c r="I424" s="29"/>
      <c r="J424" s="29"/>
      <c r="K424" s="29"/>
      <c r="L424" s="36"/>
      <c r="M424" s="29"/>
      <c r="N424" s="37"/>
      <c r="O424" s="30" t="n">
        <f aca="false">N424*J424</f>
        <v>0</v>
      </c>
    </row>
    <row r="425" customFormat="false" ht="15" hidden="false" customHeight="false" outlineLevel="0" collapsed="false">
      <c r="A425" s="33"/>
      <c r="B425" s="28"/>
      <c r="C425" s="29"/>
      <c r="D425" s="29"/>
      <c r="E425" s="29"/>
      <c r="F425" s="29"/>
      <c r="G425" s="36"/>
      <c r="H425" s="29"/>
      <c r="I425" s="29"/>
      <c r="J425" s="29"/>
      <c r="K425" s="29"/>
      <c r="L425" s="36"/>
      <c r="M425" s="29"/>
      <c r="N425" s="37"/>
      <c r="O425" s="30" t="n">
        <f aca="false">N425*J425</f>
        <v>0</v>
      </c>
    </row>
    <row r="426" customFormat="false" ht="15" hidden="false" customHeight="false" outlineLevel="0" collapsed="false">
      <c r="A426" s="33"/>
      <c r="B426" s="28"/>
      <c r="C426" s="29"/>
      <c r="D426" s="29"/>
      <c r="E426" s="29"/>
      <c r="F426" s="29"/>
      <c r="G426" s="36"/>
      <c r="H426" s="29"/>
      <c r="I426" s="29"/>
      <c r="J426" s="29"/>
      <c r="K426" s="29"/>
      <c r="L426" s="36"/>
      <c r="M426" s="29"/>
      <c r="N426" s="37"/>
      <c r="O426" s="30" t="n">
        <f aca="false">N426*J426</f>
        <v>0</v>
      </c>
    </row>
    <row r="427" customFormat="false" ht="15" hidden="false" customHeight="false" outlineLevel="0" collapsed="false">
      <c r="A427" s="33"/>
      <c r="B427" s="28"/>
      <c r="C427" s="29"/>
      <c r="D427" s="29"/>
      <c r="E427" s="29"/>
      <c r="F427" s="29"/>
      <c r="G427" s="36"/>
      <c r="H427" s="29"/>
      <c r="I427" s="29"/>
      <c r="J427" s="29"/>
      <c r="K427" s="29"/>
      <c r="L427" s="36"/>
      <c r="M427" s="29"/>
      <c r="N427" s="37"/>
      <c r="O427" s="30" t="n">
        <f aca="false">N427*J427</f>
        <v>0</v>
      </c>
    </row>
    <row r="428" customFormat="false" ht="15" hidden="false" customHeight="false" outlineLevel="0" collapsed="false">
      <c r="A428" s="33"/>
      <c r="B428" s="28"/>
      <c r="C428" s="29"/>
      <c r="D428" s="29"/>
      <c r="E428" s="29"/>
      <c r="F428" s="29"/>
      <c r="G428" s="36"/>
      <c r="H428" s="29"/>
      <c r="I428" s="29"/>
      <c r="J428" s="29"/>
      <c r="K428" s="29"/>
      <c r="L428" s="36"/>
      <c r="M428" s="29"/>
      <c r="N428" s="37"/>
      <c r="O428" s="30" t="n">
        <f aca="false">N428*J428</f>
        <v>0</v>
      </c>
    </row>
    <row r="429" customFormat="false" ht="15" hidden="false" customHeight="false" outlineLevel="0" collapsed="false">
      <c r="A429" s="33"/>
      <c r="B429" s="28"/>
      <c r="C429" s="29"/>
      <c r="D429" s="29"/>
      <c r="E429" s="29"/>
      <c r="F429" s="29"/>
      <c r="G429" s="36"/>
      <c r="H429" s="29"/>
      <c r="I429" s="29"/>
      <c r="J429" s="29"/>
      <c r="K429" s="29"/>
      <c r="L429" s="36"/>
      <c r="M429" s="29"/>
      <c r="N429" s="37"/>
      <c r="O429" s="30" t="n">
        <f aca="false">N429*J429</f>
        <v>0</v>
      </c>
    </row>
    <row r="430" customFormat="false" ht="15" hidden="false" customHeight="false" outlineLevel="0" collapsed="false">
      <c r="A430" s="33"/>
      <c r="B430" s="28"/>
      <c r="C430" s="29"/>
      <c r="D430" s="29"/>
      <c r="E430" s="29"/>
      <c r="F430" s="29"/>
      <c r="G430" s="36"/>
      <c r="H430" s="29"/>
      <c r="I430" s="29"/>
      <c r="J430" s="29"/>
      <c r="K430" s="29"/>
      <c r="L430" s="36"/>
      <c r="M430" s="29"/>
      <c r="N430" s="37"/>
      <c r="O430" s="30" t="n">
        <f aca="false">N430*J430</f>
        <v>0</v>
      </c>
    </row>
    <row r="431" customFormat="false" ht="15" hidden="false" customHeight="false" outlineLevel="0" collapsed="false">
      <c r="A431" s="33"/>
      <c r="B431" s="28"/>
      <c r="C431" s="29"/>
      <c r="D431" s="29"/>
      <c r="E431" s="29"/>
      <c r="F431" s="29"/>
      <c r="G431" s="36"/>
      <c r="H431" s="29"/>
      <c r="I431" s="29"/>
      <c r="J431" s="29"/>
      <c r="K431" s="29"/>
      <c r="L431" s="36"/>
      <c r="M431" s="29"/>
      <c r="N431" s="37"/>
      <c r="O431" s="30" t="n">
        <f aca="false">N431*J431</f>
        <v>0</v>
      </c>
    </row>
    <row r="432" customFormat="false" ht="15" hidden="false" customHeight="false" outlineLevel="0" collapsed="false">
      <c r="A432" s="33"/>
      <c r="B432" s="28"/>
      <c r="C432" s="29"/>
      <c r="D432" s="29"/>
      <c r="E432" s="29"/>
      <c r="F432" s="29"/>
      <c r="G432" s="36"/>
      <c r="H432" s="29"/>
      <c r="I432" s="29"/>
      <c r="J432" s="29"/>
      <c r="K432" s="29"/>
      <c r="L432" s="36"/>
      <c r="M432" s="29"/>
      <c r="N432" s="37"/>
      <c r="O432" s="30" t="n">
        <f aca="false">N432*J432</f>
        <v>0</v>
      </c>
    </row>
    <row r="433" customFormat="false" ht="15" hidden="false" customHeight="false" outlineLevel="0" collapsed="false">
      <c r="A433" s="33"/>
      <c r="B433" s="28"/>
      <c r="C433" s="29"/>
      <c r="D433" s="29"/>
      <c r="E433" s="29"/>
      <c r="F433" s="29"/>
      <c r="G433" s="36"/>
      <c r="H433" s="29"/>
      <c r="I433" s="29"/>
      <c r="J433" s="29"/>
      <c r="K433" s="29"/>
      <c r="L433" s="36"/>
      <c r="M433" s="29"/>
      <c r="N433" s="37"/>
      <c r="O433" s="30" t="n">
        <f aca="false">N433*J433</f>
        <v>0</v>
      </c>
    </row>
    <row r="434" customFormat="false" ht="15" hidden="false" customHeight="false" outlineLevel="0" collapsed="false">
      <c r="A434" s="33"/>
      <c r="B434" s="28"/>
      <c r="C434" s="29"/>
      <c r="D434" s="29"/>
      <c r="E434" s="29"/>
      <c r="F434" s="29"/>
      <c r="G434" s="36"/>
      <c r="H434" s="29"/>
      <c r="I434" s="29"/>
      <c r="J434" s="29"/>
      <c r="K434" s="29"/>
      <c r="L434" s="36"/>
      <c r="M434" s="29"/>
      <c r="N434" s="37"/>
      <c r="O434" s="30" t="n">
        <f aca="false">N434*J434</f>
        <v>0</v>
      </c>
    </row>
    <row r="435" customFormat="false" ht="15" hidden="false" customHeight="false" outlineLevel="0" collapsed="false">
      <c r="A435" s="33"/>
      <c r="B435" s="28"/>
      <c r="C435" s="29"/>
      <c r="D435" s="29"/>
      <c r="E435" s="29"/>
      <c r="F435" s="29"/>
      <c r="G435" s="36"/>
      <c r="H435" s="29"/>
      <c r="I435" s="29"/>
      <c r="J435" s="29"/>
      <c r="K435" s="29"/>
      <c r="L435" s="36"/>
      <c r="M435" s="29"/>
      <c r="N435" s="37"/>
      <c r="O435" s="30" t="n">
        <f aca="false">N435*J435</f>
        <v>0</v>
      </c>
    </row>
    <row r="436" customFormat="false" ht="15" hidden="false" customHeight="false" outlineLevel="0" collapsed="false">
      <c r="A436" s="33"/>
      <c r="B436" s="28"/>
      <c r="C436" s="29"/>
      <c r="D436" s="29"/>
      <c r="E436" s="29"/>
      <c r="F436" s="29"/>
      <c r="G436" s="36"/>
      <c r="H436" s="29"/>
      <c r="I436" s="29"/>
      <c r="J436" s="29"/>
      <c r="K436" s="29"/>
      <c r="L436" s="36"/>
      <c r="M436" s="29"/>
      <c r="N436" s="37"/>
      <c r="O436" s="30" t="n">
        <f aca="false">N436*J436</f>
        <v>0</v>
      </c>
    </row>
    <row r="437" customFormat="false" ht="15" hidden="false" customHeight="false" outlineLevel="0" collapsed="false">
      <c r="A437" s="33"/>
      <c r="B437" s="28"/>
      <c r="C437" s="29"/>
      <c r="D437" s="29"/>
      <c r="E437" s="29"/>
      <c r="F437" s="29"/>
      <c r="G437" s="36"/>
      <c r="H437" s="29"/>
      <c r="I437" s="29"/>
      <c r="J437" s="29"/>
      <c r="K437" s="29"/>
      <c r="L437" s="36"/>
      <c r="M437" s="29"/>
      <c r="N437" s="37"/>
      <c r="O437" s="30" t="n">
        <f aca="false">N437*J437</f>
        <v>0</v>
      </c>
    </row>
    <row r="438" customFormat="false" ht="15" hidden="false" customHeight="false" outlineLevel="0" collapsed="false">
      <c r="A438" s="33"/>
      <c r="B438" s="28"/>
      <c r="C438" s="29"/>
      <c r="D438" s="29"/>
      <c r="E438" s="29"/>
      <c r="F438" s="29"/>
      <c r="G438" s="36"/>
      <c r="H438" s="29"/>
      <c r="I438" s="29"/>
      <c r="J438" s="29"/>
      <c r="K438" s="29"/>
      <c r="L438" s="36"/>
      <c r="M438" s="29"/>
      <c r="N438" s="37"/>
      <c r="O438" s="30" t="n">
        <f aca="false">N438*J438</f>
        <v>0</v>
      </c>
    </row>
    <row r="439" customFormat="false" ht="15" hidden="false" customHeight="false" outlineLevel="0" collapsed="false">
      <c r="A439" s="33"/>
      <c r="B439" s="28"/>
      <c r="C439" s="29"/>
      <c r="D439" s="29"/>
      <c r="E439" s="29"/>
      <c r="F439" s="29"/>
      <c r="G439" s="36"/>
      <c r="H439" s="29"/>
      <c r="I439" s="29"/>
      <c r="J439" s="29"/>
      <c r="K439" s="29"/>
      <c r="L439" s="36"/>
      <c r="M439" s="29"/>
      <c r="N439" s="37"/>
      <c r="O439" s="30" t="n">
        <f aca="false">N439*J439</f>
        <v>0</v>
      </c>
    </row>
    <row r="440" customFormat="false" ht="15" hidden="false" customHeight="false" outlineLevel="0" collapsed="false">
      <c r="A440" s="33"/>
      <c r="B440" s="28"/>
      <c r="C440" s="29"/>
      <c r="D440" s="29"/>
      <c r="E440" s="29"/>
      <c r="F440" s="29"/>
      <c r="G440" s="36"/>
      <c r="H440" s="29"/>
      <c r="I440" s="29"/>
      <c r="J440" s="29"/>
      <c r="K440" s="29"/>
      <c r="L440" s="36"/>
      <c r="M440" s="29"/>
      <c r="N440" s="37"/>
      <c r="O440" s="30" t="n">
        <f aca="false">N440*J440</f>
        <v>0</v>
      </c>
    </row>
    <row r="441" customFormat="false" ht="15" hidden="false" customHeight="false" outlineLevel="0" collapsed="false">
      <c r="A441" s="33"/>
      <c r="B441" s="28"/>
      <c r="C441" s="29"/>
      <c r="D441" s="29"/>
      <c r="E441" s="29"/>
      <c r="F441" s="29"/>
      <c r="G441" s="36"/>
      <c r="H441" s="29"/>
      <c r="I441" s="29"/>
      <c r="J441" s="29"/>
      <c r="K441" s="29"/>
      <c r="L441" s="36"/>
      <c r="M441" s="29"/>
      <c r="N441" s="37"/>
      <c r="O441" s="30" t="n">
        <f aca="false">N441*J441</f>
        <v>0</v>
      </c>
    </row>
    <row r="442" customFormat="false" ht="15" hidden="false" customHeight="false" outlineLevel="0" collapsed="false">
      <c r="A442" s="33"/>
      <c r="B442" s="28"/>
      <c r="C442" s="29"/>
      <c r="D442" s="29"/>
      <c r="E442" s="29"/>
      <c r="F442" s="29"/>
      <c r="G442" s="36"/>
      <c r="H442" s="29"/>
      <c r="I442" s="29"/>
      <c r="J442" s="29"/>
      <c r="K442" s="29"/>
      <c r="L442" s="36"/>
      <c r="M442" s="29"/>
      <c r="N442" s="37"/>
      <c r="O442" s="30" t="n">
        <f aca="false">N442*J442</f>
        <v>0</v>
      </c>
    </row>
    <row r="443" customFormat="false" ht="15" hidden="false" customHeight="false" outlineLevel="0" collapsed="false">
      <c r="A443" s="33"/>
      <c r="B443" s="28"/>
      <c r="C443" s="29"/>
      <c r="D443" s="29"/>
      <c r="E443" s="29"/>
      <c r="F443" s="29"/>
      <c r="G443" s="36"/>
      <c r="H443" s="29"/>
      <c r="I443" s="29"/>
      <c r="J443" s="29"/>
      <c r="K443" s="29"/>
      <c r="L443" s="36"/>
      <c r="M443" s="29"/>
      <c r="N443" s="37"/>
      <c r="O443" s="30" t="n">
        <f aca="false">N443*J443</f>
        <v>0</v>
      </c>
    </row>
    <row r="444" customFormat="false" ht="15" hidden="false" customHeight="false" outlineLevel="0" collapsed="false">
      <c r="A444" s="33"/>
      <c r="B444" s="28"/>
      <c r="C444" s="29"/>
      <c r="D444" s="29"/>
      <c r="E444" s="29"/>
      <c r="F444" s="29"/>
      <c r="G444" s="36"/>
      <c r="H444" s="29"/>
      <c r="I444" s="29"/>
      <c r="J444" s="29"/>
      <c r="K444" s="29"/>
      <c r="L444" s="36"/>
      <c r="M444" s="29"/>
      <c r="N444" s="37"/>
      <c r="O444" s="30" t="n">
        <f aca="false">N444*J444</f>
        <v>0</v>
      </c>
    </row>
    <row r="445" customFormat="false" ht="15" hidden="false" customHeight="false" outlineLevel="0" collapsed="false">
      <c r="A445" s="33"/>
      <c r="B445" s="28"/>
      <c r="C445" s="29"/>
      <c r="D445" s="29"/>
      <c r="E445" s="29"/>
      <c r="F445" s="29"/>
      <c r="G445" s="36"/>
      <c r="H445" s="29"/>
      <c r="I445" s="29"/>
      <c r="J445" s="29"/>
      <c r="K445" s="29"/>
      <c r="L445" s="36"/>
      <c r="M445" s="29"/>
      <c r="N445" s="37"/>
      <c r="O445" s="30" t="n">
        <f aca="false">N445*J445</f>
        <v>0</v>
      </c>
    </row>
    <row r="446" customFormat="false" ht="15" hidden="false" customHeight="false" outlineLevel="0" collapsed="false">
      <c r="A446" s="33"/>
      <c r="B446" s="28"/>
      <c r="C446" s="29"/>
      <c r="D446" s="29"/>
      <c r="E446" s="29"/>
      <c r="F446" s="29"/>
      <c r="G446" s="36"/>
      <c r="H446" s="29"/>
      <c r="I446" s="29"/>
      <c r="J446" s="29"/>
      <c r="K446" s="29"/>
      <c r="L446" s="36"/>
      <c r="M446" s="29"/>
      <c r="N446" s="37"/>
      <c r="O446" s="30" t="n">
        <f aca="false">N446*J446</f>
        <v>0</v>
      </c>
    </row>
    <row r="447" customFormat="false" ht="15" hidden="false" customHeight="false" outlineLevel="0" collapsed="false">
      <c r="A447" s="33"/>
      <c r="B447" s="28"/>
      <c r="C447" s="29"/>
      <c r="D447" s="29"/>
      <c r="E447" s="29"/>
      <c r="F447" s="29"/>
      <c r="G447" s="36"/>
      <c r="H447" s="29"/>
      <c r="I447" s="29"/>
      <c r="J447" s="29"/>
      <c r="K447" s="29"/>
      <c r="L447" s="36"/>
      <c r="M447" s="29"/>
      <c r="N447" s="37"/>
      <c r="O447" s="30" t="n">
        <f aca="false">N447*J447</f>
        <v>0</v>
      </c>
    </row>
    <row r="448" customFormat="false" ht="15" hidden="false" customHeight="false" outlineLevel="0" collapsed="false">
      <c r="A448" s="33"/>
      <c r="B448" s="28"/>
      <c r="C448" s="29"/>
      <c r="D448" s="29"/>
      <c r="E448" s="29"/>
      <c r="F448" s="29"/>
      <c r="G448" s="36"/>
      <c r="H448" s="29"/>
      <c r="I448" s="29"/>
      <c r="J448" s="29"/>
      <c r="K448" s="29"/>
      <c r="L448" s="36"/>
      <c r="M448" s="29"/>
      <c r="N448" s="37"/>
      <c r="O448" s="30" t="n">
        <f aca="false">N448*J448</f>
        <v>0</v>
      </c>
    </row>
    <row r="449" customFormat="false" ht="15" hidden="false" customHeight="false" outlineLevel="0" collapsed="false">
      <c r="A449" s="33"/>
      <c r="B449" s="28"/>
      <c r="C449" s="29"/>
      <c r="D449" s="29"/>
      <c r="E449" s="29"/>
      <c r="F449" s="29"/>
      <c r="G449" s="36"/>
      <c r="H449" s="29"/>
      <c r="I449" s="29"/>
      <c r="J449" s="29"/>
      <c r="K449" s="29"/>
      <c r="L449" s="36"/>
      <c r="M449" s="29"/>
      <c r="N449" s="37"/>
      <c r="O449" s="30" t="n">
        <f aca="false">N449*J449</f>
        <v>0</v>
      </c>
    </row>
    <row r="450" customFormat="false" ht="15" hidden="false" customHeight="false" outlineLevel="0" collapsed="false">
      <c r="A450" s="33"/>
      <c r="B450" s="28"/>
      <c r="C450" s="29"/>
      <c r="D450" s="29"/>
      <c r="E450" s="29"/>
      <c r="F450" s="29"/>
      <c r="G450" s="36"/>
      <c r="H450" s="29"/>
      <c r="I450" s="29"/>
      <c r="J450" s="29"/>
      <c r="K450" s="29"/>
      <c r="L450" s="36"/>
      <c r="M450" s="29"/>
      <c r="N450" s="37"/>
      <c r="O450" s="30" t="n">
        <f aca="false">N450*J450</f>
        <v>0</v>
      </c>
    </row>
    <row r="451" customFormat="false" ht="15" hidden="false" customHeight="false" outlineLevel="0" collapsed="false">
      <c r="A451" s="33"/>
      <c r="B451" s="28"/>
      <c r="C451" s="29"/>
      <c r="D451" s="29"/>
      <c r="E451" s="29"/>
      <c r="F451" s="29"/>
      <c r="G451" s="36"/>
      <c r="H451" s="29"/>
      <c r="I451" s="29"/>
      <c r="J451" s="29"/>
      <c r="K451" s="29"/>
      <c r="L451" s="36"/>
      <c r="M451" s="29"/>
      <c r="N451" s="37"/>
      <c r="O451" s="30" t="n">
        <f aca="false">N451*J451</f>
        <v>0</v>
      </c>
    </row>
    <row r="452" customFormat="false" ht="15" hidden="false" customHeight="false" outlineLevel="0" collapsed="false">
      <c r="A452" s="33"/>
      <c r="B452" s="28"/>
      <c r="C452" s="29"/>
      <c r="D452" s="29"/>
      <c r="E452" s="29"/>
      <c r="F452" s="29"/>
      <c r="G452" s="36"/>
      <c r="H452" s="29"/>
      <c r="I452" s="29"/>
      <c r="J452" s="29"/>
      <c r="K452" s="29"/>
      <c r="L452" s="36"/>
      <c r="M452" s="29"/>
      <c r="N452" s="37"/>
      <c r="O452" s="30" t="n">
        <f aca="false">N452*J452</f>
        <v>0</v>
      </c>
    </row>
    <row r="453" customFormat="false" ht="15" hidden="false" customHeight="false" outlineLevel="0" collapsed="false">
      <c r="A453" s="33"/>
      <c r="B453" s="28"/>
      <c r="C453" s="29"/>
      <c r="D453" s="29"/>
      <c r="E453" s="29"/>
      <c r="F453" s="29"/>
      <c r="G453" s="36"/>
      <c r="H453" s="29"/>
      <c r="I453" s="29"/>
      <c r="J453" s="29"/>
      <c r="K453" s="29"/>
      <c r="L453" s="36"/>
      <c r="M453" s="29"/>
      <c r="N453" s="37"/>
      <c r="O453" s="30" t="n">
        <f aca="false">N453*J453</f>
        <v>0</v>
      </c>
    </row>
    <row r="454" customFormat="false" ht="15" hidden="false" customHeight="false" outlineLevel="0" collapsed="false">
      <c r="A454" s="33"/>
      <c r="B454" s="28"/>
      <c r="C454" s="29"/>
      <c r="D454" s="29"/>
      <c r="E454" s="29"/>
      <c r="F454" s="29"/>
      <c r="G454" s="36"/>
      <c r="H454" s="29"/>
      <c r="I454" s="29"/>
      <c r="J454" s="29"/>
      <c r="K454" s="29"/>
      <c r="L454" s="36"/>
      <c r="M454" s="29"/>
      <c r="N454" s="37"/>
      <c r="O454" s="30" t="n">
        <f aca="false">N454*J454</f>
        <v>0</v>
      </c>
    </row>
    <row r="455" customFormat="false" ht="15" hidden="false" customHeight="false" outlineLevel="0" collapsed="false">
      <c r="A455" s="33"/>
      <c r="B455" s="28"/>
      <c r="C455" s="29"/>
      <c r="D455" s="29"/>
      <c r="E455" s="29"/>
      <c r="F455" s="29"/>
      <c r="G455" s="36"/>
      <c r="H455" s="29"/>
      <c r="I455" s="29"/>
      <c r="J455" s="29"/>
      <c r="K455" s="29"/>
      <c r="L455" s="36"/>
      <c r="M455" s="29"/>
      <c r="N455" s="37"/>
      <c r="O455" s="30" t="n">
        <f aca="false">N455*J455</f>
        <v>0</v>
      </c>
    </row>
    <row r="456" customFormat="false" ht="15" hidden="false" customHeight="false" outlineLevel="0" collapsed="false">
      <c r="A456" s="33"/>
      <c r="B456" s="28"/>
      <c r="C456" s="29"/>
      <c r="D456" s="29"/>
      <c r="E456" s="29"/>
      <c r="F456" s="29"/>
      <c r="G456" s="36"/>
      <c r="H456" s="29"/>
      <c r="I456" s="29"/>
      <c r="J456" s="29"/>
      <c r="K456" s="29"/>
      <c r="L456" s="36"/>
      <c r="M456" s="29"/>
      <c r="N456" s="37"/>
      <c r="O456" s="30" t="n">
        <f aca="false">N456*J456</f>
        <v>0</v>
      </c>
    </row>
    <row r="457" customFormat="false" ht="15" hidden="false" customHeight="false" outlineLevel="0" collapsed="false">
      <c r="A457" s="33"/>
      <c r="B457" s="28"/>
      <c r="C457" s="29"/>
      <c r="D457" s="29"/>
      <c r="E457" s="29"/>
      <c r="F457" s="29"/>
      <c r="G457" s="36"/>
      <c r="H457" s="29"/>
      <c r="I457" s="29"/>
      <c r="J457" s="29"/>
      <c r="K457" s="29"/>
      <c r="L457" s="36"/>
      <c r="M457" s="29"/>
      <c r="N457" s="37"/>
      <c r="O457" s="30" t="n">
        <f aca="false">N457*J457</f>
        <v>0</v>
      </c>
    </row>
    <row r="458" customFormat="false" ht="15" hidden="false" customHeight="false" outlineLevel="0" collapsed="false">
      <c r="A458" s="33"/>
      <c r="B458" s="28"/>
      <c r="C458" s="29"/>
      <c r="D458" s="29"/>
      <c r="E458" s="29"/>
      <c r="F458" s="29"/>
      <c r="G458" s="36"/>
      <c r="H458" s="29"/>
      <c r="I458" s="29"/>
      <c r="J458" s="29"/>
      <c r="K458" s="29"/>
      <c r="L458" s="36"/>
      <c r="M458" s="29"/>
      <c r="N458" s="37"/>
      <c r="O458" s="30" t="n">
        <f aca="false">N458*J458</f>
        <v>0</v>
      </c>
    </row>
    <row r="459" customFormat="false" ht="15" hidden="false" customHeight="false" outlineLevel="0" collapsed="false">
      <c r="A459" s="33"/>
      <c r="B459" s="28"/>
      <c r="C459" s="29"/>
      <c r="D459" s="29"/>
      <c r="E459" s="29"/>
      <c r="F459" s="29"/>
      <c r="G459" s="36"/>
      <c r="H459" s="29"/>
      <c r="I459" s="29"/>
      <c r="J459" s="29"/>
      <c r="K459" s="29"/>
      <c r="L459" s="36"/>
      <c r="M459" s="29"/>
      <c r="N459" s="37"/>
      <c r="O459" s="30" t="n">
        <f aca="false">N459*J459</f>
        <v>0</v>
      </c>
    </row>
    <row r="460" customFormat="false" ht="15" hidden="false" customHeight="false" outlineLevel="0" collapsed="false">
      <c r="A460" s="33"/>
      <c r="B460" s="28"/>
      <c r="C460" s="29"/>
      <c r="D460" s="29"/>
      <c r="E460" s="29"/>
      <c r="F460" s="29"/>
      <c r="G460" s="36"/>
      <c r="H460" s="29"/>
      <c r="I460" s="29"/>
      <c r="J460" s="29"/>
      <c r="K460" s="29"/>
      <c r="L460" s="36"/>
      <c r="M460" s="29"/>
      <c r="N460" s="37"/>
      <c r="O460" s="30" t="n">
        <f aca="false">N460*J460</f>
        <v>0</v>
      </c>
    </row>
    <row r="461" customFormat="false" ht="15" hidden="false" customHeight="false" outlineLevel="0" collapsed="false">
      <c r="A461" s="33"/>
      <c r="B461" s="28"/>
      <c r="C461" s="29"/>
      <c r="D461" s="29"/>
      <c r="E461" s="29"/>
      <c r="F461" s="29"/>
      <c r="G461" s="36"/>
      <c r="H461" s="29"/>
      <c r="I461" s="29"/>
      <c r="J461" s="29"/>
      <c r="K461" s="29"/>
      <c r="L461" s="36"/>
      <c r="M461" s="29"/>
      <c r="N461" s="37"/>
      <c r="O461" s="30" t="n">
        <f aca="false">N461*J461</f>
        <v>0</v>
      </c>
    </row>
    <row r="462" customFormat="false" ht="15" hidden="false" customHeight="false" outlineLevel="0" collapsed="false">
      <c r="A462" s="33"/>
      <c r="B462" s="28"/>
      <c r="C462" s="29"/>
      <c r="D462" s="29"/>
      <c r="E462" s="29"/>
      <c r="F462" s="29"/>
      <c r="G462" s="36"/>
      <c r="H462" s="29"/>
      <c r="I462" s="29"/>
      <c r="J462" s="29"/>
      <c r="K462" s="29"/>
      <c r="L462" s="36"/>
      <c r="M462" s="29"/>
      <c r="N462" s="37"/>
      <c r="O462" s="30" t="n">
        <f aca="false">N462*J462</f>
        <v>0</v>
      </c>
    </row>
    <row r="463" customFormat="false" ht="15" hidden="false" customHeight="false" outlineLevel="0" collapsed="false">
      <c r="A463" s="33"/>
      <c r="B463" s="28"/>
      <c r="C463" s="29"/>
      <c r="D463" s="29"/>
      <c r="E463" s="29"/>
      <c r="F463" s="29"/>
      <c r="G463" s="36"/>
      <c r="H463" s="29"/>
      <c r="I463" s="29"/>
      <c r="J463" s="29"/>
      <c r="K463" s="29"/>
      <c r="L463" s="36"/>
      <c r="M463" s="29"/>
      <c r="N463" s="37"/>
      <c r="O463" s="30" t="n">
        <f aca="false">N463*J463</f>
        <v>0</v>
      </c>
    </row>
    <row r="464" customFormat="false" ht="15" hidden="false" customHeight="false" outlineLevel="0" collapsed="false">
      <c r="A464" s="33"/>
      <c r="B464" s="28"/>
      <c r="C464" s="29"/>
      <c r="D464" s="29"/>
      <c r="E464" s="29"/>
      <c r="F464" s="29"/>
      <c r="G464" s="36"/>
      <c r="H464" s="29"/>
      <c r="I464" s="29"/>
      <c r="J464" s="29"/>
      <c r="K464" s="29"/>
      <c r="L464" s="36"/>
      <c r="M464" s="29"/>
      <c r="N464" s="37"/>
      <c r="O464" s="30" t="n">
        <f aca="false">N464*J464</f>
        <v>0</v>
      </c>
    </row>
    <row r="465" customFormat="false" ht="15" hidden="false" customHeight="false" outlineLevel="0" collapsed="false">
      <c r="A465" s="33"/>
      <c r="B465" s="28"/>
      <c r="C465" s="29"/>
      <c r="D465" s="29"/>
      <c r="E465" s="29"/>
      <c r="F465" s="29"/>
      <c r="G465" s="36"/>
      <c r="H465" s="29"/>
      <c r="I465" s="29"/>
      <c r="J465" s="29"/>
      <c r="K465" s="29"/>
      <c r="L465" s="36"/>
      <c r="M465" s="29"/>
      <c r="N465" s="37"/>
      <c r="O465" s="30" t="n">
        <f aca="false">N465*J465</f>
        <v>0</v>
      </c>
    </row>
    <row r="466" customFormat="false" ht="15" hidden="false" customHeight="false" outlineLevel="0" collapsed="false">
      <c r="A466" s="33"/>
      <c r="B466" s="28"/>
      <c r="C466" s="29"/>
      <c r="D466" s="29"/>
      <c r="E466" s="29"/>
      <c r="F466" s="29"/>
      <c r="G466" s="36"/>
      <c r="H466" s="29"/>
      <c r="I466" s="29"/>
      <c r="J466" s="29"/>
      <c r="K466" s="29"/>
      <c r="L466" s="36"/>
      <c r="M466" s="29"/>
      <c r="N466" s="37"/>
      <c r="O466" s="30" t="n">
        <f aca="false">N466*J466</f>
        <v>0</v>
      </c>
    </row>
    <row r="467" customFormat="false" ht="15" hidden="false" customHeight="false" outlineLevel="0" collapsed="false">
      <c r="A467" s="33"/>
      <c r="B467" s="28"/>
      <c r="C467" s="29"/>
      <c r="D467" s="29"/>
      <c r="E467" s="29"/>
      <c r="F467" s="29"/>
      <c r="G467" s="36"/>
      <c r="H467" s="29"/>
      <c r="I467" s="29"/>
      <c r="J467" s="29"/>
      <c r="K467" s="29"/>
      <c r="L467" s="36"/>
      <c r="M467" s="29"/>
      <c r="N467" s="37"/>
      <c r="O467" s="30" t="n">
        <f aca="false">N467*J467</f>
        <v>0</v>
      </c>
    </row>
    <row r="468" customFormat="false" ht="15" hidden="false" customHeight="false" outlineLevel="0" collapsed="false">
      <c r="A468" s="33"/>
      <c r="B468" s="28"/>
      <c r="C468" s="29"/>
      <c r="D468" s="29"/>
      <c r="E468" s="29"/>
      <c r="F468" s="29"/>
      <c r="G468" s="36"/>
      <c r="H468" s="29"/>
      <c r="I468" s="29"/>
      <c r="J468" s="29"/>
      <c r="K468" s="29"/>
      <c r="L468" s="36"/>
      <c r="M468" s="29"/>
      <c r="N468" s="37"/>
      <c r="O468" s="30" t="n">
        <f aca="false">N468*J468</f>
        <v>0</v>
      </c>
    </row>
    <row r="469" customFormat="false" ht="15" hidden="false" customHeight="false" outlineLevel="0" collapsed="false">
      <c r="A469" s="33"/>
      <c r="B469" s="28"/>
      <c r="C469" s="29"/>
      <c r="D469" s="29"/>
      <c r="E469" s="29"/>
      <c r="F469" s="29"/>
      <c r="G469" s="36"/>
      <c r="H469" s="29"/>
      <c r="I469" s="29"/>
      <c r="J469" s="29"/>
      <c r="K469" s="29"/>
      <c r="L469" s="36"/>
      <c r="M469" s="29"/>
      <c r="N469" s="37"/>
      <c r="O469" s="30" t="n">
        <f aca="false">N469*J469</f>
        <v>0</v>
      </c>
    </row>
    <row r="470" customFormat="false" ht="15" hidden="false" customHeight="false" outlineLevel="0" collapsed="false">
      <c r="A470" s="33"/>
      <c r="B470" s="28"/>
      <c r="C470" s="29"/>
      <c r="D470" s="29"/>
      <c r="E470" s="29"/>
      <c r="F470" s="29"/>
      <c r="G470" s="36"/>
      <c r="H470" s="29"/>
      <c r="I470" s="29"/>
      <c r="J470" s="29"/>
      <c r="K470" s="29"/>
      <c r="L470" s="36"/>
      <c r="M470" s="29"/>
      <c r="N470" s="37"/>
      <c r="O470" s="30" t="n">
        <f aca="false">N470*J470</f>
        <v>0</v>
      </c>
    </row>
    <row r="471" customFormat="false" ht="15" hidden="false" customHeight="false" outlineLevel="0" collapsed="false">
      <c r="A471" s="33"/>
      <c r="B471" s="28"/>
      <c r="C471" s="29"/>
      <c r="D471" s="29"/>
      <c r="E471" s="29"/>
      <c r="F471" s="29"/>
      <c r="G471" s="36"/>
      <c r="H471" s="29"/>
      <c r="I471" s="29"/>
      <c r="J471" s="29"/>
      <c r="K471" s="29"/>
      <c r="L471" s="36"/>
      <c r="M471" s="29"/>
      <c r="N471" s="37"/>
      <c r="O471" s="30" t="n">
        <f aca="false">N471*J471</f>
        <v>0</v>
      </c>
    </row>
    <row r="472" customFormat="false" ht="15" hidden="false" customHeight="false" outlineLevel="0" collapsed="false">
      <c r="A472" s="33"/>
      <c r="B472" s="28"/>
      <c r="C472" s="29"/>
      <c r="D472" s="29"/>
      <c r="E472" s="29"/>
      <c r="F472" s="29"/>
      <c r="G472" s="36"/>
      <c r="H472" s="29"/>
      <c r="I472" s="29"/>
      <c r="J472" s="29"/>
      <c r="K472" s="29"/>
      <c r="L472" s="36"/>
      <c r="M472" s="29"/>
      <c r="N472" s="37"/>
      <c r="O472" s="30" t="n">
        <f aca="false">N472*J472</f>
        <v>0</v>
      </c>
    </row>
    <row r="473" customFormat="false" ht="15" hidden="false" customHeight="false" outlineLevel="0" collapsed="false">
      <c r="A473" s="33"/>
      <c r="B473" s="28"/>
      <c r="C473" s="29"/>
      <c r="D473" s="29"/>
      <c r="E473" s="29"/>
      <c r="F473" s="29"/>
      <c r="G473" s="36"/>
      <c r="H473" s="29"/>
      <c r="I473" s="29"/>
      <c r="J473" s="29"/>
      <c r="K473" s="29"/>
      <c r="L473" s="36"/>
      <c r="M473" s="29"/>
      <c r="N473" s="37"/>
      <c r="O473" s="30" t="n">
        <f aca="false">N473*J473</f>
        <v>0</v>
      </c>
    </row>
    <row r="474" customFormat="false" ht="15" hidden="false" customHeight="false" outlineLevel="0" collapsed="false">
      <c r="A474" s="33"/>
      <c r="B474" s="28"/>
      <c r="C474" s="29"/>
      <c r="D474" s="29"/>
      <c r="E474" s="29"/>
      <c r="F474" s="29"/>
      <c r="G474" s="36"/>
      <c r="H474" s="29"/>
      <c r="I474" s="29"/>
      <c r="J474" s="29"/>
      <c r="K474" s="29"/>
      <c r="L474" s="36"/>
      <c r="M474" s="29"/>
      <c r="N474" s="37"/>
      <c r="O474" s="30" t="n">
        <f aca="false">N474*J474</f>
        <v>0</v>
      </c>
    </row>
    <row r="475" customFormat="false" ht="15" hidden="false" customHeight="false" outlineLevel="0" collapsed="false">
      <c r="A475" s="33"/>
      <c r="B475" s="28"/>
      <c r="C475" s="29"/>
      <c r="D475" s="29"/>
      <c r="E475" s="29"/>
      <c r="F475" s="29"/>
      <c r="G475" s="36"/>
      <c r="H475" s="29"/>
      <c r="I475" s="29"/>
      <c r="J475" s="29"/>
      <c r="K475" s="29"/>
      <c r="L475" s="29"/>
      <c r="M475" s="29"/>
      <c r="N475" s="37"/>
      <c r="O475" s="30" t="n">
        <f aca="false">N475*J475</f>
        <v>0</v>
      </c>
    </row>
    <row r="476" customFormat="false" ht="15" hidden="false" customHeight="false" outlineLevel="0" collapsed="false">
      <c r="A476" s="29"/>
      <c r="B476" s="28"/>
      <c r="C476" s="29"/>
      <c r="D476" s="29"/>
      <c r="E476" s="29"/>
      <c r="F476" s="29"/>
      <c r="G476" s="36"/>
      <c r="H476" s="29"/>
      <c r="I476" s="29"/>
      <c r="J476" s="29"/>
      <c r="K476" s="29"/>
      <c r="L476" s="29"/>
      <c r="M476" s="29"/>
      <c r="N476" s="37"/>
      <c r="O476" s="30" t="n">
        <f aca="false">N476*J476</f>
        <v>0</v>
      </c>
    </row>
    <row r="477" customFormat="false" ht="15" hidden="false" customHeight="false" outlineLevel="0" collapsed="false">
      <c r="A477" s="29"/>
      <c r="B477" s="28"/>
      <c r="C477" s="29"/>
      <c r="D477" s="29"/>
      <c r="E477" s="29"/>
      <c r="F477" s="29"/>
      <c r="G477" s="36"/>
      <c r="H477" s="29"/>
      <c r="I477" s="29"/>
      <c r="J477" s="29"/>
      <c r="K477" s="29"/>
      <c r="L477" s="29"/>
      <c r="M477" s="29"/>
      <c r="N477" s="37"/>
      <c r="O477" s="30" t="n">
        <f aca="false">N477*J477</f>
        <v>0</v>
      </c>
    </row>
    <row r="478" customFormat="false" ht="15" hidden="false" customHeight="false" outlineLevel="0" collapsed="false">
      <c r="A478" s="29"/>
      <c r="B478" s="28"/>
      <c r="C478" s="29"/>
      <c r="D478" s="29"/>
      <c r="E478" s="29"/>
      <c r="F478" s="29"/>
      <c r="G478" s="36"/>
      <c r="H478" s="29"/>
      <c r="I478" s="29"/>
      <c r="J478" s="29"/>
      <c r="K478" s="29"/>
      <c r="L478" s="29"/>
      <c r="M478" s="29"/>
      <c r="N478" s="37"/>
      <c r="O478" s="30" t="n">
        <f aca="false">N478*J478</f>
        <v>0</v>
      </c>
    </row>
    <row r="479" customFormat="false" ht="15" hidden="false" customHeight="false" outlineLevel="0" collapsed="false">
      <c r="A479" s="29"/>
      <c r="B479" s="28"/>
      <c r="C479" s="29"/>
      <c r="D479" s="29"/>
      <c r="E479" s="29"/>
      <c r="F479" s="29"/>
      <c r="G479" s="36"/>
      <c r="H479" s="29"/>
      <c r="I479" s="29"/>
      <c r="J479" s="29"/>
      <c r="K479" s="29"/>
      <c r="L479" s="29"/>
      <c r="M479" s="29"/>
      <c r="N479" s="37"/>
      <c r="O479" s="30" t="n">
        <f aca="false">N479*J479</f>
        <v>0</v>
      </c>
    </row>
    <row r="480" customFormat="false" ht="15" hidden="false" customHeight="false" outlineLevel="0" collapsed="false">
      <c r="A480" s="29"/>
      <c r="B480" s="28"/>
      <c r="C480" s="29"/>
      <c r="D480" s="29"/>
      <c r="E480" s="29"/>
      <c r="F480" s="29"/>
      <c r="G480" s="36"/>
      <c r="H480" s="29"/>
      <c r="I480" s="29"/>
      <c r="J480" s="29"/>
      <c r="K480" s="29"/>
      <c r="L480" s="29"/>
      <c r="M480" s="29"/>
      <c r="N480" s="37"/>
      <c r="O480" s="30" t="n">
        <f aca="false">N480*J480</f>
        <v>0</v>
      </c>
    </row>
    <row r="481" customFormat="false" ht="15" hidden="false" customHeight="false" outlineLevel="0" collapsed="false">
      <c r="A481" s="29"/>
      <c r="B481" s="28"/>
      <c r="C481" s="29"/>
      <c r="D481" s="29"/>
      <c r="E481" s="29"/>
      <c r="F481" s="29"/>
      <c r="G481" s="36"/>
      <c r="H481" s="29"/>
      <c r="I481" s="29"/>
      <c r="J481" s="29"/>
      <c r="K481" s="29"/>
      <c r="L481" s="29"/>
      <c r="M481" s="29"/>
      <c r="N481" s="37"/>
      <c r="O481" s="30" t="n">
        <f aca="false">N481*J481</f>
        <v>0</v>
      </c>
    </row>
    <row r="482" customFormat="false" ht="15" hidden="false" customHeight="false" outlineLevel="0" collapsed="false">
      <c r="A482" s="29"/>
      <c r="B482" s="28"/>
      <c r="C482" s="29"/>
      <c r="D482" s="29"/>
      <c r="E482" s="29"/>
      <c r="F482" s="29"/>
      <c r="G482" s="36"/>
      <c r="H482" s="29"/>
      <c r="I482" s="29"/>
      <c r="J482" s="29"/>
      <c r="K482" s="29"/>
      <c r="L482" s="29"/>
      <c r="M482" s="29"/>
      <c r="N482" s="37"/>
      <c r="O482" s="30" t="n">
        <f aca="false">N482*J482</f>
        <v>0</v>
      </c>
    </row>
    <row r="483" customFormat="false" ht="15" hidden="false" customHeight="false" outlineLevel="0" collapsed="false">
      <c r="A483" s="29"/>
      <c r="B483" s="28"/>
      <c r="C483" s="29"/>
      <c r="D483" s="29"/>
      <c r="E483" s="29"/>
      <c r="F483" s="29"/>
      <c r="G483" s="36"/>
      <c r="H483" s="29"/>
      <c r="I483" s="29"/>
      <c r="J483" s="29"/>
      <c r="K483" s="29"/>
      <c r="L483" s="29"/>
      <c r="M483" s="29"/>
      <c r="N483" s="37"/>
      <c r="O483" s="30" t="n">
        <f aca="false">N483*J483</f>
        <v>0</v>
      </c>
    </row>
    <row r="484" customFormat="false" ht="15" hidden="false" customHeight="false" outlineLevel="0" collapsed="false">
      <c r="A484" s="29"/>
      <c r="B484" s="28"/>
      <c r="C484" s="29"/>
      <c r="D484" s="29"/>
      <c r="E484" s="29"/>
      <c r="F484" s="29"/>
      <c r="G484" s="36"/>
      <c r="H484" s="29"/>
      <c r="I484" s="29"/>
      <c r="J484" s="29"/>
      <c r="K484" s="29"/>
      <c r="L484" s="29"/>
      <c r="M484" s="29"/>
      <c r="N484" s="37"/>
      <c r="O484" s="30" t="n">
        <f aca="false">N484*J484</f>
        <v>0</v>
      </c>
    </row>
    <row r="485" customFormat="false" ht="15" hidden="false" customHeight="false" outlineLevel="0" collapsed="false">
      <c r="A485" s="29"/>
      <c r="B485" s="28"/>
      <c r="C485" s="29"/>
      <c r="D485" s="29"/>
      <c r="E485" s="29"/>
      <c r="F485" s="29"/>
      <c r="G485" s="36"/>
      <c r="H485" s="29"/>
      <c r="I485" s="29"/>
      <c r="J485" s="29"/>
      <c r="K485" s="29"/>
      <c r="L485" s="29"/>
      <c r="M485" s="29"/>
      <c r="N485" s="37"/>
      <c r="O485" s="30" t="n">
        <f aca="false">N485*J485</f>
        <v>0</v>
      </c>
    </row>
    <row r="486" customFormat="false" ht="15" hidden="false" customHeight="false" outlineLevel="0" collapsed="false">
      <c r="A486" s="29"/>
      <c r="B486" s="28"/>
      <c r="C486" s="29"/>
      <c r="D486" s="29"/>
      <c r="E486" s="29"/>
      <c r="F486" s="29"/>
      <c r="G486" s="36"/>
      <c r="H486" s="29"/>
      <c r="I486" s="29"/>
      <c r="J486" s="29"/>
      <c r="K486" s="29"/>
      <c r="L486" s="29"/>
      <c r="M486" s="29"/>
      <c r="N486" s="37"/>
      <c r="O486" s="30" t="n">
        <f aca="false">N486*J486</f>
        <v>0</v>
      </c>
    </row>
    <row r="487" customFormat="false" ht="15" hidden="false" customHeight="false" outlineLevel="0" collapsed="false">
      <c r="A487" s="29"/>
      <c r="B487" s="28"/>
      <c r="C487" s="29"/>
      <c r="D487" s="29"/>
      <c r="E487" s="29"/>
      <c r="F487" s="29"/>
      <c r="G487" s="36"/>
      <c r="H487" s="29"/>
      <c r="I487" s="29"/>
      <c r="J487" s="29"/>
      <c r="K487" s="29"/>
      <c r="L487" s="29"/>
      <c r="M487" s="29"/>
      <c r="N487" s="37"/>
      <c r="O487" s="30" t="n">
        <f aca="false">N487*J487</f>
        <v>0</v>
      </c>
    </row>
    <row r="488" customFormat="false" ht="15" hidden="false" customHeight="false" outlineLevel="0" collapsed="false">
      <c r="A488" s="29"/>
      <c r="B488" s="28"/>
      <c r="C488" s="29"/>
      <c r="D488" s="29"/>
      <c r="E488" s="29"/>
      <c r="F488" s="29"/>
      <c r="G488" s="36"/>
      <c r="H488" s="29"/>
      <c r="I488" s="29"/>
      <c r="J488" s="29"/>
      <c r="K488" s="29"/>
      <c r="L488" s="29"/>
      <c r="M488" s="29"/>
      <c r="N488" s="37"/>
      <c r="O488" s="30" t="n">
        <f aca="false">N488*J488</f>
        <v>0</v>
      </c>
    </row>
    <row r="489" customFormat="false" ht="15" hidden="false" customHeight="false" outlineLevel="0" collapsed="false">
      <c r="A489" s="29"/>
      <c r="B489" s="28"/>
      <c r="C489" s="29"/>
      <c r="D489" s="29"/>
      <c r="E489" s="29"/>
      <c r="F489" s="29"/>
      <c r="G489" s="36"/>
      <c r="H489" s="29"/>
      <c r="I489" s="29"/>
      <c r="J489" s="29"/>
      <c r="K489" s="29"/>
      <c r="L489" s="29"/>
      <c r="M489" s="29"/>
      <c r="N489" s="37"/>
      <c r="O489" s="30" t="n">
        <f aca="false">N489*J489</f>
        <v>0</v>
      </c>
    </row>
    <row r="490" customFormat="false" ht="15" hidden="false" customHeight="false" outlineLevel="0" collapsed="false">
      <c r="A490" s="29"/>
      <c r="B490" s="28"/>
      <c r="C490" s="29"/>
      <c r="D490" s="29"/>
      <c r="E490" s="29"/>
      <c r="F490" s="29"/>
      <c r="G490" s="36"/>
      <c r="H490" s="29"/>
      <c r="I490" s="29"/>
      <c r="J490" s="29"/>
      <c r="K490" s="29"/>
      <c r="L490" s="29"/>
      <c r="M490" s="29"/>
      <c r="N490" s="37"/>
      <c r="O490" s="30" t="n">
        <f aca="false">N490*J490</f>
        <v>0</v>
      </c>
    </row>
    <row r="491" customFormat="false" ht="15" hidden="false" customHeight="false" outlineLevel="0" collapsed="false">
      <c r="A491" s="29"/>
      <c r="B491" s="28"/>
      <c r="C491" s="29"/>
      <c r="D491" s="29"/>
      <c r="E491" s="29"/>
      <c r="F491" s="29"/>
      <c r="G491" s="36"/>
      <c r="H491" s="29"/>
      <c r="I491" s="29"/>
      <c r="J491" s="29"/>
      <c r="K491" s="29"/>
      <c r="L491" s="29"/>
      <c r="M491" s="29"/>
      <c r="N491" s="37"/>
      <c r="O491" s="30" t="n">
        <f aca="false">N491*J491</f>
        <v>0</v>
      </c>
    </row>
    <row r="492" customFormat="false" ht="15" hidden="false" customHeight="false" outlineLevel="0" collapsed="false">
      <c r="A492" s="29"/>
      <c r="B492" s="28"/>
      <c r="C492" s="29"/>
      <c r="D492" s="29"/>
      <c r="E492" s="29"/>
      <c r="F492" s="29"/>
      <c r="G492" s="36"/>
      <c r="H492" s="29"/>
      <c r="I492" s="29"/>
      <c r="J492" s="29"/>
      <c r="K492" s="29"/>
      <c r="L492" s="29"/>
      <c r="M492" s="29"/>
      <c r="N492" s="37"/>
      <c r="O492" s="30" t="n">
        <f aca="false">N492*J492</f>
        <v>0</v>
      </c>
    </row>
    <row r="493" customFormat="false" ht="15" hidden="false" customHeight="false" outlineLevel="0" collapsed="false">
      <c r="A493" s="29"/>
      <c r="B493" s="28"/>
      <c r="C493" s="29"/>
      <c r="D493" s="29"/>
      <c r="E493" s="29"/>
      <c r="F493" s="29"/>
      <c r="G493" s="36"/>
      <c r="H493" s="29"/>
      <c r="I493" s="29"/>
      <c r="J493" s="29"/>
      <c r="K493" s="29"/>
      <c r="L493" s="29"/>
      <c r="M493" s="29"/>
      <c r="N493" s="37"/>
      <c r="O493" s="30" t="n">
        <f aca="false">N493*J493</f>
        <v>0</v>
      </c>
    </row>
    <row r="494" customFormat="false" ht="15" hidden="false" customHeight="false" outlineLevel="0" collapsed="false">
      <c r="A494" s="29"/>
      <c r="B494" s="28"/>
      <c r="C494" s="29"/>
      <c r="D494" s="29"/>
      <c r="E494" s="29"/>
      <c r="F494" s="29"/>
      <c r="G494" s="36"/>
      <c r="H494" s="29"/>
      <c r="I494" s="29"/>
      <c r="J494" s="29"/>
      <c r="K494" s="29"/>
      <c r="L494" s="29"/>
      <c r="M494" s="29"/>
      <c r="N494" s="37"/>
      <c r="O494" s="30" t="n">
        <f aca="false">N494*J494</f>
        <v>0</v>
      </c>
    </row>
    <row r="495" customFormat="false" ht="15" hidden="false" customHeight="false" outlineLevel="0" collapsed="false">
      <c r="A495" s="29"/>
      <c r="B495" s="28"/>
      <c r="C495" s="29"/>
      <c r="D495" s="29"/>
      <c r="E495" s="29"/>
      <c r="F495" s="29"/>
      <c r="G495" s="36"/>
      <c r="H495" s="29"/>
      <c r="I495" s="29"/>
      <c r="J495" s="29"/>
      <c r="K495" s="29"/>
      <c r="L495" s="29"/>
      <c r="M495" s="29"/>
      <c r="N495" s="37"/>
      <c r="O495" s="30" t="n">
        <f aca="false">N495*J495</f>
        <v>0</v>
      </c>
    </row>
    <row r="496" customFormat="false" ht="15" hidden="false" customHeight="false" outlineLevel="0" collapsed="false">
      <c r="A496" s="29"/>
      <c r="B496" s="28"/>
      <c r="C496" s="29"/>
      <c r="D496" s="29"/>
      <c r="E496" s="29"/>
      <c r="F496" s="29"/>
      <c r="G496" s="36"/>
      <c r="H496" s="29"/>
      <c r="I496" s="29"/>
      <c r="J496" s="29"/>
      <c r="K496" s="29"/>
      <c r="L496" s="29"/>
      <c r="M496" s="29"/>
      <c r="N496" s="37"/>
      <c r="O496" s="30" t="n">
        <f aca="false">N496*J496</f>
        <v>0</v>
      </c>
    </row>
    <row r="497" customFormat="false" ht="15" hidden="false" customHeight="false" outlineLevel="0" collapsed="false">
      <c r="A497" s="29"/>
      <c r="B497" s="28"/>
      <c r="C497" s="29"/>
      <c r="D497" s="29"/>
      <c r="E497" s="29"/>
      <c r="F497" s="29"/>
      <c r="G497" s="36"/>
      <c r="H497" s="29"/>
      <c r="I497" s="29"/>
      <c r="J497" s="29"/>
      <c r="K497" s="29"/>
      <c r="L497" s="29"/>
      <c r="M497" s="29"/>
      <c r="N497" s="37"/>
      <c r="O497" s="30" t="n">
        <f aca="false">N497*J497</f>
        <v>0</v>
      </c>
    </row>
    <row r="498" customFormat="false" ht="15" hidden="false" customHeight="false" outlineLevel="0" collapsed="false">
      <c r="A498" s="29"/>
      <c r="B498" s="28"/>
      <c r="C498" s="29"/>
      <c r="D498" s="29"/>
      <c r="E498" s="29"/>
      <c r="F498" s="29"/>
      <c r="G498" s="36"/>
      <c r="H498" s="29"/>
      <c r="I498" s="29"/>
      <c r="J498" s="29"/>
      <c r="K498" s="29"/>
      <c r="L498" s="29"/>
      <c r="M498" s="29"/>
      <c r="N498" s="37"/>
      <c r="O498" s="30" t="n">
        <f aca="false">N498*J498</f>
        <v>0</v>
      </c>
    </row>
    <row r="499" customFormat="false" ht="15" hidden="false" customHeight="false" outlineLevel="0" collapsed="false">
      <c r="A499" s="29"/>
      <c r="B499" s="28"/>
      <c r="C499" s="29"/>
      <c r="D499" s="29"/>
      <c r="E499" s="29"/>
      <c r="F499" s="29"/>
      <c r="G499" s="36"/>
      <c r="H499" s="29"/>
      <c r="I499" s="29"/>
      <c r="J499" s="29"/>
      <c r="K499" s="29"/>
      <c r="L499" s="29"/>
      <c r="M499" s="29"/>
      <c r="N499" s="37"/>
      <c r="O499" s="30" t="n">
        <f aca="false">N499*J499</f>
        <v>0</v>
      </c>
    </row>
    <row r="500" customFormat="false" ht="15" hidden="false" customHeight="false" outlineLevel="0" collapsed="false">
      <c r="A500" s="29"/>
      <c r="B500" s="28"/>
      <c r="C500" s="29"/>
      <c r="D500" s="29"/>
      <c r="E500" s="29"/>
      <c r="F500" s="29"/>
      <c r="G500" s="36"/>
      <c r="H500" s="29"/>
      <c r="I500" s="29"/>
      <c r="J500" s="29"/>
      <c r="K500" s="29"/>
      <c r="L500" s="29"/>
      <c r="M500" s="29"/>
      <c r="N500" s="37"/>
      <c r="O500" s="30" t="n">
        <f aca="false">N500*J500</f>
        <v>0</v>
      </c>
    </row>
    <row r="501" customFormat="false" ht="15" hidden="false" customHeight="false" outlineLevel="0" collapsed="false">
      <c r="A501" s="29"/>
      <c r="B501" s="28"/>
      <c r="C501" s="29"/>
      <c r="D501" s="29"/>
      <c r="E501" s="29"/>
      <c r="F501" s="29"/>
      <c r="G501" s="36"/>
      <c r="H501" s="29"/>
      <c r="I501" s="29"/>
      <c r="J501" s="29"/>
      <c r="K501" s="29"/>
      <c r="L501" s="29"/>
      <c r="M501" s="29"/>
      <c r="N501" s="37"/>
      <c r="O501" s="30" t="n">
        <f aca="false">N501*J501</f>
        <v>0</v>
      </c>
    </row>
    <row r="502" customFormat="false" ht="15" hidden="false" customHeight="false" outlineLevel="0" collapsed="false">
      <c r="A502" s="29"/>
      <c r="B502" s="28"/>
      <c r="C502" s="29"/>
      <c r="D502" s="29"/>
      <c r="E502" s="29"/>
      <c r="F502" s="29"/>
      <c r="G502" s="36"/>
      <c r="H502" s="29"/>
      <c r="I502" s="29"/>
      <c r="J502" s="29"/>
      <c r="K502" s="29"/>
      <c r="L502" s="29"/>
      <c r="M502" s="29"/>
      <c r="N502" s="37"/>
      <c r="O502" s="30" t="n">
        <f aca="false">N502*J502</f>
        <v>0</v>
      </c>
    </row>
    <row r="503" customFormat="false" ht="15" hidden="false" customHeight="false" outlineLevel="0" collapsed="false">
      <c r="A503" s="29"/>
      <c r="B503" s="28"/>
      <c r="C503" s="29"/>
      <c r="D503" s="29"/>
      <c r="E503" s="29"/>
      <c r="F503" s="29"/>
      <c r="G503" s="36"/>
      <c r="H503" s="29"/>
      <c r="I503" s="29"/>
      <c r="J503" s="29"/>
      <c r="K503" s="29"/>
      <c r="L503" s="29"/>
      <c r="M503" s="29"/>
      <c r="N503" s="37"/>
      <c r="O503" s="30" t="n">
        <f aca="false">N503*J503</f>
        <v>0</v>
      </c>
    </row>
    <row r="504" customFormat="false" ht="15" hidden="false" customHeight="false" outlineLevel="0" collapsed="false">
      <c r="A504" s="29"/>
      <c r="B504" s="28"/>
      <c r="C504" s="29"/>
      <c r="D504" s="29"/>
      <c r="E504" s="29"/>
      <c r="F504" s="29"/>
      <c r="G504" s="36"/>
      <c r="H504" s="29"/>
      <c r="I504" s="29"/>
      <c r="J504" s="29"/>
      <c r="K504" s="29"/>
      <c r="L504" s="29"/>
      <c r="M504" s="29"/>
      <c r="N504" s="37"/>
      <c r="O504" s="30" t="n">
        <f aca="false">N504*J504</f>
        <v>0</v>
      </c>
    </row>
    <row r="505" customFormat="false" ht="15" hidden="false" customHeight="false" outlineLevel="0" collapsed="false">
      <c r="A505" s="29"/>
      <c r="B505" s="28"/>
      <c r="C505" s="29"/>
      <c r="D505" s="29"/>
      <c r="E505" s="29"/>
      <c r="F505" s="29"/>
      <c r="G505" s="36"/>
      <c r="H505" s="29"/>
      <c r="I505" s="29"/>
      <c r="J505" s="29"/>
      <c r="K505" s="29"/>
      <c r="L505" s="29"/>
      <c r="M505" s="29"/>
      <c r="N505" s="37"/>
      <c r="O505" s="30" t="n">
        <f aca="false">N505*J505</f>
        <v>0</v>
      </c>
    </row>
    <row r="506" customFormat="false" ht="15" hidden="false" customHeight="false" outlineLevel="0" collapsed="false">
      <c r="A506" s="29"/>
      <c r="B506" s="28"/>
      <c r="C506" s="29"/>
      <c r="D506" s="29"/>
      <c r="E506" s="29"/>
      <c r="F506" s="29"/>
      <c r="G506" s="36"/>
      <c r="H506" s="29"/>
      <c r="I506" s="29"/>
      <c r="J506" s="29"/>
      <c r="K506" s="29"/>
      <c r="L506" s="29"/>
      <c r="M506" s="29"/>
      <c r="N506" s="37"/>
      <c r="O506" s="30" t="n">
        <f aca="false">N506*J506</f>
        <v>0</v>
      </c>
    </row>
    <row r="507" customFormat="false" ht="15" hidden="false" customHeight="false" outlineLevel="0" collapsed="false">
      <c r="A507" s="29"/>
      <c r="B507" s="28"/>
      <c r="C507" s="29"/>
      <c r="D507" s="29"/>
      <c r="E507" s="29"/>
      <c r="F507" s="29"/>
      <c r="G507" s="36"/>
      <c r="H507" s="29"/>
      <c r="I507" s="29"/>
      <c r="J507" s="29"/>
      <c r="K507" s="29"/>
      <c r="L507" s="29"/>
      <c r="M507" s="29"/>
      <c r="N507" s="37"/>
      <c r="O507" s="30" t="n">
        <f aca="false">N507*J507</f>
        <v>0</v>
      </c>
    </row>
    <row r="508" customFormat="false" ht="15" hidden="false" customHeight="false" outlineLevel="0" collapsed="false">
      <c r="A508" s="29"/>
      <c r="B508" s="28"/>
      <c r="C508" s="29"/>
      <c r="D508" s="29"/>
      <c r="E508" s="29"/>
      <c r="F508" s="29"/>
      <c r="G508" s="36"/>
      <c r="H508" s="29"/>
      <c r="I508" s="29"/>
      <c r="J508" s="29"/>
      <c r="K508" s="29"/>
      <c r="L508" s="29"/>
      <c r="M508" s="29"/>
      <c r="N508" s="37"/>
      <c r="O508" s="30" t="n">
        <f aca="false">N508*J508</f>
        <v>0</v>
      </c>
    </row>
    <row r="509" customFormat="false" ht="15" hidden="false" customHeight="false" outlineLevel="0" collapsed="false">
      <c r="A509" s="29"/>
      <c r="B509" s="28"/>
      <c r="C509" s="29"/>
      <c r="D509" s="29"/>
      <c r="E509" s="29"/>
      <c r="F509" s="29"/>
      <c r="G509" s="36"/>
      <c r="H509" s="29"/>
      <c r="I509" s="29"/>
      <c r="J509" s="29"/>
      <c r="K509" s="29"/>
      <c r="L509" s="29"/>
      <c r="M509" s="29"/>
      <c r="N509" s="37"/>
      <c r="O509" s="30" t="n">
        <f aca="false">N509*J509</f>
        <v>0</v>
      </c>
    </row>
    <row r="510" customFormat="false" ht="15" hidden="false" customHeight="false" outlineLevel="0" collapsed="false">
      <c r="A510" s="29"/>
      <c r="B510" s="28"/>
      <c r="C510" s="29"/>
      <c r="D510" s="29"/>
      <c r="E510" s="29"/>
      <c r="F510" s="29"/>
      <c r="G510" s="36"/>
      <c r="H510" s="29"/>
      <c r="I510" s="29"/>
      <c r="J510" s="29"/>
      <c r="K510" s="29"/>
      <c r="L510" s="29"/>
      <c r="M510" s="29"/>
      <c r="N510" s="37"/>
      <c r="O510" s="30" t="n">
        <f aca="false">N510*J510</f>
        <v>0</v>
      </c>
    </row>
    <row r="511" customFormat="false" ht="15" hidden="false" customHeight="false" outlineLevel="0" collapsed="false">
      <c r="A511" s="29"/>
      <c r="B511" s="28"/>
      <c r="C511" s="29"/>
      <c r="D511" s="29"/>
      <c r="E511" s="29"/>
      <c r="F511" s="29"/>
      <c r="G511" s="36"/>
      <c r="H511" s="29"/>
      <c r="I511" s="29"/>
      <c r="J511" s="29"/>
      <c r="K511" s="29"/>
      <c r="L511" s="29"/>
      <c r="M511" s="29"/>
      <c r="N511" s="37"/>
      <c r="O511" s="30" t="n">
        <f aca="false">N511*J511</f>
        <v>0</v>
      </c>
    </row>
    <row r="512" customFormat="false" ht="15" hidden="false" customHeight="false" outlineLevel="0" collapsed="false">
      <c r="A512" s="29"/>
      <c r="B512" s="28"/>
      <c r="C512" s="29"/>
      <c r="D512" s="29"/>
      <c r="E512" s="29"/>
      <c r="F512" s="29"/>
      <c r="G512" s="36"/>
      <c r="H512" s="29"/>
      <c r="I512" s="29"/>
      <c r="J512" s="29"/>
      <c r="K512" s="29"/>
      <c r="L512" s="29"/>
      <c r="M512" s="29"/>
      <c r="N512" s="37"/>
      <c r="O512" s="30" t="n">
        <f aca="false">N512*J512</f>
        <v>0</v>
      </c>
    </row>
    <row r="513" customFormat="false" ht="15" hidden="false" customHeight="false" outlineLevel="0" collapsed="false">
      <c r="A513" s="29"/>
      <c r="B513" s="28"/>
      <c r="C513" s="29"/>
      <c r="D513" s="29"/>
      <c r="E513" s="29"/>
      <c r="F513" s="29"/>
      <c r="G513" s="36"/>
      <c r="H513" s="29"/>
      <c r="I513" s="29"/>
      <c r="J513" s="29"/>
      <c r="K513" s="29"/>
      <c r="L513" s="29"/>
      <c r="M513" s="29"/>
      <c r="N513" s="37"/>
      <c r="O513" s="30" t="n">
        <f aca="false">N513*J513</f>
        <v>0</v>
      </c>
    </row>
    <row r="514" customFormat="false" ht="15" hidden="false" customHeight="false" outlineLevel="0" collapsed="false">
      <c r="A514" s="29"/>
      <c r="B514" s="28"/>
      <c r="C514" s="29"/>
      <c r="D514" s="29"/>
      <c r="E514" s="29"/>
      <c r="F514" s="29"/>
      <c r="G514" s="36"/>
      <c r="H514" s="29"/>
      <c r="I514" s="29"/>
      <c r="J514" s="29"/>
      <c r="K514" s="29"/>
      <c r="L514" s="29"/>
      <c r="M514" s="29"/>
      <c r="N514" s="37"/>
      <c r="O514" s="30" t="n">
        <f aca="false">N514*J514</f>
        <v>0</v>
      </c>
    </row>
    <row r="515" customFormat="false" ht="15" hidden="false" customHeight="false" outlineLevel="0" collapsed="false">
      <c r="A515" s="29"/>
      <c r="B515" s="28"/>
      <c r="C515" s="29"/>
      <c r="D515" s="29"/>
      <c r="E515" s="29"/>
      <c r="F515" s="29"/>
      <c r="G515" s="36"/>
      <c r="H515" s="29"/>
      <c r="I515" s="29"/>
      <c r="J515" s="29"/>
      <c r="K515" s="29"/>
      <c r="L515" s="29"/>
      <c r="M515" s="29"/>
      <c r="N515" s="37"/>
      <c r="O515" s="30" t="n">
        <f aca="false">N515*J515</f>
        <v>0</v>
      </c>
    </row>
    <row r="516" customFormat="false" ht="15" hidden="false" customHeight="false" outlineLevel="0" collapsed="false">
      <c r="A516" s="29"/>
      <c r="B516" s="28"/>
      <c r="C516" s="29"/>
      <c r="D516" s="29"/>
      <c r="E516" s="29"/>
      <c r="F516" s="29"/>
      <c r="G516" s="36"/>
      <c r="H516" s="29"/>
      <c r="I516" s="29"/>
      <c r="J516" s="29"/>
      <c r="K516" s="29"/>
      <c r="L516" s="29"/>
      <c r="M516" s="29"/>
      <c r="N516" s="37"/>
      <c r="O516" s="30" t="n">
        <f aca="false">N516*J516</f>
        <v>0</v>
      </c>
    </row>
    <row r="517" customFormat="false" ht="15" hidden="false" customHeight="false" outlineLevel="0" collapsed="false">
      <c r="A517" s="29"/>
      <c r="B517" s="28"/>
      <c r="C517" s="29"/>
      <c r="D517" s="29"/>
      <c r="E517" s="29"/>
      <c r="F517" s="29"/>
      <c r="G517" s="36"/>
      <c r="H517" s="29"/>
      <c r="I517" s="29"/>
      <c r="J517" s="29"/>
      <c r="K517" s="29"/>
      <c r="L517" s="29"/>
      <c r="M517" s="29"/>
      <c r="N517" s="37"/>
      <c r="O517" s="30" t="n">
        <f aca="false">N517*J517</f>
        <v>0</v>
      </c>
    </row>
    <row r="518" customFormat="false" ht="15" hidden="false" customHeight="false" outlineLevel="0" collapsed="false">
      <c r="A518" s="29"/>
      <c r="B518" s="28"/>
      <c r="C518" s="29"/>
      <c r="D518" s="29"/>
      <c r="E518" s="29"/>
      <c r="F518" s="29"/>
      <c r="G518" s="36"/>
      <c r="H518" s="29"/>
      <c r="I518" s="29"/>
      <c r="J518" s="29"/>
      <c r="K518" s="29"/>
      <c r="L518" s="29"/>
      <c r="M518" s="29"/>
      <c r="N518" s="37"/>
      <c r="O518" s="30" t="n">
        <f aca="false">N518*J518</f>
        <v>0</v>
      </c>
    </row>
    <row r="519" customFormat="false" ht="15" hidden="false" customHeight="false" outlineLevel="0" collapsed="false">
      <c r="A519" s="29"/>
      <c r="B519" s="28"/>
      <c r="C519" s="29"/>
      <c r="D519" s="29"/>
      <c r="E519" s="29"/>
      <c r="F519" s="29"/>
      <c r="G519" s="36"/>
      <c r="H519" s="29"/>
      <c r="I519" s="29"/>
      <c r="J519" s="29"/>
      <c r="K519" s="29"/>
      <c r="L519" s="29"/>
      <c r="M519" s="29"/>
      <c r="N519" s="37"/>
      <c r="O519" s="30" t="n">
        <f aca="false">N519*J519</f>
        <v>0</v>
      </c>
    </row>
    <row r="520" customFormat="false" ht="15" hidden="false" customHeight="false" outlineLevel="0" collapsed="false">
      <c r="A520" s="29"/>
      <c r="B520" s="28"/>
      <c r="C520" s="29"/>
      <c r="D520" s="29"/>
      <c r="E520" s="29"/>
      <c r="F520" s="29"/>
      <c r="G520" s="36"/>
      <c r="H520" s="29"/>
      <c r="I520" s="29"/>
      <c r="J520" s="29"/>
      <c r="K520" s="29"/>
      <c r="L520" s="29"/>
      <c r="M520" s="29"/>
      <c r="N520" s="37"/>
      <c r="O520" s="30" t="n">
        <f aca="false">N520*J520</f>
        <v>0</v>
      </c>
    </row>
    <row r="521" customFormat="false" ht="15" hidden="false" customHeight="false" outlineLevel="0" collapsed="false">
      <c r="A521" s="29"/>
      <c r="B521" s="28"/>
      <c r="C521" s="29"/>
      <c r="D521" s="29"/>
      <c r="E521" s="29"/>
      <c r="F521" s="29"/>
      <c r="G521" s="36"/>
      <c r="H521" s="29"/>
      <c r="I521" s="29"/>
      <c r="J521" s="29"/>
      <c r="K521" s="29"/>
      <c r="L521" s="29"/>
      <c r="M521" s="29"/>
      <c r="N521" s="37"/>
      <c r="O521" s="30" t="n">
        <f aca="false">N521*J521</f>
        <v>0</v>
      </c>
    </row>
    <row r="522" customFormat="false" ht="15" hidden="false" customHeight="false" outlineLevel="0" collapsed="false">
      <c r="A522" s="29"/>
      <c r="B522" s="28"/>
      <c r="C522" s="29"/>
      <c r="D522" s="29"/>
      <c r="E522" s="29"/>
      <c r="F522" s="29"/>
      <c r="G522" s="36"/>
      <c r="H522" s="29"/>
      <c r="I522" s="29"/>
      <c r="J522" s="29"/>
      <c r="K522" s="29"/>
      <c r="L522" s="29"/>
      <c r="M522" s="29"/>
      <c r="N522" s="37"/>
      <c r="O522" s="30" t="n">
        <f aca="false">N522*J522</f>
        <v>0</v>
      </c>
    </row>
    <row r="523" customFormat="false" ht="15" hidden="false" customHeight="false" outlineLevel="0" collapsed="false">
      <c r="A523" s="29"/>
      <c r="B523" s="28"/>
      <c r="C523" s="29"/>
      <c r="D523" s="29"/>
      <c r="E523" s="29"/>
      <c r="F523" s="29"/>
      <c r="G523" s="36"/>
      <c r="H523" s="29"/>
      <c r="I523" s="29"/>
      <c r="J523" s="29"/>
      <c r="K523" s="29"/>
      <c r="L523" s="29"/>
      <c r="M523" s="29"/>
      <c r="N523" s="37"/>
      <c r="O523" s="30" t="n">
        <f aca="false">N523*J523</f>
        <v>0</v>
      </c>
    </row>
    <row r="524" customFormat="false" ht="15" hidden="false" customHeight="false" outlineLevel="0" collapsed="false">
      <c r="A524" s="29"/>
      <c r="B524" s="28"/>
      <c r="C524" s="29"/>
      <c r="D524" s="29"/>
      <c r="E524" s="29"/>
      <c r="F524" s="29"/>
      <c r="G524" s="36"/>
      <c r="H524" s="29"/>
      <c r="I524" s="29"/>
      <c r="J524" s="29"/>
      <c r="K524" s="29"/>
      <c r="L524" s="29"/>
      <c r="M524" s="29"/>
      <c r="N524" s="37"/>
      <c r="O524" s="30" t="n">
        <f aca="false">N524*J524</f>
        <v>0</v>
      </c>
    </row>
    <row r="525" customFormat="false" ht="15" hidden="false" customHeight="false" outlineLevel="0" collapsed="false">
      <c r="A525" s="29"/>
      <c r="B525" s="28"/>
      <c r="C525" s="29"/>
      <c r="D525" s="29"/>
      <c r="E525" s="29"/>
      <c r="F525" s="29"/>
      <c r="G525" s="36"/>
      <c r="H525" s="29"/>
      <c r="I525" s="29"/>
      <c r="J525" s="29"/>
      <c r="K525" s="29"/>
      <c r="L525" s="29"/>
      <c r="M525" s="29"/>
      <c r="N525" s="37"/>
      <c r="O525" s="30" t="n">
        <f aca="false">N525*J525</f>
        <v>0</v>
      </c>
    </row>
    <row r="526" customFormat="false" ht="15" hidden="false" customHeight="false" outlineLevel="0" collapsed="false">
      <c r="A526" s="29"/>
      <c r="B526" s="28"/>
      <c r="C526" s="29"/>
      <c r="D526" s="29"/>
      <c r="E526" s="29"/>
      <c r="F526" s="29"/>
      <c r="G526" s="36"/>
      <c r="H526" s="29"/>
      <c r="I526" s="29"/>
      <c r="J526" s="29"/>
      <c r="K526" s="29"/>
      <c r="L526" s="29"/>
      <c r="M526" s="29"/>
      <c r="N526" s="37"/>
      <c r="O526" s="30" t="n">
        <f aca="false">N526*J526</f>
        <v>0</v>
      </c>
    </row>
    <row r="527" customFormat="false" ht="15" hidden="false" customHeight="false" outlineLevel="0" collapsed="false">
      <c r="A527" s="29"/>
      <c r="B527" s="28"/>
      <c r="C527" s="29"/>
      <c r="D527" s="29"/>
      <c r="E527" s="29"/>
      <c r="F527" s="29"/>
      <c r="G527" s="36"/>
      <c r="H527" s="29"/>
      <c r="I527" s="29"/>
      <c r="J527" s="29"/>
      <c r="K527" s="29"/>
      <c r="L527" s="29"/>
      <c r="M527" s="29"/>
      <c r="N527" s="37"/>
      <c r="O527" s="30" t="n">
        <f aca="false">N527*J527</f>
        <v>0</v>
      </c>
    </row>
    <row r="528" customFormat="false" ht="15" hidden="false" customHeight="false" outlineLevel="0" collapsed="false">
      <c r="A528" s="29"/>
      <c r="B528" s="28"/>
      <c r="C528" s="29"/>
      <c r="D528" s="29"/>
      <c r="E528" s="29"/>
      <c r="F528" s="29"/>
      <c r="G528" s="36"/>
      <c r="H528" s="29"/>
      <c r="I528" s="29"/>
      <c r="J528" s="29"/>
      <c r="K528" s="29"/>
      <c r="L528" s="29"/>
      <c r="M528" s="29"/>
      <c r="N528" s="37"/>
      <c r="O528" s="30" t="n">
        <f aca="false">N528*J528</f>
        <v>0</v>
      </c>
    </row>
    <row r="529" customFormat="false" ht="15" hidden="false" customHeight="false" outlineLevel="0" collapsed="false">
      <c r="A529" s="29"/>
      <c r="B529" s="28"/>
      <c r="C529" s="29"/>
      <c r="D529" s="29"/>
      <c r="E529" s="29"/>
      <c r="F529" s="29"/>
      <c r="G529" s="36"/>
      <c r="H529" s="29"/>
      <c r="I529" s="29"/>
      <c r="J529" s="29"/>
      <c r="K529" s="29"/>
      <c r="L529" s="29"/>
      <c r="M529" s="29"/>
      <c r="N529" s="37"/>
      <c r="O529" s="30" t="n">
        <f aca="false">N529*J529</f>
        <v>0</v>
      </c>
    </row>
    <row r="530" customFormat="false" ht="15" hidden="false" customHeight="false" outlineLevel="0" collapsed="false">
      <c r="A530" s="29"/>
      <c r="B530" s="28"/>
      <c r="C530" s="29"/>
      <c r="D530" s="29"/>
      <c r="E530" s="29"/>
      <c r="F530" s="29"/>
      <c r="G530" s="36"/>
      <c r="H530" s="29"/>
      <c r="I530" s="29"/>
      <c r="J530" s="29"/>
      <c r="K530" s="29"/>
      <c r="L530" s="29"/>
      <c r="M530" s="29"/>
      <c r="N530" s="37"/>
      <c r="O530" s="30" t="n">
        <f aca="false">N530*J530</f>
        <v>0</v>
      </c>
    </row>
    <row r="531" customFormat="false" ht="15" hidden="false" customHeight="false" outlineLevel="0" collapsed="false">
      <c r="A531" s="29"/>
      <c r="B531" s="28"/>
      <c r="C531" s="29"/>
      <c r="D531" s="29"/>
      <c r="E531" s="29"/>
      <c r="F531" s="29"/>
      <c r="G531" s="36"/>
      <c r="H531" s="29"/>
      <c r="I531" s="29"/>
      <c r="J531" s="29"/>
      <c r="K531" s="29"/>
      <c r="L531" s="29"/>
      <c r="M531" s="29"/>
      <c r="N531" s="37"/>
      <c r="O531" s="30" t="n">
        <f aca="false">N531*J531</f>
        <v>0</v>
      </c>
    </row>
    <row r="532" customFormat="false" ht="15" hidden="false" customHeight="false" outlineLevel="0" collapsed="false">
      <c r="A532" s="29"/>
      <c r="B532" s="28"/>
      <c r="C532" s="29"/>
      <c r="D532" s="29"/>
      <c r="E532" s="29"/>
      <c r="F532" s="29"/>
      <c r="G532" s="36"/>
      <c r="H532" s="29"/>
      <c r="I532" s="29"/>
      <c r="J532" s="29"/>
      <c r="K532" s="29"/>
      <c r="L532" s="29"/>
      <c r="M532" s="29"/>
      <c r="N532" s="37"/>
      <c r="O532" s="30" t="n">
        <f aca="false">N532*J532</f>
        <v>0</v>
      </c>
    </row>
    <row r="533" customFormat="false" ht="15" hidden="false" customHeight="false" outlineLevel="0" collapsed="false">
      <c r="A533" s="29"/>
      <c r="B533" s="28"/>
      <c r="C533" s="29"/>
      <c r="D533" s="29"/>
      <c r="E533" s="29"/>
      <c r="F533" s="29"/>
      <c r="G533" s="36"/>
      <c r="H533" s="29"/>
      <c r="I533" s="29"/>
      <c r="J533" s="29"/>
      <c r="K533" s="29"/>
      <c r="L533" s="29"/>
      <c r="M533" s="29"/>
      <c r="N533" s="37"/>
      <c r="O533" s="30" t="n">
        <f aca="false">N533*J533</f>
        <v>0</v>
      </c>
    </row>
    <row r="534" customFormat="false" ht="15" hidden="false" customHeight="false" outlineLevel="0" collapsed="false">
      <c r="A534" s="29"/>
      <c r="B534" s="28"/>
      <c r="C534" s="29"/>
      <c r="D534" s="29"/>
      <c r="E534" s="29"/>
      <c r="F534" s="29"/>
      <c r="G534" s="36"/>
      <c r="H534" s="29"/>
      <c r="I534" s="29"/>
      <c r="J534" s="29"/>
      <c r="K534" s="29"/>
      <c r="L534" s="29"/>
      <c r="M534" s="29"/>
      <c r="N534" s="37"/>
      <c r="O534" s="30" t="n">
        <f aca="false">N534*J534</f>
        <v>0</v>
      </c>
    </row>
    <row r="535" customFormat="false" ht="15" hidden="false" customHeight="false" outlineLevel="0" collapsed="false">
      <c r="A535" s="29"/>
      <c r="B535" s="28"/>
      <c r="C535" s="29"/>
      <c r="D535" s="29"/>
      <c r="E535" s="29"/>
      <c r="F535" s="29"/>
      <c r="G535" s="36"/>
      <c r="H535" s="29"/>
      <c r="I535" s="29"/>
      <c r="J535" s="29"/>
      <c r="K535" s="29"/>
      <c r="L535" s="29"/>
      <c r="M535" s="29"/>
      <c r="N535" s="37"/>
      <c r="O535" s="30" t="n">
        <f aca="false">N535*J535</f>
        <v>0</v>
      </c>
    </row>
    <row r="536" customFormat="false" ht="15" hidden="false" customHeight="false" outlineLevel="0" collapsed="false">
      <c r="A536" s="29"/>
      <c r="B536" s="28"/>
      <c r="C536" s="29"/>
      <c r="D536" s="29"/>
      <c r="E536" s="29"/>
      <c r="F536" s="29"/>
      <c r="G536" s="36"/>
      <c r="H536" s="29"/>
      <c r="I536" s="29"/>
      <c r="J536" s="29"/>
      <c r="K536" s="29"/>
      <c r="L536" s="29"/>
      <c r="M536" s="29"/>
      <c r="N536" s="37"/>
      <c r="O536" s="30" t="n">
        <f aca="false">N536*J536</f>
        <v>0</v>
      </c>
    </row>
    <row r="537" customFormat="false" ht="15" hidden="false" customHeight="false" outlineLevel="0" collapsed="false">
      <c r="A537" s="29"/>
      <c r="B537" s="28"/>
      <c r="C537" s="29"/>
      <c r="D537" s="29"/>
      <c r="E537" s="29"/>
      <c r="F537" s="29"/>
      <c r="G537" s="36"/>
      <c r="H537" s="29"/>
      <c r="I537" s="29"/>
      <c r="J537" s="29"/>
      <c r="K537" s="29"/>
      <c r="L537" s="29"/>
      <c r="M537" s="29"/>
      <c r="N537" s="37"/>
      <c r="O537" s="30" t="n">
        <f aca="false">N537*J537</f>
        <v>0</v>
      </c>
    </row>
    <row r="538" customFormat="false" ht="15" hidden="false" customHeight="false" outlineLevel="0" collapsed="false">
      <c r="A538" s="29"/>
      <c r="B538" s="28"/>
      <c r="C538" s="29"/>
      <c r="D538" s="29"/>
      <c r="E538" s="29"/>
      <c r="F538" s="29"/>
      <c r="G538" s="36"/>
      <c r="H538" s="29"/>
      <c r="I538" s="29"/>
      <c r="J538" s="29"/>
      <c r="K538" s="29"/>
      <c r="L538" s="29"/>
      <c r="M538" s="29"/>
      <c r="N538" s="37"/>
      <c r="O538" s="30" t="n">
        <f aca="false">N538*J538</f>
        <v>0</v>
      </c>
    </row>
    <row r="539" customFormat="false" ht="15" hidden="false" customHeight="false" outlineLevel="0" collapsed="false">
      <c r="A539" s="29"/>
      <c r="B539" s="28"/>
      <c r="C539" s="29"/>
      <c r="D539" s="29"/>
      <c r="E539" s="29"/>
      <c r="F539" s="29"/>
      <c r="G539" s="36"/>
      <c r="H539" s="29"/>
      <c r="I539" s="29"/>
      <c r="J539" s="29"/>
      <c r="K539" s="29"/>
      <c r="L539" s="29"/>
      <c r="M539" s="29"/>
      <c r="N539" s="37"/>
      <c r="O539" s="30" t="n">
        <f aca="false">N539*J539</f>
        <v>0</v>
      </c>
    </row>
    <row r="540" customFormat="false" ht="15" hidden="false" customHeight="false" outlineLevel="0" collapsed="false">
      <c r="A540" s="29"/>
      <c r="B540" s="28"/>
      <c r="C540" s="29"/>
      <c r="D540" s="29"/>
      <c r="E540" s="29"/>
      <c r="F540" s="29"/>
      <c r="G540" s="36"/>
      <c r="H540" s="29"/>
      <c r="I540" s="29"/>
      <c r="J540" s="29"/>
      <c r="K540" s="29"/>
      <c r="L540" s="29"/>
      <c r="M540" s="29"/>
      <c r="N540" s="37"/>
      <c r="O540" s="30" t="n">
        <f aca="false">N540*J540</f>
        <v>0</v>
      </c>
    </row>
    <row r="541" customFormat="false" ht="15" hidden="false" customHeight="false" outlineLevel="0" collapsed="false">
      <c r="A541" s="29"/>
      <c r="B541" s="28"/>
      <c r="C541" s="29"/>
      <c r="D541" s="29"/>
      <c r="E541" s="29"/>
      <c r="F541" s="29"/>
      <c r="G541" s="36"/>
      <c r="H541" s="29"/>
      <c r="I541" s="29"/>
      <c r="J541" s="29"/>
      <c r="K541" s="29"/>
      <c r="L541" s="29"/>
      <c r="M541" s="29"/>
      <c r="N541" s="37"/>
      <c r="O541" s="30" t="n">
        <f aca="false">N541*J541</f>
        <v>0</v>
      </c>
    </row>
    <row r="542" customFormat="false" ht="15" hidden="false" customHeight="false" outlineLevel="0" collapsed="false">
      <c r="A542" s="29"/>
      <c r="B542" s="28"/>
      <c r="C542" s="29"/>
      <c r="D542" s="29"/>
      <c r="E542" s="29"/>
      <c r="F542" s="29"/>
      <c r="G542" s="36"/>
      <c r="H542" s="29"/>
      <c r="I542" s="29"/>
      <c r="J542" s="29"/>
      <c r="K542" s="29"/>
      <c r="L542" s="29"/>
      <c r="M542" s="29"/>
      <c r="N542" s="37"/>
      <c r="O542" s="30" t="n">
        <f aca="false">N542*J542</f>
        <v>0</v>
      </c>
    </row>
    <row r="543" customFormat="false" ht="15" hidden="false" customHeight="false" outlineLevel="0" collapsed="false">
      <c r="A543" s="29"/>
      <c r="B543" s="28"/>
      <c r="C543" s="29"/>
      <c r="D543" s="29"/>
      <c r="E543" s="29"/>
      <c r="F543" s="29"/>
      <c r="G543" s="36"/>
      <c r="H543" s="29"/>
      <c r="I543" s="29"/>
      <c r="J543" s="29"/>
      <c r="K543" s="29"/>
      <c r="L543" s="29"/>
      <c r="M543" s="29"/>
      <c r="N543" s="37"/>
      <c r="O543" s="30" t="n">
        <f aca="false">N543*J543</f>
        <v>0</v>
      </c>
    </row>
    <row r="544" customFormat="false" ht="15" hidden="false" customHeight="false" outlineLevel="0" collapsed="false">
      <c r="A544" s="29"/>
      <c r="B544" s="28"/>
      <c r="C544" s="29"/>
      <c r="D544" s="29"/>
      <c r="E544" s="29"/>
      <c r="F544" s="29"/>
      <c r="G544" s="36"/>
      <c r="H544" s="29"/>
      <c r="I544" s="29"/>
      <c r="J544" s="29"/>
      <c r="K544" s="29"/>
      <c r="L544" s="29"/>
      <c r="M544" s="29"/>
      <c r="N544" s="37"/>
      <c r="O544" s="30" t="n">
        <f aca="false">N544*J544</f>
        <v>0</v>
      </c>
    </row>
    <row r="545" customFormat="false" ht="15" hidden="false" customHeight="false" outlineLevel="0" collapsed="false">
      <c r="A545" s="29"/>
      <c r="B545" s="28"/>
      <c r="C545" s="29"/>
      <c r="D545" s="29"/>
      <c r="E545" s="29"/>
      <c r="F545" s="29"/>
      <c r="G545" s="36"/>
      <c r="H545" s="29"/>
      <c r="I545" s="29"/>
      <c r="J545" s="29"/>
      <c r="K545" s="29"/>
      <c r="L545" s="29"/>
      <c r="M545" s="29"/>
      <c r="N545" s="37"/>
      <c r="O545" s="30" t="n">
        <f aca="false">N545*J545</f>
        <v>0</v>
      </c>
    </row>
    <row r="546" customFormat="false" ht="15" hidden="false" customHeight="false" outlineLevel="0" collapsed="false">
      <c r="N546" s="37"/>
      <c r="O546" s="30" t="n">
        <f aca="false">N546*J546</f>
        <v>0</v>
      </c>
    </row>
    <row r="547" customFormat="false" ht="15" hidden="false" customHeight="false" outlineLevel="0" collapsed="false">
      <c r="N547" s="37"/>
      <c r="O547" s="30" t="n">
        <f aca="false">N547*J547</f>
        <v>0</v>
      </c>
    </row>
    <row r="548" customFormat="false" ht="15" hidden="false" customHeight="false" outlineLevel="0" collapsed="false">
      <c r="N548" s="37"/>
      <c r="O548" s="30" t="n">
        <f aca="false">N548*J548</f>
        <v>0</v>
      </c>
    </row>
    <row r="549" customFormat="false" ht="15" hidden="false" customHeight="false" outlineLevel="0" collapsed="false">
      <c r="N549" s="37"/>
      <c r="O549" s="30" t="n">
        <f aca="false">N549*J549</f>
        <v>0</v>
      </c>
    </row>
    <row r="550" customFormat="false" ht="15" hidden="false" customHeight="false" outlineLevel="0" collapsed="false">
      <c r="N550" s="37"/>
      <c r="O550" s="30" t="n">
        <f aca="false">N550*J550</f>
        <v>0</v>
      </c>
    </row>
    <row r="551" customFormat="false" ht="15" hidden="false" customHeight="false" outlineLevel="0" collapsed="false">
      <c r="N551" s="37"/>
      <c r="O551" s="30" t="n">
        <f aca="false">N551*J551</f>
        <v>0</v>
      </c>
    </row>
    <row r="552" customFormat="false" ht="15" hidden="false" customHeight="false" outlineLevel="0" collapsed="false">
      <c r="N552" s="37"/>
      <c r="O552" s="30" t="n">
        <f aca="false">N552*J552</f>
        <v>0</v>
      </c>
    </row>
    <row r="553" customFormat="false" ht="15" hidden="false" customHeight="false" outlineLevel="0" collapsed="false">
      <c r="N553" s="37"/>
      <c r="O553" s="30" t="n">
        <f aca="false">N553*J553</f>
        <v>0</v>
      </c>
    </row>
    <row r="554" customFormat="false" ht="15" hidden="false" customHeight="false" outlineLevel="0" collapsed="false">
      <c r="N554" s="37"/>
      <c r="O554" s="30" t="n">
        <f aca="false">N554*J554</f>
        <v>0</v>
      </c>
    </row>
    <row r="555" customFormat="false" ht="15" hidden="false" customHeight="false" outlineLevel="0" collapsed="false">
      <c r="N555" s="37"/>
      <c r="O555" s="30" t="n">
        <f aca="false">N555*J555</f>
        <v>0</v>
      </c>
    </row>
    <row r="556" customFormat="false" ht="15" hidden="false" customHeight="false" outlineLevel="0" collapsed="false">
      <c r="N556" s="37"/>
      <c r="O556" s="30" t="n">
        <f aca="false">N556*J556</f>
        <v>0</v>
      </c>
    </row>
    <row r="557" customFormat="false" ht="15" hidden="false" customHeight="false" outlineLevel="0" collapsed="false">
      <c r="N557" s="37"/>
      <c r="O557" s="30" t="n">
        <f aca="false">N557*J557</f>
        <v>0</v>
      </c>
    </row>
    <row r="558" customFormat="false" ht="15" hidden="false" customHeight="false" outlineLevel="0" collapsed="false">
      <c r="N558" s="37"/>
      <c r="O558" s="30" t="n">
        <f aca="false">N558*J558</f>
        <v>0</v>
      </c>
    </row>
    <row r="559" customFormat="false" ht="15" hidden="false" customHeight="false" outlineLevel="0" collapsed="false">
      <c r="N559" s="37"/>
      <c r="O559" s="30" t="n">
        <f aca="false">N559*J559</f>
        <v>0</v>
      </c>
    </row>
    <row r="560" customFormat="false" ht="15" hidden="false" customHeight="false" outlineLevel="0" collapsed="false">
      <c r="N560" s="37"/>
      <c r="O560" s="30" t="n">
        <f aca="false">N560*J560</f>
        <v>0</v>
      </c>
    </row>
    <row r="561" customFormat="false" ht="15" hidden="false" customHeight="false" outlineLevel="0" collapsed="false">
      <c r="N561" s="37"/>
      <c r="O561" s="30" t="n">
        <f aca="false">N561*J561</f>
        <v>0</v>
      </c>
    </row>
    <row r="562" customFormat="false" ht="15" hidden="false" customHeight="false" outlineLevel="0" collapsed="false">
      <c r="N562" s="37"/>
      <c r="O562" s="30" t="n">
        <f aca="false">N562*J562</f>
        <v>0</v>
      </c>
    </row>
    <row r="563" customFormat="false" ht="15" hidden="false" customHeight="false" outlineLevel="0" collapsed="false">
      <c r="N563" s="37"/>
      <c r="O563" s="30" t="n">
        <f aca="false">N563*J563</f>
        <v>0</v>
      </c>
    </row>
    <row r="564" customFormat="false" ht="15" hidden="false" customHeight="false" outlineLevel="0" collapsed="false">
      <c r="N564" s="37"/>
      <c r="O564" s="30" t="n">
        <f aca="false">N564*J564</f>
        <v>0</v>
      </c>
    </row>
    <row r="565" customFormat="false" ht="15" hidden="false" customHeight="false" outlineLevel="0" collapsed="false">
      <c r="O565" s="30" t="n">
        <f aca="false">N565*J565</f>
        <v>0</v>
      </c>
    </row>
    <row r="566" customFormat="false" ht="15" hidden="false" customHeight="false" outlineLevel="0" collapsed="false">
      <c r="O566" s="30" t="n">
        <f aca="false">N566*J566</f>
        <v>0</v>
      </c>
    </row>
    <row r="567" customFormat="false" ht="15" hidden="false" customHeight="false" outlineLevel="0" collapsed="false">
      <c r="O567" s="30" t="n">
        <f aca="false">N567*J567</f>
        <v>0</v>
      </c>
    </row>
    <row r="568" customFormat="false" ht="15" hidden="false" customHeight="false" outlineLevel="0" collapsed="false">
      <c r="O568" s="30" t="n">
        <f aca="false">N568*J568</f>
        <v>0</v>
      </c>
    </row>
    <row r="569" customFormat="false" ht="15" hidden="false" customHeight="false" outlineLevel="0" collapsed="false">
      <c r="O569" s="30" t="n">
        <f aca="false">N569*J569</f>
        <v>0</v>
      </c>
    </row>
    <row r="570" customFormat="false" ht="15" hidden="false" customHeight="false" outlineLevel="0" collapsed="false">
      <c r="O570" s="30" t="n">
        <f aca="false">N570*J570</f>
        <v>0</v>
      </c>
    </row>
    <row r="571" customFormat="false" ht="15" hidden="false" customHeight="false" outlineLevel="0" collapsed="false">
      <c r="O571" s="30" t="n">
        <f aca="false">N571*J571</f>
        <v>0</v>
      </c>
    </row>
    <row r="572" customFormat="false" ht="15" hidden="false" customHeight="false" outlineLevel="0" collapsed="false">
      <c r="O572" s="30" t="n">
        <f aca="false">N572*J572</f>
        <v>0</v>
      </c>
    </row>
    <row r="573" customFormat="false" ht="15" hidden="false" customHeight="false" outlineLevel="0" collapsed="false">
      <c r="O573" s="30" t="n">
        <f aca="false">N573*J573</f>
        <v>0</v>
      </c>
    </row>
    <row r="574" customFormat="false" ht="15" hidden="false" customHeight="false" outlineLevel="0" collapsed="false">
      <c r="O574" s="30" t="n">
        <f aca="false">N574*J574</f>
        <v>0</v>
      </c>
    </row>
    <row r="575" customFormat="false" ht="15" hidden="false" customHeight="false" outlineLevel="0" collapsed="false">
      <c r="O575" s="30" t="n">
        <f aca="false">N575*J575</f>
        <v>0</v>
      </c>
    </row>
    <row r="576" customFormat="false" ht="15" hidden="false" customHeight="false" outlineLevel="0" collapsed="false">
      <c r="O576" s="30" t="n">
        <f aca="false">N576*J576</f>
        <v>0</v>
      </c>
    </row>
    <row r="577" customFormat="false" ht="15" hidden="false" customHeight="false" outlineLevel="0" collapsed="false">
      <c r="O577" s="30" t="n">
        <f aca="false">N577*J577</f>
        <v>0</v>
      </c>
    </row>
    <row r="578" customFormat="false" ht="15" hidden="false" customHeight="false" outlineLevel="0" collapsed="false">
      <c r="O578" s="30" t="n">
        <f aca="false">N578*J578</f>
        <v>0</v>
      </c>
    </row>
    <row r="579" customFormat="false" ht="15" hidden="false" customHeight="false" outlineLevel="0" collapsed="false">
      <c r="O579" s="30" t="n">
        <f aca="false">N579*J579</f>
        <v>0</v>
      </c>
    </row>
    <row r="580" customFormat="false" ht="15" hidden="false" customHeight="false" outlineLevel="0" collapsed="false">
      <c r="O580" s="30" t="n">
        <f aca="false">N580*J580</f>
        <v>0</v>
      </c>
    </row>
    <row r="581" customFormat="false" ht="15" hidden="false" customHeight="false" outlineLevel="0" collapsed="false">
      <c r="O581" s="30" t="n">
        <f aca="false">N581*J581</f>
        <v>0</v>
      </c>
    </row>
    <row r="582" customFormat="false" ht="15" hidden="false" customHeight="false" outlineLevel="0" collapsed="false">
      <c r="O582" s="30" t="n">
        <f aca="false">N582*J582</f>
        <v>0</v>
      </c>
    </row>
    <row r="583" customFormat="false" ht="15" hidden="false" customHeight="false" outlineLevel="0" collapsed="false">
      <c r="O583" s="30" t="n">
        <f aca="false">N583*J583</f>
        <v>0</v>
      </c>
    </row>
    <row r="584" customFormat="false" ht="15" hidden="false" customHeight="false" outlineLevel="0" collapsed="false">
      <c r="O584" s="30" t="n">
        <f aca="false">N584*J584</f>
        <v>0</v>
      </c>
    </row>
    <row r="585" customFormat="false" ht="15" hidden="false" customHeight="false" outlineLevel="0" collapsed="false">
      <c r="O585" s="30" t="n">
        <f aca="false">N585*J585</f>
        <v>0</v>
      </c>
    </row>
    <row r="586" customFormat="false" ht="15" hidden="false" customHeight="false" outlineLevel="0" collapsed="false">
      <c r="O586" s="30" t="n">
        <f aca="false">N586*J586</f>
        <v>0</v>
      </c>
    </row>
    <row r="587" customFormat="false" ht="15" hidden="false" customHeight="false" outlineLevel="0" collapsed="false">
      <c r="O587" s="30" t="n">
        <f aca="false">N587*J587</f>
        <v>0</v>
      </c>
    </row>
    <row r="588" customFormat="false" ht="15" hidden="false" customHeight="false" outlineLevel="0" collapsed="false">
      <c r="O588" s="30" t="n">
        <f aca="false">N588*J588</f>
        <v>0</v>
      </c>
    </row>
    <row r="589" customFormat="false" ht="15" hidden="false" customHeight="false" outlineLevel="0" collapsed="false">
      <c r="O589" s="30" t="n">
        <f aca="false">N589*J589</f>
        <v>0</v>
      </c>
    </row>
    <row r="590" customFormat="false" ht="15" hidden="false" customHeight="false" outlineLevel="0" collapsed="false">
      <c r="O590" s="30" t="n">
        <f aca="false">N590*J590</f>
        <v>0</v>
      </c>
    </row>
    <row r="591" customFormat="false" ht="15" hidden="false" customHeight="false" outlineLevel="0" collapsed="false">
      <c r="O591" s="30" t="n">
        <f aca="false">N591*J591</f>
        <v>0</v>
      </c>
    </row>
    <row r="592" customFormat="false" ht="15" hidden="false" customHeight="false" outlineLevel="0" collapsed="false">
      <c r="O592" s="30" t="n">
        <f aca="false">N592*J592</f>
        <v>0</v>
      </c>
    </row>
    <row r="593" customFormat="false" ht="15" hidden="false" customHeight="false" outlineLevel="0" collapsed="false">
      <c r="O593" s="30" t="n">
        <f aca="false">N593*J593</f>
        <v>0</v>
      </c>
    </row>
    <row r="594" customFormat="false" ht="15" hidden="false" customHeight="false" outlineLevel="0" collapsed="false">
      <c r="O594" s="30" t="n">
        <f aca="false">N594*J594</f>
        <v>0</v>
      </c>
    </row>
    <row r="595" customFormat="false" ht="15" hidden="false" customHeight="false" outlineLevel="0" collapsed="false">
      <c r="O595" s="30" t="n">
        <f aca="false">N595*J595</f>
        <v>0</v>
      </c>
    </row>
    <row r="596" customFormat="false" ht="15" hidden="false" customHeight="false" outlineLevel="0" collapsed="false">
      <c r="O596" s="30" t="n">
        <f aca="false">N596*J596</f>
        <v>0</v>
      </c>
    </row>
    <row r="597" customFormat="false" ht="15" hidden="false" customHeight="false" outlineLevel="0" collapsed="false">
      <c r="O597" s="30" t="n">
        <f aca="false">N597*J597</f>
        <v>0</v>
      </c>
    </row>
    <row r="598" customFormat="false" ht="15" hidden="false" customHeight="false" outlineLevel="0" collapsed="false">
      <c r="O598" s="30" t="n">
        <f aca="false">N598*J598</f>
        <v>0</v>
      </c>
    </row>
    <row r="599" customFormat="false" ht="15" hidden="false" customHeight="false" outlineLevel="0" collapsed="false">
      <c r="O599" s="30" t="n">
        <f aca="false">N599*J599</f>
        <v>0</v>
      </c>
    </row>
    <row r="600" customFormat="false" ht="15" hidden="false" customHeight="false" outlineLevel="0" collapsed="false">
      <c r="O600" s="30" t="n">
        <f aca="false">N600*J600</f>
        <v>0</v>
      </c>
    </row>
    <row r="601" customFormat="false" ht="15" hidden="false" customHeight="false" outlineLevel="0" collapsed="false">
      <c r="O601" s="30" t="n">
        <f aca="false">N601*J601</f>
        <v>0</v>
      </c>
    </row>
    <row r="602" customFormat="false" ht="15" hidden="false" customHeight="false" outlineLevel="0" collapsed="false">
      <c r="O602" s="30" t="n">
        <f aca="false">N602*J602</f>
        <v>0</v>
      </c>
    </row>
    <row r="603" customFormat="false" ht="15" hidden="false" customHeight="false" outlineLevel="0" collapsed="false">
      <c r="O603" s="30" t="n">
        <f aca="false">N603*J603</f>
        <v>0</v>
      </c>
    </row>
    <row r="604" customFormat="false" ht="15" hidden="false" customHeight="false" outlineLevel="0" collapsed="false">
      <c r="O604" s="30" t="n">
        <f aca="false">N604*J604</f>
        <v>0</v>
      </c>
    </row>
    <row r="605" customFormat="false" ht="15" hidden="false" customHeight="false" outlineLevel="0" collapsed="false">
      <c r="O605" s="30" t="n">
        <f aca="false">N605*J605</f>
        <v>0</v>
      </c>
    </row>
    <row r="606" customFormat="false" ht="15" hidden="false" customHeight="false" outlineLevel="0" collapsed="false">
      <c r="O606" s="30" t="n">
        <f aca="false">N606*J606</f>
        <v>0</v>
      </c>
    </row>
    <row r="607" customFormat="false" ht="15" hidden="false" customHeight="false" outlineLevel="0" collapsed="false">
      <c r="O607" s="30" t="n">
        <f aca="false">N607*J607</f>
        <v>0</v>
      </c>
    </row>
    <row r="608" customFormat="false" ht="15" hidden="false" customHeight="false" outlineLevel="0" collapsed="false">
      <c r="O608" s="30" t="n">
        <f aca="false">N608*J608</f>
        <v>0</v>
      </c>
    </row>
    <row r="609" customFormat="false" ht="15" hidden="false" customHeight="false" outlineLevel="0" collapsed="false">
      <c r="O609" s="30" t="n">
        <f aca="false">N609*J609</f>
        <v>0</v>
      </c>
    </row>
    <row r="610" customFormat="false" ht="15" hidden="false" customHeight="false" outlineLevel="0" collapsed="false">
      <c r="O610" s="30" t="n">
        <f aca="false">N610*J610</f>
        <v>0</v>
      </c>
    </row>
    <row r="611" customFormat="false" ht="15" hidden="false" customHeight="false" outlineLevel="0" collapsed="false">
      <c r="O611" s="30" t="n">
        <f aca="false">N611*J611</f>
        <v>0</v>
      </c>
    </row>
    <row r="612" customFormat="false" ht="15" hidden="false" customHeight="false" outlineLevel="0" collapsed="false">
      <c r="O612" s="30" t="n">
        <f aca="false">N612*J612</f>
        <v>0</v>
      </c>
    </row>
    <row r="613" customFormat="false" ht="15" hidden="false" customHeight="false" outlineLevel="0" collapsed="false">
      <c r="O613" s="30" t="n">
        <f aca="false">N613*J613</f>
        <v>0</v>
      </c>
    </row>
    <row r="614" customFormat="false" ht="15" hidden="false" customHeight="false" outlineLevel="0" collapsed="false">
      <c r="O614" s="30" t="n">
        <f aca="false">N614*J614</f>
        <v>0</v>
      </c>
    </row>
    <row r="615" customFormat="false" ht="15" hidden="false" customHeight="false" outlineLevel="0" collapsed="false">
      <c r="O615" s="30" t="n">
        <f aca="false">N615*J615</f>
        <v>0</v>
      </c>
    </row>
    <row r="616" customFormat="false" ht="15" hidden="false" customHeight="false" outlineLevel="0" collapsed="false">
      <c r="O616" s="30" t="n">
        <f aca="false">N616*J616</f>
        <v>0</v>
      </c>
    </row>
    <row r="617" customFormat="false" ht="15" hidden="false" customHeight="false" outlineLevel="0" collapsed="false">
      <c r="O617" s="30" t="n">
        <f aca="false">N617*J617</f>
        <v>0</v>
      </c>
    </row>
    <row r="618" customFormat="false" ht="15" hidden="false" customHeight="false" outlineLevel="0" collapsed="false">
      <c r="O618" s="30" t="n">
        <f aca="false">N618*J618</f>
        <v>0</v>
      </c>
    </row>
    <row r="619" customFormat="false" ht="15" hidden="false" customHeight="false" outlineLevel="0" collapsed="false">
      <c r="O619" s="30" t="n">
        <f aca="false">N619*J619</f>
        <v>0</v>
      </c>
    </row>
    <row r="620" customFormat="false" ht="15" hidden="false" customHeight="false" outlineLevel="0" collapsed="false">
      <c r="O620" s="30" t="n">
        <f aca="false">N620*J620</f>
        <v>0</v>
      </c>
    </row>
    <row r="621" customFormat="false" ht="15" hidden="false" customHeight="false" outlineLevel="0" collapsed="false">
      <c r="O621" s="30" t="n">
        <f aca="false">N621*J621</f>
        <v>0</v>
      </c>
    </row>
    <row r="622" customFormat="false" ht="15" hidden="false" customHeight="false" outlineLevel="0" collapsed="false">
      <c r="O622" s="30" t="n">
        <f aca="false">N622*J622</f>
        <v>0</v>
      </c>
    </row>
    <row r="623" customFormat="false" ht="15" hidden="false" customHeight="false" outlineLevel="0" collapsed="false">
      <c r="O623" s="30" t="n">
        <f aca="false">N623*J623</f>
        <v>0</v>
      </c>
    </row>
    <row r="624" customFormat="false" ht="15" hidden="false" customHeight="false" outlineLevel="0" collapsed="false">
      <c r="O624" s="30" t="n">
        <f aca="false">N624*J624</f>
        <v>0</v>
      </c>
    </row>
    <row r="625" customFormat="false" ht="15" hidden="false" customHeight="false" outlineLevel="0" collapsed="false">
      <c r="O625" s="30" t="n">
        <f aca="false">N625*J625</f>
        <v>0</v>
      </c>
    </row>
    <row r="626" customFormat="false" ht="15" hidden="false" customHeight="false" outlineLevel="0" collapsed="false">
      <c r="O626" s="30" t="n">
        <f aca="false">N626*J626</f>
        <v>0</v>
      </c>
    </row>
    <row r="627" customFormat="false" ht="15" hidden="false" customHeight="false" outlineLevel="0" collapsed="false">
      <c r="O627" s="30" t="n">
        <f aca="false">N627*J627</f>
        <v>0</v>
      </c>
    </row>
    <row r="628" customFormat="false" ht="15" hidden="false" customHeight="false" outlineLevel="0" collapsed="false">
      <c r="O628" s="30" t="n">
        <f aca="false">N628*J628</f>
        <v>0</v>
      </c>
    </row>
    <row r="629" customFormat="false" ht="15" hidden="false" customHeight="false" outlineLevel="0" collapsed="false">
      <c r="O629" s="30" t="n">
        <f aca="false">N629*J629</f>
        <v>0</v>
      </c>
    </row>
    <row r="630" customFormat="false" ht="15" hidden="false" customHeight="false" outlineLevel="0" collapsed="false">
      <c r="O630" s="30" t="n">
        <f aca="false">N630*J630</f>
        <v>0</v>
      </c>
    </row>
    <row r="631" customFormat="false" ht="15" hidden="false" customHeight="false" outlineLevel="0" collapsed="false">
      <c r="O631" s="30" t="n">
        <f aca="false">N631*J631</f>
        <v>0</v>
      </c>
    </row>
    <row r="632" customFormat="false" ht="15" hidden="false" customHeight="false" outlineLevel="0" collapsed="false">
      <c r="O632" s="30" t="n">
        <f aca="false">N632*J632</f>
        <v>0</v>
      </c>
    </row>
    <row r="633" customFormat="false" ht="15" hidden="false" customHeight="false" outlineLevel="0" collapsed="false">
      <c r="O633" s="30" t="n">
        <f aca="false">N633*J633</f>
        <v>0</v>
      </c>
    </row>
    <row r="634" customFormat="false" ht="15" hidden="false" customHeight="false" outlineLevel="0" collapsed="false">
      <c r="O634" s="30" t="n">
        <f aca="false">N634*J634</f>
        <v>0</v>
      </c>
    </row>
    <row r="635" customFormat="false" ht="15" hidden="false" customHeight="false" outlineLevel="0" collapsed="false">
      <c r="O635" s="30" t="n">
        <f aca="false">N635*J635</f>
        <v>0</v>
      </c>
    </row>
    <row r="636" customFormat="false" ht="15" hidden="false" customHeight="false" outlineLevel="0" collapsed="false">
      <c r="O636" s="30" t="n">
        <f aca="false">N636*J636</f>
        <v>0</v>
      </c>
    </row>
    <row r="637" customFormat="false" ht="15" hidden="false" customHeight="false" outlineLevel="0" collapsed="false">
      <c r="O637" s="30" t="n">
        <f aca="false">N637*J637</f>
        <v>0</v>
      </c>
    </row>
    <row r="638" customFormat="false" ht="15" hidden="false" customHeight="false" outlineLevel="0" collapsed="false">
      <c r="O638" s="30" t="n">
        <f aca="false">N638*J638</f>
        <v>0</v>
      </c>
    </row>
    <row r="639" customFormat="false" ht="15" hidden="false" customHeight="false" outlineLevel="0" collapsed="false">
      <c r="O639" s="30" t="n">
        <f aca="false">N639*J639</f>
        <v>0</v>
      </c>
    </row>
    <row r="640" customFormat="false" ht="15" hidden="false" customHeight="false" outlineLevel="0" collapsed="false">
      <c r="O640" s="30" t="n">
        <f aca="false">N640*J640</f>
        <v>0</v>
      </c>
    </row>
    <row r="641" customFormat="false" ht="15" hidden="false" customHeight="false" outlineLevel="0" collapsed="false">
      <c r="O641" s="30" t="n">
        <f aca="false">N641*J641</f>
        <v>0</v>
      </c>
    </row>
    <row r="642" customFormat="false" ht="15" hidden="false" customHeight="false" outlineLevel="0" collapsed="false">
      <c r="O642" s="30" t="n">
        <f aca="false">N642*J642</f>
        <v>0</v>
      </c>
    </row>
    <row r="643" customFormat="false" ht="15" hidden="false" customHeight="false" outlineLevel="0" collapsed="false">
      <c r="O643" s="30" t="n">
        <f aca="false">N643*J643</f>
        <v>0</v>
      </c>
    </row>
    <row r="644" customFormat="false" ht="15" hidden="false" customHeight="false" outlineLevel="0" collapsed="false">
      <c r="O644" s="30" t="n">
        <f aca="false">N644*J644</f>
        <v>0</v>
      </c>
    </row>
    <row r="645" customFormat="false" ht="15" hidden="false" customHeight="false" outlineLevel="0" collapsed="false">
      <c r="O645" s="30" t="n">
        <f aca="false">N645*J645</f>
        <v>0</v>
      </c>
    </row>
    <row r="646" customFormat="false" ht="15" hidden="false" customHeight="false" outlineLevel="0" collapsed="false">
      <c r="O646" s="30" t="n">
        <f aca="false">N646*J646</f>
        <v>0</v>
      </c>
    </row>
    <row r="647" customFormat="false" ht="15" hidden="false" customHeight="false" outlineLevel="0" collapsed="false">
      <c r="O647" s="30" t="n">
        <f aca="false">N647*J647</f>
        <v>0</v>
      </c>
    </row>
    <row r="648" customFormat="false" ht="15" hidden="false" customHeight="false" outlineLevel="0" collapsed="false">
      <c r="O648" s="30" t="n">
        <f aca="false">N648*J648</f>
        <v>0</v>
      </c>
    </row>
    <row r="649" customFormat="false" ht="15" hidden="false" customHeight="false" outlineLevel="0" collapsed="false">
      <c r="O649" s="30" t="n">
        <f aca="false">N649*J649</f>
        <v>0</v>
      </c>
    </row>
    <row r="650" customFormat="false" ht="15" hidden="false" customHeight="false" outlineLevel="0" collapsed="false">
      <c r="O650" s="30" t="n">
        <f aca="false">N650*J650</f>
        <v>0</v>
      </c>
    </row>
    <row r="651" customFormat="false" ht="15" hidden="false" customHeight="false" outlineLevel="0" collapsed="false">
      <c r="O651" s="30" t="n">
        <f aca="false">N651*J651</f>
        <v>0</v>
      </c>
    </row>
    <row r="652" customFormat="false" ht="15" hidden="false" customHeight="false" outlineLevel="0" collapsed="false">
      <c r="O652" s="30" t="n">
        <f aca="false">N652*J652</f>
        <v>0</v>
      </c>
    </row>
    <row r="653" customFormat="false" ht="15" hidden="false" customHeight="false" outlineLevel="0" collapsed="false">
      <c r="O653" s="30" t="n">
        <f aca="false">N653*J653</f>
        <v>0</v>
      </c>
    </row>
    <row r="654" customFormat="false" ht="15" hidden="false" customHeight="false" outlineLevel="0" collapsed="false">
      <c r="O654" s="30" t="n">
        <f aca="false">N654*J654</f>
        <v>0</v>
      </c>
    </row>
    <row r="655" customFormat="false" ht="15" hidden="false" customHeight="false" outlineLevel="0" collapsed="false">
      <c r="O655" s="30" t="n">
        <f aca="false">N655*J655</f>
        <v>0</v>
      </c>
    </row>
    <row r="656" customFormat="false" ht="15" hidden="false" customHeight="false" outlineLevel="0" collapsed="false">
      <c r="O656" s="30" t="n">
        <f aca="false">N656*J656</f>
        <v>0</v>
      </c>
    </row>
    <row r="657" customFormat="false" ht="15" hidden="false" customHeight="false" outlineLevel="0" collapsed="false">
      <c r="O657" s="30" t="n">
        <f aca="false">N657*J657</f>
        <v>0</v>
      </c>
    </row>
    <row r="658" customFormat="false" ht="15" hidden="false" customHeight="false" outlineLevel="0" collapsed="false">
      <c r="O658" s="30" t="n">
        <f aca="false">N658*J658</f>
        <v>0</v>
      </c>
    </row>
    <row r="659" customFormat="false" ht="15" hidden="false" customHeight="false" outlineLevel="0" collapsed="false">
      <c r="O659" s="30" t="n">
        <f aca="false">N659*J659</f>
        <v>0</v>
      </c>
    </row>
    <row r="660" customFormat="false" ht="15" hidden="false" customHeight="false" outlineLevel="0" collapsed="false">
      <c r="O660" s="30" t="n">
        <f aca="false">N660*J660</f>
        <v>0</v>
      </c>
    </row>
    <row r="661" customFormat="false" ht="15" hidden="false" customHeight="false" outlineLevel="0" collapsed="false">
      <c r="O661" s="30" t="n">
        <f aca="false">N661*J661</f>
        <v>0</v>
      </c>
    </row>
    <row r="662" customFormat="false" ht="15" hidden="false" customHeight="false" outlineLevel="0" collapsed="false">
      <c r="O662" s="30" t="n">
        <f aca="false">N662*J662</f>
        <v>0</v>
      </c>
    </row>
    <row r="663" customFormat="false" ht="15" hidden="false" customHeight="false" outlineLevel="0" collapsed="false">
      <c r="O663" s="30" t="n">
        <f aca="false">N663*J663</f>
        <v>0</v>
      </c>
    </row>
    <row r="664" customFormat="false" ht="15" hidden="false" customHeight="false" outlineLevel="0" collapsed="false">
      <c r="O664" s="30" t="n">
        <f aca="false">N664*J664</f>
        <v>0</v>
      </c>
    </row>
    <row r="665" customFormat="false" ht="15" hidden="false" customHeight="false" outlineLevel="0" collapsed="false">
      <c r="O665" s="30" t="n">
        <f aca="false">N665*J665</f>
        <v>0</v>
      </c>
    </row>
    <row r="666" customFormat="false" ht="15" hidden="false" customHeight="false" outlineLevel="0" collapsed="false">
      <c r="O666" s="30" t="n">
        <f aca="false">N666*J666</f>
        <v>0</v>
      </c>
    </row>
    <row r="667" customFormat="false" ht="15" hidden="false" customHeight="false" outlineLevel="0" collapsed="false">
      <c r="O667" s="30" t="n">
        <f aca="false">N667*J667</f>
        <v>0</v>
      </c>
    </row>
    <row r="668" customFormat="false" ht="15" hidden="false" customHeight="false" outlineLevel="0" collapsed="false">
      <c r="O668" s="30" t="n">
        <f aca="false">N668*J668</f>
        <v>0</v>
      </c>
    </row>
    <row r="669" customFormat="false" ht="15" hidden="false" customHeight="false" outlineLevel="0" collapsed="false">
      <c r="O669" s="30" t="n">
        <f aca="false">N669*J669</f>
        <v>0</v>
      </c>
    </row>
    <row r="670" customFormat="false" ht="15" hidden="false" customHeight="false" outlineLevel="0" collapsed="false">
      <c r="O670" s="30" t="n">
        <f aca="false">N670*J670</f>
        <v>0</v>
      </c>
    </row>
    <row r="671" customFormat="false" ht="15" hidden="false" customHeight="false" outlineLevel="0" collapsed="false">
      <c r="O671" s="30" t="n">
        <f aca="false">N671*J671</f>
        <v>0</v>
      </c>
    </row>
    <row r="672" customFormat="false" ht="15" hidden="false" customHeight="false" outlineLevel="0" collapsed="false">
      <c r="O672" s="30" t="n">
        <f aca="false">N672*J672</f>
        <v>0</v>
      </c>
    </row>
    <row r="673" customFormat="false" ht="15" hidden="false" customHeight="false" outlineLevel="0" collapsed="false">
      <c r="O673" s="30" t="n">
        <f aca="false">N673*J673</f>
        <v>0</v>
      </c>
    </row>
    <row r="674" customFormat="false" ht="15" hidden="false" customHeight="false" outlineLevel="0" collapsed="false">
      <c r="O674" s="30" t="n">
        <f aca="false">N674*J674</f>
        <v>0</v>
      </c>
    </row>
    <row r="675" customFormat="false" ht="15" hidden="false" customHeight="false" outlineLevel="0" collapsed="false">
      <c r="O675" s="30" t="n">
        <f aca="false">N675*J675</f>
        <v>0</v>
      </c>
    </row>
    <row r="676" customFormat="false" ht="15" hidden="false" customHeight="false" outlineLevel="0" collapsed="false">
      <c r="O676" s="30" t="n">
        <f aca="false">N676*J676</f>
        <v>0</v>
      </c>
    </row>
    <row r="677" customFormat="false" ht="15" hidden="false" customHeight="false" outlineLevel="0" collapsed="false">
      <c r="O677" s="30" t="n">
        <f aca="false">N677*J677</f>
        <v>0</v>
      </c>
    </row>
    <row r="678" customFormat="false" ht="15" hidden="false" customHeight="false" outlineLevel="0" collapsed="false">
      <c r="O678" s="30" t="n">
        <f aca="false">N678*J678</f>
        <v>0</v>
      </c>
    </row>
    <row r="679" customFormat="false" ht="15" hidden="false" customHeight="false" outlineLevel="0" collapsed="false">
      <c r="O679" s="30" t="n">
        <f aca="false">N679*J679</f>
        <v>0</v>
      </c>
    </row>
    <row r="680" customFormat="false" ht="15" hidden="false" customHeight="false" outlineLevel="0" collapsed="false">
      <c r="O680" s="30" t="n">
        <f aca="false">N680*J680</f>
        <v>0</v>
      </c>
    </row>
    <row r="681" customFormat="false" ht="15" hidden="false" customHeight="false" outlineLevel="0" collapsed="false">
      <c r="O681" s="30" t="n">
        <f aca="false">N681*J681</f>
        <v>0</v>
      </c>
    </row>
    <row r="682" customFormat="false" ht="15" hidden="false" customHeight="false" outlineLevel="0" collapsed="false">
      <c r="O682" s="30" t="n">
        <f aca="false">N682*J682</f>
        <v>0</v>
      </c>
    </row>
    <row r="683" customFormat="false" ht="15" hidden="false" customHeight="false" outlineLevel="0" collapsed="false">
      <c r="O683" s="30" t="n">
        <f aca="false">N683*J683</f>
        <v>0</v>
      </c>
    </row>
    <row r="684" customFormat="false" ht="15" hidden="false" customHeight="false" outlineLevel="0" collapsed="false">
      <c r="O684" s="5" t="e">
        <f aca="false">N684*#REF!</f>
        <v>#REF!</v>
      </c>
    </row>
    <row r="685" customFormat="false" ht="15" hidden="false" customHeight="false" outlineLevel="0" collapsed="false">
      <c r="O685" s="5" t="e">
        <f aca="false">N685*#REF!</f>
        <v>#REF!</v>
      </c>
    </row>
    <row r="686" customFormat="false" ht="15" hidden="false" customHeight="false" outlineLevel="0" collapsed="false">
      <c r="O686" s="5" t="e">
        <f aca="false">N686*#REF!</f>
        <v>#REF!</v>
      </c>
    </row>
    <row r="687" customFormat="false" ht="15" hidden="false" customHeight="false" outlineLevel="0" collapsed="false">
      <c r="O687" s="5" t="e">
        <f aca="false">N687*#REF!</f>
        <v>#REF!</v>
      </c>
    </row>
    <row r="688" customFormat="false" ht="15" hidden="false" customHeight="false" outlineLevel="0" collapsed="false">
      <c r="O688" s="5" t="e">
        <f aca="false">N688*#REF!</f>
        <v>#REF!</v>
      </c>
    </row>
    <row r="689" customFormat="false" ht="15" hidden="false" customHeight="false" outlineLevel="0" collapsed="false">
      <c r="O689" s="5" t="e">
        <f aca="false">N689*#REF!</f>
        <v>#REF!</v>
      </c>
    </row>
  </sheetData>
  <mergeCells count="1">
    <mergeCell ref="N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66FFFF"/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859375" defaultRowHeight="13.8" zeroHeight="false" outlineLevelRow="0" outlineLevelCol="0"/>
  <cols>
    <col collapsed="false" customWidth="true" hidden="false" outlineLevel="0" max="1" min="1" style="62" width="15.28"/>
    <col collapsed="false" customWidth="true" hidden="false" outlineLevel="0" max="2" min="2" style="62" width="13.43"/>
    <col collapsed="false" customWidth="true" hidden="false" outlineLevel="0" max="3" min="3" style="62" width="18.85"/>
    <col collapsed="false" customWidth="true" hidden="false" outlineLevel="0" max="4" min="4" style="62" width="17.57"/>
    <col collapsed="false" customWidth="true" hidden="false" outlineLevel="0" max="5" min="5" style="62" width="15.28"/>
    <col collapsed="false" customWidth="true" hidden="false" outlineLevel="0" max="6" min="6" style="62" width="14.43"/>
    <col collapsed="false" customWidth="true" hidden="false" outlineLevel="0" max="7" min="7" style="63" width="14"/>
    <col collapsed="false" customWidth="true" hidden="false" outlineLevel="0" max="8" min="8" style="62" width="13.43"/>
    <col collapsed="false" customWidth="true" hidden="false" outlineLevel="0" max="9" min="9" style="64" width="10.43"/>
    <col collapsed="false" customWidth="true" hidden="false" outlineLevel="0" max="10" min="10" style="62" width="13.85"/>
    <col collapsed="false" customWidth="true" hidden="false" outlineLevel="0" max="11" min="11" style="62" width="12.14"/>
    <col collapsed="false" customWidth="true" hidden="false" outlineLevel="0" max="12" min="12" style="62" width="13.28"/>
    <col collapsed="false" customWidth="true" hidden="false" outlineLevel="0" max="13" min="13" style="62" width="11"/>
    <col collapsed="false" customWidth="true" hidden="false" outlineLevel="0" max="14" min="14" style="27" width="10.43"/>
    <col collapsed="false" customWidth="true" hidden="false" outlineLevel="0" max="15" min="15" style="65" width="10.71"/>
    <col collapsed="false" customWidth="false" hidden="false" outlineLevel="0" max="16" min="16" style="27" width="8.85"/>
    <col collapsed="false" customWidth="true" hidden="true" outlineLevel="0" max="17" min="17" style="27" width="12.85"/>
    <col collapsed="false" customWidth="true" hidden="true" outlineLevel="0" max="18" min="18" style="0" width="9.14"/>
  </cols>
  <sheetData>
    <row r="1" customFormat="false" ht="7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9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10" t="s">
        <v>13</v>
      </c>
      <c r="O1" s="10"/>
      <c r="P1" s="11" t="s">
        <v>14</v>
      </c>
      <c r="Q1" s="47" t="s">
        <v>22</v>
      </c>
    </row>
    <row r="2" customFormat="false" ht="74.25" hidden="false" customHeight="true" outlineLevel="0" collapsed="false">
      <c r="A2" s="48" t="s">
        <v>15</v>
      </c>
      <c r="B2" s="48"/>
      <c r="C2" s="48"/>
      <c r="D2" s="48"/>
      <c r="E2" s="48"/>
      <c r="F2" s="48"/>
      <c r="G2" s="48"/>
      <c r="H2" s="48"/>
      <c r="I2" s="66"/>
      <c r="J2" s="48"/>
      <c r="K2" s="48"/>
      <c r="L2" s="48"/>
      <c r="M2" s="14"/>
      <c r="N2" s="49" t="s">
        <v>16</v>
      </c>
      <c r="O2" s="49" t="s">
        <v>17</v>
      </c>
      <c r="P2" s="60"/>
      <c r="Q2" s="51"/>
    </row>
  </sheetData>
  <mergeCells count="1">
    <mergeCell ref="N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O7" activeCellId="0" sqref="O7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2.28"/>
    <col collapsed="false" customWidth="true" hidden="false" outlineLevel="0" max="12" min="12" style="71" width="12.14"/>
    <col collapsed="false" customWidth="true" hidden="false" outlineLevel="0" max="13" min="13" style="71" width="9.85"/>
    <col collapsed="false" customWidth="true" hidden="false" outlineLevel="0" max="14" min="14" style="71" width="18.43"/>
    <col collapsed="false" customWidth="true" hidden="false" outlineLevel="0" max="15" min="15" style="71" width="17.85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45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" hidden="false" customHeight="false" outlineLevel="0" collapsed="false">
      <c r="A2" s="82" t="n">
        <v>45078</v>
      </c>
      <c r="B2" s="82" t="s">
        <v>36</v>
      </c>
      <c r="C2" s="83"/>
      <c r="D2" s="83"/>
      <c r="E2" s="83"/>
      <c r="F2" s="83"/>
      <c r="G2" s="84"/>
      <c r="H2" s="85"/>
      <c r="I2" s="86"/>
      <c r="J2" s="87"/>
      <c r="K2" s="88"/>
      <c r="L2" s="89"/>
      <c r="M2" s="82" t="s">
        <v>37</v>
      </c>
      <c r="N2" s="83"/>
      <c r="O2" s="83"/>
      <c r="P2" s="83"/>
      <c r="Q2" s="84"/>
      <c r="R2" s="85"/>
      <c r="S2" s="86"/>
    </row>
    <row r="3" customFormat="false" ht="15" hidden="false" customHeight="false" outlineLevel="0" collapsed="false">
      <c r="A3" s="90" t="n">
        <v>0.423611111111111</v>
      </c>
      <c r="B3" s="91" t="s">
        <v>38</v>
      </c>
      <c r="C3" s="76" t="n">
        <v>47699560</v>
      </c>
      <c r="D3" s="76" t="n">
        <v>47710600</v>
      </c>
      <c r="E3" s="92" t="n">
        <f aca="false">SUM(D3-C3)</f>
        <v>11040</v>
      </c>
      <c r="F3" s="93" t="n">
        <v>11020</v>
      </c>
      <c r="G3" s="41" t="n">
        <v>0.8405</v>
      </c>
      <c r="H3" s="94" t="n">
        <f aca="false">SUM(G3*F3)</f>
        <v>9262.31</v>
      </c>
      <c r="I3" s="29" t="n">
        <v>237</v>
      </c>
      <c r="J3" s="29" t="n">
        <v>6192</v>
      </c>
      <c r="K3" s="95" t="s">
        <v>18</v>
      </c>
      <c r="L3" s="96" t="n">
        <v>0.416666666666667</v>
      </c>
      <c r="M3" s="97" t="s">
        <v>39</v>
      </c>
      <c r="N3" s="98" t="n">
        <v>7618780</v>
      </c>
      <c r="O3" s="99" t="n">
        <v>7618910</v>
      </c>
      <c r="P3" s="100" t="n">
        <f aca="false">SUM(O3-N3)</f>
        <v>130</v>
      </c>
      <c r="Q3" s="101" t="n">
        <v>0.8402</v>
      </c>
      <c r="R3" s="102" t="n">
        <f aca="false">SUM(Q3*P3)</f>
        <v>109.226</v>
      </c>
      <c r="S3" s="103" t="s">
        <v>40</v>
      </c>
      <c r="V3" s="0" t="s">
        <v>41</v>
      </c>
    </row>
    <row r="4" customFormat="false" ht="15" hidden="false" customHeight="false" outlineLevel="0" collapsed="false">
      <c r="A4" s="90" t="n">
        <v>0.440972222222222</v>
      </c>
      <c r="B4" s="91" t="s">
        <v>38</v>
      </c>
      <c r="C4" s="98" t="n">
        <f aca="false">SUM(D3)</f>
        <v>47710600</v>
      </c>
      <c r="D4" s="76" t="n">
        <v>47719770</v>
      </c>
      <c r="E4" s="92" t="n">
        <f aca="false">SUM(D4-C4)</f>
        <v>9170</v>
      </c>
      <c r="F4" s="104" t="n">
        <v>9161</v>
      </c>
      <c r="G4" s="41" t="n">
        <v>0.8405</v>
      </c>
      <c r="H4" s="94" t="n">
        <f aca="false">SUM(G4*F4)</f>
        <v>7699.8205</v>
      </c>
      <c r="I4" s="29" t="n">
        <v>787</v>
      </c>
      <c r="J4" s="29" t="n">
        <v>6195</v>
      </c>
      <c r="K4" s="95" t="s">
        <v>18</v>
      </c>
      <c r="L4" s="96" t="n">
        <v>0.475694444444444</v>
      </c>
      <c r="M4" s="105" t="s">
        <v>38</v>
      </c>
      <c r="N4" s="100" t="n">
        <f aca="false">SUM(O3)</f>
        <v>7618910</v>
      </c>
      <c r="O4" s="99" t="n">
        <v>7619120</v>
      </c>
      <c r="P4" s="100" t="n">
        <f aca="false">SUM(O4-N4)</f>
        <v>210</v>
      </c>
      <c r="Q4" s="106" t="n">
        <v>0.8405</v>
      </c>
      <c r="R4" s="102" t="n">
        <f aca="false">SUM(Q4*P4)</f>
        <v>176.505</v>
      </c>
      <c r="S4" s="103" t="s">
        <v>42</v>
      </c>
    </row>
    <row r="5" customFormat="false" ht="15" hidden="false" customHeight="false" outlineLevel="0" collapsed="false">
      <c r="A5" s="90" t="n">
        <v>0.440972222222222</v>
      </c>
      <c r="B5" s="91" t="s">
        <v>38</v>
      </c>
      <c r="C5" s="98" t="n">
        <f aca="false">SUM(D4)</f>
        <v>47719770</v>
      </c>
      <c r="D5" s="76" t="n">
        <v>47728860</v>
      </c>
      <c r="E5" s="92" t="n">
        <f aca="false">SUM(D5-C5)</f>
        <v>9090</v>
      </c>
      <c r="F5" s="104" t="n">
        <v>9080</v>
      </c>
      <c r="G5" s="41" t="n">
        <v>0.8405</v>
      </c>
      <c r="H5" s="94" t="n">
        <f aca="false">SUM(G5*F5)</f>
        <v>7631.74</v>
      </c>
      <c r="I5" s="29" t="n">
        <v>787</v>
      </c>
      <c r="J5" s="29" t="n">
        <v>6196</v>
      </c>
      <c r="K5" s="95" t="s">
        <v>18</v>
      </c>
      <c r="L5" s="96" t="n">
        <v>0.520833333333333</v>
      </c>
      <c r="M5" s="105" t="s">
        <v>39</v>
      </c>
      <c r="N5" s="100" t="n">
        <f aca="false">SUM(O4)</f>
        <v>7619120</v>
      </c>
      <c r="O5" s="99" t="n">
        <v>7619430</v>
      </c>
      <c r="P5" s="100" t="n">
        <f aca="false">SUM(O5-N5)</f>
        <v>310</v>
      </c>
      <c r="Q5" s="101" t="n">
        <v>0.8412</v>
      </c>
      <c r="R5" s="102" t="n">
        <f aca="false">SUM(Q5*P5)</f>
        <v>260.772</v>
      </c>
      <c r="S5" s="103" t="s">
        <v>43</v>
      </c>
    </row>
    <row r="6" customFormat="false" ht="15" hidden="false" customHeight="false" outlineLevel="0" collapsed="false">
      <c r="A6" s="90" t="n">
        <v>0.454861111111111</v>
      </c>
      <c r="B6" s="91" t="s">
        <v>44</v>
      </c>
      <c r="C6" s="98" t="n">
        <f aca="false">SUM(D5)</f>
        <v>47728860</v>
      </c>
      <c r="D6" s="76" t="n">
        <v>47745890</v>
      </c>
      <c r="E6" s="92" t="n">
        <f aca="false">SUM(D6-C6)</f>
        <v>17030</v>
      </c>
      <c r="F6" s="107" t="n">
        <v>17019</v>
      </c>
      <c r="G6" s="41" t="n">
        <v>0.8382</v>
      </c>
      <c r="H6" s="94" t="n">
        <f aca="false">SUM(G6*F6)</f>
        <v>14265.3258</v>
      </c>
      <c r="I6" s="29" t="n">
        <v>251</v>
      </c>
      <c r="J6" s="29" t="n">
        <v>6197</v>
      </c>
      <c r="K6" s="95" t="s">
        <v>18</v>
      </c>
      <c r="L6" s="96" t="n">
        <v>0.0416666666666667</v>
      </c>
      <c r="M6" s="105" t="s">
        <v>38</v>
      </c>
      <c r="N6" s="100" t="n">
        <f aca="false">SUM(O5)</f>
        <v>7619430</v>
      </c>
      <c r="O6" s="99" t="n">
        <v>7619650</v>
      </c>
      <c r="P6" s="100" t="n">
        <f aca="false">SUM(O6-N6)</f>
        <v>220</v>
      </c>
      <c r="Q6" s="41" t="n">
        <v>0.8375</v>
      </c>
      <c r="R6" s="102" t="n">
        <f aca="false">SUM(Q6*P6)</f>
        <v>184.25</v>
      </c>
      <c r="S6" s="103" t="s">
        <v>45</v>
      </c>
    </row>
    <row r="7" customFormat="false" ht="15" hidden="false" customHeight="false" outlineLevel="0" collapsed="false">
      <c r="A7" s="90" t="n">
        <v>0.479166666666667</v>
      </c>
      <c r="B7" s="91" t="s">
        <v>44</v>
      </c>
      <c r="C7" s="98" t="n">
        <f aca="false">SUM(D6)</f>
        <v>47745890</v>
      </c>
      <c r="D7" s="76" t="n">
        <v>47754140</v>
      </c>
      <c r="E7" s="92" t="n">
        <f aca="false">SUM(D7-C7)</f>
        <v>8250</v>
      </c>
      <c r="F7" s="93" t="n">
        <f aca="false">SUM(D7-C7)</f>
        <v>8250</v>
      </c>
      <c r="G7" s="41" t="n">
        <v>0.8382</v>
      </c>
      <c r="H7" s="94" t="n">
        <f aca="false">SUM(G7*F7)</f>
        <v>6915.15</v>
      </c>
      <c r="I7" s="29" t="n">
        <v>248</v>
      </c>
      <c r="J7" s="29" t="n">
        <v>6200</v>
      </c>
      <c r="K7" s="95" t="s">
        <v>18</v>
      </c>
      <c r="L7" s="96" t="n">
        <v>0.0625</v>
      </c>
      <c r="M7" s="105" t="s">
        <v>46</v>
      </c>
      <c r="N7" s="100" t="n">
        <f aca="false">SUM(O6)</f>
        <v>7619650</v>
      </c>
      <c r="O7" s="99" t="n">
        <v>7619770</v>
      </c>
      <c r="P7" s="100" t="n">
        <f aca="false">SUM(O7-N7)</f>
        <v>120</v>
      </c>
      <c r="Q7" s="41" t="n">
        <v>0.8385</v>
      </c>
      <c r="R7" s="102" t="n">
        <f aca="false">SUM(Q7*P7)</f>
        <v>100.62</v>
      </c>
      <c r="S7" s="103" t="s">
        <v>47</v>
      </c>
    </row>
    <row r="8" customFormat="false" ht="15" hidden="false" customHeight="false" outlineLevel="0" collapsed="false">
      <c r="A8" s="90" t="n">
        <v>0.493055555555556</v>
      </c>
      <c r="B8" s="91" t="s">
        <v>44</v>
      </c>
      <c r="C8" s="98" t="n">
        <f aca="false">SUM(D7)</f>
        <v>47754140</v>
      </c>
      <c r="D8" s="76" t="n">
        <v>47755140</v>
      </c>
      <c r="E8" s="92" t="n">
        <f aca="false">SUM(D8-C8)</f>
        <v>1000</v>
      </c>
      <c r="F8" s="93" t="n">
        <f aca="false">SUM(D8-C8)</f>
        <v>1000</v>
      </c>
      <c r="G8" s="41" t="n">
        <v>0.8382</v>
      </c>
      <c r="H8" s="94" t="n">
        <f aca="false">SUM(G8*F8)</f>
        <v>838.2</v>
      </c>
      <c r="I8" s="29" t="n">
        <v>237</v>
      </c>
      <c r="J8" s="29" t="n">
        <v>6201</v>
      </c>
      <c r="K8" s="95" t="s">
        <v>18</v>
      </c>
      <c r="L8" s="96"/>
      <c r="M8" s="97"/>
      <c r="N8" s="100" t="n">
        <f aca="false">SUM(O7)</f>
        <v>7619770</v>
      </c>
      <c r="O8" s="99"/>
      <c r="P8" s="100" t="n">
        <f aca="false">SUM(O8-N8)</f>
        <v>-7619770</v>
      </c>
      <c r="Q8" s="101"/>
      <c r="R8" s="102" t="n">
        <f aca="false">SUM(Q8*P8)</f>
        <v>0</v>
      </c>
      <c r="S8" s="1"/>
    </row>
    <row r="9" customFormat="false" ht="15" hidden="false" customHeight="false" outlineLevel="0" collapsed="false">
      <c r="A9" s="90" t="n">
        <v>0.5</v>
      </c>
      <c r="B9" s="91" t="s">
        <v>39</v>
      </c>
      <c r="C9" s="98" t="n">
        <f aca="false">SUM(D8)</f>
        <v>47755140</v>
      </c>
      <c r="D9" s="76" t="n">
        <v>47773410</v>
      </c>
      <c r="E9" s="92" t="n">
        <f aca="false">SUM(D9-C9)</f>
        <v>18270</v>
      </c>
      <c r="F9" s="104" t="n">
        <v>18241</v>
      </c>
      <c r="G9" s="41" t="n">
        <v>0.8412</v>
      </c>
      <c r="H9" s="94" t="n">
        <f aca="false">SUM(G9*F9)</f>
        <v>15344.3292</v>
      </c>
      <c r="I9" s="29" t="n">
        <v>787</v>
      </c>
      <c r="J9" s="29" t="n">
        <v>6202</v>
      </c>
      <c r="K9" s="95" t="s">
        <v>18</v>
      </c>
      <c r="L9" s="96"/>
      <c r="M9" s="97"/>
      <c r="N9" s="100" t="n">
        <f aca="false">SUM(O8)</f>
        <v>0</v>
      </c>
      <c r="O9" s="99"/>
      <c r="P9" s="100" t="n">
        <f aca="false">SUM(O9-N9)</f>
        <v>0</v>
      </c>
      <c r="Q9" s="101"/>
      <c r="R9" s="102" t="n">
        <f aca="false">SUM(Q9*P9)</f>
        <v>0</v>
      </c>
      <c r="S9" s="1"/>
    </row>
    <row r="10" customFormat="false" ht="15" hidden="false" customHeight="false" outlineLevel="0" collapsed="false">
      <c r="A10" s="90" t="n">
        <v>0.642361111111111</v>
      </c>
      <c r="B10" s="91" t="s">
        <v>48</v>
      </c>
      <c r="C10" s="98" t="n">
        <f aca="false">SUM(D9)</f>
        <v>47773410</v>
      </c>
      <c r="D10" s="76" t="n">
        <v>47782570</v>
      </c>
      <c r="E10" s="92" t="n">
        <f aca="false">SUM(D10-C10)</f>
        <v>9160</v>
      </c>
      <c r="F10" s="104" t="n">
        <v>9161</v>
      </c>
      <c r="G10" s="41" t="n">
        <v>0.8347</v>
      </c>
      <c r="H10" s="94" t="n">
        <f aca="false">SUM(G10*F10)</f>
        <v>7646.6867</v>
      </c>
      <c r="I10" s="29" t="n">
        <v>787</v>
      </c>
      <c r="J10" s="29" t="n">
        <v>6205</v>
      </c>
      <c r="K10" s="95" t="s">
        <v>18</v>
      </c>
      <c r="L10" s="96"/>
      <c r="M10" s="97"/>
      <c r="N10" s="100" t="n">
        <f aca="false">SUM(O9)</f>
        <v>0</v>
      </c>
      <c r="O10" s="99"/>
      <c r="P10" s="100" t="n">
        <f aca="false">SUM(O10-N10)</f>
        <v>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0.642361111111111</v>
      </c>
      <c r="B11" s="91" t="s">
        <v>48</v>
      </c>
      <c r="C11" s="98" t="n">
        <f aca="false">SUM(D10)</f>
        <v>47782570</v>
      </c>
      <c r="D11" s="76" t="n">
        <v>47791650</v>
      </c>
      <c r="E11" s="92" t="n">
        <f aca="false">SUM(D11-C11)</f>
        <v>9080</v>
      </c>
      <c r="F11" s="104" t="n">
        <v>9080</v>
      </c>
      <c r="G11" s="41" t="n">
        <v>0.8347</v>
      </c>
      <c r="H11" s="94" t="n">
        <f aca="false">SUM(G11*F11)</f>
        <v>7579.076</v>
      </c>
      <c r="I11" s="29" t="n">
        <v>787</v>
      </c>
      <c r="J11" s="29" t="n">
        <v>6206</v>
      </c>
      <c r="K11" s="95" t="s">
        <v>18</v>
      </c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0.694444444444444</v>
      </c>
      <c r="B12" s="91" t="s">
        <v>48</v>
      </c>
      <c r="C12" s="98" t="n">
        <f aca="false">SUM(D11)</f>
        <v>47791650</v>
      </c>
      <c r="D12" s="76" t="n">
        <v>47800810</v>
      </c>
      <c r="E12" s="92" t="n">
        <f aca="false">SUM(D12-C12)</f>
        <v>9160</v>
      </c>
      <c r="F12" s="104" t="n">
        <v>9161</v>
      </c>
      <c r="G12" s="41" t="n">
        <v>0.8352</v>
      </c>
      <c r="H12" s="94" t="n">
        <f aca="false">SUM(G12*F12)</f>
        <v>7651.2672</v>
      </c>
      <c r="I12" s="29" t="n">
        <v>787</v>
      </c>
      <c r="J12" s="29" t="n">
        <v>6207</v>
      </c>
      <c r="K12" s="95" t="s">
        <v>18</v>
      </c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0.694444444444444</v>
      </c>
      <c r="B13" s="91" t="s">
        <v>44</v>
      </c>
      <c r="C13" s="98" t="n">
        <f aca="false">SUM(D12)</f>
        <v>47800810</v>
      </c>
      <c r="D13" s="76" t="n">
        <v>47809900</v>
      </c>
      <c r="E13" s="92" t="n">
        <f aca="false">SUM(D13-C13)</f>
        <v>9090</v>
      </c>
      <c r="F13" s="104" t="n">
        <v>9080</v>
      </c>
      <c r="G13" s="41" t="n">
        <v>0.8352</v>
      </c>
      <c r="H13" s="94" t="n">
        <f aca="false">SUM(G13*F13)</f>
        <v>7583.616</v>
      </c>
      <c r="I13" s="29" t="n">
        <v>787</v>
      </c>
      <c r="J13" s="29" t="n">
        <v>6207</v>
      </c>
      <c r="K13" s="95" t="s">
        <v>18</v>
      </c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0.746527777777778</v>
      </c>
      <c r="B14" s="91" t="s">
        <v>38</v>
      </c>
      <c r="C14" s="98" t="n">
        <f aca="false">SUM(D13)</f>
        <v>47809900</v>
      </c>
      <c r="D14" s="76" t="n">
        <v>47828140</v>
      </c>
      <c r="E14" s="92" t="n">
        <f aca="false">SUM(D14-C14)</f>
        <v>18240</v>
      </c>
      <c r="F14" s="104" t="n">
        <v>18241</v>
      </c>
      <c r="G14" s="41" t="n">
        <v>0.8365</v>
      </c>
      <c r="H14" s="94" t="n">
        <f aca="false">SUM(G14*F14)</f>
        <v>15258.5965</v>
      </c>
      <c r="I14" s="29" t="n">
        <v>787</v>
      </c>
      <c r="J14" s="29" t="n">
        <v>6209</v>
      </c>
      <c r="K14" s="95" t="s">
        <v>18</v>
      </c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0.8125</v>
      </c>
      <c r="B15" s="91" t="s">
        <v>38</v>
      </c>
      <c r="C15" s="98" t="n">
        <f aca="false">SUM(D14)</f>
        <v>47828140</v>
      </c>
      <c r="D15" s="76" t="n">
        <v>47846380</v>
      </c>
      <c r="E15" s="92" t="n">
        <f aca="false">SUM(D15-C15)</f>
        <v>18240</v>
      </c>
      <c r="F15" s="104" t="n">
        <v>18241</v>
      </c>
      <c r="G15" s="41" t="n">
        <v>0.8365</v>
      </c>
      <c r="H15" s="94" t="n">
        <f aca="false">SUM(G15*F15)</f>
        <v>15258.5965</v>
      </c>
      <c r="I15" s="29" t="n">
        <v>787</v>
      </c>
      <c r="J15" s="29" t="n">
        <v>6213</v>
      </c>
      <c r="K15" s="95" t="s">
        <v>18</v>
      </c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0.888888888888889</v>
      </c>
      <c r="B16" s="91" t="s">
        <v>46</v>
      </c>
      <c r="C16" s="98" t="n">
        <f aca="false">SUM(D15)</f>
        <v>47846380</v>
      </c>
      <c r="D16" s="76" t="n">
        <v>47854850</v>
      </c>
      <c r="E16" s="92" t="n">
        <f aca="false">SUM(D16-C16)</f>
        <v>8470</v>
      </c>
      <c r="F16" s="93" t="n">
        <f aca="false">SUM(D16-C16)</f>
        <v>8470</v>
      </c>
      <c r="G16" s="41" t="n">
        <v>0.8335</v>
      </c>
      <c r="H16" s="94" t="n">
        <f aca="false">SUM(G16*F16)</f>
        <v>7059.745</v>
      </c>
      <c r="I16" s="29" t="n">
        <v>237</v>
      </c>
      <c r="J16" s="29" t="n">
        <v>6215</v>
      </c>
      <c r="K16" s="95" t="s">
        <v>18</v>
      </c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0.902777777777778</v>
      </c>
      <c r="B17" s="91" t="s">
        <v>46</v>
      </c>
      <c r="C17" s="98" t="n">
        <f aca="false">SUM(D16)</f>
        <v>47854850</v>
      </c>
      <c r="D17" s="76" t="n">
        <v>47864830</v>
      </c>
      <c r="E17" s="92" t="n">
        <f aca="false">SUM(D17-C17)</f>
        <v>9980</v>
      </c>
      <c r="F17" s="107" t="n">
        <v>9986</v>
      </c>
      <c r="G17" s="41" t="n">
        <v>0.8335</v>
      </c>
      <c r="H17" s="94" t="n">
        <f aca="false">SUM(G17*F17)</f>
        <v>8323.331</v>
      </c>
      <c r="I17" s="29" t="n">
        <v>251</v>
      </c>
      <c r="J17" s="29" t="n">
        <v>6217</v>
      </c>
      <c r="K17" s="95" t="s">
        <v>18</v>
      </c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0.913194444444444</v>
      </c>
      <c r="B18" s="91" t="s">
        <v>46</v>
      </c>
      <c r="C18" s="98" t="n">
        <f aca="false">SUM(D17)</f>
        <v>47864830</v>
      </c>
      <c r="D18" s="76" t="n">
        <v>47873890</v>
      </c>
      <c r="E18" s="92" t="n">
        <f aca="false">SUM(D18-C18)</f>
        <v>9060</v>
      </c>
      <c r="F18" s="104" t="n">
        <v>9161</v>
      </c>
      <c r="G18" s="41" t="n">
        <v>0.8348</v>
      </c>
      <c r="H18" s="94" t="n">
        <f aca="false">SUM(G18*F18)</f>
        <v>7647.6028</v>
      </c>
      <c r="I18" s="29" t="n">
        <v>787</v>
      </c>
      <c r="J18" s="29" t="n">
        <v>6218</v>
      </c>
      <c r="K18" s="95" t="s">
        <v>18</v>
      </c>
      <c r="L18" s="96" t="n">
        <v>0.597222222222222</v>
      </c>
      <c r="M18" s="105" t="s">
        <v>50</v>
      </c>
      <c r="N18" s="108" t="n">
        <v>3562620</v>
      </c>
      <c r="O18" s="99" t="n">
        <v>3562720</v>
      </c>
      <c r="P18" s="109" t="n">
        <f aca="false">SUM(O18-N18)</f>
        <v>100</v>
      </c>
      <c r="Q18" s="41" t="n">
        <v>0.8424</v>
      </c>
      <c r="R18" s="94" t="n">
        <f aca="false">SUM(Q18*P18)</f>
        <v>84.24</v>
      </c>
      <c r="S18" s="103" t="s">
        <v>51</v>
      </c>
      <c r="T18" s="0" t="s">
        <v>41</v>
      </c>
    </row>
    <row r="19" customFormat="false" ht="15" hidden="false" customHeight="false" outlineLevel="0" collapsed="false">
      <c r="A19" s="90" t="n">
        <v>0.913194444444444</v>
      </c>
      <c r="B19" s="91" t="s">
        <v>46</v>
      </c>
      <c r="C19" s="98" t="n">
        <f aca="false">SUM(D18)</f>
        <v>47873890</v>
      </c>
      <c r="D19" s="76" t="n">
        <v>47883080</v>
      </c>
      <c r="E19" s="92" t="n">
        <f aca="false">SUM(D19-C19)</f>
        <v>9190</v>
      </c>
      <c r="F19" s="104" t="n">
        <v>9080</v>
      </c>
      <c r="G19" s="41" t="n">
        <v>0.8348</v>
      </c>
      <c r="H19" s="94" t="n">
        <f aca="false">SUM(G19*F19)</f>
        <v>7579.984</v>
      </c>
      <c r="I19" s="29" t="n">
        <v>787</v>
      </c>
      <c r="J19" s="29" t="n">
        <v>6219</v>
      </c>
      <c r="K19" s="95" t="s">
        <v>18</v>
      </c>
      <c r="L19" s="96" t="n">
        <v>0.833333333333333</v>
      </c>
      <c r="M19" s="105" t="s">
        <v>52</v>
      </c>
      <c r="N19" s="108" t="n">
        <v>3636360</v>
      </c>
      <c r="O19" s="99" t="n">
        <v>3636470</v>
      </c>
      <c r="P19" s="109" t="n">
        <f aca="false">SUM(O19-N19)</f>
        <v>110</v>
      </c>
      <c r="Q19" s="41" t="n">
        <v>0.8385</v>
      </c>
      <c r="R19" s="94" t="n">
        <f aca="false">SUM(Q19*P19)</f>
        <v>92.235</v>
      </c>
      <c r="S19" s="103" t="s">
        <v>53</v>
      </c>
    </row>
    <row r="20" customFormat="false" ht="15" hidden="false" customHeight="false" outlineLevel="0" collapsed="false">
      <c r="A20" s="90" t="n">
        <v>0.96875</v>
      </c>
      <c r="B20" s="91" t="s">
        <v>46</v>
      </c>
      <c r="C20" s="98" t="n">
        <f aca="false">SUM(D19)</f>
        <v>47883080</v>
      </c>
      <c r="D20" s="76" t="n">
        <v>47892240</v>
      </c>
      <c r="E20" s="92" t="n">
        <f aca="false">SUM(D20-C20)</f>
        <v>9160</v>
      </c>
      <c r="F20" s="104" t="n">
        <v>9161</v>
      </c>
      <c r="G20" s="41" t="n">
        <v>0.8348</v>
      </c>
      <c r="H20" s="94" t="n">
        <f aca="false">SUM(G20*F20)</f>
        <v>7647.6028</v>
      </c>
      <c r="I20" s="1" t="n">
        <v>787</v>
      </c>
      <c r="J20" s="29" t="n">
        <v>6223</v>
      </c>
      <c r="K20" s="95" t="s">
        <v>18</v>
      </c>
      <c r="L20" s="96"/>
      <c r="M20" s="105"/>
      <c r="N20" s="98" t="n">
        <f aca="false">SUM(O19)</f>
        <v>3636470</v>
      </c>
      <c r="O20" s="99"/>
      <c r="P20" s="109" t="n">
        <f aca="false">SUM(O20-N20)</f>
        <v>-3636470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 t="n">
        <v>0.975694444444444</v>
      </c>
      <c r="B21" s="91" t="s">
        <v>46</v>
      </c>
      <c r="C21" s="98" t="n">
        <f aca="false">SUM(D20)</f>
        <v>47892240</v>
      </c>
      <c r="D21" s="76" t="n">
        <v>47909260</v>
      </c>
      <c r="E21" s="92" t="n">
        <f aca="false">SUM(D21-C21)</f>
        <v>17020</v>
      </c>
      <c r="F21" s="107" t="n">
        <v>17019</v>
      </c>
      <c r="G21" s="41" t="n">
        <v>0.8348</v>
      </c>
      <c r="H21" s="94" t="n">
        <f aca="false">SUM(G21*F21)</f>
        <v>14207.4612</v>
      </c>
      <c r="I21" s="1" t="n">
        <v>251</v>
      </c>
      <c r="J21" s="29" t="n">
        <v>6224</v>
      </c>
      <c r="K21" s="95" t="s">
        <v>18</v>
      </c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 t="n">
        <v>0.00694444444444444</v>
      </c>
      <c r="B22" s="91" t="s">
        <v>38</v>
      </c>
      <c r="C22" s="98" t="n">
        <f aca="false">SUM(D21)</f>
        <v>47909260</v>
      </c>
      <c r="D22" s="76" t="n">
        <v>47927500</v>
      </c>
      <c r="E22" s="92" t="n">
        <f aca="false">SUM(D22-C22)</f>
        <v>18240</v>
      </c>
      <c r="F22" s="104" t="n">
        <v>18241</v>
      </c>
      <c r="G22" s="41" t="n">
        <v>0.8375</v>
      </c>
      <c r="H22" s="94" t="n">
        <f aca="false">SUM(G22*F22)</f>
        <v>15276.8375</v>
      </c>
      <c r="I22" s="1" t="n">
        <v>787</v>
      </c>
      <c r="J22" s="29" t="n">
        <v>6225</v>
      </c>
      <c r="K22" s="95" t="s">
        <v>18</v>
      </c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false" customHeight="false" outlineLevel="0" collapsed="false">
      <c r="A23" s="90" t="n">
        <v>0.229166666666667</v>
      </c>
      <c r="B23" s="91" t="s">
        <v>46</v>
      </c>
      <c r="C23" s="98" t="n">
        <f aca="false">SUM(D22)</f>
        <v>47927500</v>
      </c>
      <c r="D23" s="76" t="n">
        <v>47945760</v>
      </c>
      <c r="E23" s="92" t="n">
        <f aca="false">SUM(D23-C23)</f>
        <v>18260</v>
      </c>
      <c r="F23" s="104" t="n">
        <v>18241</v>
      </c>
      <c r="G23" s="41" t="n">
        <v>0.8375</v>
      </c>
      <c r="H23" s="94" t="n">
        <f aca="false">SUM(G23*F23)</f>
        <v>15276.8375</v>
      </c>
      <c r="I23" s="1" t="n">
        <v>787</v>
      </c>
      <c r="J23" s="29" t="n">
        <v>6229</v>
      </c>
      <c r="K23" s="95" t="s">
        <v>18</v>
      </c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" hidden="false" customHeight="false" outlineLevel="0" collapsed="false">
      <c r="A24" s="90" t="n">
        <v>0.274305555555555</v>
      </c>
      <c r="B24" s="91" t="s">
        <v>46</v>
      </c>
      <c r="C24" s="98" t="n">
        <f aca="false">SUM(D23)</f>
        <v>47945760</v>
      </c>
      <c r="D24" s="76" t="n">
        <v>47954920</v>
      </c>
      <c r="E24" s="92" t="n">
        <f aca="false">SUM(D24-C24)</f>
        <v>9160</v>
      </c>
      <c r="F24" s="104" t="n">
        <v>9161</v>
      </c>
      <c r="G24" s="41" t="n">
        <v>0.8387</v>
      </c>
      <c r="H24" s="94" t="n">
        <f aca="false">SUM(G24*F24)</f>
        <v>7683.3307</v>
      </c>
      <c r="I24" s="1" t="n">
        <v>787</v>
      </c>
      <c r="J24" s="29" t="n">
        <v>6231</v>
      </c>
      <c r="K24" s="95" t="s">
        <v>18</v>
      </c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" hidden="false" customHeight="false" outlineLevel="0" collapsed="false">
      <c r="A25" s="90" t="n">
        <v>0.274305555555555</v>
      </c>
      <c r="B25" s="91" t="s">
        <v>54</v>
      </c>
      <c r="C25" s="98" t="n">
        <f aca="false">SUM(D24)</f>
        <v>47954920</v>
      </c>
      <c r="D25" s="76" t="n">
        <v>47964000</v>
      </c>
      <c r="E25" s="92" t="n">
        <f aca="false">SUM(D25-C25)</f>
        <v>9080</v>
      </c>
      <c r="F25" s="104" t="n">
        <v>9080</v>
      </c>
      <c r="G25" s="41" t="n">
        <v>0.8387</v>
      </c>
      <c r="H25" s="94" t="n">
        <f aca="false">SUM(G25*F25)</f>
        <v>7615.396</v>
      </c>
      <c r="I25" s="1" t="n">
        <v>787</v>
      </c>
      <c r="J25" s="29" t="n">
        <v>6231</v>
      </c>
      <c r="K25" s="95" t="s">
        <v>18</v>
      </c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" hidden="false" customHeight="false" outlineLevel="0" collapsed="false">
      <c r="A26" s="90" t="n">
        <v>0.305555555555555</v>
      </c>
      <c r="B26" s="91" t="s">
        <v>54</v>
      </c>
      <c r="C26" s="98" t="n">
        <f aca="false">SUM(D25)</f>
        <v>47964000</v>
      </c>
      <c r="D26" s="76" t="n">
        <v>47981030</v>
      </c>
      <c r="E26" s="92" t="n">
        <f aca="false">SUM(D26-C26)</f>
        <v>17030</v>
      </c>
      <c r="F26" s="107" t="n">
        <v>17019</v>
      </c>
      <c r="G26" s="41" t="n">
        <v>0.8395</v>
      </c>
      <c r="H26" s="94" t="n">
        <f aca="false">SUM(G26*F26)</f>
        <v>14287.4505</v>
      </c>
      <c r="I26" s="1" t="n">
        <v>251</v>
      </c>
      <c r="J26" s="29" t="n">
        <v>6232</v>
      </c>
      <c r="K26" s="95" t="s">
        <v>18</v>
      </c>
      <c r="L26" s="96"/>
      <c r="M26" s="97"/>
      <c r="N26" s="98" t="n">
        <f aca="false">SUM(O25)</f>
        <v>0</v>
      </c>
      <c r="O26" s="99"/>
      <c r="P26" s="109" t="n">
        <f aca="false">SUM(O26-N26)</f>
        <v>0</v>
      </c>
      <c r="Q26" s="101"/>
      <c r="R26" s="94" t="n">
        <f aca="false">SUM(Q26*P26)</f>
        <v>0</v>
      </c>
      <c r="S26" s="103"/>
    </row>
    <row r="27" customFormat="false" ht="15" hidden="false" customHeight="false" outlineLevel="0" collapsed="false">
      <c r="A27" s="90" t="n">
        <v>0.319444444444444</v>
      </c>
      <c r="B27" s="91" t="s">
        <v>54</v>
      </c>
      <c r="C27" s="98" t="n">
        <f aca="false">SUM(D26)</f>
        <v>47981030</v>
      </c>
      <c r="D27" s="76" t="n">
        <v>47999270</v>
      </c>
      <c r="E27" s="92" t="n">
        <f aca="false">SUM(D27-C27)</f>
        <v>18240</v>
      </c>
      <c r="F27" s="104" t="n">
        <v>18241</v>
      </c>
      <c r="G27" s="41" t="n">
        <v>0.8395</v>
      </c>
      <c r="H27" s="94" t="n">
        <f aca="false">SUM(G27*F27)</f>
        <v>15313.3195</v>
      </c>
      <c r="I27" s="1" t="n">
        <v>787</v>
      </c>
      <c r="J27" s="29" t="n">
        <v>6233</v>
      </c>
      <c r="K27" s="95" t="s">
        <v>18</v>
      </c>
      <c r="L27" s="96"/>
      <c r="M27" s="97"/>
      <c r="N27" s="98" t="n">
        <f aca="false">SUM(O26)</f>
        <v>0</v>
      </c>
      <c r="O27" s="99"/>
      <c r="P27" s="109" t="n">
        <f aca="false">SUM(O27-N27)</f>
        <v>0</v>
      </c>
      <c r="Q27" s="101"/>
      <c r="R27" s="94" t="n">
        <f aca="false">SUM(Q27*P27)</f>
        <v>0</v>
      </c>
      <c r="S27" s="1"/>
    </row>
    <row r="28" customFormat="false" ht="15" hidden="false" customHeight="false" outlineLevel="0" collapsed="false">
      <c r="A28" s="90"/>
      <c r="B28" s="91"/>
      <c r="C28" s="98"/>
      <c r="D28" s="76"/>
      <c r="E28" s="92" t="n">
        <f aca="false">SUM(D28-C28)</f>
        <v>0</v>
      </c>
      <c r="F28" s="109" t="n">
        <f aca="false">SUM(D28-C28)</f>
        <v>0</v>
      </c>
      <c r="G28" s="41"/>
      <c r="H28" s="94" t="n">
        <f aca="false">SUM(G28*F28)</f>
        <v>0</v>
      </c>
      <c r="I28" s="1"/>
      <c r="J28" s="29"/>
      <c r="K28" s="95"/>
      <c r="L28" s="96"/>
      <c r="M28" s="97"/>
      <c r="N28" s="98" t="n">
        <f aca="false">SUM(O27)</f>
        <v>0</v>
      </c>
      <c r="O28" s="99"/>
      <c r="P28" s="109" t="n">
        <f aca="false">SUM(O28-N28)</f>
        <v>0</v>
      </c>
      <c r="Q28" s="101"/>
      <c r="R28" s="94" t="n">
        <f aca="false">SUM(Q28*P28)</f>
        <v>0</v>
      </c>
      <c r="S28" s="1"/>
    </row>
    <row r="29" customFormat="false" ht="15" hidden="false" customHeight="false" outlineLevel="0" collapsed="false">
      <c r="A29" s="90"/>
      <c r="B29" s="91"/>
      <c r="C29" s="98" t="n">
        <f aca="false">SUM(D28)</f>
        <v>0</v>
      </c>
      <c r="D29" s="76"/>
      <c r="E29" s="92" t="n">
        <f aca="false">SUM(D29-C29)</f>
        <v>0</v>
      </c>
      <c r="F29" s="109" t="n">
        <f aca="false">SUM(D29-C29)</f>
        <v>0</v>
      </c>
      <c r="G29" s="41"/>
      <c r="H29" s="94" t="n">
        <f aca="false">SUM(G29*F29)</f>
        <v>0</v>
      </c>
      <c r="I29" s="1"/>
      <c r="J29" s="1"/>
      <c r="K29" s="95"/>
      <c r="L29" s="96"/>
      <c r="M29" s="97"/>
      <c r="N29" s="98" t="n">
        <f aca="false">SUM(O28)</f>
        <v>0</v>
      </c>
      <c r="O29" s="99"/>
      <c r="P29" s="109" t="n">
        <f aca="false">SUM(O29-N29)</f>
        <v>0</v>
      </c>
      <c r="Q29" s="101"/>
      <c r="R29" s="94" t="n">
        <f aca="false">SUM(Q29*P29)</f>
        <v>0</v>
      </c>
      <c r="S29" s="1"/>
    </row>
    <row r="30" customFormat="false" ht="15" hidden="false" customHeight="false" outlineLevel="0" collapsed="false">
      <c r="A30" s="90"/>
      <c r="B30" s="91"/>
      <c r="C30" s="98" t="n">
        <f aca="false">SUM(D29)</f>
        <v>0</v>
      </c>
      <c r="D30" s="76"/>
      <c r="E30" s="110"/>
      <c r="F30" s="109" t="n">
        <f aca="false">SUM(F3:F29)</f>
        <v>299595</v>
      </c>
      <c r="G30" s="41"/>
      <c r="H30" s="94" t="n">
        <f aca="false">SUM(H3:H29)</f>
        <v>250853.6129</v>
      </c>
      <c r="I30" s="1"/>
      <c r="J30" s="1"/>
      <c r="K30" s="111"/>
      <c r="L30" s="96"/>
      <c r="M30" s="97"/>
      <c r="N30" s="98" t="n">
        <f aca="false">SUM(O29)</f>
        <v>0</v>
      </c>
      <c r="O30" s="99"/>
      <c r="P30" s="109" t="n">
        <f aca="false">SUM(O30-N30)</f>
        <v>0</v>
      </c>
      <c r="Q30" s="101"/>
      <c r="R30" s="94" t="n">
        <f aca="false">SUM(Q30*P30)</f>
        <v>0</v>
      </c>
      <c r="S30" s="1"/>
    </row>
    <row r="31" customFormat="false" ht="15" hidden="false" customHeight="false" outlineLevel="0" collapsed="false">
      <c r="A31" s="89"/>
      <c r="B31" s="82" t="s">
        <v>49</v>
      </c>
      <c r="C31" s="83"/>
      <c r="D31" s="83"/>
      <c r="E31" s="83"/>
      <c r="F31" s="83"/>
      <c r="G31" s="84"/>
      <c r="H31" s="85"/>
      <c r="I31" s="86"/>
      <c r="J31" s="86"/>
      <c r="K31" s="95"/>
      <c r="L31" s="96"/>
      <c r="M31" s="97"/>
      <c r="N31" s="98" t="n">
        <f aca="false">SUM(O30)</f>
        <v>0</v>
      </c>
      <c r="O31" s="99"/>
      <c r="P31" s="109" t="n">
        <f aca="false">SUM(O31-N31)</f>
        <v>0</v>
      </c>
      <c r="Q31" s="101"/>
      <c r="R31" s="94" t="n">
        <f aca="false">SUM(Q31*P31)</f>
        <v>0</v>
      </c>
      <c r="S31" s="1"/>
    </row>
    <row r="32" customFormat="false" ht="15" hidden="false" customHeight="false" outlineLevel="0" collapsed="false">
      <c r="A32" s="90" t="n">
        <v>0.423611111111111</v>
      </c>
      <c r="B32" s="91" t="s">
        <v>55</v>
      </c>
      <c r="C32" s="108" t="n">
        <v>3534490</v>
      </c>
      <c r="D32" s="108" t="n">
        <v>3539870</v>
      </c>
      <c r="E32" s="92" t="n">
        <f aca="false">SUM(D32-C32)</f>
        <v>5380</v>
      </c>
      <c r="F32" s="109" t="n">
        <f aca="false">SUM(D32-C32)</f>
        <v>5380</v>
      </c>
      <c r="G32" s="41" t="n">
        <v>0.8262</v>
      </c>
      <c r="H32" s="94" t="n">
        <f aca="false">SUM(G32*F32)</f>
        <v>4444.956</v>
      </c>
      <c r="I32" s="29" t="n">
        <v>382</v>
      </c>
      <c r="J32" s="1" t="n">
        <v>6193</v>
      </c>
      <c r="K32" s="112" t="s">
        <v>56</v>
      </c>
      <c r="L32" s="113"/>
      <c r="M32" s="114"/>
      <c r="N32" s="114"/>
      <c r="O32" s="115"/>
      <c r="P32" s="116"/>
      <c r="Q32" s="117"/>
      <c r="R32" s="62"/>
      <c r="S32" s="62"/>
    </row>
    <row r="33" customFormat="false" ht="15" hidden="false" customHeight="false" outlineLevel="0" collapsed="false">
      <c r="A33" s="90" t="n">
        <v>0.4375</v>
      </c>
      <c r="B33" s="91" t="s">
        <v>55</v>
      </c>
      <c r="C33" s="98" t="n">
        <f aca="false">SUM(D32)</f>
        <v>3539870</v>
      </c>
      <c r="D33" s="108" t="n">
        <v>3549370</v>
      </c>
      <c r="E33" s="92" t="n">
        <f aca="false">SUM(D33-C33)</f>
        <v>9500</v>
      </c>
      <c r="F33" s="109" t="n">
        <f aca="false">SUM(D33-C33)</f>
        <v>9500</v>
      </c>
      <c r="G33" s="41" t="n">
        <v>0.8262</v>
      </c>
      <c r="H33" s="94" t="n">
        <f aca="false">SUM(G33*F33)</f>
        <v>7848.9</v>
      </c>
      <c r="I33" s="29" t="n">
        <v>81</v>
      </c>
      <c r="J33" s="1" t="n">
        <v>6194</v>
      </c>
      <c r="K33" s="112" t="s">
        <v>56</v>
      </c>
      <c r="L33" s="118"/>
      <c r="M33" s="118"/>
      <c r="N33" s="118"/>
      <c r="O33" s="118"/>
      <c r="P33" s="118"/>
      <c r="Q33" s="118"/>
      <c r="R33" s="118"/>
      <c r="S33" s="118"/>
    </row>
    <row r="34" customFormat="false" ht="15" hidden="false" customHeight="false" outlineLevel="0" collapsed="false">
      <c r="A34" s="90" t="n">
        <v>0.458333333333333</v>
      </c>
      <c r="B34" s="91" t="s">
        <v>57</v>
      </c>
      <c r="C34" s="98" t="n">
        <f aca="false">SUM(D33)</f>
        <v>3549370</v>
      </c>
      <c r="D34" s="108" t="n">
        <v>3557470</v>
      </c>
      <c r="E34" s="92" t="n">
        <f aca="false">SUM(D34-C34)</f>
        <v>8100</v>
      </c>
      <c r="F34" s="109" t="n">
        <f aca="false">SUM(D34-C34)</f>
        <v>8100</v>
      </c>
      <c r="G34" s="41" t="n">
        <v>0.8283</v>
      </c>
      <c r="H34" s="94" t="n">
        <f aca="false">SUM(G34*F34)</f>
        <v>6709.23</v>
      </c>
      <c r="I34" s="29" t="n">
        <v>119</v>
      </c>
      <c r="J34" s="1" t="n">
        <v>6198</v>
      </c>
      <c r="K34" s="119" t="s">
        <v>58</v>
      </c>
      <c r="L34" s="118"/>
      <c r="M34" s="118"/>
      <c r="N34" s="118"/>
      <c r="O34" s="118"/>
      <c r="P34" s="118"/>
      <c r="Q34" s="118"/>
      <c r="R34" s="118"/>
      <c r="S34" s="118"/>
    </row>
    <row r="35" customFormat="false" ht="15" hidden="false" customHeight="false" outlineLevel="0" collapsed="false">
      <c r="A35" s="90" t="n">
        <v>0.472222222222222</v>
      </c>
      <c r="B35" s="91" t="s">
        <v>59</v>
      </c>
      <c r="C35" s="98" t="n">
        <f aca="false">SUM(D34)</f>
        <v>3557470</v>
      </c>
      <c r="D35" s="108" t="n">
        <v>3562620</v>
      </c>
      <c r="E35" s="92" t="n">
        <f aca="false">SUM(D35-C35)</f>
        <v>5150</v>
      </c>
      <c r="F35" s="109" t="n">
        <f aca="false">SUM(D35-C35)</f>
        <v>5150</v>
      </c>
      <c r="G35" s="41" t="n">
        <v>0.8278</v>
      </c>
      <c r="H35" s="94" t="n">
        <f aca="false">SUM(G35*F35)</f>
        <v>4263.17</v>
      </c>
      <c r="I35" s="29" t="n">
        <v>57</v>
      </c>
      <c r="J35" s="1" t="n">
        <v>6199</v>
      </c>
      <c r="K35" s="120" t="s">
        <v>60</v>
      </c>
      <c r="L35" s="118"/>
      <c r="M35" s="118"/>
      <c r="N35" s="118"/>
      <c r="O35" s="118"/>
      <c r="P35" s="118"/>
      <c r="Q35" s="118"/>
      <c r="R35" s="118"/>
      <c r="S35" s="118"/>
    </row>
    <row r="36" customFormat="false" ht="15" hidden="false" customHeight="false" outlineLevel="0" collapsed="false">
      <c r="A36" s="90" t="n">
        <v>0.604166666666667</v>
      </c>
      <c r="B36" s="91" t="s">
        <v>59</v>
      </c>
      <c r="C36" s="98" t="n">
        <v>3562720</v>
      </c>
      <c r="D36" s="108" t="n">
        <v>3570420</v>
      </c>
      <c r="E36" s="92" t="n">
        <f aca="false">SUM(D36-C36)</f>
        <v>7700</v>
      </c>
      <c r="F36" s="109" t="n">
        <f aca="false">SUM(D36-C36)</f>
        <v>7700</v>
      </c>
      <c r="G36" s="41" t="n">
        <v>0.8276</v>
      </c>
      <c r="H36" s="94" t="n">
        <f aca="false">SUM(G36*F36)</f>
        <v>6372.52</v>
      </c>
      <c r="I36" s="29" t="n">
        <v>81</v>
      </c>
      <c r="J36" s="1" t="n">
        <v>6203</v>
      </c>
      <c r="K36" s="120" t="s">
        <v>60</v>
      </c>
      <c r="L36" s="118"/>
      <c r="M36" s="118"/>
      <c r="N36" s="118"/>
      <c r="O36" s="118"/>
      <c r="P36" s="118"/>
      <c r="Q36" s="118"/>
      <c r="R36" s="118"/>
      <c r="S36" s="118"/>
    </row>
    <row r="37" customFormat="false" ht="15" hidden="false" customHeight="false" outlineLevel="0" collapsed="false">
      <c r="A37" s="90" t="n">
        <v>0.614583333333333</v>
      </c>
      <c r="B37" s="91" t="s">
        <v>59</v>
      </c>
      <c r="C37" s="98" t="n">
        <f aca="false">SUM(D36)</f>
        <v>3570420</v>
      </c>
      <c r="D37" s="108" t="n">
        <v>3577250</v>
      </c>
      <c r="E37" s="92" t="n">
        <f aca="false">SUM(D37-C37)</f>
        <v>6830</v>
      </c>
      <c r="F37" s="109" t="n">
        <f aca="false">SUM(D37-C37)</f>
        <v>6830</v>
      </c>
      <c r="G37" s="41" t="n">
        <v>0.8276</v>
      </c>
      <c r="H37" s="94" t="n">
        <f aca="false">SUM(G37*F37)</f>
        <v>5652.508</v>
      </c>
      <c r="I37" s="29" t="n">
        <v>57</v>
      </c>
      <c r="J37" s="1" t="n">
        <v>6204</v>
      </c>
      <c r="K37" s="120" t="s">
        <v>60</v>
      </c>
      <c r="L37" s="118"/>
      <c r="M37" s="118"/>
      <c r="N37" s="118"/>
      <c r="O37" s="118"/>
      <c r="P37" s="118"/>
      <c r="Q37" s="118"/>
      <c r="R37" s="118"/>
      <c r="S37" s="118"/>
    </row>
    <row r="38" customFormat="false" ht="15" hidden="false" customHeight="false" outlineLevel="0" collapsed="false">
      <c r="A38" s="90" t="n">
        <v>0.725694444444444</v>
      </c>
      <c r="B38" s="91" t="s">
        <v>57</v>
      </c>
      <c r="C38" s="98" t="n">
        <f aca="false">SUM(D37)</f>
        <v>3577250</v>
      </c>
      <c r="D38" s="108" t="n">
        <v>3594250</v>
      </c>
      <c r="E38" s="92" t="n">
        <f aca="false">SUM(D38-C38)</f>
        <v>17000</v>
      </c>
      <c r="F38" s="107" t="n">
        <v>17019</v>
      </c>
      <c r="G38" s="41" t="n">
        <v>0.8266</v>
      </c>
      <c r="H38" s="94" t="n">
        <f aca="false">SUM(G38*F38)</f>
        <v>14067.9054</v>
      </c>
      <c r="I38" s="29" t="n">
        <v>251</v>
      </c>
      <c r="J38" s="1" t="n">
        <v>6208</v>
      </c>
      <c r="K38" s="119" t="s">
        <v>58</v>
      </c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90" t="n">
        <v>0.770833333333333</v>
      </c>
      <c r="B39" s="91" t="s">
        <v>59</v>
      </c>
      <c r="C39" s="98" t="n">
        <f aca="false">SUM(D38)</f>
        <v>3594250</v>
      </c>
      <c r="D39" s="108" t="n">
        <v>3604240</v>
      </c>
      <c r="E39" s="92" t="n">
        <f aca="false">SUM(D39-C39)</f>
        <v>9990</v>
      </c>
      <c r="F39" s="107" t="n">
        <v>9986</v>
      </c>
      <c r="G39" s="41" t="n">
        <v>0.8266</v>
      </c>
      <c r="H39" s="94" t="n">
        <f aca="false">SUM(G39*F39)</f>
        <v>8254.4276</v>
      </c>
      <c r="I39" s="29" t="n">
        <v>251</v>
      </c>
      <c r="J39" s="29" t="n">
        <v>6210</v>
      </c>
      <c r="K39" s="120" t="s">
        <v>60</v>
      </c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0.788194444444444</v>
      </c>
      <c r="B40" s="91" t="s">
        <v>59</v>
      </c>
      <c r="C40" s="98" t="n">
        <f aca="false">SUM(D39)</f>
        <v>3604240</v>
      </c>
      <c r="D40" s="108" t="n">
        <v>3612720</v>
      </c>
      <c r="E40" s="92" t="n">
        <f aca="false">SUM(D40-C40)</f>
        <v>8480</v>
      </c>
      <c r="F40" s="109" t="n">
        <f aca="false">SUM(D40-C40)</f>
        <v>8480</v>
      </c>
      <c r="G40" s="41" t="n">
        <v>0.8266</v>
      </c>
      <c r="H40" s="94" t="n">
        <f aca="false">SUM(G40*F40)</f>
        <v>7009.568</v>
      </c>
      <c r="I40" s="29" t="n">
        <v>382</v>
      </c>
      <c r="J40" s="29" t="n">
        <v>6211</v>
      </c>
      <c r="K40" s="120" t="s">
        <v>60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4.25" hidden="false" customHeight="true" outlineLevel="0" collapsed="false">
      <c r="A41" s="90" t="n">
        <v>0.809027777777778</v>
      </c>
      <c r="B41" s="91" t="s">
        <v>61</v>
      </c>
      <c r="C41" s="98" t="n">
        <f aca="false">SUM(D40)</f>
        <v>3612720</v>
      </c>
      <c r="D41" s="108" t="n">
        <v>3629750</v>
      </c>
      <c r="E41" s="92" t="n">
        <f aca="false">SUM(D41-C41)</f>
        <v>17030</v>
      </c>
      <c r="F41" s="107" t="n">
        <v>17019</v>
      </c>
      <c r="G41" s="41" t="n">
        <v>0.8235</v>
      </c>
      <c r="H41" s="94" t="n">
        <f aca="false">SUM(G41*F41)</f>
        <v>14015.1465</v>
      </c>
      <c r="I41" s="29" t="n">
        <v>251</v>
      </c>
      <c r="J41" s="29" t="n">
        <v>6212</v>
      </c>
      <c r="K41" s="120" t="s">
        <v>60</v>
      </c>
      <c r="L41" s="118"/>
      <c r="M41" s="118"/>
      <c r="N41" s="118"/>
      <c r="O41" s="118"/>
      <c r="P41" s="118"/>
      <c r="Q41" s="118"/>
      <c r="R41" s="118"/>
      <c r="S41" s="118"/>
    </row>
    <row r="42" customFormat="false" ht="15" hidden="false" customHeight="true" outlineLevel="0" collapsed="false">
      <c r="A42" s="90" t="n">
        <v>0.822916666666667</v>
      </c>
      <c r="B42" s="91" t="s">
        <v>61</v>
      </c>
      <c r="C42" s="98" t="n">
        <f aca="false">SUM(D41)</f>
        <v>3629750</v>
      </c>
      <c r="D42" s="108" t="n">
        <v>3636350</v>
      </c>
      <c r="E42" s="92" t="n">
        <f aca="false">SUM(D42-C42)</f>
        <v>6600</v>
      </c>
      <c r="F42" s="109" t="n">
        <f aca="false">SUM(D42-C42)</f>
        <v>6600</v>
      </c>
      <c r="G42" s="41" t="n">
        <v>0.8235</v>
      </c>
      <c r="H42" s="94" t="n">
        <f aca="false">SUM(G42*F42)</f>
        <v>5435.1</v>
      </c>
      <c r="I42" s="29" t="n">
        <v>81</v>
      </c>
      <c r="J42" s="29" t="n">
        <v>6214</v>
      </c>
      <c r="K42" s="120" t="s">
        <v>60</v>
      </c>
      <c r="L42" s="118"/>
      <c r="M42" s="118"/>
      <c r="N42" s="118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0.895833333333333</v>
      </c>
      <c r="B43" s="91" t="s">
        <v>57</v>
      </c>
      <c r="C43" s="98" t="n">
        <v>3636470</v>
      </c>
      <c r="D43" s="108" t="n">
        <v>3646570</v>
      </c>
      <c r="E43" s="92" t="n">
        <f aca="false">SUM(D43-C43)</f>
        <v>10100</v>
      </c>
      <c r="F43" s="109" t="n">
        <f aca="false">SUM(D43-C43)</f>
        <v>10100</v>
      </c>
      <c r="G43" s="41" t="n">
        <v>0.8251</v>
      </c>
      <c r="H43" s="94" t="n">
        <f aca="false">SUM(G43*F43)</f>
        <v>8333.51</v>
      </c>
      <c r="I43" s="29" t="n">
        <v>119</v>
      </c>
      <c r="J43" s="29" t="n">
        <v>6216</v>
      </c>
      <c r="K43" s="119" t="s">
        <v>58</v>
      </c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0.916666666666667</v>
      </c>
      <c r="B44" s="91" t="s">
        <v>61</v>
      </c>
      <c r="C44" s="98" t="n">
        <f aca="false">SUM(D43)</f>
        <v>3646570</v>
      </c>
      <c r="D44" s="108" t="n">
        <v>3651830</v>
      </c>
      <c r="E44" s="92" t="n">
        <f aca="false">SUM(D44-C44)</f>
        <v>5260</v>
      </c>
      <c r="F44" s="109" t="n">
        <f aca="false">SUM(D44-C44)</f>
        <v>5260</v>
      </c>
      <c r="G44" s="41" t="n">
        <v>0.8222</v>
      </c>
      <c r="H44" s="94" t="n">
        <f aca="false">SUM(G44*F44)</f>
        <v>4324.772</v>
      </c>
      <c r="I44" s="29" t="n">
        <v>57</v>
      </c>
      <c r="J44" s="29" t="n">
        <v>6220</v>
      </c>
      <c r="K44" s="120" t="s">
        <v>60</v>
      </c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0.923611111111111</v>
      </c>
      <c r="B45" s="91" t="s">
        <v>61</v>
      </c>
      <c r="C45" s="98" t="n">
        <f aca="false">SUM(D44)</f>
        <v>3651830</v>
      </c>
      <c r="D45" s="108" t="n">
        <v>3655030</v>
      </c>
      <c r="E45" s="92" t="n">
        <f aca="false">SUM(D45-C45)</f>
        <v>3200</v>
      </c>
      <c r="F45" s="109" t="n">
        <f aca="false">SUM(D45-C45)</f>
        <v>3200</v>
      </c>
      <c r="G45" s="41" t="n">
        <v>0.8222</v>
      </c>
      <c r="H45" s="94" t="n">
        <f aca="false">SUM(G45*F45)</f>
        <v>2631.04</v>
      </c>
      <c r="I45" s="29" t="n">
        <v>382</v>
      </c>
      <c r="J45" s="29" t="n">
        <v>6221</v>
      </c>
      <c r="K45" s="120" t="s">
        <v>60</v>
      </c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0.930555555555555</v>
      </c>
      <c r="B46" s="91" t="s">
        <v>62</v>
      </c>
      <c r="C46" s="98" t="n">
        <f aca="false">SUM(D45)</f>
        <v>3655030</v>
      </c>
      <c r="D46" s="108" t="n">
        <v>3672050</v>
      </c>
      <c r="E46" s="92" t="n">
        <f aca="false">SUM(D46-C46)</f>
        <v>17020</v>
      </c>
      <c r="F46" s="107" t="n">
        <v>17019</v>
      </c>
      <c r="G46" s="41" t="n">
        <v>0.8245</v>
      </c>
      <c r="H46" s="94" t="n">
        <f aca="false">SUM(G46*F46)</f>
        <v>14032.1655</v>
      </c>
      <c r="I46" s="1" t="n">
        <v>251</v>
      </c>
      <c r="J46" s="29" t="n">
        <v>6222</v>
      </c>
      <c r="K46" s="119" t="s">
        <v>58</v>
      </c>
      <c r="L46" s="118"/>
      <c r="M46" s="118"/>
      <c r="N46" s="95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0.0763888888888889</v>
      </c>
      <c r="B47" s="91" t="s">
        <v>55</v>
      </c>
      <c r="C47" s="98" t="n">
        <f aca="false">SUM(D46)</f>
        <v>3672050</v>
      </c>
      <c r="D47" s="108" t="n">
        <v>3680320</v>
      </c>
      <c r="E47" s="92" t="n">
        <f aca="false">SUM(D47-C47)</f>
        <v>8270</v>
      </c>
      <c r="F47" s="109" t="n">
        <f aca="false">SUM(D47-C47)</f>
        <v>8270</v>
      </c>
      <c r="G47" s="41" t="n">
        <v>0.8268</v>
      </c>
      <c r="H47" s="94" t="n">
        <f aca="false">SUM(G47*F47)</f>
        <v>6837.636</v>
      </c>
      <c r="I47" s="1" t="n">
        <v>81</v>
      </c>
      <c r="J47" s="29" t="n">
        <v>6226</v>
      </c>
      <c r="K47" s="120" t="s">
        <v>60</v>
      </c>
      <c r="L47" s="118"/>
      <c r="M47" s="118"/>
      <c r="N47" s="95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0.0833333333333333</v>
      </c>
      <c r="B48" s="91" t="s">
        <v>55</v>
      </c>
      <c r="C48" s="98" t="n">
        <f aca="false">SUM(D47)</f>
        <v>3680320</v>
      </c>
      <c r="D48" s="108" t="n">
        <v>3686000</v>
      </c>
      <c r="E48" s="92" t="n">
        <f aca="false">SUM(D48-C48)</f>
        <v>5680</v>
      </c>
      <c r="F48" s="109" t="n">
        <f aca="false">SUM(D48-C48)</f>
        <v>5680</v>
      </c>
      <c r="G48" s="41" t="n">
        <v>0.8268</v>
      </c>
      <c r="H48" s="94" t="n">
        <f aca="false">SUM(G48*F48)</f>
        <v>4696.224</v>
      </c>
      <c r="I48" s="1" t="n">
        <v>57</v>
      </c>
      <c r="J48" s="29" t="n">
        <v>6227</v>
      </c>
      <c r="K48" s="120" t="s">
        <v>60</v>
      </c>
      <c r="L48" s="118"/>
      <c r="M48" s="118"/>
      <c r="N48" s="95"/>
      <c r="O48" s="118"/>
      <c r="P48" s="118"/>
      <c r="Q48" s="118"/>
      <c r="R48" s="118"/>
      <c r="S48" s="118"/>
    </row>
    <row r="49" customFormat="false" ht="15" hidden="false" customHeight="false" outlineLevel="0" collapsed="false">
      <c r="A49" s="90" t="n">
        <v>0.222222222222222</v>
      </c>
      <c r="B49" s="91" t="s">
        <v>57</v>
      </c>
      <c r="C49" s="98" t="n">
        <f aca="false">SUM(D48)</f>
        <v>3686000</v>
      </c>
      <c r="D49" s="108" t="n">
        <v>3703020</v>
      </c>
      <c r="E49" s="92" t="n">
        <f aca="false">SUM(D49-C49)</f>
        <v>17020</v>
      </c>
      <c r="F49" s="107" t="n">
        <v>17019</v>
      </c>
      <c r="G49" s="41" t="n">
        <v>0.8242</v>
      </c>
      <c r="H49" s="94" t="n">
        <f aca="false">SUM(G49*F49)</f>
        <v>14027.0598</v>
      </c>
      <c r="I49" s="1" t="n">
        <v>251</v>
      </c>
      <c r="J49" s="29" t="n">
        <v>6228</v>
      </c>
      <c r="K49" s="119" t="s">
        <v>58</v>
      </c>
      <c r="L49" s="118"/>
      <c r="M49" s="118"/>
      <c r="N49" s="95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0.267361111111111</v>
      </c>
      <c r="B50" s="91" t="s">
        <v>57</v>
      </c>
      <c r="C50" s="98" t="n">
        <f aca="false">SUM(D49)</f>
        <v>3703020</v>
      </c>
      <c r="D50" s="108" t="n">
        <v>3720040</v>
      </c>
      <c r="E50" s="92" t="n">
        <f aca="false">SUM(D50-C50)</f>
        <v>17020</v>
      </c>
      <c r="F50" s="107" t="n">
        <v>17019</v>
      </c>
      <c r="G50" s="41" t="n">
        <v>0.8249</v>
      </c>
      <c r="H50" s="94" t="n">
        <f aca="false">SUM(G50*F50)</f>
        <v>14038.9731</v>
      </c>
      <c r="I50" s="1" t="n">
        <v>251</v>
      </c>
      <c r="J50" s="29" t="n">
        <v>6230</v>
      </c>
      <c r="K50" s="119" t="s">
        <v>58</v>
      </c>
      <c r="L50" s="118"/>
      <c r="M50" s="118"/>
      <c r="N50" s="95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/>
      <c r="B51" s="91"/>
      <c r="C51" s="98"/>
      <c r="D51" s="108"/>
      <c r="E51" s="92" t="n">
        <f aca="false">SUM(D51-C51)</f>
        <v>0</v>
      </c>
      <c r="F51" s="109" t="n">
        <f aca="false">SUM(D51-C51)</f>
        <v>0</v>
      </c>
      <c r="G51" s="41"/>
      <c r="H51" s="94" t="n">
        <f aca="false">SUM(G51*F51)</f>
        <v>0</v>
      </c>
      <c r="I51" s="1"/>
      <c r="J51" s="29"/>
      <c r="K51" s="119"/>
      <c r="L51" s="118"/>
      <c r="M51" s="118"/>
      <c r="N51" s="95"/>
      <c r="O51" s="118"/>
      <c r="P51" s="118"/>
      <c r="Q51" s="118"/>
      <c r="R51" s="118"/>
      <c r="S51" s="118"/>
    </row>
    <row r="52" customFormat="false" ht="15" hidden="false" customHeight="true" outlineLevel="0" collapsed="false">
      <c r="A52" s="90"/>
      <c r="B52" s="91"/>
      <c r="C52" s="98" t="n">
        <f aca="false">SUM(D51)</f>
        <v>0</v>
      </c>
      <c r="D52" s="108"/>
      <c r="E52" s="92" t="n">
        <f aca="false">SUM(D52-C52)</f>
        <v>0</v>
      </c>
      <c r="F52" s="109" t="n">
        <f aca="false">SUM(D52-C52)</f>
        <v>0</v>
      </c>
      <c r="G52" s="41"/>
      <c r="H52" s="94" t="n">
        <f aca="false">SUM(G52*F52)</f>
        <v>0</v>
      </c>
      <c r="I52" s="1"/>
      <c r="J52" s="29"/>
      <c r="K52" s="119"/>
      <c r="L52" s="118"/>
      <c r="M52" s="118"/>
      <c r="N52" s="95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/>
      <c r="B53" s="91"/>
      <c r="C53" s="98" t="n">
        <f aca="false">SUM(D52)</f>
        <v>0</v>
      </c>
      <c r="D53" s="108"/>
      <c r="E53" s="92" t="n">
        <f aca="false">SUM(D53-C53)</f>
        <v>0</v>
      </c>
      <c r="F53" s="109" t="n">
        <f aca="false">SUM(D53-C53)</f>
        <v>0</v>
      </c>
      <c r="G53" s="41"/>
      <c r="H53" s="94" t="n">
        <f aca="false">SUM(G53*F53)</f>
        <v>0</v>
      </c>
      <c r="I53" s="1"/>
      <c r="J53" s="29"/>
      <c r="K53" s="120"/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/>
      <c r="B54" s="91"/>
      <c r="C54" s="98" t="n">
        <f aca="false">SUM(D53)</f>
        <v>0</v>
      </c>
      <c r="D54" s="108"/>
      <c r="E54" s="92" t="n">
        <f aca="false">SUM(D54-C54)</f>
        <v>0</v>
      </c>
      <c r="F54" s="109" t="n">
        <f aca="false">SUM(D54-C54)</f>
        <v>0</v>
      </c>
      <c r="G54" s="41"/>
      <c r="H54" s="94" t="n">
        <f aca="false">SUM(G54*F54)</f>
        <v>0</v>
      </c>
      <c r="I54" s="1"/>
      <c r="J54" s="29"/>
      <c r="K54" s="120"/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/>
      <c r="B55" s="91"/>
      <c r="C55" s="98" t="n">
        <f aca="false">SUM(D54)</f>
        <v>0</v>
      </c>
      <c r="D55" s="76"/>
      <c r="E55" s="92" t="n">
        <f aca="false">SUM(D55-C55)</f>
        <v>0</v>
      </c>
      <c r="F55" s="109" t="n">
        <f aca="false">SUM(D55-C55)</f>
        <v>0</v>
      </c>
      <c r="G55" s="41"/>
      <c r="H55" s="94" t="n">
        <f aca="false">SUM(G55*F55)</f>
        <v>0</v>
      </c>
      <c r="I55" s="1"/>
      <c r="J55" s="29"/>
      <c r="K55" s="120"/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/>
      <c r="B56" s="91"/>
      <c r="C56" s="98" t="n">
        <f aca="false">SUM(D55)</f>
        <v>0</v>
      </c>
      <c r="D56" s="76"/>
      <c r="E56" s="92" t="n">
        <f aca="false">SUM(D56-C56)</f>
        <v>0</v>
      </c>
      <c r="F56" s="109" t="n">
        <f aca="false">SUM(F32:F55)</f>
        <v>185331</v>
      </c>
      <c r="G56" s="41"/>
      <c r="H56" s="94" t="n">
        <f aca="false">SUM(H32:H55)</f>
        <v>152994.8119</v>
      </c>
      <c r="I56" s="1"/>
      <c r="J56" s="29"/>
      <c r="K56" s="119"/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K57" s="111"/>
      <c r="L57" s="118"/>
      <c r="M57" s="118"/>
      <c r="N57" s="118"/>
      <c r="O57" s="118"/>
      <c r="P57" s="118"/>
      <c r="Q57" s="118"/>
      <c r="R57" s="118"/>
      <c r="S57" s="118"/>
    </row>
    <row r="58" customFormat="false" ht="15" hidden="false" customHeight="false" outlineLevel="0" collapsed="false">
      <c r="F58" s="98" t="n">
        <f aca="false">SUM(F30+F56)</f>
        <v>484926</v>
      </c>
      <c r="G58" s="41"/>
      <c r="H58" s="94" t="n">
        <f aca="false">SUM(H30+H56)</f>
        <v>403848.4248</v>
      </c>
      <c r="K58" s="111"/>
      <c r="L58" s="118"/>
      <c r="M58" s="118"/>
      <c r="N58" s="118"/>
      <c r="O58" s="118"/>
      <c r="P58" s="118"/>
      <c r="Q58" s="118"/>
      <c r="R58" s="118"/>
      <c r="S58" s="118"/>
    </row>
    <row r="59" customFormat="false" ht="15" hidden="false" customHeight="false" outlineLevel="0" collapsed="false">
      <c r="E59" s="118"/>
      <c r="K59" s="111"/>
      <c r="L59" s="118"/>
      <c r="M59" s="118"/>
      <c r="N59" s="118"/>
      <c r="O59" s="118"/>
      <c r="P59" s="118"/>
      <c r="Q59" s="118"/>
      <c r="R59" s="118"/>
      <c r="S59" s="118"/>
    </row>
    <row r="60" customFormat="false" ht="15" hidden="false" customHeight="false" outlineLevel="0" collapsed="false">
      <c r="E60" s="118"/>
      <c r="K60" s="111"/>
      <c r="L60" s="118"/>
      <c r="M60" s="118"/>
      <c r="N60" s="118"/>
      <c r="O60" s="118"/>
      <c r="P60" s="118"/>
      <c r="Q60" s="118"/>
      <c r="R60" s="118"/>
      <c r="S60" s="118"/>
    </row>
    <row r="61" customFormat="false" ht="15" hidden="false" customHeight="false" outlineLevel="0" collapsed="false">
      <c r="E61" s="118"/>
      <c r="K61" s="111"/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E62" s="118"/>
      <c r="K62" s="118"/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E63" s="118"/>
      <c r="K63" s="118"/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E64" s="118"/>
      <c r="K64" s="121"/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E65" s="118"/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false" customHeight="false" outlineLevel="0" collapsed="false">
      <c r="E66" s="118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false" customHeight="false" outlineLevel="0" collapsed="false">
      <c r="E67" s="118"/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E68" s="118"/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false" customHeight="false" outlineLevel="0" collapsed="false">
      <c r="E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false" customHeight="false" outlineLevel="0" collapsed="false">
      <c r="E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false" customHeight="false" outlineLevel="0" collapsed="false">
      <c r="E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false" customHeight="false" outlineLevel="0" collapsed="false">
      <c r="E72" s="118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fals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fals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fals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fals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fals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fals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tru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tru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tru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true" customHeight="false" outlineLevel="0" collapsed="false">
      <c r="E87" s="118"/>
      <c r="L87" s="118"/>
      <c r="M87" s="118"/>
      <c r="N87" s="118"/>
      <c r="O87" s="118"/>
      <c r="P87" s="118"/>
      <c r="Q87" s="118"/>
      <c r="R87" s="118"/>
      <c r="S87" s="118"/>
    </row>
    <row r="88" customFormat="false" ht="15" hidden="true" customHeight="false" outlineLevel="0" collapsed="false">
      <c r="E88" s="118"/>
      <c r="L88" s="118"/>
      <c r="M88" s="118"/>
      <c r="N88" s="118"/>
      <c r="O88" s="118"/>
      <c r="P88" s="118"/>
      <c r="Q88" s="118"/>
      <c r="R88" s="118"/>
      <c r="S88" s="118"/>
    </row>
    <row r="89" customFormat="false" ht="15" hidden="false" customHeight="false" outlineLevel="0" collapsed="false">
      <c r="E89" s="118"/>
      <c r="L89" s="118"/>
      <c r="M89" s="118"/>
      <c r="N89" s="118"/>
      <c r="O89" s="118"/>
      <c r="P89" s="118"/>
      <c r="Q89" s="118"/>
      <c r="R89" s="118"/>
      <c r="S89" s="118"/>
    </row>
    <row r="90" customFormat="false" ht="15" hidden="false" customHeight="false" outlineLevel="0" collapsed="false">
      <c r="E90" s="118"/>
      <c r="L90" s="118"/>
      <c r="M90" s="118"/>
      <c r="N90" s="118"/>
      <c r="O90" s="118"/>
      <c r="P90" s="118"/>
      <c r="Q90" s="118"/>
      <c r="R90" s="118"/>
      <c r="S90" s="118"/>
    </row>
    <row r="91" customFormat="false" ht="15" hidden="false" customHeight="false" outlineLevel="0" collapsed="false">
      <c r="E91" s="118"/>
      <c r="L91" s="118"/>
      <c r="M91" s="118"/>
      <c r="N91" s="118"/>
      <c r="O91" s="118"/>
      <c r="P91" s="118"/>
      <c r="Q91" s="118"/>
      <c r="R91" s="118"/>
      <c r="S91" s="118"/>
    </row>
    <row r="92" customFormat="false" ht="15" hidden="false" customHeight="false" outlineLevel="0" collapsed="false">
      <c r="E92" s="118"/>
    </row>
    <row r="93" customFormat="false" ht="15" hidden="false" customHeight="false" outlineLevel="0" collapsed="false">
      <c r="E93" s="118"/>
    </row>
    <row r="94" customFormat="false" ht="15" hidden="false" customHeight="false" outlineLevel="0" collapsed="false">
      <c r="E94" s="118"/>
    </row>
    <row r="95" customFormat="false" ht="15" hidden="false" customHeight="false" outlineLevel="0" collapsed="false">
      <c r="E95" s="118"/>
    </row>
    <row r="96" customFormat="false" ht="15" hidden="false" customHeight="false" outlineLevel="0" collapsed="false">
      <c r="E96" s="118"/>
    </row>
    <row r="97" customFormat="false" ht="15" hidden="false" customHeight="false" outlineLevel="0" collapsed="false">
      <c r="E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31"/>
  <sheetViews>
    <sheetView showFormulas="false" showGridLines="true" showRowColHeaders="true" showZeros="true" rightToLeft="false" tabSelected="false" showOutlineSymbols="true" defaultGridColor="true" view="normal" topLeftCell="A25" colorId="64" zoomScale="60" zoomScaleNormal="60" zoomScalePageLayoutView="100" workbookViewId="0">
      <selection pane="topLeft" activeCell="K52" activeCellId="0" sqref="K52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6.57"/>
    <col collapsed="false" customWidth="true" hidden="false" outlineLevel="0" max="12" min="12" style="71" width="12.14"/>
    <col collapsed="false" customWidth="true" hidden="false" outlineLevel="0" max="13" min="13" style="71" width="12.43"/>
    <col collapsed="false" customWidth="true" hidden="false" outlineLevel="0" max="14" min="14" style="71" width="18.43"/>
    <col collapsed="false" customWidth="true" hidden="false" outlineLevel="0" max="15" min="15" style="71" width="17.85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45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" hidden="false" customHeight="false" outlineLevel="0" collapsed="false">
      <c r="A2" s="82"/>
      <c r="B2" s="82" t="s">
        <v>36</v>
      </c>
      <c r="C2" s="83"/>
      <c r="D2" s="83"/>
      <c r="E2" s="83"/>
      <c r="F2" s="83"/>
      <c r="G2" s="84"/>
      <c r="H2" s="85"/>
      <c r="I2" s="86"/>
      <c r="J2" s="87" t="s">
        <v>18</v>
      </c>
      <c r="K2" s="88"/>
      <c r="L2" s="89"/>
      <c r="M2" s="82" t="s">
        <v>37</v>
      </c>
      <c r="N2" s="83"/>
      <c r="O2" s="83"/>
      <c r="P2" s="83"/>
      <c r="Q2" s="84"/>
      <c r="R2" s="85"/>
      <c r="S2" s="86"/>
    </row>
    <row r="3" customFormat="false" ht="15" hidden="false" customHeight="false" outlineLevel="0" collapsed="false">
      <c r="A3" s="90" t="n">
        <v>0.4375</v>
      </c>
      <c r="B3" s="122" t="s">
        <v>54</v>
      </c>
      <c r="C3" s="76" t="n">
        <v>47999270</v>
      </c>
      <c r="D3" s="76" t="n">
        <v>48017520</v>
      </c>
      <c r="E3" s="92" t="n">
        <f aca="false">SUM(D3-C3)</f>
        <v>18250</v>
      </c>
      <c r="F3" s="123" t="n">
        <f aca="false">SUM(E3)</f>
        <v>18250</v>
      </c>
      <c r="G3" s="41" t="n">
        <v>0.8415</v>
      </c>
      <c r="H3" s="124" t="n">
        <f aca="false">SUM(G3*F3)</f>
        <v>15357.375</v>
      </c>
      <c r="I3" s="29" t="n">
        <v>787</v>
      </c>
      <c r="J3" s="29" t="n">
        <v>6237</v>
      </c>
      <c r="K3" s="95"/>
      <c r="L3" s="96" t="n">
        <v>0.552083333333333</v>
      </c>
      <c r="M3" s="97" t="s">
        <v>46</v>
      </c>
      <c r="N3" s="99" t="n">
        <v>7619770</v>
      </c>
      <c r="O3" s="99" t="n">
        <v>7619850</v>
      </c>
      <c r="P3" s="100" t="n">
        <f aca="false">SUM(O3-N3)</f>
        <v>80</v>
      </c>
      <c r="Q3" s="101" t="n">
        <v>0.8301</v>
      </c>
      <c r="R3" s="102" t="n">
        <f aca="false">SUM(Q3*P3)</f>
        <v>66.408</v>
      </c>
      <c r="S3" s="103" t="s">
        <v>63</v>
      </c>
      <c r="V3" s="0" t="s">
        <v>41</v>
      </c>
    </row>
    <row r="4" customFormat="false" ht="15" hidden="false" customHeight="false" outlineLevel="0" collapsed="false">
      <c r="A4" s="90" t="n">
        <v>0.475694444444444</v>
      </c>
      <c r="B4" s="125" t="s">
        <v>39</v>
      </c>
      <c r="C4" s="98" t="n">
        <f aca="false">SUM(D3)</f>
        <v>48017520</v>
      </c>
      <c r="D4" s="76" t="n">
        <v>48027650</v>
      </c>
      <c r="E4" s="92" t="n">
        <f aca="false">SUM(D4-C4)</f>
        <v>10130</v>
      </c>
      <c r="F4" s="109" t="n">
        <f aca="false">SUM(D4-C4)</f>
        <v>10130</v>
      </c>
      <c r="G4" s="41" t="n">
        <v>0.8415</v>
      </c>
      <c r="H4" s="126" t="n">
        <f aca="false">SUM(G4*F4)</f>
        <v>8524.395</v>
      </c>
      <c r="I4" s="29" t="n">
        <v>237</v>
      </c>
      <c r="J4" s="29" t="n">
        <v>6241</v>
      </c>
      <c r="K4" s="95"/>
      <c r="L4" s="96" t="n">
        <v>0.555555555555556</v>
      </c>
      <c r="M4" s="105" t="s">
        <v>54</v>
      </c>
      <c r="N4" s="100" t="n">
        <f aca="false">SUM(O3)</f>
        <v>7619850</v>
      </c>
      <c r="O4" s="99" t="n">
        <v>7620010</v>
      </c>
      <c r="P4" s="100" t="n">
        <f aca="false">SUM(O4-N4)</f>
        <v>160</v>
      </c>
      <c r="Q4" s="106" t="n">
        <v>0.8392</v>
      </c>
      <c r="R4" s="102" t="n">
        <f aca="false">SUM(Q4*P4)</f>
        <v>134.272</v>
      </c>
      <c r="S4" s="103" t="s">
        <v>64</v>
      </c>
    </row>
    <row r="5" customFormat="false" ht="15" hidden="false" customHeight="false" outlineLevel="0" collapsed="false">
      <c r="A5" s="90" t="n">
        <v>0.486111111111111</v>
      </c>
      <c r="B5" s="91" t="s">
        <v>39</v>
      </c>
      <c r="C5" s="98" t="n">
        <f aca="false">SUM(D4)</f>
        <v>48027650</v>
      </c>
      <c r="D5" s="76" t="n">
        <v>48038490</v>
      </c>
      <c r="E5" s="92" t="n">
        <f aca="false">SUM(D5-C5)</f>
        <v>10840</v>
      </c>
      <c r="F5" s="109" t="n">
        <f aca="false">SUM(D5-C5)</f>
        <v>10840</v>
      </c>
      <c r="G5" s="41" t="n">
        <v>0.8415</v>
      </c>
      <c r="H5" s="126" t="n">
        <f aca="false">SUM(G5*F5)</f>
        <v>9121.86</v>
      </c>
      <c r="I5" s="29" t="n">
        <v>248</v>
      </c>
      <c r="J5" s="29" t="n">
        <v>6242</v>
      </c>
      <c r="K5" s="95"/>
      <c r="L5" s="96" t="n">
        <v>0.59375</v>
      </c>
      <c r="M5" s="105" t="s">
        <v>39</v>
      </c>
      <c r="N5" s="100" t="n">
        <f aca="false">SUM(O4)</f>
        <v>7620010</v>
      </c>
      <c r="O5" s="99" t="n">
        <v>7620170</v>
      </c>
      <c r="P5" s="100" t="n">
        <f aca="false">SUM(O5-N5)</f>
        <v>160</v>
      </c>
      <c r="Q5" s="101" t="n">
        <v>0.8375</v>
      </c>
      <c r="R5" s="102" t="n">
        <f aca="false">SUM(Q5*P5)</f>
        <v>134</v>
      </c>
      <c r="S5" s="103" t="s">
        <v>65</v>
      </c>
    </row>
    <row r="6" customFormat="false" ht="15" hidden="false" customHeight="false" outlineLevel="0" collapsed="false">
      <c r="A6" s="90" t="n">
        <v>0.496527777777778</v>
      </c>
      <c r="B6" s="91" t="s">
        <v>39</v>
      </c>
      <c r="C6" s="98" t="n">
        <f aca="false">SUM(D5)</f>
        <v>48038490</v>
      </c>
      <c r="D6" s="76" t="n">
        <v>48047650</v>
      </c>
      <c r="E6" s="92" t="n">
        <f aca="false">SUM(D6-C6)</f>
        <v>9160</v>
      </c>
      <c r="F6" s="123" t="n">
        <v>9161</v>
      </c>
      <c r="G6" s="41" t="n">
        <v>0.8415</v>
      </c>
      <c r="H6" s="126" t="n">
        <f aca="false">SUM(G6*F6)</f>
        <v>7708.9815</v>
      </c>
      <c r="I6" s="29" t="n">
        <v>787</v>
      </c>
      <c r="J6" s="29" t="n">
        <v>6243</v>
      </c>
      <c r="K6" s="95"/>
      <c r="L6" s="96" t="n">
        <v>0.951388888888889</v>
      </c>
      <c r="M6" s="105" t="s">
        <v>66</v>
      </c>
      <c r="N6" s="100" t="n">
        <f aca="false">SUM(O5)</f>
        <v>7620170</v>
      </c>
      <c r="O6" s="99" t="n">
        <v>7620220</v>
      </c>
      <c r="P6" s="100" t="n">
        <f aca="false">SUM(O6-N6)</f>
        <v>50</v>
      </c>
      <c r="Q6" s="41" t="n">
        <v>0.8326</v>
      </c>
      <c r="R6" s="102" t="n">
        <f aca="false">SUM(Q6*P6)</f>
        <v>41.63</v>
      </c>
      <c r="S6" s="103" t="s">
        <v>67</v>
      </c>
    </row>
    <row r="7" customFormat="false" ht="15" hidden="false" customHeight="false" outlineLevel="0" collapsed="false">
      <c r="A7" s="90" t="n">
        <v>0.496527777777778</v>
      </c>
      <c r="B7" s="91" t="s">
        <v>39</v>
      </c>
      <c r="C7" s="98" t="n">
        <f aca="false">SUM(D6)</f>
        <v>48047650</v>
      </c>
      <c r="D7" s="76" t="n">
        <v>48056730</v>
      </c>
      <c r="E7" s="92" t="n">
        <f aca="false">SUM(D7-C7)</f>
        <v>9080</v>
      </c>
      <c r="F7" s="123" t="n">
        <v>9080</v>
      </c>
      <c r="G7" s="41" t="n">
        <v>0.8415</v>
      </c>
      <c r="H7" s="126" t="n">
        <f aca="false">SUM(G7*F7)</f>
        <v>7640.82</v>
      </c>
      <c r="I7" s="29" t="n">
        <v>787</v>
      </c>
      <c r="J7" s="29" t="n">
        <v>6244</v>
      </c>
      <c r="K7" s="95"/>
      <c r="L7" s="96" t="n">
        <v>0.958333333333333</v>
      </c>
      <c r="M7" s="105" t="s">
        <v>48</v>
      </c>
      <c r="N7" s="100" t="n">
        <f aca="false">SUM(O6)</f>
        <v>7620220</v>
      </c>
      <c r="O7" s="99" t="n">
        <v>7620360</v>
      </c>
      <c r="P7" s="100" t="n">
        <f aca="false">SUM(O7-N7)</f>
        <v>140</v>
      </c>
      <c r="Q7" s="41" t="n">
        <v>0.8327</v>
      </c>
      <c r="R7" s="102" t="n">
        <f aca="false">SUM(Q7*P7)</f>
        <v>116.578</v>
      </c>
      <c r="S7" s="103" t="s">
        <v>53</v>
      </c>
    </row>
    <row r="8" customFormat="false" ht="15" hidden="false" customHeight="false" outlineLevel="0" collapsed="false">
      <c r="A8" s="90" t="n">
        <v>0.541666666666667</v>
      </c>
      <c r="B8" s="91" t="s">
        <v>39</v>
      </c>
      <c r="C8" s="98" t="n">
        <f aca="false">SUM(D7)</f>
        <v>48056730</v>
      </c>
      <c r="D8" s="76" t="n">
        <v>48074970</v>
      </c>
      <c r="E8" s="92" t="n">
        <f aca="false">SUM(D8-C8)</f>
        <v>18240</v>
      </c>
      <c r="F8" s="123" t="n">
        <v>18241</v>
      </c>
      <c r="G8" s="41" t="n">
        <v>0.8415</v>
      </c>
      <c r="H8" s="126" t="n">
        <f aca="false">SUM(G8*F8)</f>
        <v>15349.8015</v>
      </c>
      <c r="I8" s="29" t="n">
        <v>787</v>
      </c>
      <c r="J8" s="29" t="n">
        <v>6245</v>
      </c>
      <c r="K8" s="95"/>
      <c r="L8" s="96" t="n">
        <v>0.979166666666667</v>
      </c>
      <c r="M8" s="97" t="s">
        <v>54</v>
      </c>
      <c r="N8" s="100" t="n">
        <f aca="false">SUM(O7)</f>
        <v>7620360</v>
      </c>
      <c r="O8" s="99" t="n">
        <v>7620550</v>
      </c>
      <c r="P8" s="100" t="n">
        <f aca="false">SUM(O8-N8)</f>
        <v>190</v>
      </c>
      <c r="Q8" s="101" t="n">
        <v>0.8322</v>
      </c>
      <c r="R8" s="102" t="n">
        <f aca="false">SUM(Q8*P8)</f>
        <v>158.118</v>
      </c>
      <c r="S8" s="1" t="s">
        <v>43</v>
      </c>
    </row>
    <row r="9" customFormat="false" ht="15" hidden="false" customHeight="false" outlineLevel="0" collapsed="false">
      <c r="A9" s="90" t="n">
        <v>0.6875</v>
      </c>
      <c r="B9" s="91" t="s">
        <v>66</v>
      </c>
      <c r="C9" s="98" t="n">
        <f aca="false">SUM(D8)</f>
        <v>48074970</v>
      </c>
      <c r="D9" s="76" t="n">
        <v>48093210</v>
      </c>
      <c r="E9" s="92" t="n">
        <f aca="false">SUM(D9-C9)</f>
        <v>18240</v>
      </c>
      <c r="F9" s="123" t="n">
        <v>18241</v>
      </c>
      <c r="G9" s="41" t="n">
        <v>0.84</v>
      </c>
      <c r="H9" s="94" t="n">
        <f aca="false">SUM(G9*F9)</f>
        <v>15322.44</v>
      </c>
      <c r="I9" s="29" t="n">
        <v>787</v>
      </c>
      <c r="J9" s="29" t="n">
        <v>6248</v>
      </c>
      <c r="K9" s="95"/>
      <c r="L9" s="96"/>
      <c r="M9" s="97"/>
      <c r="N9" s="100" t="n">
        <v>0</v>
      </c>
      <c r="O9" s="99"/>
      <c r="P9" s="100" t="n">
        <f aca="false">SUM(O9-N9)</f>
        <v>0</v>
      </c>
      <c r="Q9" s="101"/>
      <c r="R9" s="102" t="n">
        <f aca="false">SUM(Q9*P9)</f>
        <v>0</v>
      </c>
      <c r="S9" s="1"/>
    </row>
    <row r="10" customFormat="false" ht="15" hidden="false" customHeight="false" outlineLevel="0" collapsed="false">
      <c r="A10" s="90" t="n">
        <v>0.743055555555555</v>
      </c>
      <c r="B10" s="91" t="s">
        <v>66</v>
      </c>
      <c r="C10" s="98" t="n">
        <f aca="false">SUM(D9)</f>
        <v>48093210</v>
      </c>
      <c r="D10" s="76" t="n">
        <v>48111470</v>
      </c>
      <c r="E10" s="92" t="n">
        <f aca="false">SUM(D10-C10)</f>
        <v>18260</v>
      </c>
      <c r="F10" s="123" t="n">
        <v>18241</v>
      </c>
      <c r="G10" s="41" t="n">
        <v>0.84</v>
      </c>
      <c r="H10" s="94" t="n">
        <f aca="false">SUM(G10*F10)</f>
        <v>15322.44</v>
      </c>
      <c r="I10" s="29" t="n">
        <v>787</v>
      </c>
      <c r="J10" s="29" t="n">
        <v>6251</v>
      </c>
      <c r="K10" s="95"/>
      <c r="L10" s="96"/>
      <c r="M10" s="97"/>
      <c r="N10" s="100" t="n">
        <f aca="false">SUM(O9)</f>
        <v>0</v>
      </c>
      <c r="O10" s="99"/>
      <c r="P10" s="100" t="n">
        <f aca="false">SUM(O10-N10)</f>
        <v>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0.798611111111111</v>
      </c>
      <c r="B11" s="91" t="s">
        <v>66</v>
      </c>
      <c r="C11" s="98" t="n">
        <f aca="false">SUM(D10)</f>
        <v>48111470</v>
      </c>
      <c r="D11" s="76" t="n">
        <v>48129710</v>
      </c>
      <c r="E11" s="92" t="n">
        <f aca="false">SUM(D11-C11)</f>
        <v>18240</v>
      </c>
      <c r="F11" s="123" t="n">
        <v>18241</v>
      </c>
      <c r="G11" s="41" t="n">
        <v>0.84</v>
      </c>
      <c r="H11" s="94" t="n">
        <f aca="false">SUM(G11*F11)</f>
        <v>15322.44</v>
      </c>
      <c r="I11" s="29" t="n">
        <v>787</v>
      </c>
      <c r="J11" s="29" t="n">
        <v>6253</v>
      </c>
      <c r="K11" s="95"/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0.885416666666667</v>
      </c>
      <c r="B12" s="127" t="s">
        <v>48</v>
      </c>
      <c r="C12" s="98" t="n">
        <f aca="false">SUM(D11)</f>
        <v>48129710</v>
      </c>
      <c r="D12" s="76" t="n">
        <v>48136130</v>
      </c>
      <c r="E12" s="92" t="n">
        <f aca="false">SUM(D12-C12)</f>
        <v>6420</v>
      </c>
      <c r="F12" s="109" t="n">
        <f aca="false">SUM(D12-C12)</f>
        <v>6420</v>
      </c>
      <c r="G12" s="41" t="n">
        <v>0.8345</v>
      </c>
      <c r="H12" s="128" t="n">
        <f aca="false">SUM(G12*F12)</f>
        <v>5357.49</v>
      </c>
      <c r="I12" s="29" t="n">
        <v>237</v>
      </c>
      <c r="J12" s="29" t="n">
        <v>6258</v>
      </c>
      <c r="K12" s="95"/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0.902777777777778</v>
      </c>
      <c r="B13" s="91" t="s">
        <v>48</v>
      </c>
      <c r="C13" s="98" t="n">
        <f aca="false">SUM(D12)</f>
        <v>48136130</v>
      </c>
      <c r="D13" s="76" t="n">
        <v>48145290</v>
      </c>
      <c r="E13" s="92" t="n">
        <f aca="false">SUM(D13-C13)</f>
        <v>9160</v>
      </c>
      <c r="F13" s="123" t="n">
        <v>9161</v>
      </c>
      <c r="G13" s="41" t="n">
        <v>0.8345</v>
      </c>
      <c r="H13" s="128" t="n">
        <f aca="false">SUM(G13*F13)</f>
        <v>7644.8545</v>
      </c>
      <c r="I13" s="29" t="n">
        <v>787</v>
      </c>
      <c r="J13" s="29" t="n">
        <v>6260</v>
      </c>
      <c r="K13" s="95"/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0.909722222222222</v>
      </c>
      <c r="B14" s="91" t="s">
        <v>48</v>
      </c>
      <c r="C14" s="98" t="n">
        <f aca="false">SUM(D13)</f>
        <v>48145290</v>
      </c>
      <c r="D14" s="76" t="n">
        <v>48152330</v>
      </c>
      <c r="E14" s="92" t="n">
        <f aca="false">SUM(D14-C14)</f>
        <v>7040</v>
      </c>
      <c r="F14" s="129" t="n">
        <v>7033</v>
      </c>
      <c r="G14" s="41" t="n">
        <v>0.8345</v>
      </c>
      <c r="H14" s="128" t="n">
        <f aca="false">SUM(G14*F14)</f>
        <v>5869.0385</v>
      </c>
      <c r="I14" s="29" t="n">
        <v>251</v>
      </c>
      <c r="J14" s="29" t="n">
        <v>6262</v>
      </c>
      <c r="K14" s="95"/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0.9375</v>
      </c>
      <c r="B15" s="91" t="s">
        <v>48</v>
      </c>
      <c r="C15" s="98" t="n">
        <f aca="false">SUM(D14)</f>
        <v>48152330</v>
      </c>
      <c r="D15" s="76" t="n">
        <v>48170580</v>
      </c>
      <c r="E15" s="92" t="n">
        <f aca="false">SUM(D15-C15)</f>
        <v>18250</v>
      </c>
      <c r="F15" s="123" t="n">
        <v>18241</v>
      </c>
      <c r="G15" s="41" t="n">
        <v>0.8345</v>
      </c>
      <c r="H15" s="128" t="n">
        <f aca="false">SUM(G15*F15)</f>
        <v>15222.1145</v>
      </c>
      <c r="I15" s="29" t="n">
        <v>787</v>
      </c>
      <c r="J15" s="29" t="n">
        <v>6263</v>
      </c>
      <c r="K15" s="95"/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0.954861111111111</v>
      </c>
      <c r="B16" s="91" t="s">
        <v>54</v>
      </c>
      <c r="C16" s="98" t="n">
        <f aca="false">SUM(D15)</f>
        <v>48170580</v>
      </c>
      <c r="D16" s="76" t="n">
        <v>48177620</v>
      </c>
      <c r="E16" s="92" t="n">
        <f aca="false">SUM(D16-C16)</f>
        <v>7040</v>
      </c>
      <c r="F16" s="129" t="n">
        <v>7033</v>
      </c>
      <c r="G16" s="41" t="n">
        <v>0.834</v>
      </c>
      <c r="H16" s="124" t="n">
        <f aca="false">SUM(G16*F16)</f>
        <v>5865.522</v>
      </c>
      <c r="I16" s="29" t="n">
        <v>251</v>
      </c>
      <c r="J16" s="29" t="n">
        <v>6265</v>
      </c>
      <c r="K16" s="95"/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0.986111111111111</v>
      </c>
      <c r="B17" s="91" t="s">
        <v>54</v>
      </c>
      <c r="C17" s="98" t="n">
        <f aca="false">SUM(D16)</f>
        <v>48177620</v>
      </c>
      <c r="D17" s="76" t="n">
        <v>48195870</v>
      </c>
      <c r="E17" s="92" t="n">
        <f aca="false">SUM(D17-C17)</f>
        <v>18250</v>
      </c>
      <c r="F17" s="123" t="n">
        <v>18241</v>
      </c>
      <c r="G17" s="41" t="n">
        <v>0.834</v>
      </c>
      <c r="H17" s="124" t="n">
        <f aca="false">SUM(G17*F17)</f>
        <v>15212.994</v>
      </c>
      <c r="I17" s="29" t="n">
        <v>787</v>
      </c>
      <c r="J17" s="29" t="n">
        <v>6266</v>
      </c>
      <c r="K17" s="95"/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0.208333333333333</v>
      </c>
      <c r="B18" s="91" t="s">
        <v>48</v>
      </c>
      <c r="C18" s="98" t="n">
        <f aca="false">SUM(D17)</f>
        <v>48195870</v>
      </c>
      <c r="D18" s="76" t="n">
        <v>48214110</v>
      </c>
      <c r="E18" s="92" t="n">
        <f aca="false">SUM(D18-C18)</f>
        <v>18240</v>
      </c>
      <c r="F18" s="123" t="n">
        <v>18241</v>
      </c>
      <c r="G18" s="41" t="n">
        <v>0.8363</v>
      </c>
      <c r="H18" s="128" t="n">
        <f aca="false">SUM(G18*F18)</f>
        <v>15254.9483</v>
      </c>
      <c r="I18" s="29" t="n">
        <v>787</v>
      </c>
      <c r="J18" s="29" t="n">
        <v>6270</v>
      </c>
      <c r="K18" s="95"/>
      <c r="L18" s="96" t="n">
        <v>0.458333333333333</v>
      </c>
      <c r="M18" s="105" t="s">
        <v>57</v>
      </c>
      <c r="N18" s="130" t="n">
        <f aca="false">D45</f>
        <v>3777830</v>
      </c>
      <c r="O18" s="99" t="n">
        <v>3777920</v>
      </c>
      <c r="P18" s="109" t="n">
        <f aca="false">SUM(O18-N18)</f>
        <v>90</v>
      </c>
      <c r="Q18" s="41" t="n">
        <v>0.825</v>
      </c>
      <c r="R18" s="94" t="n">
        <f aca="false">SUM(Q18*P18)</f>
        <v>74.25</v>
      </c>
      <c r="S18" s="103" t="s">
        <v>68</v>
      </c>
      <c r="T18" s="0" t="s">
        <v>41</v>
      </c>
    </row>
    <row r="19" customFormat="false" ht="15" hidden="false" customHeight="false" outlineLevel="0" collapsed="false">
      <c r="A19" s="90" t="n">
        <v>0.222222222222222</v>
      </c>
      <c r="B19" s="91" t="s">
        <v>48</v>
      </c>
      <c r="C19" s="98" t="n">
        <f aca="false">SUM(D18)</f>
        <v>48214110</v>
      </c>
      <c r="D19" s="76" t="n">
        <v>48231130</v>
      </c>
      <c r="E19" s="92" t="n">
        <f aca="false">SUM(D19-C19)</f>
        <v>17020</v>
      </c>
      <c r="F19" s="129" t="n">
        <v>17019</v>
      </c>
      <c r="G19" s="41" t="n">
        <v>0.8363</v>
      </c>
      <c r="H19" s="128" t="n">
        <f aca="false">SUM(G19*F19)</f>
        <v>14232.9897</v>
      </c>
      <c r="I19" s="29" t="n">
        <v>251</v>
      </c>
      <c r="J19" s="29" t="n">
        <v>6271</v>
      </c>
      <c r="K19" s="95"/>
      <c r="L19" s="96" t="n">
        <v>0.215277777777778</v>
      </c>
      <c r="M19" s="105" t="s">
        <v>50</v>
      </c>
      <c r="N19" s="98" t="n">
        <f aca="false">D62</f>
        <v>3933330</v>
      </c>
      <c r="O19" s="99" t="n">
        <v>3933470</v>
      </c>
      <c r="P19" s="109" t="n">
        <f aca="false">SUM(O19-N19)</f>
        <v>140</v>
      </c>
      <c r="Q19" s="41" t="n">
        <v>0.8397</v>
      </c>
      <c r="R19" s="94" t="n">
        <f aca="false">SUM(Q19*P19)</f>
        <v>117.558</v>
      </c>
      <c r="S19" s="103" t="s">
        <v>69</v>
      </c>
    </row>
    <row r="20" customFormat="false" ht="15" hidden="false" customHeight="false" outlineLevel="0" collapsed="false">
      <c r="A20" s="90" t="n">
        <v>0.256944444444444</v>
      </c>
      <c r="B20" s="91" t="s">
        <v>54</v>
      </c>
      <c r="C20" s="98" t="n">
        <f aca="false">SUM(D19)</f>
        <v>48231130</v>
      </c>
      <c r="D20" s="76" t="n">
        <v>48249390</v>
      </c>
      <c r="E20" s="92" t="n">
        <f aca="false">SUM(D20-C20)</f>
        <v>18260</v>
      </c>
      <c r="F20" s="123" t="n">
        <v>18241</v>
      </c>
      <c r="G20" s="41" t="n">
        <v>0.836</v>
      </c>
      <c r="H20" s="124" t="n">
        <f aca="false">SUM(G20*F20)</f>
        <v>15249.476</v>
      </c>
      <c r="I20" s="1" t="n">
        <v>787</v>
      </c>
      <c r="J20" s="29" t="n">
        <v>6272</v>
      </c>
      <c r="K20" s="95"/>
      <c r="L20" s="96"/>
      <c r="M20" s="105"/>
      <c r="N20" s="98"/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 t="n">
        <v>0.305555555555555</v>
      </c>
      <c r="B21" s="91" t="s">
        <v>54</v>
      </c>
      <c r="C21" s="98" t="n">
        <f aca="false">SUM(D20)</f>
        <v>48249390</v>
      </c>
      <c r="D21" s="76" t="n">
        <v>48267630</v>
      </c>
      <c r="E21" s="92" t="n">
        <f aca="false">SUM(D21-C21)</f>
        <v>18240</v>
      </c>
      <c r="F21" s="123" t="n">
        <v>18241</v>
      </c>
      <c r="G21" s="41" t="n">
        <v>0.836</v>
      </c>
      <c r="H21" s="124" t="n">
        <f aca="false">SUM(G21*F21)</f>
        <v>15249.476</v>
      </c>
      <c r="I21" s="1" t="n">
        <v>251</v>
      </c>
      <c r="J21" s="29" t="n">
        <v>6274</v>
      </c>
      <c r="K21" s="95"/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 t="n">
        <v>0.319444444444444</v>
      </c>
      <c r="B22" s="91" t="s">
        <v>54</v>
      </c>
      <c r="C22" s="98" t="n">
        <f aca="false">SUM(D21)</f>
        <v>48267630</v>
      </c>
      <c r="D22" s="76" t="n">
        <v>48284650</v>
      </c>
      <c r="E22" s="92" t="n">
        <f aca="false">SUM(D22-C22)</f>
        <v>17020</v>
      </c>
      <c r="F22" s="129" t="n">
        <v>17019</v>
      </c>
      <c r="G22" s="41" t="n">
        <v>0.836</v>
      </c>
      <c r="H22" s="124" t="n">
        <f aca="false">SUM(G22*F22)</f>
        <v>14227.884</v>
      </c>
      <c r="I22" s="1" t="n">
        <v>787</v>
      </c>
      <c r="J22" s="29" t="n">
        <v>6275</v>
      </c>
      <c r="K22" s="95"/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false" customHeight="false" outlineLevel="0" collapsed="false">
      <c r="A23" s="90"/>
      <c r="B23" s="91"/>
      <c r="C23" s="98" t="n">
        <v>0</v>
      </c>
      <c r="D23" s="76"/>
      <c r="E23" s="92" t="n">
        <f aca="false">SUM(D23-C23)</f>
        <v>0</v>
      </c>
      <c r="F23" s="109" t="n">
        <f aca="false">SUM(D23-C23)</f>
        <v>0</v>
      </c>
      <c r="G23" s="41"/>
      <c r="H23" s="94" t="n">
        <f aca="false">SUM(G23*F23)</f>
        <v>0</v>
      </c>
      <c r="I23" s="1"/>
      <c r="J23" s="29"/>
      <c r="K23" s="95"/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" hidden="false" customHeight="false" outlineLevel="0" collapsed="false">
      <c r="A24" s="90"/>
      <c r="B24" s="91"/>
      <c r="C24" s="98" t="n">
        <f aca="false">SUM(D23)</f>
        <v>0</v>
      </c>
      <c r="D24" s="76"/>
      <c r="E24" s="92" t="n">
        <f aca="false">SUM(D24-C24)</f>
        <v>0</v>
      </c>
      <c r="F24" s="109" t="n">
        <f aca="false">SUM(D24-C24)</f>
        <v>0</v>
      </c>
      <c r="G24" s="41"/>
      <c r="H24" s="94" t="n">
        <f aca="false">SUM(G24*F24)</f>
        <v>0</v>
      </c>
      <c r="I24" s="1"/>
      <c r="J24" s="29"/>
      <c r="K24" s="95"/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.75" hidden="false" customHeight="false" outlineLevel="0" collapsed="false">
      <c r="A25" s="90"/>
      <c r="B25" s="91"/>
      <c r="C25" s="98" t="n">
        <f aca="false">SUM(D24)</f>
        <v>0</v>
      </c>
      <c r="D25" s="76"/>
      <c r="E25" s="92" t="n">
        <f aca="false">SUM(D25-C25)</f>
        <v>0</v>
      </c>
      <c r="F25" s="109" t="n">
        <f aca="false">SUM(D25-C25)</f>
        <v>0</v>
      </c>
      <c r="G25" s="41"/>
      <c r="H25" s="94" t="n">
        <f aca="false">SUM(G25*F25)</f>
        <v>0</v>
      </c>
      <c r="I25" s="1"/>
      <c r="J25" s="29"/>
      <c r="K25" s="95"/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" hidden="true" customHeight="false" outlineLevel="0" collapsed="false">
      <c r="A26" s="90"/>
      <c r="B26" s="91"/>
      <c r="C26" s="98" t="n">
        <f aca="false">SUM(D25)</f>
        <v>0</v>
      </c>
      <c r="D26" s="76"/>
      <c r="E26" s="92" t="n">
        <f aca="false">SUM(D26-C26)</f>
        <v>0</v>
      </c>
      <c r="F26" s="109" t="n">
        <f aca="false">SUM(D26-C26)</f>
        <v>0</v>
      </c>
      <c r="G26" s="41"/>
      <c r="H26" s="94" t="n">
        <f aca="false">SUM(G26*F26)</f>
        <v>0</v>
      </c>
      <c r="I26" s="1"/>
      <c r="J26" s="29"/>
      <c r="K26" s="95"/>
      <c r="L26" s="96"/>
      <c r="M26" s="97"/>
      <c r="N26" s="98" t="n">
        <f aca="false">SUM(O25)</f>
        <v>0</v>
      </c>
      <c r="O26" s="99"/>
      <c r="P26" s="109" t="n">
        <f aca="false">SUM(O26-N26)</f>
        <v>0</v>
      </c>
      <c r="Q26" s="101"/>
      <c r="R26" s="94" t="n">
        <f aca="false">SUM(Q26*P26)</f>
        <v>0</v>
      </c>
      <c r="S26" s="103"/>
    </row>
    <row r="27" customFormat="false" ht="15" hidden="true" customHeight="false" outlineLevel="0" collapsed="false">
      <c r="A27" s="90"/>
      <c r="B27" s="91"/>
      <c r="C27" s="98" t="n">
        <f aca="false">SUM(D26)</f>
        <v>0</v>
      </c>
      <c r="D27" s="76"/>
      <c r="E27" s="92" t="n">
        <f aca="false">SUM(D27-C27)</f>
        <v>0</v>
      </c>
      <c r="F27" s="109" t="n">
        <f aca="false">SUM(D27-C27)</f>
        <v>0</v>
      </c>
      <c r="G27" s="41"/>
      <c r="H27" s="94" t="n">
        <f aca="false">SUM(G27*F27)</f>
        <v>0</v>
      </c>
      <c r="I27" s="1"/>
      <c r="J27" s="29"/>
      <c r="K27" s="95"/>
      <c r="L27" s="96"/>
      <c r="M27" s="97"/>
      <c r="N27" s="98" t="n">
        <f aca="false">SUM(O26)</f>
        <v>0</v>
      </c>
      <c r="O27" s="99"/>
      <c r="P27" s="109" t="n">
        <f aca="false">SUM(O27-N27)</f>
        <v>0</v>
      </c>
      <c r="Q27" s="101"/>
      <c r="R27" s="94" t="n">
        <f aca="false">SUM(Q27*P27)</f>
        <v>0</v>
      </c>
      <c r="S27" s="1"/>
    </row>
    <row r="28" customFormat="false" ht="15" hidden="true" customHeight="false" outlineLevel="0" collapsed="false">
      <c r="A28" s="90"/>
      <c r="B28" s="91"/>
      <c r="C28" s="98" t="n">
        <f aca="false">SUM(D27)</f>
        <v>0</v>
      </c>
      <c r="D28" s="76"/>
      <c r="E28" s="92" t="n">
        <f aca="false">SUM(D28-C28)</f>
        <v>0</v>
      </c>
      <c r="F28" s="109" t="n">
        <f aca="false">SUM(D28-C28)</f>
        <v>0</v>
      </c>
      <c r="G28" s="41"/>
      <c r="H28" s="94" t="n">
        <f aca="false">SUM(G28*F28)</f>
        <v>0</v>
      </c>
      <c r="I28" s="1"/>
      <c r="J28" s="29"/>
      <c r="K28" s="95"/>
      <c r="L28" s="96"/>
      <c r="M28" s="97"/>
      <c r="N28" s="98" t="n">
        <f aca="false">SUM(O27)</f>
        <v>0</v>
      </c>
      <c r="O28" s="99"/>
      <c r="P28" s="109" t="n">
        <f aca="false">SUM(O28-N28)</f>
        <v>0</v>
      </c>
      <c r="Q28" s="101"/>
      <c r="R28" s="94" t="n">
        <f aca="false">SUM(Q28*P28)</f>
        <v>0</v>
      </c>
      <c r="S28" s="1"/>
    </row>
    <row r="29" customFormat="false" ht="15" hidden="true" customHeight="false" outlineLevel="0" collapsed="false">
      <c r="A29" s="90"/>
      <c r="B29" s="91"/>
      <c r="C29" s="98" t="n">
        <f aca="false">SUM(D28)</f>
        <v>0</v>
      </c>
      <c r="D29" s="76"/>
      <c r="E29" s="92" t="n">
        <f aca="false">SUM(D29-C29)</f>
        <v>0</v>
      </c>
      <c r="F29" s="109" t="n">
        <f aca="false">SUM(D29-C29)</f>
        <v>0</v>
      </c>
      <c r="G29" s="41"/>
      <c r="H29" s="94" t="n">
        <f aca="false">SUM(G29*F29)</f>
        <v>0</v>
      </c>
      <c r="I29" s="1"/>
      <c r="J29" s="29"/>
      <c r="K29" s="95"/>
      <c r="L29" s="96"/>
      <c r="M29" s="97"/>
      <c r="N29" s="98" t="n">
        <f aca="false">SUM(O28)</f>
        <v>0</v>
      </c>
      <c r="O29" s="99"/>
      <c r="P29" s="109" t="n">
        <f aca="false">SUM(O29-N29)</f>
        <v>0</v>
      </c>
      <c r="Q29" s="101"/>
      <c r="R29" s="94" t="n">
        <f aca="false">SUM(Q29*P29)</f>
        <v>0</v>
      </c>
      <c r="S29" s="1"/>
    </row>
    <row r="30" customFormat="false" ht="15" hidden="true" customHeight="false" outlineLevel="0" collapsed="false">
      <c r="A30" s="90"/>
      <c r="B30" s="91"/>
      <c r="C30" s="98" t="n">
        <f aca="false">SUM(D29)</f>
        <v>0</v>
      </c>
      <c r="D30" s="76"/>
      <c r="E30" s="92" t="n">
        <f aca="false">SUM(D30-C30)</f>
        <v>0</v>
      </c>
      <c r="F30" s="109" t="n">
        <f aca="false">SUM(D30-C30)</f>
        <v>0</v>
      </c>
      <c r="G30" s="41"/>
      <c r="H30" s="94" t="n">
        <f aca="false">SUM(G30*F30)</f>
        <v>0</v>
      </c>
      <c r="I30" s="1"/>
      <c r="J30" s="29"/>
      <c r="K30" s="111"/>
      <c r="L30" s="96"/>
      <c r="M30" s="97"/>
      <c r="N30" s="98" t="n">
        <f aca="false">SUM(O29)</f>
        <v>0</v>
      </c>
      <c r="O30" s="99"/>
      <c r="P30" s="109" t="n">
        <f aca="false">SUM(O30-N30)</f>
        <v>0</v>
      </c>
      <c r="Q30" s="101"/>
      <c r="R30" s="94" t="n">
        <f aca="false">SUM(Q30*P30)</f>
        <v>0</v>
      </c>
      <c r="S30" s="1"/>
    </row>
    <row r="31" customFormat="false" ht="15" hidden="true" customHeight="false" outlineLevel="0" collapsed="false">
      <c r="A31" s="90"/>
      <c r="B31" s="91"/>
      <c r="C31" s="98" t="n">
        <f aca="false">SUM(D30)</f>
        <v>0</v>
      </c>
      <c r="D31" s="76"/>
      <c r="E31" s="92" t="n">
        <f aca="false">SUM(D31-C31)</f>
        <v>0</v>
      </c>
      <c r="F31" s="109" t="n">
        <f aca="false">SUM(D31-C31)</f>
        <v>0</v>
      </c>
      <c r="G31" s="41"/>
      <c r="H31" s="94" t="n">
        <f aca="false">SUM(G31*F31)</f>
        <v>0</v>
      </c>
      <c r="I31" s="1"/>
      <c r="J31" s="29"/>
      <c r="K31" s="95"/>
      <c r="L31" s="96"/>
      <c r="M31" s="97"/>
      <c r="N31" s="98" t="n">
        <f aca="false">SUM(O30)</f>
        <v>0</v>
      </c>
      <c r="O31" s="99"/>
      <c r="P31" s="109" t="n">
        <f aca="false">SUM(O31-N31)</f>
        <v>0</v>
      </c>
      <c r="Q31" s="101"/>
      <c r="R31" s="94" t="n">
        <f aca="false">SUM(Q31*P31)</f>
        <v>0</v>
      </c>
      <c r="S31" s="1"/>
    </row>
    <row r="32" customFormat="false" ht="15" hidden="true" customHeight="false" outlineLevel="0" collapsed="false">
      <c r="A32" s="90"/>
      <c r="B32" s="91"/>
      <c r="C32" s="98" t="n">
        <f aca="false">SUM(D31)</f>
        <v>0</v>
      </c>
      <c r="D32" s="76"/>
      <c r="E32" s="92" t="n">
        <f aca="false">SUM(D32-C32)</f>
        <v>0</v>
      </c>
      <c r="F32" s="109" t="n">
        <f aca="false">SUM(D32-C32)</f>
        <v>0</v>
      </c>
      <c r="G32" s="41"/>
      <c r="H32" s="94" t="n">
        <f aca="false">SUM(G32*F32)</f>
        <v>0</v>
      </c>
      <c r="I32" s="1"/>
      <c r="J32" s="29"/>
      <c r="K32" s="95"/>
      <c r="L32" s="113"/>
      <c r="M32" s="114"/>
      <c r="N32" s="114"/>
      <c r="O32" s="115"/>
      <c r="P32" s="116"/>
      <c r="Q32" s="117"/>
      <c r="R32" s="62"/>
      <c r="S32" s="62"/>
    </row>
    <row r="33" customFormat="false" ht="15" hidden="true" customHeight="false" outlineLevel="0" collapsed="false">
      <c r="A33" s="90"/>
      <c r="B33" s="91"/>
      <c r="C33" s="98" t="n">
        <f aca="false">SUM(D32)</f>
        <v>0</v>
      </c>
      <c r="D33" s="76"/>
      <c r="E33" s="92" t="n">
        <f aca="false">SUM(D33-C33)</f>
        <v>0</v>
      </c>
      <c r="F33" s="109" t="n">
        <f aca="false">SUM(D33-C33)</f>
        <v>0</v>
      </c>
      <c r="G33" s="41"/>
      <c r="H33" s="94" t="n">
        <f aca="false">SUM(G33*F33)</f>
        <v>0</v>
      </c>
      <c r="I33" s="1"/>
      <c r="J33" s="29"/>
      <c r="K33" s="95"/>
      <c r="L33" s="118"/>
      <c r="M33" s="118"/>
      <c r="N33" s="118"/>
      <c r="O33" s="118"/>
      <c r="P33" s="118"/>
      <c r="Q33" s="118"/>
      <c r="R33" s="118"/>
      <c r="S33" s="118"/>
    </row>
    <row r="34" customFormat="false" ht="15" hidden="true" customHeight="false" outlineLevel="0" collapsed="false">
      <c r="A34" s="90"/>
      <c r="B34" s="91"/>
      <c r="C34" s="98" t="n">
        <f aca="false">SUM(D33)</f>
        <v>0</v>
      </c>
      <c r="D34" s="76"/>
      <c r="E34" s="92" t="n">
        <f aca="false">SUM(D34-C34)</f>
        <v>0</v>
      </c>
      <c r="F34" s="109" t="n">
        <f aca="false">SUM(D34-C34)</f>
        <v>0</v>
      </c>
      <c r="G34" s="41"/>
      <c r="H34" s="94" t="n">
        <f aca="false">SUM(G34*F34)</f>
        <v>0</v>
      </c>
      <c r="I34" s="1"/>
      <c r="J34" s="29"/>
      <c r="K34" s="95"/>
      <c r="L34" s="118"/>
      <c r="M34" s="118"/>
      <c r="N34" s="118"/>
      <c r="O34" s="118"/>
      <c r="P34" s="118"/>
      <c r="Q34" s="118"/>
      <c r="R34" s="118"/>
      <c r="S34" s="118"/>
    </row>
    <row r="35" customFormat="false" ht="15" hidden="true" customHeight="false" outlineLevel="0" collapsed="false">
      <c r="A35" s="90"/>
      <c r="B35" s="91"/>
      <c r="C35" s="98" t="n">
        <f aca="false">SUM(D34)</f>
        <v>0</v>
      </c>
      <c r="D35" s="76"/>
      <c r="E35" s="92" t="n">
        <f aca="false">SUM(D35-C35)</f>
        <v>0</v>
      </c>
      <c r="F35" s="109" t="n">
        <f aca="false">SUM(D35-C35)</f>
        <v>0</v>
      </c>
      <c r="G35" s="41"/>
      <c r="H35" s="94" t="n">
        <f aca="false">SUM(G35*F35)</f>
        <v>0</v>
      </c>
      <c r="I35" s="1"/>
      <c r="J35" s="29"/>
      <c r="K35" s="95"/>
      <c r="L35" s="118"/>
      <c r="M35" s="118"/>
      <c r="N35" s="118"/>
      <c r="O35" s="118"/>
      <c r="P35" s="118"/>
      <c r="Q35" s="118"/>
      <c r="R35" s="118"/>
      <c r="S35" s="118"/>
    </row>
    <row r="36" customFormat="false" ht="15" hidden="true" customHeight="false" outlineLevel="0" collapsed="false">
      <c r="A36" s="90"/>
      <c r="B36" s="91"/>
      <c r="C36" s="98" t="n">
        <f aca="false">SUM(D35)</f>
        <v>0</v>
      </c>
      <c r="D36" s="76"/>
      <c r="E36" s="92" t="n">
        <f aca="false">SUM(D36-C36)</f>
        <v>0</v>
      </c>
      <c r="F36" s="109" t="n">
        <f aca="false">SUM(D36-C36)</f>
        <v>0</v>
      </c>
      <c r="G36" s="41"/>
      <c r="H36" s="94" t="n">
        <f aca="false">SUM(G36*F36)</f>
        <v>0</v>
      </c>
      <c r="I36" s="1"/>
      <c r="J36" s="29"/>
      <c r="K36" s="95"/>
      <c r="L36" s="118"/>
      <c r="M36" s="118"/>
      <c r="N36" s="118"/>
      <c r="O36" s="118"/>
      <c r="P36" s="118"/>
      <c r="Q36" s="118"/>
      <c r="R36" s="118"/>
      <c r="S36" s="118"/>
    </row>
    <row r="37" customFormat="false" ht="15" hidden="true" customHeight="false" outlineLevel="0" collapsed="false">
      <c r="A37" s="90"/>
      <c r="B37" s="91"/>
      <c r="C37" s="98" t="n">
        <f aca="false">SUM(D36)</f>
        <v>0</v>
      </c>
      <c r="D37" s="76"/>
      <c r="E37" s="92" t="n">
        <f aca="false">SUM(D37-C37)</f>
        <v>0</v>
      </c>
      <c r="F37" s="131" t="n">
        <f aca="false">SUM(D37-C37)</f>
        <v>0</v>
      </c>
      <c r="G37" s="41"/>
      <c r="H37" s="132" t="n">
        <f aca="false">SUM(G37*F37)</f>
        <v>0</v>
      </c>
      <c r="I37" s="1"/>
      <c r="J37" s="1"/>
      <c r="K37" s="95"/>
      <c r="L37" s="118"/>
      <c r="M37" s="118"/>
      <c r="N37" s="118"/>
      <c r="O37" s="118"/>
      <c r="P37" s="118"/>
      <c r="Q37" s="118"/>
      <c r="R37" s="118"/>
      <c r="S37" s="118"/>
    </row>
    <row r="38" customFormat="false" ht="15.75" hidden="false" customHeight="false" outlineLevel="0" collapsed="false">
      <c r="A38" s="90"/>
      <c r="B38" s="91"/>
      <c r="C38" s="98" t="n">
        <f aca="false">SUM(D37)</f>
        <v>0</v>
      </c>
      <c r="D38" s="76"/>
      <c r="E38" s="110"/>
      <c r="F38" s="133" t="n">
        <f aca="false">SUM(F3:F37)</f>
        <v>285315</v>
      </c>
      <c r="G38" s="134"/>
      <c r="H38" s="135" t="n">
        <f aca="false">SUM(H3:H25)</f>
        <v>239057.3405</v>
      </c>
      <c r="I38" s="136"/>
      <c r="J38" s="1"/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89"/>
      <c r="B39" s="82" t="s">
        <v>49</v>
      </c>
      <c r="C39" s="83"/>
      <c r="D39" s="83"/>
      <c r="E39" s="83"/>
      <c r="F39" s="137"/>
      <c r="G39" s="84"/>
      <c r="H39" s="138"/>
      <c r="I39" s="86"/>
      <c r="J39" s="86"/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0.416666666666667</v>
      </c>
      <c r="B40" s="127" t="s">
        <v>59</v>
      </c>
      <c r="C40" s="108" t="n">
        <v>3720040</v>
      </c>
      <c r="D40" s="108" t="n">
        <v>3736950</v>
      </c>
      <c r="E40" s="92" t="n">
        <f aca="false">SUM(D40-C40)</f>
        <v>16910</v>
      </c>
      <c r="F40" s="129" t="n">
        <v>17019</v>
      </c>
      <c r="G40" s="41" t="n">
        <v>0.8286</v>
      </c>
      <c r="H40" s="128" t="n">
        <f aca="false">SUM(G40*F40)</f>
        <v>14101.9434</v>
      </c>
      <c r="I40" s="29" t="n">
        <v>251</v>
      </c>
      <c r="J40" s="29" t="n">
        <v>6234</v>
      </c>
      <c r="K40" s="120" t="s">
        <v>60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4.25" hidden="false" customHeight="true" outlineLevel="0" collapsed="false">
      <c r="A41" s="90" t="n">
        <v>0.430555555555556</v>
      </c>
      <c r="B41" s="91" t="s">
        <v>59</v>
      </c>
      <c r="C41" s="98" t="n">
        <f aca="false">SUM(D40)</f>
        <v>3736950</v>
      </c>
      <c r="D41" s="108" t="n">
        <v>3743340</v>
      </c>
      <c r="E41" s="92" t="n">
        <f aca="false">SUM(D41-C41)</f>
        <v>6390</v>
      </c>
      <c r="F41" s="109" t="n">
        <f aca="false">SUM(D41-C41)</f>
        <v>6390</v>
      </c>
      <c r="G41" s="41" t="n">
        <v>0.8286</v>
      </c>
      <c r="H41" s="128" t="n">
        <f aca="false">SUM(G41*F41)</f>
        <v>5294.754</v>
      </c>
      <c r="I41" s="29" t="n">
        <v>382</v>
      </c>
      <c r="J41" s="29" t="n">
        <v>6235</v>
      </c>
      <c r="K41" s="120" t="s">
        <v>60</v>
      </c>
      <c r="L41" s="118"/>
      <c r="M41" s="118"/>
      <c r="N41" s="118"/>
      <c r="O41" s="118"/>
      <c r="P41" s="118"/>
      <c r="Q41" s="118"/>
      <c r="R41" s="118"/>
      <c r="S41" s="118"/>
    </row>
    <row r="42" customFormat="false" ht="15" hidden="false" customHeight="true" outlineLevel="0" collapsed="false">
      <c r="A42" s="90" t="n">
        <v>0.4375</v>
      </c>
      <c r="B42" s="91" t="s">
        <v>59</v>
      </c>
      <c r="C42" s="98" t="n">
        <f aca="false">SUM(D41)</f>
        <v>3743340</v>
      </c>
      <c r="D42" s="108" t="n">
        <v>3749410</v>
      </c>
      <c r="E42" s="92" t="n">
        <f aca="false">SUM(D42-C42)</f>
        <v>6070</v>
      </c>
      <c r="F42" s="109" t="n">
        <f aca="false">SUM(D42-C42)</f>
        <v>6070</v>
      </c>
      <c r="G42" s="41" t="n">
        <v>0.8286</v>
      </c>
      <c r="H42" s="128" t="n">
        <f aca="false">SUM(G42*F42)</f>
        <v>5029.602</v>
      </c>
      <c r="I42" s="29" t="n">
        <v>81</v>
      </c>
      <c r="J42" s="29" t="n">
        <v>6236</v>
      </c>
      <c r="K42" s="120" t="s">
        <v>60</v>
      </c>
      <c r="L42" s="118"/>
      <c r="M42" s="118"/>
      <c r="N42" s="118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0.447916666666667</v>
      </c>
      <c r="B43" s="91" t="s">
        <v>59</v>
      </c>
      <c r="C43" s="98" t="n">
        <f aca="false">SUM(D42)</f>
        <v>3749410</v>
      </c>
      <c r="D43" s="108" t="n">
        <v>3755860</v>
      </c>
      <c r="E43" s="92" t="n">
        <f aca="false">SUM(D43-C43)</f>
        <v>6450</v>
      </c>
      <c r="F43" s="109" t="n">
        <f aca="false">SUM(D43-C43)</f>
        <v>6450</v>
      </c>
      <c r="G43" s="41" t="n">
        <v>0.8286</v>
      </c>
      <c r="H43" s="128" t="n">
        <f aca="false">SUM(G43*F43)</f>
        <v>5344.47</v>
      </c>
      <c r="I43" s="29" t="n">
        <v>57</v>
      </c>
      <c r="J43" s="29" t="n">
        <v>6238</v>
      </c>
      <c r="K43" s="120" t="s">
        <v>60</v>
      </c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0.458333333333333</v>
      </c>
      <c r="B44" s="122" t="s">
        <v>57</v>
      </c>
      <c r="C44" s="98" t="n">
        <f aca="false">SUM(D43)</f>
        <v>3755860</v>
      </c>
      <c r="D44" s="108" t="n">
        <v>3760830</v>
      </c>
      <c r="E44" s="92" t="n">
        <f aca="false">SUM(D44-C44)</f>
        <v>4970</v>
      </c>
      <c r="F44" s="109" t="n">
        <f aca="false">SUM(D44-C44)</f>
        <v>4970</v>
      </c>
      <c r="G44" s="41" t="n">
        <v>0.8278</v>
      </c>
      <c r="H44" s="124" t="n">
        <f aca="false">SUM(G44*F44)</f>
        <v>4114.166</v>
      </c>
      <c r="I44" s="29" t="n">
        <v>119</v>
      </c>
      <c r="J44" s="29" t="n">
        <v>6239</v>
      </c>
      <c r="K44" s="119" t="s">
        <v>58</v>
      </c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0.465277777777778</v>
      </c>
      <c r="B45" s="139" t="s">
        <v>62</v>
      </c>
      <c r="C45" s="98" t="n">
        <f aca="false">SUM(D44)</f>
        <v>3760830</v>
      </c>
      <c r="D45" s="108" t="n">
        <v>3777830</v>
      </c>
      <c r="E45" s="92" t="n">
        <f aca="false">SUM(D45-C45)</f>
        <v>17000</v>
      </c>
      <c r="F45" s="129" t="n">
        <v>17019</v>
      </c>
      <c r="G45" s="41" t="n">
        <v>0.831</v>
      </c>
      <c r="H45" s="140" t="n">
        <f aca="false">SUM(G45*F45)</f>
        <v>14142.789</v>
      </c>
      <c r="I45" s="29" t="n">
        <v>251</v>
      </c>
      <c r="J45" s="29" t="n">
        <v>6240</v>
      </c>
      <c r="K45" s="119" t="s">
        <v>58</v>
      </c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0.583333333333333</v>
      </c>
      <c r="B46" s="91" t="s">
        <v>59</v>
      </c>
      <c r="C46" s="98" t="n">
        <f aca="false">O18</f>
        <v>3777920</v>
      </c>
      <c r="D46" s="108" t="n">
        <v>3785880</v>
      </c>
      <c r="E46" s="92" t="n">
        <f aca="false">SUM(D46-C46)</f>
        <v>7960</v>
      </c>
      <c r="F46" s="109" t="n">
        <f aca="false">SUM(D46-C46)</f>
        <v>7960</v>
      </c>
      <c r="G46" s="41" t="n">
        <v>0.8286</v>
      </c>
      <c r="H46" s="128" t="n">
        <f aca="false">SUM(G46*F46)</f>
        <v>6595.656</v>
      </c>
      <c r="I46" s="29" t="n">
        <v>81</v>
      </c>
      <c r="J46" s="29" t="n">
        <v>6246</v>
      </c>
      <c r="K46" s="120" t="s">
        <v>60</v>
      </c>
      <c r="L46" s="118"/>
      <c r="M46" s="118"/>
      <c r="N46" s="95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0.59375</v>
      </c>
      <c r="B47" s="91" t="s">
        <v>59</v>
      </c>
      <c r="C47" s="98" t="n">
        <f aca="false">SUM(D46)</f>
        <v>3785880</v>
      </c>
      <c r="D47" s="108" t="n">
        <v>3793740</v>
      </c>
      <c r="E47" s="92" t="n">
        <f aca="false">SUM(D47-C47)</f>
        <v>7860</v>
      </c>
      <c r="F47" s="109" t="n">
        <f aca="false">SUM(D47-C47)</f>
        <v>7860</v>
      </c>
      <c r="G47" s="41" t="n">
        <v>0.8286</v>
      </c>
      <c r="H47" s="128" t="n">
        <f aca="false">SUM(G47*F47)</f>
        <v>6512.796</v>
      </c>
      <c r="I47" s="29" t="n">
        <v>57</v>
      </c>
      <c r="J47" s="29" t="n">
        <v>6247</v>
      </c>
      <c r="K47" s="120" t="s">
        <v>60</v>
      </c>
      <c r="L47" s="118"/>
      <c r="M47" s="118"/>
      <c r="N47" s="95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0.71875</v>
      </c>
      <c r="B48" s="125" t="s">
        <v>61</v>
      </c>
      <c r="C48" s="98" t="n">
        <f aca="false">SUM(D47)</f>
        <v>3793740</v>
      </c>
      <c r="D48" s="108" t="n">
        <v>3803720</v>
      </c>
      <c r="E48" s="92" t="n">
        <f aca="false">SUM(D48-C48)</f>
        <v>9980</v>
      </c>
      <c r="F48" s="129" t="n">
        <v>9986</v>
      </c>
      <c r="G48" s="41" t="n">
        <v>0.828</v>
      </c>
      <c r="H48" s="126" t="n">
        <f aca="false">SUM(G48*F48)</f>
        <v>8268.408</v>
      </c>
      <c r="I48" s="29" t="n">
        <v>251</v>
      </c>
      <c r="J48" s="29" t="n">
        <v>6249</v>
      </c>
      <c r="K48" s="141" t="s">
        <v>70</v>
      </c>
      <c r="L48" s="118"/>
      <c r="M48" s="118"/>
      <c r="N48" s="95"/>
      <c r="O48" s="118"/>
      <c r="P48" s="118"/>
      <c r="Q48" s="118"/>
      <c r="R48" s="118"/>
      <c r="S48" s="118"/>
    </row>
    <row r="49" customFormat="false" ht="15" hidden="false" customHeight="true" outlineLevel="0" collapsed="false">
      <c r="A49" s="90" t="n">
        <v>0.71875</v>
      </c>
      <c r="B49" s="91" t="s">
        <v>61</v>
      </c>
      <c r="C49" s="98" t="n">
        <f aca="false">SUM(D48)</f>
        <v>3803720</v>
      </c>
      <c r="D49" s="108" t="n">
        <v>3810800</v>
      </c>
      <c r="E49" s="92" t="n">
        <f aca="false">SUM(D49-C49)</f>
        <v>7080</v>
      </c>
      <c r="F49" s="129" t="n">
        <v>7033</v>
      </c>
      <c r="G49" s="41" t="n">
        <v>0.828</v>
      </c>
      <c r="H49" s="126" t="n">
        <f aca="false">SUM(G49*F49)</f>
        <v>5823.324</v>
      </c>
      <c r="I49" s="29" t="n">
        <v>251</v>
      </c>
      <c r="J49" s="29" t="n">
        <v>6250</v>
      </c>
      <c r="K49" s="141" t="s">
        <v>70</v>
      </c>
      <c r="L49" s="118"/>
      <c r="M49" s="118"/>
      <c r="N49" s="95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0.784722222222222</v>
      </c>
      <c r="B50" s="91" t="s">
        <v>62</v>
      </c>
      <c r="C50" s="98" t="n">
        <f aca="false">SUM(D49)</f>
        <v>3810800</v>
      </c>
      <c r="D50" s="108" t="n">
        <v>3827760</v>
      </c>
      <c r="E50" s="92" t="n">
        <f aca="false">SUM(D50-C50)</f>
        <v>16960</v>
      </c>
      <c r="F50" s="129" t="n">
        <v>17019</v>
      </c>
      <c r="G50" s="41" t="n">
        <v>0.8295</v>
      </c>
      <c r="H50" s="140" t="n">
        <f aca="false">SUM(G50*F50)</f>
        <v>14117.2605</v>
      </c>
      <c r="I50" s="29" t="n">
        <v>251</v>
      </c>
      <c r="J50" s="29" t="n">
        <v>6252</v>
      </c>
      <c r="K50" s="119" t="s">
        <v>58</v>
      </c>
      <c r="L50" s="118"/>
      <c r="M50" s="118"/>
      <c r="N50" s="118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 t="n">
        <v>0.798611111111111</v>
      </c>
      <c r="B51" s="91" t="s">
        <v>61</v>
      </c>
      <c r="C51" s="98" t="n">
        <f aca="false">SUM(D50)</f>
        <v>3827760</v>
      </c>
      <c r="D51" s="108" t="n">
        <v>3834520</v>
      </c>
      <c r="E51" s="92" t="n">
        <f aca="false">SUM(D51-C51)</f>
        <v>6760</v>
      </c>
      <c r="F51" s="109" t="n">
        <f aca="false">SUM(D51-C51)</f>
        <v>6760</v>
      </c>
      <c r="G51" s="41" t="n">
        <v>0.828</v>
      </c>
      <c r="H51" s="126" t="n">
        <f aca="false">SUM(G51*F51)</f>
        <v>5597.28</v>
      </c>
      <c r="I51" s="29" t="n">
        <v>81</v>
      </c>
      <c r="J51" s="29" t="n">
        <v>6254</v>
      </c>
      <c r="K51" s="141" t="s">
        <v>70</v>
      </c>
      <c r="L51" s="118"/>
      <c r="M51" s="118"/>
      <c r="N51" s="118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 t="n">
        <v>0.826388888888889</v>
      </c>
      <c r="B52" s="91" t="s">
        <v>61</v>
      </c>
      <c r="C52" s="98" t="n">
        <f aca="false">SUM(D51)</f>
        <v>3834520</v>
      </c>
      <c r="D52" s="108" t="n">
        <v>3844500</v>
      </c>
      <c r="E52" s="92" t="n">
        <f aca="false">SUM(D52-C52)</f>
        <v>9980</v>
      </c>
      <c r="F52" s="129" t="n">
        <v>9986</v>
      </c>
      <c r="G52" s="41" t="n">
        <v>0.828</v>
      </c>
      <c r="H52" s="126" t="n">
        <f aca="false">SUM(G52*F52)</f>
        <v>8268.408</v>
      </c>
      <c r="I52" s="29" t="n">
        <v>251</v>
      </c>
      <c r="J52" s="29" t="n">
        <v>6255</v>
      </c>
      <c r="K52" s="141" t="s">
        <v>70</v>
      </c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 t="n">
        <v>0.826388888888889</v>
      </c>
      <c r="B53" s="91" t="s">
        <v>61</v>
      </c>
      <c r="C53" s="98" t="n">
        <f aca="false">SUM(D52)</f>
        <v>3844500</v>
      </c>
      <c r="D53" s="108" t="n">
        <v>3851570</v>
      </c>
      <c r="E53" s="92" t="n">
        <f aca="false">SUM(D53-C53)</f>
        <v>7070</v>
      </c>
      <c r="F53" s="129" t="n">
        <v>7033</v>
      </c>
      <c r="G53" s="41" t="n">
        <v>0.828</v>
      </c>
      <c r="H53" s="126" t="n">
        <f aca="false">SUM(G53*F53)</f>
        <v>5823.324</v>
      </c>
      <c r="I53" s="29" t="n">
        <v>251</v>
      </c>
      <c r="J53" s="29" t="n">
        <v>6255</v>
      </c>
      <c r="K53" s="120" t="s">
        <v>60</v>
      </c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 t="n">
        <v>0.875</v>
      </c>
      <c r="B54" s="91" t="s">
        <v>62</v>
      </c>
      <c r="C54" s="98" t="n">
        <f aca="false">SUM(D53)</f>
        <v>3851570</v>
      </c>
      <c r="D54" s="108" t="n">
        <v>3862680</v>
      </c>
      <c r="E54" s="92" t="n">
        <f aca="false">SUM(D54-C54)</f>
        <v>11110</v>
      </c>
      <c r="F54" s="109" t="n">
        <f aca="false">SUM(D54-C54)</f>
        <v>11110</v>
      </c>
      <c r="G54" s="41" t="n">
        <v>0.829</v>
      </c>
      <c r="H54" s="140" t="n">
        <f aca="false">SUM(G54*F54)</f>
        <v>9210.19</v>
      </c>
      <c r="I54" s="1" t="n">
        <v>119</v>
      </c>
      <c r="J54" s="29" t="n">
        <v>6256</v>
      </c>
      <c r="K54" s="119" t="s">
        <v>58</v>
      </c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 t="n">
        <v>0.885416666666667</v>
      </c>
      <c r="B55" s="91" t="s">
        <v>61</v>
      </c>
      <c r="C55" s="98" t="n">
        <f aca="false">SUM(D54)</f>
        <v>3862680</v>
      </c>
      <c r="D55" s="108" t="n">
        <v>3872220</v>
      </c>
      <c r="E55" s="92" t="n">
        <f aca="false">SUM(D55-C55)</f>
        <v>9540</v>
      </c>
      <c r="F55" s="142" t="n">
        <v>9540</v>
      </c>
      <c r="G55" s="41" t="n">
        <v>0.8265</v>
      </c>
      <c r="H55" s="126" t="n">
        <f aca="false">SUM(G55*F55)</f>
        <v>7884.81</v>
      </c>
      <c r="I55" s="1" t="n">
        <v>467</v>
      </c>
      <c r="J55" s="29" t="n">
        <v>6257</v>
      </c>
      <c r="K55" s="120" t="s">
        <v>60</v>
      </c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 t="n">
        <v>0.885416666666667</v>
      </c>
      <c r="B56" s="91" t="s">
        <v>50</v>
      </c>
      <c r="C56" s="98" t="n">
        <f aca="false">SUM(D55)</f>
        <v>3872220</v>
      </c>
      <c r="D56" s="108" t="n">
        <v>3877760</v>
      </c>
      <c r="E56" s="92" t="n">
        <f aca="false">SUM(D56-C56)</f>
        <v>5540</v>
      </c>
      <c r="F56" s="142" t="n">
        <v>5500</v>
      </c>
      <c r="G56" s="41" t="n">
        <v>0.838</v>
      </c>
      <c r="H56" s="94" t="n">
        <f aca="false">SUM(G56*F56)</f>
        <v>4609</v>
      </c>
      <c r="I56" s="1" t="n">
        <v>467</v>
      </c>
      <c r="J56" s="29" t="n">
        <v>6257</v>
      </c>
      <c r="K56" s="143" t="s">
        <v>71</v>
      </c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A57" s="90" t="n">
        <v>0.899305555555555</v>
      </c>
      <c r="B57" s="91" t="s">
        <v>50</v>
      </c>
      <c r="C57" s="98" t="n">
        <f aca="false">SUM(D56)</f>
        <v>3877760</v>
      </c>
      <c r="D57" s="108" t="n">
        <v>3887740</v>
      </c>
      <c r="E57" s="92" t="n">
        <f aca="false">SUM(D57-C57)</f>
        <v>9980</v>
      </c>
      <c r="F57" s="129" t="n">
        <v>9986</v>
      </c>
      <c r="G57" s="41" t="n">
        <v>0.838</v>
      </c>
      <c r="H57" s="94" t="n">
        <f aca="false">SUM(G57*F57)</f>
        <v>8368.268</v>
      </c>
      <c r="I57" s="1" t="n">
        <v>251</v>
      </c>
      <c r="J57" s="29" t="n">
        <v>6259</v>
      </c>
      <c r="K57" s="143" t="s">
        <v>71</v>
      </c>
      <c r="L57" s="118"/>
      <c r="M57" s="118"/>
      <c r="N57" s="118"/>
      <c r="O57" s="118"/>
      <c r="P57" s="118"/>
      <c r="Q57" s="118"/>
      <c r="R57" s="118"/>
      <c r="S57" s="118"/>
    </row>
    <row r="58" customFormat="false" ht="15" hidden="false" customHeight="false" outlineLevel="0" collapsed="false">
      <c r="A58" s="90" t="n">
        <v>0.909722222222222</v>
      </c>
      <c r="B58" s="144" t="s">
        <v>72</v>
      </c>
      <c r="C58" s="98" t="n">
        <f aca="false">SUM(D57)</f>
        <v>3887740</v>
      </c>
      <c r="D58" s="108" t="n">
        <v>3893760</v>
      </c>
      <c r="E58" s="92" t="n">
        <f aca="false">SUM(D58-C58)</f>
        <v>6020</v>
      </c>
      <c r="F58" s="109" t="n">
        <f aca="false">SUM(D58-C58)</f>
        <v>6020</v>
      </c>
      <c r="G58" s="41" t="n">
        <v>0.828</v>
      </c>
      <c r="H58" s="145" t="n">
        <f aca="false">SUM(G58*F58)</f>
        <v>4984.56</v>
      </c>
      <c r="I58" s="1" t="n">
        <v>57</v>
      </c>
      <c r="J58" s="29" t="n">
        <v>6261</v>
      </c>
      <c r="K58" s="120" t="s">
        <v>60</v>
      </c>
      <c r="L58" s="118"/>
      <c r="M58" s="118"/>
      <c r="N58" s="118"/>
      <c r="O58" s="118"/>
      <c r="P58" s="118"/>
      <c r="Q58" s="118"/>
      <c r="R58" s="118"/>
      <c r="S58" s="118"/>
    </row>
    <row r="59" customFormat="false" ht="15" hidden="false" customHeight="false" outlineLevel="0" collapsed="false">
      <c r="A59" s="90" t="n">
        <v>0.954861111111111</v>
      </c>
      <c r="B59" s="91" t="s">
        <v>72</v>
      </c>
      <c r="C59" s="98" t="n">
        <f aca="false">SUM(D58)</f>
        <v>3893760</v>
      </c>
      <c r="D59" s="108" t="n">
        <v>3903720</v>
      </c>
      <c r="E59" s="92" t="n">
        <f aca="false">SUM(D59-C59)</f>
        <v>9960</v>
      </c>
      <c r="F59" s="109" t="n">
        <f aca="false">SUM(D59-C59)</f>
        <v>9960</v>
      </c>
      <c r="G59" s="41" t="n">
        <v>0.828</v>
      </c>
      <c r="H59" s="145" t="n">
        <f aca="false">SUM(G59*F59)</f>
        <v>8246.88</v>
      </c>
      <c r="I59" s="1" t="n">
        <v>382</v>
      </c>
      <c r="J59" s="29" t="n">
        <v>6264</v>
      </c>
      <c r="K59" s="120" t="s">
        <v>60</v>
      </c>
      <c r="L59" s="118"/>
      <c r="M59" s="118"/>
      <c r="N59" s="118"/>
      <c r="O59" s="118"/>
      <c r="P59" s="118"/>
      <c r="Q59" s="118"/>
      <c r="R59" s="118"/>
      <c r="S59" s="118"/>
    </row>
    <row r="60" customFormat="false" ht="15" hidden="false" customHeight="false" outlineLevel="0" collapsed="false">
      <c r="A60" s="90" t="n">
        <v>0.0625</v>
      </c>
      <c r="B60" s="91" t="s">
        <v>72</v>
      </c>
      <c r="C60" s="98" t="n">
        <f aca="false">SUM(D59)</f>
        <v>3903720</v>
      </c>
      <c r="D60" s="108" t="n">
        <v>3909660</v>
      </c>
      <c r="E60" s="92" t="n">
        <f aca="false">SUM(D60-C60)</f>
        <v>5940</v>
      </c>
      <c r="F60" s="109" t="n">
        <f aca="false">SUM(D60-C60)</f>
        <v>5940</v>
      </c>
      <c r="G60" s="41" t="n">
        <v>0.828</v>
      </c>
      <c r="H60" s="145" t="n">
        <f aca="false">SUM(G60*F60)</f>
        <v>4918.32</v>
      </c>
      <c r="I60" s="1" t="n">
        <v>57</v>
      </c>
      <c r="J60" s="29" t="n">
        <v>6267</v>
      </c>
      <c r="K60" s="120" t="s">
        <v>60</v>
      </c>
      <c r="L60" s="118"/>
      <c r="M60" s="118"/>
      <c r="N60" s="118"/>
      <c r="O60" s="118"/>
      <c r="P60" s="118"/>
      <c r="Q60" s="118"/>
      <c r="R60" s="118"/>
      <c r="S60" s="118"/>
    </row>
    <row r="61" customFormat="false" ht="15" hidden="false" customHeight="false" outlineLevel="0" collapsed="false">
      <c r="A61" s="90" t="n">
        <v>0.0694444444444444</v>
      </c>
      <c r="B61" s="91" t="s">
        <v>72</v>
      </c>
      <c r="C61" s="98" t="n">
        <f aca="false">SUM(D60)</f>
        <v>3909660</v>
      </c>
      <c r="D61" s="108" t="n">
        <v>3916310</v>
      </c>
      <c r="E61" s="92" t="n">
        <f aca="false">SUM(D61-C61)</f>
        <v>6650</v>
      </c>
      <c r="F61" s="109" t="n">
        <f aca="false">SUM(D61-C61)</f>
        <v>6650</v>
      </c>
      <c r="G61" s="41" t="n">
        <v>0.828</v>
      </c>
      <c r="H61" s="145" t="n">
        <f aca="false">SUM(G61*F61)</f>
        <v>5506.2</v>
      </c>
      <c r="I61" s="1" t="n">
        <v>81</v>
      </c>
      <c r="J61" s="29" t="n">
        <v>6268</v>
      </c>
      <c r="K61" s="120" t="s">
        <v>60</v>
      </c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A62" s="90" t="n">
        <v>0.177083333333333</v>
      </c>
      <c r="B62" s="91" t="s">
        <v>57</v>
      </c>
      <c r="C62" s="98" t="n">
        <f aca="false">SUM(D61)</f>
        <v>3916310</v>
      </c>
      <c r="D62" s="108" t="n">
        <v>3933330</v>
      </c>
      <c r="E62" s="92" t="n">
        <f aca="false">SUM(D62-C62)</f>
        <v>17020</v>
      </c>
      <c r="F62" s="129" t="n">
        <v>17019</v>
      </c>
      <c r="G62" s="41" t="n">
        <v>0.8275</v>
      </c>
      <c r="H62" s="124" t="n">
        <f aca="false">SUM(G62*F62)</f>
        <v>14083.2225</v>
      </c>
      <c r="I62" s="1" t="n">
        <v>251</v>
      </c>
      <c r="J62" s="29" t="n">
        <v>6269</v>
      </c>
      <c r="K62" s="119" t="s">
        <v>58</v>
      </c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A63" s="90" t="n">
        <v>0.263888888888889</v>
      </c>
      <c r="B63" s="91" t="s">
        <v>57</v>
      </c>
      <c r="C63" s="98" t="n">
        <f aca="false">O19</f>
        <v>3933470</v>
      </c>
      <c r="D63" s="108" t="n">
        <v>3950490</v>
      </c>
      <c r="E63" s="92" t="n">
        <f aca="false">SUM(D63-C63)</f>
        <v>17020</v>
      </c>
      <c r="F63" s="129" t="n">
        <v>17019</v>
      </c>
      <c r="G63" s="41" t="n">
        <v>0.8275</v>
      </c>
      <c r="H63" s="124" t="n">
        <f aca="false">SUM(G63*F63)</f>
        <v>14083.2225</v>
      </c>
      <c r="I63" s="1" t="n">
        <v>251</v>
      </c>
      <c r="J63" s="29" t="n">
        <v>6273</v>
      </c>
      <c r="K63" s="119" t="s">
        <v>58</v>
      </c>
      <c r="L63" s="118"/>
      <c r="M63" s="118"/>
      <c r="N63" s="118"/>
      <c r="O63" s="118"/>
      <c r="P63" s="118"/>
      <c r="Q63" s="118"/>
      <c r="R63" s="118"/>
      <c r="S63" s="118"/>
    </row>
    <row r="64" customFormat="false" ht="15.75" hidden="false" customHeight="false" outlineLevel="0" collapsed="false">
      <c r="A64" s="90"/>
      <c r="B64" s="91"/>
      <c r="C64" s="98" t="n">
        <v>0</v>
      </c>
      <c r="D64" s="76"/>
      <c r="E64" s="92" t="n">
        <f aca="false">SUM(D64-C64)</f>
        <v>0</v>
      </c>
      <c r="F64" s="131" t="n">
        <f aca="false">SUM(D64-C64)</f>
        <v>0</v>
      </c>
      <c r="G64" s="41"/>
      <c r="H64" s="132" t="n">
        <f aca="false">SUM(G64*F64)</f>
        <v>0</v>
      </c>
      <c r="I64" s="1"/>
      <c r="J64" s="29"/>
      <c r="K64" s="118"/>
      <c r="L64" s="118"/>
      <c r="M64" s="118"/>
      <c r="N64" s="118"/>
      <c r="O64" s="118"/>
      <c r="P64" s="118"/>
      <c r="Q64" s="118"/>
      <c r="R64" s="118"/>
      <c r="S64" s="118"/>
    </row>
    <row r="65" customFormat="false" ht="15.75" hidden="false" customHeight="false" outlineLevel="0" collapsed="false">
      <c r="A65" s="90"/>
      <c r="B65" s="91"/>
      <c r="C65" s="98" t="n">
        <f aca="false">SUM(D64)</f>
        <v>0</v>
      </c>
      <c r="D65" s="76"/>
      <c r="E65" s="110" t="n">
        <f aca="false">SUM(D65-C65)</f>
        <v>0</v>
      </c>
      <c r="F65" s="133" t="n">
        <f aca="false">SUM(F40:F64)</f>
        <v>230299</v>
      </c>
      <c r="G65" s="134"/>
      <c r="H65" s="135" t="n">
        <f aca="false">SUM(H40:H64)</f>
        <v>190928.8539</v>
      </c>
      <c r="I65" s="136"/>
      <c r="J65" s="29"/>
      <c r="K65" s="121"/>
      <c r="L65" s="118"/>
      <c r="M65" s="118"/>
      <c r="N65" s="118"/>
      <c r="O65" s="118"/>
      <c r="P65" s="118"/>
      <c r="Q65" s="118"/>
      <c r="R65" s="118"/>
      <c r="S65" s="118"/>
    </row>
    <row r="66" customFormat="false" ht="15.75" hidden="false" customHeight="false" outlineLevel="0" collapsed="false">
      <c r="L66" s="118"/>
      <c r="M66" s="118"/>
      <c r="N66" s="118"/>
      <c r="O66" s="118"/>
      <c r="P66" s="118"/>
      <c r="Q66" s="118"/>
      <c r="R66" s="118"/>
      <c r="S66" s="118"/>
    </row>
    <row r="67" customFormat="false" ht="15.75" hidden="false" customHeight="false" outlineLevel="0" collapsed="false">
      <c r="F67" s="146" t="n">
        <f aca="false">F65+F38</f>
        <v>515614</v>
      </c>
      <c r="G67" s="134"/>
      <c r="H67" s="135" t="n">
        <f aca="false">H65+H38</f>
        <v>429986.1944</v>
      </c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E68" s="118"/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false" customHeight="false" outlineLevel="0" collapsed="false">
      <c r="E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false" customHeight="false" outlineLevel="0" collapsed="false">
      <c r="E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false" customHeight="false" outlineLevel="0" collapsed="false">
      <c r="E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false" customHeight="false" outlineLevel="0" collapsed="false">
      <c r="E72" s="118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fals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fals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fals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fals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fals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fals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fals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tru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tru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true" customHeight="false" outlineLevel="0" collapsed="false">
      <c r="E87" s="118"/>
      <c r="L87" s="118"/>
      <c r="M87" s="118"/>
      <c r="N87" s="118"/>
      <c r="O87" s="118"/>
      <c r="P87" s="118"/>
      <c r="Q87" s="118"/>
      <c r="R87" s="118"/>
      <c r="S87" s="118"/>
    </row>
    <row r="88" customFormat="false" ht="15" hidden="true" customHeight="false" outlineLevel="0" collapsed="false">
      <c r="E88" s="118"/>
      <c r="L88" s="118"/>
      <c r="M88" s="118"/>
      <c r="N88" s="118"/>
      <c r="O88" s="118"/>
      <c r="P88" s="118"/>
      <c r="Q88" s="118"/>
      <c r="R88" s="118"/>
      <c r="S88" s="118"/>
    </row>
    <row r="89" customFormat="false" ht="15" hidden="true" customHeight="false" outlineLevel="0" collapsed="false">
      <c r="E89" s="118"/>
      <c r="L89" s="118"/>
      <c r="M89" s="118"/>
      <c r="N89" s="118"/>
      <c r="O89" s="118"/>
      <c r="P89" s="118"/>
      <c r="Q89" s="118"/>
      <c r="R89" s="118"/>
      <c r="S89" s="118"/>
    </row>
    <row r="90" customFormat="false" ht="15" hidden="false" customHeight="false" outlineLevel="0" collapsed="false">
      <c r="E90" s="118"/>
      <c r="L90" s="118"/>
      <c r="M90" s="118"/>
      <c r="N90" s="118"/>
      <c r="O90" s="118"/>
      <c r="P90" s="118"/>
      <c r="Q90" s="118"/>
      <c r="R90" s="118"/>
      <c r="S90" s="118"/>
    </row>
    <row r="91" customFormat="false" ht="15" hidden="false" customHeight="false" outlineLevel="0" collapsed="false">
      <c r="E91" s="118"/>
      <c r="L91" s="118"/>
      <c r="M91" s="118"/>
      <c r="N91" s="118"/>
      <c r="O91" s="118"/>
      <c r="P91" s="118"/>
      <c r="Q91" s="118"/>
      <c r="R91" s="118"/>
      <c r="S91" s="118"/>
    </row>
    <row r="92" customFormat="false" ht="15" hidden="false" customHeight="false" outlineLevel="0" collapsed="false">
      <c r="E92" s="118"/>
      <c r="L92" s="118"/>
      <c r="M92" s="118"/>
      <c r="N92" s="118"/>
      <c r="O92" s="118"/>
      <c r="P92" s="118"/>
      <c r="Q92" s="118"/>
      <c r="R92" s="118"/>
      <c r="S92" s="118"/>
    </row>
    <row r="93" customFormat="false" ht="15" hidden="false" customHeight="false" outlineLevel="0" collapsed="false">
      <c r="E93" s="118"/>
    </row>
    <row r="94" customFormat="false" ht="15" hidden="false" customHeight="false" outlineLevel="0" collapsed="false">
      <c r="E94" s="118"/>
    </row>
    <row r="95" customFormat="false" ht="15" hidden="false" customHeight="false" outlineLevel="0" collapsed="false">
      <c r="E95" s="118"/>
    </row>
    <row r="96" customFormat="false" ht="15" hidden="false" customHeight="false" outlineLevel="0" collapsed="false">
      <c r="E96" s="118"/>
    </row>
    <row r="97" customFormat="false" ht="15" hidden="false" customHeight="false" outlineLevel="0" collapsed="false">
      <c r="E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  <row r="124" customFormat="false" ht="15" hidden="false" customHeight="false" outlineLevel="0" collapsed="false">
      <c r="E124" s="118"/>
    </row>
    <row r="125" customFormat="false" ht="15" hidden="false" customHeight="false" outlineLevel="0" collapsed="false">
      <c r="E125" s="118"/>
    </row>
    <row r="126" customFormat="false" ht="15" hidden="false" customHeight="false" outlineLevel="0" collapsed="false">
      <c r="E126" s="118"/>
    </row>
    <row r="127" customFormat="false" ht="15" hidden="false" customHeight="false" outlineLevel="0" collapsed="false">
      <c r="E127" s="118"/>
    </row>
    <row r="128" customFormat="false" ht="15" hidden="false" customHeight="false" outlineLevel="0" collapsed="false">
      <c r="E128" s="118"/>
    </row>
    <row r="129" customFormat="false" ht="15" hidden="false" customHeight="false" outlineLevel="0" collapsed="false">
      <c r="E129" s="118"/>
    </row>
    <row r="130" customFormat="false" ht="15" hidden="false" customHeight="false" outlineLevel="0" collapsed="false">
      <c r="E130" s="118"/>
    </row>
    <row r="131" customFormat="false" ht="15" hidden="false" customHeight="false" outlineLevel="0" collapsed="false">
      <c r="E131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42"/>
  <sheetViews>
    <sheetView showFormulas="false" showGridLines="true" showRowColHeaders="true" showZeros="true" rightToLeft="false" tabSelected="false" showOutlineSymbols="true" defaultGridColor="true" view="normal" topLeftCell="A22" colorId="64" zoomScale="60" zoomScaleNormal="60" zoomScalePageLayoutView="100" workbookViewId="0">
      <selection pane="topLeft" activeCell="N76" activeCellId="0" sqref="N76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1.43"/>
    <col collapsed="false" customWidth="true" hidden="false" outlineLevel="0" max="12" min="12" style="71" width="12.14"/>
    <col collapsed="false" customWidth="true" hidden="false" outlineLevel="0" max="13" min="13" style="71" width="12.43"/>
    <col collapsed="false" customWidth="true" hidden="false" outlineLevel="0" max="14" min="14" style="71" width="18.43"/>
    <col collapsed="false" customWidth="true" hidden="false" outlineLevel="0" max="15" min="15" style="71" width="13.43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60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" hidden="false" customHeight="false" outlineLevel="0" collapsed="false">
      <c r="A2" s="147" t="n">
        <v>45080</v>
      </c>
      <c r="B2" s="147" t="s">
        <v>36</v>
      </c>
      <c r="C2" s="83"/>
      <c r="D2" s="83"/>
      <c r="E2" s="83"/>
      <c r="F2" s="83"/>
      <c r="G2" s="84"/>
      <c r="H2" s="85"/>
      <c r="I2" s="86"/>
      <c r="J2" s="87" t="s">
        <v>18</v>
      </c>
      <c r="K2" s="88"/>
      <c r="L2" s="89"/>
      <c r="M2" s="147" t="s">
        <v>37</v>
      </c>
      <c r="N2" s="83"/>
      <c r="O2" s="83"/>
      <c r="P2" s="83"/>
      <c r="Q2" s="84"/>
      <c r="R2" s="85"/>
      <c r="S2" s="86"/>
    </row>
    <row r="3" customFormat="false" ht="15" hidden="false" customHeight="false" outlineLevel="0" collapsed="false">
      <c r="A3" s="90" t="n">
        <v>0.423611111111111</v>
      </c>
      <c r="B3" s="91" t="s">
        <v>54</v>
      </c>
      <c r="C3" s="98" t="n">
        <v>48284650</v>
      </c>
      <c r="D3" s="76" t="n">
        <v>48290680</v>
      </c>
      <c r="E3" s="92" t="n">
        <f aca="false">SUM(D3-C3)</f>
        <v>6030</v>
      </c>
      <c r="F3" s="93" t="n">
        <f aca="false">SUM(D3-C3)</f>
        <v>6030</v>
      </c>
      <c r="G3" s="41" t="n">
        <v>0.8365</v>
      </c>
      <c r="H3" s="94" t="n">
        <f aca="false">SUM(G3*F3)</f>
        <v>5044.095</v>
      </c>
      <c r="I3" s="29" t="s">
        <v>73</v>
      </c>
      <c r="J3" s="1" t="n">
        <v>6278</v>
      </c>
      <c r="K3" s="95"/>
      <c r="L3" s="96" t="n">
        <v>0.486111111111111</v>
      </c>
      <c r="M3" s="97" t="s">
        <v>54</v>
      </c>
      <c r="N3" s="98" t="n">
        <v>7620550</v>
      </c>
      <c r="O3" s="99" t="n">
        <v>7620750</v>
      </c>
      <c r="P3" s="100" t="n">
        <f aca="false">SUM(O3-N3)</f>
        <v>200</v>
      </c>
      <c r="Q3" s="106" t="n">
        <v>0.8365</v>
      </c>
      <c r="R3" s="102" t="n">
        <f aca="false">SUM(Q3*P3)</f>
        <v>167.3</v>
      </c>
      <c r="S3" s="103" t="s">
        <v>74</v>
      </c>
      <c r="V3" s="0" t="s">
        <v>41</v>
      </c>
    </row>
    <row r="4" customFormat="false" ht="15" hidden="false" customHeight="false" outlineLevel="0" collapsed="false">
      <c r="A4" s="90" t="n">
        <v>0.444444444444444</v>
      </c>
      <c r="B4" s="91" t="s">
        <v>48</v>
      </c>
      <c r="C4" s="98" t="n">
        <f aca="false">SUM(D3)</f>
        <v>48290680</v>
      </c>
      <c r="D4" s="76" t="n">
        <v>48297580</v>
      </c>
      <c r="E4" s="92" t="n">
        <f aca="false">SUM(D4-C4)</f>
        <v>6900</v>
      </c>
      <c r="F4" s="93" t="n">
        <f aca="false">SUM(D4-C4)</f>
        <v>6900</v>
      </c>
      <c r="G4" s="41" t="n">
        <v>0.8339</v>
      </c>
      <c r="H4" s="85" t="n">
        <f aca="false">SUM(G4*F4)</f>
        <v>5753.91</v>
      </c>
      <c r="I4" s="29" t="s">
        <v>75</v>
      </c>
      <c r="J4" s="1" t="n">
        <v>6280</v>
      </c>
      <c r="K4" s="95"/>
      <c r="L4" s="96" t="n">
        <v>0.822916666666667</v>
      </c>
      <c r="M4" s="105" t="s">
        <v>54</v>
      </c>
      <c r="N4" s="100" t="n">
        <f aca="false">SUM(O3)</f>
        <v>7620750</v>
      </c>
      <c r="O4" s="99" t="n">
        <v>7620770</v>
      </c>
      <c r="P4" s="100" t="n">
        <f aca="false">SUM(O4-N4)</f>
        <v>20</v>
      </c>
      <c r="Q4" s="106" t="n">
        <v>0.8365</v>
      </c>
      <c r="R4" s="102" t="n">
        <f aca="false">SUM(Q4*P4)</f>
        <v>16.73</v>
      </c>
      <c r="S4" s="103" t="s">
        <v>45</v>
      </c>
    </row>
    <row r="5" customFormat="false" ht="15" hidden="false" customHeight="false" outlineLevel="0" collapsed="false">
      <c r="A5" s="90" t="n">
        <v>0.454861111111111</v>
      </c>
      <c r="B5" s="91" t="s">
        <v>48</v>
      </c>
      <c r="C5" s="98" t="n">
        <f aca="false">SUM(D4)</f>
        <v>48297580</v>
      </c>
      <c r="D5" s="76" t="n">
        <v>48315830</v>
      </c>
      <c r="E5" s="92" t="n">
        <f aca="false">SUM(D5-C5)</f>
        <v>18250</v>
      </c>
      <c r="F5" s="104" t="n">
        <v>18241</v>
      </c>
      <c r="G5" s="41" t="n">
        <v>0.8339</v>
      </c>
      <c r="H5" s="85" t="n">
        <f aca="false">SUM(G5*F5)</f>
        <v>15211.1699</v>
      </c>
      <c r="I5" s="29" t="s">
        <v>76</v>
      </c>
      <c r="J5" s="29" t="n">
        <v>6282</v>
      </c>
      <c r="K5" s="95"/>
      <c r="L5" s="96" t="n">
        <v>0.840277777777778</v>
      </c>
      <c r="M5" s="105" t="s">
        <v>48</v>
      </c>
      <c r="N5" s="100" t="n">
        <f aca="false">SUM(O4)</f>
        <v>7620770</v>
      </c>
      <c r="O5" s="99" t="n">
        <v>7620790</v>
      </c>
      <c r="P5" s="100" t="n">
        <f aca="false">SUM(O5-N5)</f>
        <v>20</v>
      </c>
      <c r="Q5" s="41" t="n">
        <v>0.833</v>
      </c>
      <c r="R5" s="85" t="n">
        <f aca="false">SUM(Q5*P5)</f>
        <v>16.66</v>
      </c>
      <c r="S5" s="103" t="s">
        <v>47</v>
      </c>
    </row>
    <row r="6" customFormat="false" ht="15" hidden="false" customHeight="false" outlineLevel="0" collapsed="false">
      <c r="A6" s="90" t="n">
        <v>0.506944444444444</v>
      </c>
      <c r="B6" s="91" t="s">
        <v>44</v>
      </c>
      <c r="C6" s="98" t="n">
        <f aca="false">SUM(D5)</f>
        <v>48315830</v>
      </c>
      <c r="D6" s="76" t="n">
        <v>48334080</v>
      </c>
      <c r="E6" s="92" t="n">
        <f aca="false">SUM(D6-C6)</f>
        <v>18250</v>
      </c>
      <c r="F6" s="104" t="n">
        <v>18241</v>
      </c>
      <c r="G6" s="41" t="n">
        <v>0.839</v>
      </c>
      <c r="H6" s="126" t="n">
        <f aca="false">SUM(G6*F6)</f>
        <v>15304.199</v>
      </c>
      <c r="I6" s="29" t="s">
        <v>76</v>
      </c>
      <c r="J6" s="1" t="n">
        <v>6286</v>
      </c>
      <c r="K6" s="95"/>
      <c r="L6" s="96" t="n">
        <v>0.930555555555555</v>
      </c>
      <c r="M6" s="105" t="s">
        <v>38</v>
      </c>
      <c r="N6" s="100" t="n">
        <f aca="false">SUM(O5)</f>
        <v>7620790</v>
      </c>
      <c r="O6" s="99" t="n">
        <v>7620930</v>
      </c>
      <c r="P6" s="100" t="n">
        <f aca="false">SUM(O6-N6)</f>
        <v>140</v>
      </c>
      <c r="Q6" s="41" t="n">
        <v>0.834</v>
      </c>
      <c r="R6" s="145" t="n">
        <f aca="false">SUM(Q6*P6)</f>
        <v>116.76</v>
      </c>
      <c r="S6" s="103" t="s">
        <v>65</v>
      </c>
    </row>
    <row r="7" customFormat="false" ht="15" hidden="false" customHeight="false" outlineLevel="0" collapsed="false">
      <c r="A7" s="90" t="n">
        <v>0.559027777777778</v>
      </c>
      <c r="B7" s="91" t="s">
        <v>44</v>
      </c>
      <c r="C7" s="98" t="n">
        <f aca="false">SUM(D6)</f>
        <v>48334080</v>
      </c>
      <c r="D7" s="76" t="n">
        <v>48335610</v>
      </c>
      <c r="E7" s="92" t="n">
        <f aca="false">SUM(D7-C7)</f>
        <v>1530</v>
      </c>
      <c r="F7" s="93" t="n">
        <f aca="false">SUM(D7-C7)</f>
        <v>1530</v>
      </c>
      <c r="G7" s="41" t="n">
        <v>0.839</v>
      </c>
      <c r="H7" s="126" t="n">
        <f aca="false">SUM(G7*F7)</f>
        <v>1283.67</v>
      </c>
      <c r="I7" s="29" t="s">
        <v>75</v>
      </c>
      <c r="J7" s="1" t="n">
        <v>6288</v>
      </c>
      <c r="K7" s="95"/>
      <c r="L7" s="96" t="n">
        <v>0.965277777777778</v>
      </c>
      <c r="M7" s="105" t="s">
        <v>44</v>
      </c>
      <c r="N7" s="100" t="n">
        <f aca="false">SUM(O6)</f>
        <v>7620930</v>
      </c>
      <c r="O7" s="99" t="n">
        <v>7621050</v>
      </c>
      <c r="P7" s="100" t="n">
        <f aca="false">SUM(O7-N7)</f>
        <v>120</v>
      </c>
      <c r="Q7" s="41" t="n">
        <v>0.839</v>
      </c>
      <c r="R7" s="126" t="n">
        <f aca="false">SUM(Q7*P7)</f>
        <v>100.68</v>
      </c>
      <c r="S7" s="103" t="s">
        <v>43</v>
      </c>
    </row>
    <row r="8" customFormat="false" ht="15" hidden="false" customHeight="false" outlineLevel="0" collapsed="false">
      <c r="A8" s="90" t="n">
        <v>0.607638888888889</v>
      </c>
      <c r="B8" s="91" t="s">
        <v>44</v>
      </c>
      <c r="C8" s="98" t="n">
        <f aca="false">SUM(D7)</f>
        <v>48335610</v>
      </c>
      <c r="D8" s="76" t="n">
        <v>48353860</v>
      </c>
      <c r="E8" s="92" t="n">
        <f aca="false">SUM(D8-C8)</f>
        <v>18250</v>
      </c>
      <c r="F8" s="104" t="n">
        <v>18241</v>
      </c>
      <c r="G8" s="41" t="n">
        <v>0.839</v>
      </c>
      <c r="H8" s="126" t="n">
        <f aca="false">SUM(G8*F8)</f>
        <v>15304.199</v>
      </c>
      <c r="I8" s="29" t="s">
        <v>76</v>
      </c>
      <c r="J8" s="1" t="n">
        <v>6292</v>
      </c>
      <c r="K8" s="95"/>
      <c r="L8" s="96"/>
      <c r="M8" s="97"/>
      <c r="N8" s="100" t="n">
        <f aca="false">SUM(O7)</f>
        <v>7621050</v>
      </c>
      <c r="O8" s="99"/>
      <c r="P8" s="100" t="n">
        <f aca="false">SUM(O8-N8)</f>
        <v>-7621050</v>
      </c>
      <c r="Q8" s="101"/>
      <c r="R8" s="102" t="n">
        <f aca="false">SUM(Q8*P8)</f>
        <v>0</v>
      </c>
      <c r="S8" s="1"/>
    </row>
    <row r="9" customFormat="false" ht="15" hidden="false" customHeight="false" outlineLevel="0" collapsed="false">
      <c r="A9" s="90" t="n">
        <v>0.65625</v>
      </c>
      <c r="B9" s="91" t="s">
        <v>44</v>
      </c>
      <c r="C9" s="98" t="n">
        <f aca="false">SUM(D8)</f>
        <v>48353860</v>
      </c>
      <c r="D9" s="76" t="n">
        <v>48372100</v>
      </c>
      <c r="E9" s="92" t="n">
        <f aca="false">SUM(D9-C9)</f>
        <v>18240</v>
      </c>
      <c r="F9" s="104" t="n">
        <v>18241</v>
      </c>
      <c r="G9" s="41" t="n">
        <v>0.839</v>
      </c>
      <c r="H9" s="126" t="n">
        <f aca="false">SUM(G9*F9)</f>
        <v>15304.199</v>
      </c>
      <c r="I9" s="29" t="s">
        <v>76</v>
      </c>
      <c r="J9" s="29" t="n">
        <v>6293</v>
      </c>
      <c r="K9" s="95"/>
      <c r="L9" s="96"/>
      <c r="M9" s="97"/>
      <c r="N9" s="100" t="n">
        <f aca="false">SUM(O8)</f>
        <v>0</v>
      </c>
      <c r="O9" s="99"/>
      <c r="P9" s="100" t="n">
        <f aca="false">SUM(O9-N9)</f>
        <v>0</v>
      </c>
      <c r="Q9" s="101"/>
      <c r="R9" s="102" t="n">
        <f aca="false">SUM(Q9*P9)</f>
        <v>0</v>
      </c>
      <c r="S9" s="1"/>
    </row>
    <row r="10" customFormat="false" ht="15" hidden="false" customHeight="false" outlineLevel="0" collapsed="false">
      <c r="A10" s="90" t="n">
        <v>0.708333333333333</v>
      </c>
      <c r="B10" s="91" t="s">
        <v>48</v>
      </c>
      <c r="C10" s="98" t="n">
        <f aca="false">SUM(D9)</f>
        <v>48372100</v>
      </c>
      <c r="D10" s="76" t="n">
        <v>48390350</v>
      </c>
      <c r="E10" s="92" t="n">
        <f aca="false">SUM(D10-C10)</f>
        <v>18250</v>
      </c>
      <c r="F10" s="104" t="n">
        <v>18241</v>
      </c>
      <c r="G10" s="41" t="n">
        <v>0.833</v>
      </c>
      <c r="H10" s="85" t="n">
        <f aca="false">SUM(G10*F10)</f>
        <v>15194.753</v>
      </c>
      <c r="I10" s="29" t="s">
        <v>76</v>
      </c>
      <c r="J10" s="29" t="n">
        <v>6294</v>
      </c>
      <c r="K10" s="95"/>
      <c r="L10" s="96"/>
      <c r="M10" s="97"/>
      <c r="N10" s="100" t="n">
        <f aca="false">SUM(O9)</f>
        <v>0</v>
      </c>
      <c r="O10" s="99"/>
      <c r="P10" s="100" t="n">
        <f aca="false">SUM(O10-N10)</f>
        <v>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0.784722222222222</v>
      </c>
      <c r="B11" s="91" t="s">
        <v>48</v>
      </c>
      <c r="C11" s="98" t="n">
        <f aca="false">SUM(D10)</f>
        <v>48390350</v>
      </c>
      <c r="D11" s="76" t="n">
        <v>48399520</v>
      </c>
      <c r="E11" s="92" t="n">
        <f aca="false">SUM(D11-C11)</f>
        <v>9170</v>
      </c>
      <c r="F11" s="104" t="n">
        <v>9161</v>
      </c>
      <c r="G11" s="41" t="n">
        <v>0.833</v>
      </c>
      <c r="H11" s="85" t="n">
        <f aca="false">SUM(G11*F11)</f>
        <v>7631.113</v>
      </c>
      <c r="I11" s="29" t="s">
        <v>76</v>
      </c>
      <c r="J11" s="1" t="n">
        <v>6296</v>
      </c>
      <c r="K11" s="95"/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0.784722222222222</v>
      </c>
      <c r="B12" s="91" t="s">
        <v>38</v>
      </c>
      <c r="C12" s="98" t="n">
        <f aca="false">SUM(D11)</f>
        <v>48399520</v>
      </c>
      <c r="D12" s="76" t="n">
        <v>48408600</v>
      </c>
      <c r="E12" s="92" t="n">
        <f aca="false">SUM(D12-C12)</f>
        <v>9080</v>
      </c>
      <c r="F12" s="104" t="n">
        <v>9080</v>
      </c>
      <c r="G12" s="41" t="n">
        <v>0.834</v>
      </c>
      <c r="H12" s="145" t="n">
        <f aca="false">SUM(G12*F12)</f>
        <v>7572.72</v>
      </c>
      <c r="I12" s="29" t="s">
        <v>76</v>
      </c>
      <c r="J12" s="1" t="n">
        <v>6297</v>
      </c>
      <c r="K12" s="95"/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0.888888888888889</v>
      </c>
      <c r="B13" s="91" t="s">
        <v>38</v>
      </c>
      <c r="C13" s="98" t="n">
        <f aca="false">SUM(D12)</f>
        <v>48408600</v>
      </c>
      <c r="D13" s="76" t="n">
        <v>48425630</v>
      </c>
      <c r="E13" s="92" t="n">
        <f aca="false">SUM(D13-C13)</f>
        <v>17030</v>
      </c>
      <c r="F13" s="129" t="n">
        <v>17019</v>
      </c>
      <c r="G13" s="41" t="n">
        <v>0.834</v>
      </c>
      <c r="H13" s="145" t="n">
        <f aca="false">SUM(G13*F13)</f>
        <v>14193.846</v>
      </c>
      <c r="I13" s="29" t="s">
        <v>77</v>
      </c>
      <c r="J13" s="1" t="n">
        <v>6301</v>
      </c>
      <c r="K13" s="95"/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0.899305555555555</v>
      </c>
      <c r="B14" s="91" t="s">
        <v>38</v>
      </c>
      <c r="C14" s="98" t="n">
        <f aca="false">SUM(D13)</f>
        <v>48425630</v>
      </c>
      <c r="D14" s="76" t="n">
        <v>48432930</v>
      </c>
      <c r="E14" s="92" t="n">
        <f aca="false">SUM(D14-C14)</f>
        <v>7300</v>
      </c>
      <c r="F14" s="93" t="n">
        <f aca="false">SUM(D14-C14)</f>
        <v>7300</v>
      </c>
      <c r="G14" s="41" t="n">
        <v>0.834</v>
      </c>
      <c r="H14" s="145" t="n">
        <f aca="false">SUM(G14*F14)</f>
        <v>6088.2</v>
      </c>
      <c r="I14" s="29" t="s">
        <v>75</v>
      </c>
      <c r="J14" s="1" t="n">
        <v>6302</v>
      </c>
      <c r="K14" s="95"/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0.944444444444444</v>
      </c>
      <c r="B15" s="91" t="s">
        <v>48</v>
      </c>
      <c r="C15" s="98" t="n">
        <f aca="false">SUM(D14)</f>
        <v>48432930</v>
      </c>
      <c r="D15" s="76" t="n">
        <v>48451180</v>
      </c>
      <c r="E15" s="92" t="n">
        <f aca="false">SUM(D15-C15)</f>
        <v>18250</v>
      </c>
      <c r="F15" s="104" t="n">
        <v>18241</v>
      </c>
      <c r="G15" s="41" t="n">
        <v>0.8315</v>
      </c>
      <c r="H15" s="85" t="n">
        <f aca="false">SUM(G15*F15)</f>
        <v>15167.3915</v>
      </c>
      <c r="I15" s="29" t="s">
        <v>76</v>
      </c>
      <c r="J15" s="1" t="n">
        <v>6305</v>
      </c>
      <c r="K15" s="95"/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0.993055555555555</v>
      </c>
      <c r="B16" s="91" t="s">
        <v>48</v>
      </c>
      <c r="C16" s="98" t="n">
        <f aca="false">SUM(D15)</f>
        <v>48451180</v>
      </c>
      <c r="D16" s="76" t="n">
        <v>48469420</v>
      </c>
      <c r="E16" s="92" t="n">
        <f aca="false">SUM(D16-C16)</f>
        <v>18240</v>
      </c>
      <c r="F16" s="104" t="n">
        <v>18241</v>
      </c>
      <c r="G16" s="41" t="n">
        <v>0.8315</v>
      </c>
      <c r="H16" s="85" t="n">
        <f aca="false">SUM(G16*F16)</f>
        <v>15167.3915</v>
      </c>
      <c r="I16" s="29" t="s">
        <v>76</v>
      </c>
      <c r="J16" s="1" t="n">
        <v>6308</v>
      </c>
      <c r="K16" s="95"/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0.180555555555556</v>
      </c>
      <c r="B17" s="91" t="s">
        <v>38</v>
      </c>
      <c r="C17" s="98" t="n">
        <f aca="false">SUM(D16)</f>
        <v>48469420</v>
      </c>
      <c r="D17" s="76" t="n">
        <v>48487670</v>
      </c>
      <c r="E17" s="92" t="n">
        <f aca="false">SUM(D17-C17)</f>
        <v>18250</v>
      </c>
      <c r="F17" s="104" t="n">
        <v>18241</v>
      </c>
      <c r="G17" s="41" t="n">
        <v>0.8334</v>
      </c>
      <c r="H17" s="145" t="n">
        <f aca="false">SUM(G17*F17)</f>
        <v>15202.0494</v>
      </c>
      <c r="I17" s="29" t="s">
        <v>76</v>
      </c>
      <c r="J17" s="1" t="n">
        <v>6311</v>
      </c>
      <c r="K17" s="95"/>
      <c r="L17" s="89"/>
      <c r="M17" s="147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0.194444444444444</v>
      </c>
      <c r="B18" s="91" t="s">
        <v>38</v>
      </c>
      <c r="C18" s="98" t="n">
        <f aca="false">SUM(D17)</f>
        <v>48487670</v>
      </c>
      <c r="D18" s="76" t="n">
        <v>48504690</v>
      </c>
      <c r="E18" s="92" t="n">
        <f aca="false">SUM(D18-C18)</f>
        <v>17020</v>
      </c>
      <c r="F18" s="129" t="n">
        <v>17019</v>
      </c>
      <c r="G18" s="41" t="n">
        <v>0.8334</v>
      </c>
      <c r="H18" s="145" t="n">
        <f aca="false">SUM(G18*F18)</f>
        <v>14183.6346</v>
      </c>
      <c r="I18" s="29" t="s">
        <v>77</v>
      </c>
      <c r="J18" s="29" t="n">
        <v>6312</v>
      </c>
      <c r="K18" s="95"/>
      <c r="L18" s="96" t="n">
        <v>0.506944444444444</v>
      </c>
      <c r="M18" s="105" t="s">
        <v>72</v>
      </c>
      <c r="N18" s="130" t="n">
        <v>4026970</v>
      </c>
      <c r="O18" s="99" t="n">
        <v>4027020</v>
      </c>
      <c r="P18" s="109" t="n">
        <f aca="false">SUM(O18-N18)</f>
        <v>50</v>
      </c>
      <c r="Q18" s="41" t="n">
        <v>0.8281</v>
      </c>
      <c r="R18" s="145" t="n">
        <f aca="false">SUM(Q18*P18)</f>
        <v>41.405</v>
      </c>
      <c r="S18" s="103" t="s">
        <v>78</v>
      </c>
      <c r="T18" s="0" t="s">
        <v>41</v>
      </c>
    </row>
    <row r="19" customFormat="false" ht="15" hidden="false" customHeight="false" outlineLevel="0" collapsed="false">
      <c r="A19" s="90" t="n">
        <v>0.225694444444444</v>
      </c>
      <c r="B19" s="91" t="s">
        <v>46</v>
      </c>
      <c r="C19" s="98" t="n">
        <f aca="false">SUM(D18)</f>
        <v>48504690</v>
      </c>
      <c r="D19" s="76" t="n">
        <v>48522950</v>
      </c>
      <c r="E19" s="92" t="n">
        <f aca="false">SUM(D19-C19)</f>
        <v>18260</v>
      </c>
      <c r="F19" s="104" t="n">
        <v>18241</v>
      </c>
      <c r="G19" s="41" t="n">
        <v>0.835</v>
      </c>
      <c r="H19" s="128" t="n">
        <f aca="false">SUM(G19*F19)</f>
        <v>15231.235</v>
      </c>
      <c r="I19" s="29" t="s">
        <v>76</v>
      </c>
      <c r="J19" s="29" t="n">
        <v>6313</v>
      </c>
      <c r="K19" s="95"/>
      <c r="L19" s="96"/>
      <c r="M19" s="105"/>
      <c r="N19" s="98" t="n">
        <f aca="false">SUM(O18)</f>
        <v>4027020</v>
      </c>
      <c r="O19" s="99"/>
      <c r="P19" s="109" t="n">
        <f aca="false">SUM(O19-N19)</f>
        <v>-4027020</v>
      </c>
      <c r="Q19" s="41"/>
      <c r="R19" s="94" t="n">
        <f aca="false">SUM(Q19*P19)</f>
        <v>0</v>
      </c>
      <c r="S19" s="103"/>
    </row>
    <row r="20" customFormat="false" ht="15" hidden="false" customHeight="false" outlineLevel="0" collapsed="false">
      <c r="A20" s="90" t="n">
        <v>0.28125</v>
      </c>
      <c r="B20" s="91" t="s">
        <v>46</v>
      </c>
      <c r="C20" s="98" t="n">
        <f aca="false">SUM(D19)</f>
        <v>48522950</v>
      </c>
      <c r="D20" s="76" t="n">
        <v>48541190</v>
      </c>
      <c r="E20" s="92" t="n">
        <f aca="false">SUM(D20-C20)</f>
        <v>18240</v>
      </c>
      <c r="F20" s="104" t="n">
        <v>18241</v>
      </c>
      <c r="G20" s="41" t="n">
        <v>0.835</v>
      </c>
      <c r="H20" s="128" t="n">
        <f aca="false">SUM(G20*F20)</f>
        <v>15231.235</v>
      </c>
      <c r="I20" s="29" t="s">
        <v>76</v>
      </c>
      <c r="J20" s="1" t="n">
        <v>6315</v>
      </c>
      <c r="K20" s="95"/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 t="n">
        <v>0.295138888888889</v>
      </c>
      <c r="B21" s="91" t="s">
        <v>46</v>
      </c>
      <c r="C21" s="98" t="n">
        <f aca="false">SUM(D20)</f>
        <v>48541190</v>
      </c>
      <c r="D21" s="76" t="n">
        <v>48558210</v>
      </c>
      <c r="E21" s="92" t="n">
        <f aca="false">SUM(D21-C21)</f>
        <v>17020</v>
      </c>
      <c r="F21" s="129" t="n">
        <v>17019</v>
      </c>
      <c r="G21" s="41" t="n">
        <v>0.835</v>
      </c>
      <c r="H21" s="128" t="n">
        <f aca="false">SUM(G21*F21)</f>
        <v>14210.865</v>
      </c>
      <c r="I21" s="29" t="s">
        <v>77</v>
      </c>
      <c r="J21" s="1" t="n">
        <v>6316</v>
      </c>
      <c r="K21" s="95"/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.75" hidden="false" customHeight="false" outlineLevel="0" collapsed="false">
      <c r="A22" s="90"/>
      <c r="B22" s="91"/>
      <c r="C22" s="98" t="n">
        <v>0</v>
      </c>
      <c r="D22" s="76"/>
      <c r="E22" s="92" t="n">
        <f aca="false">SUM(D22-C22)</f>
        <v>0</v>
      </c>
      <c r="F22" s="93" t="n">
        <f aca="false">SUM(D22-C22)</f>
        <v>0</v>
      </c>
      <c r="G22" s="41"/>
      <c r="H22" s="94" t="n">
        <f aca="false">SUM(G22*F22)</f>
        <v>0</v>
      </c>
      <c r="I22" s="1"/>
      <c r="J22" s="29"/>
      <c r="K22" s="95"/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true" customHeight="false" outlineLevel="0" collapsed="false">
      <c r="A23" s="90"/>
      <c r="B23" s="91"/>
      <c r="C23" s="98" t="n">
        <f aca="false">SUM(D22)</f>
        <v>0</v>
      </c>
      <c r="D23" s="76"/>
      <c r="E23" s="92" t="n">
        <f aca="false">SUM(D23-C23)</f>
        <v>0</v>
      </c>
      <c r="F23" s="93" t="n">
        <f aca="false">SUM(D23-C23)</f>
        <v>0</v>
      </c>
      <c r="G23" s="41"/>
      <c r="H23" s="94" t="n">
        <f aca="false">SUM(G23*F23)</f>
        <v>0</v>
      </c>
      <c r="I23" s="1"/>
      <c r="J23" s="29"/>
      <c r="K23" s="95"/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" hidden="true" customHeight="false" outlineLevel="0" collapsed="false">
      <c r="A24" s="90"/>
      <c r="B24" s="91"/>
      <c r="C24" s="98" t="n">
        <f aca="false">SUM(D23)</f>
        <v>0</v>
      </c>
      <c r="D24" s="76"/>
      <c r="E24" s="92" t="n">
        <f aca="false">SUM(D24-C24)</f>
        <v>0</v>
      </c>
      <c r="F24" s="93" t="n">
        <f aca="false">SUM(D24-C24)</f>
        <v>0</v>
      </c>
      <c r="G24" s="41"/>
      <c r="H24" s="94" t="n">
        <f aca="false">SUM(G24*F24)</f>
        <v>0</v>
      </c>
      <c r="I24" s="1"/>
      <c r="J24" s="29"/>
      <c r="K24" s="95"/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" hidden="true" customHeight="false" outlineLevel="0" collapsed="false">
      <c r="A25" s="90"/>
      <c r="B25" s="91"/>
      <c r="C25" s="98" t="n">
        <f aca="false">SUM(D24)</f>
        <v>0</v>
      </c>
      <c r="D25" s="76"/>
      <c r="E25" s="92" t="n">
        <f aca="false">SUM(D25-C25)</f>
        <v>0</v>
      </c>
      <c r="F25" s="109" t="n">
        <f aca="false">SUM(D25-C25)</f>
        <v>0</v>
      </c>
      <c r="G25" s="41"/>
      <c r="H25" s="94" t="n">
        <f aca="false">SUM(G25*F25)</f>
        <v>0</v>
      </c>
      <c r="I25" s="1"/>
      <c r="J25" s="29"/>
      <c r="K25" s="95"/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" hidden="true" customHeight="false" outlineLevel="0" collapsed="false">
      <c r="A26" s="90"/>
      <c r="B26" s="91"/>
      <c r="C26" s="98" t="n">
        <f aca="false">SUM(D25)</f>
        <v>0</v>
      </c>
      <c r="D26" s="76"/>
      <c r="E26" s="92" t="n">
        <f aca="false">SUM(D26-C26)</f>
        <v>0</v>
      </c>
      <c r="F26" s="109" t="n">
        <f aca="false">SUM(D26-C26)</f>
        <v>0</v>
      </c>
      <c r="G26" s="41"/>
      <c r="H26" s="94" t="n">
        <f aca="false">SUM(G26*F26)</f>
        <v>0</v>
      </c>
      <c r="I26" s="1"/>
      <c r="J26" s="29"/>
      <c r="K26" s="95"/>
      <c r="L26" s="96"/>
      <c r="M26" s="97"/>
      <c r="N26" s="98" t="n">
        <f aca="false">SUM(O25)</f>
        <v>0</v>
      </c>
      <c r="O26" s="99"/>
      <c r="P26" s="109" t="n">
        <f aca="false">SUM(O26-N26)</f>
        <v>0</v>
      </c>
      <c r="Q26" s="101"/>
      <c r="R26" s="94" t="n">
        <f aca="false">SUM(Q26*P26)</f>
        <v>0</v>
      </c>
      <c r="S26" s="103"/>
    </row>
    <row r="27" customFormat="false" ht="15" hidden="true" customHeight="false" outlineLevel="0" collapsed="false">
      <c r="A27" s="90"/>
      <c r="B27" s="91"/>
      <c r="C27" s="98" t="n">
        <f aca="false">SUM(D26)</f>
        <v>0</v>
      </c>
      <c r="D27" s="76"/>
      <c r="E27" s="92" t="n">
        <f aca="false">SUM(D27-C27)</f>
        <v>0</v>
      </c>
      <c r="F27" s="109" t="n">
        <f aca="false">SUM(D27-C27)</f>
        <v>0</v>
      </c>
      <c r="G27" s="41"/>
      <c r="H27" s="94" t="n">
        <f aca="false">SUM(G27*F27)</f>
        <v>0</v>
      </c>
      <c r="I27" s="1"/>
      <c r="J27" s="29"/>
      <c r="K27" s="95"/>
      <c r="L27" s="96"/>
      <c r="M27" s="97"/>
      <c r="N27" s="98" t="n">
        <f aca="false">SUM(O26)</f>
        <v>0</v>
      </c>
      <c r="O27" s="99"/>
      <c r="P27" s="109" t="n">
        <f aca="false">SUM(O27-N27)</f>
        <v>0</v>
      </c>
      <c r="Q27" s="101"/>
      <c r="R27" s="94" t="n">
        <f aca="false">SUM(Q27*P27)</f>
        <v>0</v>
      </c>
      <c r="S27" s="1"/>
    </row>
    <row r="28" customFormat="false" ht="15" hidden="true" customHeight="false" outlineLevel="0" collapsed="false">
      <c r="A28" s="90"/>
      <c r="B28" s="91"/>
      <c r="C28" s="98" t="n">
        <f aca="false">SUM(D27)</f>
        <v>0</v>
      </c>
      <c r="D28" s="76"/>
      <c r="E28" s="92" t="n">
        <f aca="false">SUM(D28-C28)</f>
        <v>0</v>
      </c>
      <c r="F28" s="109" t="n">
        <f aca="false">SUM(D28-C28)</f>
        <v>0</v>
      </c>
      <c r="G28" s="41"/>
      <c r="H28" s="94" t="n">
        <f aca="false">SUM(G28*F28)</f>
        <v>0</v>
      </c>
      <c r="I28" s="1"/>
      <c r="J28" s="29"/>
      <c r="K28" s="95"/>
      <c r="L28" s="96"/>
      <c r="M28" s="97"/>
      <c r="N28" s="98" t="n">
        <f aca="false">SUM(O27)</f>
        <v>0</v>
      </c>
      <c r="O28" s="99"/>
      <c r="P28" s="109" t="n">
        <f aca="false">SUM(O28-N28)</f>
        <v>0</v>
      </c>
      <c r="Q28" s="101"/>
      <c r="R28" s="94" t="n">
        <f aca="false">SUM(Q28*P28)</f>
        <v>0</v>
      </c>
      <c r="S28" s="1"/>
    </row>
    <row r="29" customFormat="false" ht="15" hidden="true" customHeight="false" outlineLevel="0" collapsed="false">
      <c r="A29" s="90"/>
      <c r="B29" s="91"/>
      <c r="C29" s="98" t="n">
        <f aca="false">SUM(D28)</f>
        <v>0</v>
      </c>
      <c r="D29" s="76"/>
      <c r="E29" s="92" t="n">
        <f aca="false">SUM(D29-C29)</f>
        <v>0</v>
      </c>
      <c r="F29" s="109" t="n">
        <f aca="false">SUM(D29-C29)</f>
        <v>0</v>
      </c>
      <c r="G29" s="41"/>
      <c r="H29" s="94" t="n">
        <f aca="false">SUM(G29*F29)</f>
        <v>0</v>
      </c>
      <c r="I29" s="1"/>
      <c r="J29" s="29"/>
      <c r="K29" s="95"/>
      <c r="L29" s="96"/>
      <c r="M29" s="97"/>
      <c r="N29" s="98" t="n">
        <f aca="false">SUM(O28)</f>
        <v>0</v>
      </c>
      <c r="O29" s="99"/>
      <c r="P29" s="109" t="n">
        <f aca="false">SUM(O29-N29)</f>
        <v>0</v>
      </c>
      <c r="Q29" s="101"/>
      <c r="R29" s="94" t="n">
        <f aca="false">SUM(Q29*P29)</f>
        <v>0</v>
      </c>
      <c r="S29" s="1"/>
    </row>
    <row r="30" customFormat="false" ht="15" hidden="true" customHeight="false" outlineLevel="0" collapsed="false">
      <c r="A30" s="90"/>
      <c r="B30" s="91"/>
      <c r="C30" s="98" t="n">
        <f aca="false">SUM(D29)</f>
        <v>0</v>
      </c>
      <c r="D30" s="76"/>
      <c r="E30" s="92" t="n">
        <f aca="false">SUM(D30-C30)</f>
        <v>0</v>
      </c>
      <c r="F30" s="109" t="n">
        <f aca="false">SUM(D30-C30)</f>
        <v>0</v>
      </c>
      <c r="G30" s="41"/>
      <c r="H30" s="94" t="n">
        <f aca="false">SUM(G30*F30)</f>
        <v>0</v>
      </c>
      <c r="I30" s="1"/>
      <c r="J30" s="29"/>
      <c r="K30" s="111"/>
      <c r="L30" s="96"/>
      <c r="M30" s="97"/>
      <c r="N30" s="98" t="n">
        <f aca="false">SUM(O29)</f>
        <v>0</v>
      </c>
      <c r="O30" s="99"/>
      <c r="P30" s="109" t="n">
        <f aca="false">SUM(O30-N30)</f>
        <v>0</v>
      </c>
      <c r="Q30" s="101"/>
      <c r="R30" s="94" t="n">
        <f aca="false">SUM(Q30*P30)</f>
        <v>0</v>
      </c>
      <c r="S30" s="1"/>
    </row>
    <row r="31" customFormat="false" ht="15" hidden="true" customHeight="false" outlineLevel="0" collapsed="false">
      <c r="A31" s="90"/>
      <c r="B31" s="91"/>
      <c r="C31" s="98" t="n">
        <f aca="false">SUM(D30)</f>
        <v>0</v>
      </c>
      <c r="D31" s="76"/>
      <c r="E31" s="92" t="n">
        <f aca="false">SUM(D31-C31)</f>
        <v>0</v>
      </c>
      <c r="F31" s="109" t="n">
        <f aca="false">SUM(D31-C31)</f>
        <v>0</v>
      </c>
      <c r="G31" s="41"/>
      <c r="H31" s="94" t="n">
        <f aca="false">SUM(G31*F31)</f>
        <v>0</v>
      </c>
      <c r="I31" s="1"/>
      <c r="J31" s="29"/>
      <c r="K31" s="95"/>
      <c r="L31" s="96"/>
      <c r="M31" s="97"/>
      <c r="N31" s="98" t="n">
        <f aca="false">SUM(O30)</f>
        <v>0</v>
      </c>
      <c r="O31" s="99"/>
      <c r="P31" s="109" t="n">
        <f aca="false">SUM(O31-N31)</f>
        <v>0</v>
      </c>
      <c r="Q31" s="101"/>
      <c r="R31" s="94" t="n">
        <f aca="false">SUM(Q31*P31)</f>
        <v>0</v>
      </c>
      <c r="S31" s="1"/>
    </row>
    <row r="32" customFormat="false" ht="15" hidden="true" customHeight="false" outlineLevel="0" collapsed="false">
      <c r="A32" s="90"/>
      <c r="B32" s="91"/>
      <c r="C32" s="98" t="n">
        <f aca="false">SUM(D31)</f>
        <v>0</v>
      </c>
      <c r="D32" s="76"/>
      <c r="E32" s="92" t="n">
        <f aca="false">SUM(D32-C32)</f>
        <v>0</v>
      </c>
      <c r="F32" s="109" t="n">
        <f aca="false">SUM(D32-C32)</f>
        <v>0</v>
      </c>
      <c r="G32" s="41"/>
      <c r="H32" s="94" t="n">
        <f aca="false">SUM(G32*F32)</f>
        <v>0</v>
      </c>
      <c r="I32" s="1"/>
      <c r="J32" s="29"/>
      <c r="K32" s="95"/>
      <c r="L32" s="113"/>
      <c r="M32" s="114"/>
      <c r="N32" s="114"/>
      <c r="O32" s="115"/>
      <c r="P32" s="116"/>
      <c r="Q32" s="117"/>
      <c r="R32" s="62"/>
      <c r="S32" s="62"/>
    </row>
    <row r="33" customFormat="false" ht="15" hidden="true" customHeight="false" outlineLevel="0" collapsed="false">
      <c r="A33" s="90"/>
      <c r="B33" s="91"/>
      <c r="C33" s="98" t="n">
        <f aca="false">SUM(D32)</f>
        <v>0</v>
      </c>
      <c r="D33" s="76"/>
      <c r="E33" s="92" t="n">
        <f aca="false">SUM(D33-C33)</f>
        <v>0</v>
      </c>
      <c r="F33" s="109" t="n">
        <f aca="false">SUM(D33-C33)</f>
        <v>0</v>
      </c>
      <c r="G33" s="41"/>
      <c r="H33" s="94" t="n">
        <f aca="false">SUM(G33*F33)</f>
        <v>0</v>
      </c>
      <c r="I33" s="1"/>
      <c r="J33" s="29"/>
      <c r="K33" s="95"/>
      <c r="L33" s="118"/>
      <c r="M33" s="118"/>
      <c r="N33" s="118"/>
      <c r="O33" s="118"/>
      <c r="P33" s="118"/>
      <c r="Q33" s="118"/>
      <c r="R33" s="118"/>
      <c r="S33" s="118"/>
    </row>
    <row r="34" customFormat="false" ht="15" hidden="true" customHeight="false" outlineLevel="0" collapsed="false">
      <c r="A34" s="90"/>
      <c r="B34" s="91"/>
      <c r="C34" s="98" t="n">
        <f aca="false">SUM(D33)</f>
        <v>0</v>
      </c>
      <c r="D34" s="76"/>
      <c r="E34" s="92" t="n">
        <f aca="false">SUM(D34-C34)</f>
        <v>0</v>
      </c>
      <c r="F34" s="109" t="n">
        <f aca="false">SUM(D34-C34)</f>
        <v>0</v>
      </c>
      <c r="G34" s="41"/>
      <c r="H34" s="94" t="n">
        <f aca="false">SUM(G34*F34)</f>
        <v>0</v>
      </c>
      <c r="I34" s="1"/>
      <c r="J34" s="29"/>
      <c r="K34" s="95"/>
      <c r="L34" s="118"/>
      <c r="M34" s="118"/>
      <c r="N34" s="118"/>
      <c r="O34" s="118"/>
      <c r="P34" s="118"/>
      <c r="Q34" s="118"/>
      <c r="R34" s="118"/>
      <c r="S34" s="118"/>
    </row>
    <row r="35" customFormat="false" ht="15" hidden="true" customHeight="false" outlineLevel="0" collapsed="false">
      <c r="A35" s="90"/>
      <c r="B35" s="91"/>
      <c r="C35" s="98" t="n">
        <f aca="false">SUM(D34)</f>
        <v>0</v>
      </c>
      <c r="D35" s="76"/>
      <c r="E35" s="92" t="n">
        <f aca="false">SUM(D35-C35)</f>
        <v>0</v>
      </c>
      <c r="F35" s="109" t="n">
        <f aca="false">SUM(D35-C35)</f>
        <v>0</v>
      </c>
      <c r="G35" s="41"/>
      <c r="H35" s="94" t="n">
        <f aca="false">SUM(G35*F35)</f>
        <v>0</v>
      </c>
      <c r="I35" s="1"/>
      <c r="J35" s="29"/>
      <c r="K35" s="95"/>
      <c r="L35" s="118"/>
      <c r="M35" s="118"/>
      <c r="N35" s="118"/>
      <c r="O35" s="118"/>
      <c r="P35" s="118"/>
      <c r="Q35" s="118"/>
      <c r="R35" s="118"/>
      <c r="S35" s="118"/>
    </row>
    <row r="36" customFormat="false" ht="15" hidden="true" customHeight="false" outlineLevel="0" collapsed="false">
      <c r="A36" s="90"/>
      <c r="B36" s="91"/>
      <c r="C36" s="98" t="n">
        <f aca="false">SUM(D35)</f>
        <v>0</v>
      </c>
      <c r="D36" s="76"/>
      <c r="E36" s="92" t="n">
        <f aca="false">SUM(D36-C36)</f>
        <v>0</v>
      </c>
      <c r="F36" s="109" t="n">
        <f aca="false">SUM(D36-C36)</f>
        <v>0</v>
      </c>
      <c r="G36" s="41"/>
      <c r="H36" s="94" t="n">
        <f aca="false">SUM(G36*F36)</f>
        <v>0</v>
      </c>
      <c r="I36" s="1"/>
      <c r="J36" s="29"/>
      <c r="K36" s="95"/>
      <c r="L36" s="118"/>
      <c r="M36" s="118"/>
      <c r="N36" s="118"/>
      <c r="O36" s="118"/>
      <c r="P36" s="118"/>
      <c r="Q36" s="118"/>
      <c r="R36" s="118"/>
      <c r="S36" s="118"/>
    </row>
    <row r="37" customFormat="false" ht="15.75" hidden="true" customHeight="false" outlineLevel="0" collapsed="false">
      <c r="A37" s="90"/>
      <c r="B37" s="91"/>
      <c r="C37" s="98" t="n">
        <f aca="false">SUM(D36)</f>
        <v>0</v>
      </c>
      <c r="D37" s="76"/>
      <c r="E37" s="92" t="n">
        <f aca="false">SUM(D37-C37)</f>
        <v>0</v>
      </c>
      <c r="F37" s="131" t="n">
        <f aca="false">SUM(D37-C37)</f>
        <v>0</v>
      </c>
      <c r="G37" s="41"/>
      <c r="H37" s="132" t="n">
        <f aca="false">SUM(G37*F37)</f>
        <v>0</v>
      </c>
      <c r="I37" s="1"/>
      <c r="J37" s="1"/>
      <c r="K37" s="95"/>
      <c r="L37" s="118"/>
      <c r="M37" s="118"/>
      <c r="N37" s="118"/>
      <c r="O37" s="118"/>
      <c r="P37" s="118"/>
      <c r="Q37" s="118"/>
      <c r="R37" s="118"/>
      <c r="S37" s="118"/>
    </row>
    <row r="38" customFormat="false" ht="15.75" hidden="false" customHeight="false" outlineLevel="0" collapsed="false">
      <c r="A38" s="90"/>
      <c r="B38" s="91"/>
      <c r="C38" s="98"/>
      <c r="D38" s="76"/>
      <c r="E38" s="110"/>
      <c r="F38" s="133" t="n">
        <f aca="false">SUM(F3:F37)</f>
        <v>273468</v>
      </c>
      <c r="G38" s="134"/>
      <c r="H38" s="135" t="n">
        <f aca="false">SUM(H3:H37)</f>
        <v>228279.8759</v>
      </c>
      <c r="I38" s="136"/>
      <c r="J38" s="1"/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89"/>
      <c r="B39" s="147" t="s">
        <v>49</v>
      </c>
      <c r="C39" s="83"/>
      <c r="D39" s="83"/>
      <c r="E39" s="83"/>
      <c r="F39" s="137"/>
      <c r="G39" s="84"/>
      <c r="H39" s="138"/>
      <c r="I39" s="86"/>
      <c r="J39" s="87" t="s">
        <v>79</v>
      </c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0.409722222222222</v>
      </c>
      <c r="B40" s="91" t="s">
        <v>61</v>
      </c>
      <c r="C40" s="98" t="n">
        <v>3950490</v>
      </c>
      <c r="D40" s="108" t="n">
        <v>3960040</v>
      </c>
      <c r="E40" s="92" t="n">
        <f aca="false">SUM(D40-C40)</f>
        <v>9550</v>
      </c>
      <c r="F40" s="148" t="n">
        <v>9540</v>
      </c>
      <c r="G40" s="41" t="n">
        <v>0.8302</v>
      </c>
      <c r="H40" s="94" t="n">
        <f aca="false">SUM(G40*F40)</f>
        <v>7920.108</v>
      </c>
      <c r="I40" s="29" t="s">
        <v>80</v>
      </c>
      <c r="J40" s="1" t="n">
        <v>6276</v>
      </c>
      <c r="K40" s="119" t="s">
        <v>81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4.25" hidden="false" customHeight="true" outlineLevel="0" collapsed="false">
      <c r="A41" s="90" t="n">
        <v>0.409722222222222</v>
      </c>
      <c r="B41" s="91" t="s">
        <v>52</v>
      </c>
      <c r="C41" s="98" t="n">
        <f aca="false">SUM(D40)</f>
        <v>3960040</v>
      </c>
      <c r="D41" s="108" t="n">
        <v>3965550</v>
      </c>
      <c r="E41" s="92" t="n">
        <f aca="false">SUM(D41-C41)</f>
        <v>5510</v>
      </c>
      <c r="F41" s="148" t="n">
        <v>5500</v>
      </c>
      <c r="G41" s="41" t="n">
        <v>0.8412</v>
      </c>
      <c r="H41" s="85" t="n">
        <f aca="false">SUM(G41*F41)</f>
        <v>4626.6</v>
      </c>
      <c r="I41" s="29" t="s">
        <v>80</v>
      </c>
      <c r="J41" s="1" t="n">
        <v>6276</v>
      </c>
      <c r="K41" s="120" t="s">
        <v>82</v>
      </c>
      <c r="L41" s="118"/>
      <c r="M41" s="118"/>
      <c r="N41" s="118"/>
      <c r="O41" s="118"/>
      <c r="P41" s="118"/>
      <c r="Q41" s="118"/>
      <c r="R41" s="118"/>
      <c r="S41" s="118"/>
    </row>
    <row r="42" customFormat="false" ht="15" hidden="false" customHeight="true" outlineLevel="0" collapsed="false">
      <c r="A42" s="90" t="n">
        <v>0.423611111111111</v>
      </c>
      <c r="B42" s="91" t="s">
        <v>52</v>
      </c>
      <c r="C42" s="98" t="n">
        <f aca="false">SUM(D41)</f>
        <v>3965550</v>
      </c>
      <c r="D42" s="108" t="n">
        <v>3972580</v>
      </c>
      <c r="E42" s="92" t="n">
        <f aca="false">SUM(D42-C42)</f>
        <v>7030</v>
      </c>
      <c r="F42" s="129" t="n">
        <v>7033</v>
      </c>
      <c r="G42" s="41" t="n">
        <v>0.8412</v>
      </c>
      <c r="H42" s="85" t="n">
        <f aca="false">SUM(G42*F42)</f>
        <v>5916.1596</v>
      </c>
      <c r="I42" s="29" t="s">
        <v>77</v>
      </c>
      <c r="J42" s="1" t="n">
        <v>6277</v>
      </c>
      <c r="K42" s="120" t="s">
        <v>83</v>
      </c>
      <c r="L42" s="118"/>
      <c r="M42" s="118"/>
      <c r="N42" s="118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0.423611111111111</v>
      </c>
      <c r="B43" s="91" t="s">
        <v>62</v>
      </c>
      <c r="C43" s="98" t="n">
        <f aca="false">SUM(D42)</f>
        <v>3972580</v>
      </c>
      <c r="D43" s="108" t="n">
        <v>3982530</v>
      </c>
      <c r="E43" s="92" t="n">
        <f aca="false">SUM(D43-C43)</f>
        <v>9950</v>
      </c>
      <c r="F43" s="129" t="n">
        <v>9986</v>
      </c>
      <c r="G43" s="41" t="n">
        <v>0.826</v>
      </c>
      <c r="H43" s="126" t="n">
        <f aca="false">SUM(G43*F43)</f>
        <v>8248.436</v>
      </c>
      <c r="I43" s="29" t="s">
        <v>77</v>
      </c>
      <c r="J43" s="1" t="n">
        <v>6277</v>
      </c>
      <c r="K43" s="120" t="s">
        <v>84</v>
      </c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0.440972222222222</v>
      </c>
      <c r="B44" s="91" t="s">
        <v>62</v>
      </c>
      <c r="C44" s="98" t="n">
        <f aca="false">SUM(D43)</f>
        <v>3982530</v>
      </c>
      <c r="D44" s="108" t="n">
        <v>3988620</v>
      </c>
      <c r="E44" s="92" t="n">
        <f aca="false">SUM(D44-C44)</f>
        <v>6090</v>
      </c>
      <c r="F44" s="109" t="n">
        <f aca="false">SUM(D44-C44)</f>
        <v>6090</v>
      </c>
      <c r="G44" s="41" t="n">
        <v>0.826</v>
      </c>
      <c r="H44" s="126" t="n">
        <f aca="false">SUM(G44*F44)</f>
        <v>5030.34</v>
      </c>
      <c r="I44" s="29" t="s">
        <v>85</v>
      </c>
      <c r="J44" s="1" t="n">
        <v>6279</v>
      </c>
      <c r="K44" s="120" t="s">
        <v>84</v>
      </c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0.447916666666667</v>
      </c>
      <c r="B45" s="91" t="s">
        <v>72</v>
      </c>
      <c r="C45" s="98" t="n">
        <f aca="false">SUM(D44)</f>
        <v>3988620</v>
      </c>
      <c r="D45" s="108" t="n">
        <v>3997530</v>
      </c>
      <c r="E45" s="92" t="n">
        <f aca="false">SUM(D45-C45)</f>
        <v>8910</v>
      </c>
      <c r="F45" s="109" t="n">
        <f aca="false">SUM(D45-C45)</f>
        <v>8910</v>
      </c>
      <c r="G45" s="41" t="n">
        <v>0.8281</v>
      </c>
      <c r="H45" s="145" t="n">
        <f aca="false">SUM(G45*F45)</f>
        <v>7378.371</v>
      </c>
      <c r="I45" s="29" t="s">
        <v>86</v>
      </c>
      <c r="J45" s="1" t="n">
        <v>6281</v>
      </c>
      <c r="K45" s="120"/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0.458333333333333</v>
      </c>
      <c r="B46" s="91" t="s">
        <v>72</v>
      </c>
      <c r="C46" s="98" t="n">
        <f aca="false">SUM(D45)</f>
        <v>3997530</v>
      </c>
      <c r="D46" s="108" t="n">
        <v>4003760</v>
      </c>
      <c r="E46" s="92" t="n">
        <f aca="false">SUM(D46-C46)</f>
        <v>6230</v>
      </c>
      <c r="F46" s="109" t="n">
        <f aca="false">SUM(D46-C46)</f>
        <v>6230</v>
      </c>
      <c r="G46" s="41" t="n">
        <v>0.8281</v>
      </c>
      <c r="H46" s="145" t="n">
        <f aca="false">SUM(G46*F46)</f>
        <v>5159.063</v>
      </c>
      <c r="I46" s="29" t="s">
        <v>87</v>
      </c>
      <c r="J46" s="1" t="n">
        <v>6283</v>
      </c>
      <c r="K46" s="119"/>
      <c r="L46" s="118"/>
      <c r="M46" s="118"/>
      <c r="N46" s="95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0.465277777777778</v>
      </c>
      <c r="B47" s="91" t="s">
        <v>72</v>
      </c>
      <c r="C47" s="98" t="n">
        <f aca="false">SUM(D46)</f>
        <v>4003760</v>
      </c>
      <c r="D47" s="108" t="n">
        <v>4009920</v>
      </c>
      <c r="E47" s="92" t="n">
        <f aca="false">SUM(D47-C47)</f>
        <v>6160</v>
      </c>
      <c r="F47" s="109" t="n">
        <f aca="false">SUM(D47-C47)</f>
        <v>6160</v>
      </c>
      <c r="G47" s="41" t="n">
        <v>0.8281</v>
      </c>
      <c r="H47" s="145" t="n">
        <f aca="false">SUM(G47*F47)</f>
        <v>5101.096</v>
      </c>
      <c r="I47" s="29" t="s">
        <v>88</v>
      </c>
      <c r="J47" s="1" t="n">
        <v>6284</v>
      </c>
      <c r="K47" s="120"/>
      <c r="L47" s="118"/>
      <c r="M47" s="118"/>
      <c r="N47" s="95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0.475694444444444</v>
      </c>
      <c r="B48" s="91" t="s">
        <v>72</v>
      </c>
      <c r="C48" s="98" t="n">
        <f aca="false">SUM(D47)</f>
        <v>4009920</v>
      </c>
      <c r="D48" s="108" t="n">
        <v>4026970</v>
      </c>
      <c r="E48" s="92" t="n">
        <f aca="false">SUM(D48-C48)</f>
        <v>17050</v>
      </c>
      <c r="F48" s="129" t="n">
        <v>17019</v>
      </c>
      <c r="G48" s="41" t="n">
        <v>0.8281</v>
      </c>
      <c r="H48" s="145" t="n">
        <f aca="false">SUM(G48*F48)</f>
        <v>14093.4339</v>
      </c>
      <c r="I48" s="29" t="s">
        <v>77</v>
      </c>
      <c r="J48" s="1" t="n">
        <v>6285</v>
      </c>
      <c r="K48" s="119"/>
      <c r="L48" s="118"/>
      <c r="M48" s="118"/>
      <c r="N48" s="95"/>
      <c r="O48" s="118"/>
      <c r="P48" s="118"/>
      <c r="Q48" s="118"/>
      <c r="R48" s="118"/>
      <c r="S48" s="118"/>
    </row>
    <row r="49" customFormat="false" ht="15" hidden="false" customHeight="true" outlineLevel="0" collapsed="false">
      <c r="A49" s="90" t="n">
        <v>0.517361111111111</v>
      </c>
      <c r="B49" s="91" t="s">
        <v>62</v>
      </c>
      <c r="C49" s="98" t="n">
        <v>4027020</v>
      </c>
      <c r="D49" s="108" t="n">
        <v>4044040</v>
      </c>
      <c r="E49" s="92" t="n">
        <f aca="false">SUM(D49-C49)</f>
        <v>17020</v>
      </c>
      <c r="F49" s="129" t="n">
        <v>17019</v>
      </c>
      <c r="G49" s="41" t="n">
        <v>0.826</v>
      </c>
      <c r="H49" s="126" t="n">
        <f aca="false">SUM(G49*F49)</f>
        <v>14057.694</v>
      </c>
      <c r="I49" s="29" t="s">
        <v>77</v>
      </c>
      <c r="J49" s="1" t="n">
        <v>6287</v>
      </c>
      <c r="K49" s="120" t="s">
        <v>84</v>
      </c>
      <c r="L49" s="118"/>
      <c r="M49" s="118"/>
      <c r="N49" s="95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0.579861111111111</v>
      </c>
      <c r="B50" s="91" t="s">
        <v>72</v>
      </c>
      <c r="C50" s="98" t="n">
        <f aca="false">SUM(D49)</f>
        <v>4044040</v>
      </c>
      <c r="D50" s="108" t="n">
        <v>4053210</v>
      </c>
      <c r="E50" s="92" t="n">
        <f aca="false">SUM(D50-C50)</f>
        <v>9170</v>
      </c>
      <c r="F50" s="109" t="n">
        <f aca="false">SUM(D50-C50)</f>
        <v>9170</v>
      </c>
      <c r="G50" s="41" t="n">
        <v>0.8261</v>
      </c>
      <c r="H50" s="145" t="n">
        <f aca="false">SUM(G50*F50)</f>
        <v>7575.337</v>
      </c>
      <c r="I50" s="29" t="s">
        <v>87</v>
      </c>
      <c r="J50" s="1" t="n">
        <v>6289</v>
      </c>
      <c r="K50" s="120"/>
      <c r="L50" s="118"/>
      <c r="M50" s="118"/>
      <c r="N50" s="118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 t="n">
        <v>0.590277777777778</v>
      </c>
      <c r="B51" s="91" t="s">
        <v>72</v>
      </c>
      <c r="C51" s="98" t="n">
        <f aca="false">SUM(D50)</f>
        <v>4053210</v>
      </c>
      <c r="D51" s="108" t="n">
        <v>4058650</v>
      </c>
      <c r="E51" s="92" t="n">
        <f aca="false">SUM(D51-C51)</f>
        <v>5440</v>
      </c>
      <c r="F51" s="109" t="n">
        <f aca="false">SUM(D51-C51)</f>
        <v>5440</v>
      </c>
      <c r="G51" s="41" t="n">
        <v>0.8261</v>
      </c>
      <c r="H51" s="145" t="n">
        <f aca="false">SUM(G51*F51)</f>
        <v>4493.984</v>
      </c>
      <c r="I51" s="29" t="s">
        <v>88</v>
      </c>
      <c r="J51" s="1" t="n">
        <v>6290</v>
      </c>
      <c r="K51" s="120"/>
      <c r="L51" s="118"/>
      <c r="M51" s="118"/>
      <c r="N51" s="118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 t="n">
        <v>0.604166666666667</v>
      </c>
      <c r="B52" s="91" t="s">
        <v>57</v>
      </c>
      <c r="C52" s="98" t="n">
        <f aca="false">SUM(D51)</f>
        <v>4058650</v>
      </c>
      <c r="D52" s="108" t="n">
        <v>4066210</v>
      </c>
      <c r="E52" s="92" t="n">
        <f aca="false">SUM(D52-C52)</f>
        <v>7560</v>
      </c>
      <c r="F52" s="109" t="n">
        <f aca="false">SUM(D52-C52)</f>
        <v>7560</v>
      </c>
      <c r="G52" s="41" t="n">
        <v>0.8264</v>
      </c>
      <c r="H52" s="128" t="n">
        <f aca="false">SUM(G52*F52)</f>
        <v>6247.584</v>
      </c>
      <c r="I52" s="29" t="s">
        <v>85</v>
      </c>
      <c r="J52" s="1" t="n">
        <v>6291</v>
      </c>
      <c r="K52" s="120" t="s">
        <v>84</v>
      </c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 t="n">
        <v>0.75</v>
      </c>
      <c r="B53" s="91" t="s">
        <v>61</v>
      </c>
      <c r="C53" s="98" t="n">
        <f aca="false">SUM(D52)</f>
        <v>4066210</v>
      </c>
      <c r="D53" s="108" t="n">
        <v>4083250</v>
      </c>
      <c r="E53" s="92" t="n">
        <f aca="false">SUM(D53-C53)</f>
        <v>17040</v>
      </c>
      <c r="F53" s="129" t="n">
        <v>17019</v>
      </c>
      <c r="G53" s="41" t="n">
        <v>0.8259</v>
      </c>
      <c r="H53" s="94" t="n">
        <f aca="false">SUM(G53*F53)</f>
        <v>14055.9921</v>
      </c>
      <c r="I53" s="29" t="s">
        <v>77</v>
      </c>
      <c r="J53" s="1" t="n">
        <v>6295</v>
      </c>
      <c r="K53" s="119" t="s">
        <v>70</v>
      </c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 t="n">
        <v>0.791666666666667</v>
      </c>
      <c r="B54" s="91" t="s">
        <v>72</v>
      </c>
      <c r="C54" s="98" t="n">
        <f aca="false">SUM(D53)</f>
        <v>4083250</v>
      </c>
      <c r="D54" s="108" t="n">
        <v>4090750</v>
      </c>
      <c r="E54" s="92" t="n">
        <f aca="false">SUM(D54-C54)</f>
        <v>7500</v>
      </c>
      <c r="F54" s="109" t="n">
        <f aca="false">SUM(D54-C54)</f>
        <v>7500</v>
      </c>
      <c r="G54" s="41" t="n">
        <v>0.8261</v>
      </c>
      <c r="H54" s="145" t="n">
        <f aca="false">SUM(G54*F54)</f>
        <v>6195.75</v>
      </c>
      <c r="I54" s="29" t="s">
        <v>86</v>
      </c>
      <c r="J54" s="1" t="n">
        <v>6298</v>
      </c>
      <c r="K54" s="111"/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 t="n">
        <v>0.805555555555555</v>
      </c>
      <c r="B55" s="91" t="s">
        <v>57</v>
      </c>
      <c r="C55" s="98" t="n">
        <f aca="false">SUM(D54)</f>
        <v>4090750</v>
      </c>
      <c r="D55" s="108" t="n">
        <v>4107730</v>
      </c>
      <c r="E55" s="92" t="n">
        <f aca="false">SUM(D55-C55)</f>
        <v>16980</v>
      </c>
      <c r="F55" s="129" t="n">
        <v>17019</v>
      </c>
      <c r="G55" s="41" t="n">
        <v>0.8264</v>
      </c>
      <c r="H55" s="128" t="n">
        <f aca="false">SUM(G55*F55)</f>
        <v>14064.5016</v>
      </c>
      <c r="I55" s="29" t="s">
        <v>77</v>
      </c>
      <c r="J55" s="1" t="n">
        <v>6299</v>
      </c>
      <c r="K55" s="120" t="s">
        <v>84</v>
      </c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 t="n">
        <v>0.885416666666667</v>
      </c>
      <c r="B56" s="91" t="s">
        <v>61</v>
      </c>
      <c r="C56" s="98" t="n">
        <f aca="false">SUM(D55)</f>
        <v>4107730</v>
      </c>
      <c r="D56" s="108" t="n">
        <v>4114550</v>
      </c>
      <c r="E56" s="92" t="n">
        <f aca="false">SUM(D56-C56)</f>
        <v>6820</v>
      </c>
      <c r="F56" s="109" t="n">
        <f aca="false">SUM(D56-C56)</f>
        <v>6820</v>
      </c>
      <c r="G56" s="41" t="n">
        <v>0.8259</v>
      </c>
      <c r="H56" s="94" t="n">
        <f aca="false">SUM(G56*F56)</f>
        <v>5632.638</v>
      </c>
      <c r="I56" s="29" t="s">
        <v>87</v>
      </c>
      <c r="J56" s="1" t="n">
        <v>6300</v>
      </c>
      <c r="K56" s="119" t="s">
        <v>70</v>
      </c>
      <c r="L56" s="118"/>
      <c r="M56" s="118"/>
      <c r="N56" s="95"/>
      <c r="O56" s="118"/>
      <c r="P56" s="118"/>
      <c r="Q56" s="118"/>
      <c r="R56" s="118"/>
      <c r="S56" s="118"/>
    </row>
    <row r="57" customFormat="false" ht="15" hidden="false" customHeight="false" outlineLevel="0" collapsed="false">
      <c r="A57" s="90" t="n">
        <v>0.913194444444444</v>
      </c>
      <c r="B57" s="91" t="s">
        <v>72</v>
      </c>
      <c r="C57" s="98" t="n">
        <f aca="false">SUM(D56)</f>
        <v>4114550</v>
      </c>
      <c r="D57" s="108" t="n">
        <v>4120210</v>
      </c>
      <c r="E57" s="92" t="n">
        <f aca="false">SUM(D57-C57)</f>
        <v>5660</v>
      </c>
      <c r="F57" s="109" t="n">
        <f aca="false">SUM(D57-C57)</f>
        <v>5660</v>
      </c>
      <c r="G57" s="41" t="n">
        <v>0.8261</v>
      </c>
      <c r="H57" s="145" t="n">
        <f aca="false">SUM(G57*F57)</f>
        <v>4675.726</v>
      </c>
      <c r="I57" s="29" t="s">
        <v>88</v>
      </c>
      <c r="J57" s="1" t="n">
        <v>6303</v>
      </c>
      <c r="K57" s="120"/>
      <c r="L57" s="118"/>
      <c r="M57" s="118"/>
      <c r="N57" s="95"/>
      <c r="O57" s="118"/>
      <c r="P57" s="118"/>
      <c r="Q57" s="118"/>
      <c r="R57" s="118"/>
      <c r="S57" s="118"/>
    </row>
    <row r="58" customFormat="false" ht="15" hidden="false" customHeight="false" outlineLevel="0" collapsed="false">
      <c r="A58" s="90" t="n">
        <v>0.9375</v>
      </c>
      <c r="B58" s="91" t="s">
        <v>72</v>
      </c>
      <c r="C58" s="98" t="n">
        <f aca="false">SUM(D57)</f>
        <v>4120210</v>
      </c>
      <c r="D58" s="108" t="n">
        <v>4137190</v>
      </c>
      <c r="E58" s="92" t="n">
        <f aca="false">SUM(D58-C58)</f>
        <v>16980</v>
      </c>
      <c r="F58" s="129" t="n">
        <v>17019</v>
      </c>
      <c r="G58" s="41" t="n">
        <v>0.8261</v>
      </c>
      <c r="H58" s="145" t="n">
        <f aca="false">SUM(G58*F58)</f>
        <v>14059.3959</v>
      </c>
      <c r="I58" s="29" t="s">
        <v>77</v>
      </c>
      <c r="J58" s="1" t="n">
        <v>6304</v>
      </c>
      <c r="K58" s="119"/>
      <c r="L58" s="118"/>
      <c r="M58" s="118"/>
      <c r="N58" s="95"/>
      <c r="O58" s="118"/>
      <c r="P58" s="118"/>
      <c r="Q58" s="118"/>
      <c r="R58" s="118"/>
      <c r="S58" s="118"/>
    </row>
    <row r="59" customFormat="false" ht="15" hidden="false" customHeight="true" outlineLevel="0" collapsed="false">
      <c r="A59" s="90" t="n">
        <v>0.954861111111111</v>
      </c>
      <c r="B59" s="91" t="s">
        <v>57</v>
      </c>
      <c r="C59" s="98" t="n">
        <f aca="false">SUM(D58)</f>
        <v>4137190</v>
      </c>
      <c r="D59" s="108" t="n">
        <v>4142130</v>
      </c>
      <c r="E59" s="92" t="n">
        <f aca="false">SUM(D59-C59)</f>
        <v>4940</v>
      </c>
      <c r="F59" s="109" t="n">
        <f aca="false">SUM(D59-C59)</f>
        <v>4940</v>
      </c>
      <c r="G59" s="41" t="n">
        <v>0.8264</v>
      </c>
      <c r="H59" s="128" t="n">
        <f aca="false">SUM(G59*F59)</f>
        <v>4082.416</v>
      </c>
      <c r="I59" s="29" t="s">
        <v>85</v>
      </c>
      <c r="J59" s="1" t="n">
        <v>6306</v>
      </c>
      <c r="K59" s="120" t="s">
        <v>84</v>
      </c>
      <c r="L59" s="118"/>
      <c r="M59" s="118"/>
      <c r="N59" s="95"/>
      <c r="O59" s="118"/>
      <c r="P59" s="118"/>
      <c r="Q59" s="118"/>
      <c r="R59" s="118"/>
      <c r="S59" s="118"/>
    </row>
    <row r="60" customFormat="false" ht="15" hidden="false" customHeight="false" outlineLevel="0" collapsed="false">
      <c r="A60" s="90" t="n">
        <v>0.982638888888889</v>
      </c>
      <c r="B60" s="91" t="s">
        <v>89</v>
      </c>
      <c r="C60" s="98" t="n">
        <f aca="false">SUM(D59)</f>
        <v>4142130</v>
      </c>
      <c r="D60" s="108" t="n">
        <v>4159040</v>
      </c>
      <c r="E60" s="92" t="n">
        <f aca="false">SUM(D60-C60)</f>
        <v>16910</v>
      </c>
      <c r="F60" s="129" t="n">
        <v>17019</v>
      </c>
      <c r="G60" s="41" t="n">
        <v>0.8234</v>
      </c>
      <c r="H60" s="140" t="n">
        <f aca="false">SUM(G60*F60)</f>
        <v>14013.4446</v>
      </c>
      <c r="I60" s="29" t="s">
        <v>77</v>
      </c>
      <c r="J60" s="1" t="n">
        <v>6307</v>
      </c>
      <c r="K60" s="120" t="s">
        <v>84</v>
      </c>
      <c r="L60" s="118"/>
      <c r="M60" s="118"/>
      <c r="N60" s="118"/>
      <c r="O60" s="118"/>
      <c r="P60" s="118"/>
      <c r="Q60" s="118"/>
      <c r="R60" s="118"/>
      <c r="S60" s="118"/>
    </row>
    <row r="61" customFormat="false" ht="15" hidden="false" customHeight="false" outlineLevel="0" collapsed="false">
      <c r="A61" s="90" t="n">
        <v>0.0972222222222222</v>
      </c>
      <c r="B61" s="91" t="s">
        <v>72</v>
      </c>
      <c r="C61" s="98" t="n">
        <f aca="false">SUM(D60)</f>
        <v>4159040</v>
      </c>
      <c r="D61" s="108" t="n">
        <v>4165820</v>
      </c>
      <c r="E61" s="92" t="n">
        <f aca="false">SUM(D61-C61)</f>
        <v>6780</v>
      </c>
      <c r="F61" s="109" t="n">
        <f aca="false">SUM(D61-C61)</f>
        <v>6780</v>
      </c>
      <c r="G61" s="41" t="n">
        <v>0.8261</v>
      </c>
      <c r="H61" s="145" t="n">
        <f aca="false">SUM(G61*F61)</f>
        <v>5600.958</v>
      </c>
      <c r="I61" s="29" t="s">
        <v>88</v>
      </c>
      <c r="J61" s="1" t="n">
        <v>6309</v>
      </c>
      <c r="K61" s="120"/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A62" s="90" t="n">
        <v>0.104166666666667</v>
      </c>
      <c r="B62" s="91" t="s">
        <v>72</v>
      </c>
      <c r="C62" s="98" t="n">
        <f aca="false">SUM(D61)</f>
        <v>4165820</v>
      </c>
      <c r="D62" s="108" t="n">
        <v>4175400</v>
      </c>
      <c r="E62" s="92" t="n">
        <f aca="false">SUM(D62-C62)</f>
        <v>9580</v>
      </c>
      <c r="F62" s="148" t="n">
        <v>9540</v>
      </c>
      <c r="G62" s="41" t="n">
        <v>0.8261</v>
      </c>
      <c r="H62" s="145" t="n">
        <f aca="false">SUM(G62*F62)</f>
        <v>7880.994</v>
      </c>
      <c r="I62" s="29" t="s">
        <v>80</v>
      </c>
      <c r="J62" s="1" t="n">
        <v>6310</v>
      </c>
      <c r="K62" s="119" t="s">
        <v>81</v>
      </c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A63" s="90" t="n">
        <v>0.104166666666667</v>
      </c>
      <c r="B63" s="91" t="s">
        <v>52</v>
      </c>
      <c r="C63" s="98" t="n">
        <f aca="false">SUM(D62)</f>
        <v>4175400</v>
      </c>
      <c r="D63" s="108" t="n">
        <v>4180910</v>
      </c>
      <c r="E63" s="92" t="n">
        <f aca="false">SUM(D63-C63)</f>
        <v>5510</v>
      </c>
      <c r="F63" s="148" t="n">
        <v>5500</v>
      </c>
      <c r="G63" s="41" t="n">
        <v>0.8366</v>
      </c>
      <c r="H63" s="85" t="n">
        <f aca="false">SUM(G63*F63)</f>
        <v>4601.3</v>
      </c>
      <c r="I63" s="29" t="s">
        <v>80</v>
      </c>
      <c r="J63" s="1" t="n">
        <v>6310</v>
      </c>
      <c r="K63" s="120" t="s">
        <v>82</v>
      </c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A64" s="90" t="n">
        <v>0.243055555555556</v>
      </c>
      <c r="B64" s="91" t="s">
        <v>89</v>
      </c>
      <c r="C64" s="98" t="n">
        <f aca="false">SUM(D63)</f>
        <v>4180910</v>
      </c>
      <c r="D64" s="108" t="n">
        <v>4197840</v>
      </c>
      <c r="E64" s="92" t="n">
        <f aca="false">SUM(D64-C64)</f>
        <v>16930</v>
      </c>
      <c r="F64" s="129" t="n">
        <v>17019</v>
      </c>
      <c r="G64" s="41" t="n">
        <v>0.8234</v>
      </c>
      <c r="H64" s="140" t="n">
        <f aca="false">SUM(G64*F64)</f>
        <v>14013.4446</v>
      </c>
      <c r="I64" s="29" t="s">
        <v>77</v>
      </c>
      <c r="J64" s="1" t="n">
        <v>6314</v>
      </c>
      <c r="K64" s="120" t="s">
        <v>84</v>
      </c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A65" s="90" t="n">
        <v>0.34375</v>
      </c>
      <c r="B65" s="91" t="s">
        <v>89</v>
      </c>
      <c r="C65" s="98" t="n">
        <f aca="false">SUM(D64)</f>
        <v>4197840</v>
      </c>
      <c r="D65" s="108" t="n">
        <v>4214840</v>
      </c>
      <c r="E65" s="92" t="n">
        <f aca="false">SUM(D65-C65)</f>
        <v>17000</v>
      </c>
      <c r="F65" s="129" t="n">
        <v>17019</v>
      </c>
      <c r="G65" s="41" t="n">
        <v>0.8234</v>
      </c>
      <c r="H65" s="140" t="n">
        <f aca="false">SUM(G65*F65)</f>
        <v>14013.4446</v>
      </c>
      <c r="I65" s="29" t="s">
        <v>77</v>
      </c>
      <c r="J65" s="1" t="n">
        <v>6317</v>
      </c>
      <c r="K65" s="120" t="s">
        <v>84</v>
      </c>
      <c r="L65" s="118"/>
      <c r="M65" s="118"/>
      <c r="N65" s="118"/>
      <c r="O65" s="118"/>
      <c r="P65" s="118"/>
      <c r="Q65" s="118"/>
      <c r="R65" s="118"/>
      <c r="S65" s="118"/>
    </row>
    <row r="66" customFormat="false" ht="15.75" hidden="false" customHeight="false" outlineLevel="0" collapsed="false">
      <c r="A66" s="90"/>
      <c r="B66" s="91"/>
      <c r="C66" s="98" t="n">
        <v>0</v>
      </c>
      <c r="D66" s="108"/>
      <c r="E66" s="92" t="n">
        <f aca="false">SUM(D66-C66)</f>
        <v>0</v>
      </c>
      <c r="F66" s="109" t="n">
        <f aca="false">SUM(D66-C66)</f>
        <v>0</v>
      </c>
      <c r="G66" s="41"/>
      <c r="H66" s="94" t="n">
        <f aca="false">SUM(G66*F66)</f>
        <v>0</v>
      </c>
      <c r="I66" s="1"/>
      <c r="J66" s="29"/>
      <c r="K66" s="111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true" customHeight="false" outlineLevel="0" collapsed="false">
      <c r="A67" s="90"/>
      <c r="B67" s="91"/>
      <c r="C67" s="98" t="n">
        <f aca="false">SUM(D66)</f>
        <v>0</v>
      </c>
      <c r="D67" s="108"/>
      <c r="E67" s="92" t="n">
        <f aca="false">SUM(D67-C67)</f>
        <v>0</v>
      </c>
      <c r="F67" s="109" t="n">
        <f aca="false">SUM(D67-C67)</f>
        <v>0</v>
      </c>
      <c r="G67" s="41"/>
      <c r="H67" s="94" t="n">
        <f aca="false">SUM(G67*F67)</f>
        <v>0</v>
      </c>
      <c r="I67" s="1"/>
      <c r="J67" s="29"/>
      <c r="K67" s="111"/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true" customHeight="false" outlineLevel="0" collapsed="false">
      <c r="A68" s="90"/>
      <c r="B68" s="91"/>
      <c r="C68" s="98" t="n">
        <f aca="false">SUM(D67)</f>
        <v>0</v>
      </c>
      <c r="D68" s="108"/>
      <c r="E68" s="92" t="n">
        <f aca="false">SUM(D68-C68)</f>
        <v>0</v>
      </c>
      <c r="F68" s="109" t="n">
        <f aca="false">SUM(D68-C68)</f>
        <v>0</v>
      </c>
      <c r="G68" s="41"/>
      <c r="H68" s="94" t="n">
        <f aca="false">SUM(G68*F68)</f>
        <v>0</v>
      </c>
      <c r="I68" s="1"/>
      <c r="J68" s="29"/>
      <c r="K68" s="111"/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true" customHeight="false" outlineLevel="0" collapsed="false">
      <c r="A69" s="90"/>
      <c r="B69" s="91"/>
      <c r="C69" s="98" t="n">
        <f aca="false">SUM(D68)</f>
        <v>0</v>
      </c>
      <c r="D69" s="108"/>
      <c r="E69" s="92" t="n">
        <f aca="false">SUM(D69-C69)</f>
        <v>0</v>
      </c>
      <c r="F69" s="109" t="n">
        <f aca="false">SUM(D69-C69)</f>
        <v>0</v>
      </c>
      <c r="G69" s="41"/>
      <c r="H69" s="94" t="n">
        <f aca="false">SUM(G69*F69)</f>
        <v>0</v>
      </c>
      <c r="I69" s="1"/>
      <c r="J69" s="29"/>
      <c r="K69" s="111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true" customHeight="false" outlineLevel="0" collapsed="false">
      <c r="A70" s="90"/>
      <c r="B70" s="91"/>
      <c r="C70" s="98" t="n">
        <f aca="false">SUM(D69)</f>
        <v>0</v>
      </c>
      <c r="D70" s="108"/>
      <c r="E70" s="92" t="n">
        <f aca="false">SUM(D70-C70)</f>
        <v>0</v>
      </c>
      <c r="F70" s="109" t="n">
        <f aca="false">SUM(D70-C70)</f>
        <v>0</v>
      </c>
      <c r="G70" s="41"/>
      <c r="H70" s="94" t="n">
        <f aca="false">SUM(G70*F70)</f>
        <v>0</v>
      </c>
      <c r="I70" s="1"/>
      <c r="J70" s="29"/>
      <c r="K70" s="111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true" customHeight="false" outlineLevel="0" collapsed="false">
      <c r="A71" s="90"/>
      <c r="B71" s="91"/>
      <c r="C71" s="98" t="n">
        <f aca="false">SUM(D70)</f>
        <v>0</v>
      </c>
      <c r="D71" s="108"/>
      <c r="E71" s="92" t="n">
        <f aca="false">SUM(D71-C71)</f>
        <v>0</v>
      </c>
      <c r="F71" s="109" t="n">
        <f aca="false">SUM(D71-C71)</f>
        <v>0</v>
      </c>
      <c r="G71" s="41"/>
      <c r="H71" s="94" t="n">
        <f aca="false">SUM(G71*F71)</f>
        <v>0</v>
      </c>
      <c r="I71" s="1"/>
      <c r="J71" s="29"/>
      <c r="K71" s="111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true" customHeight="false" outlineLevel="0" collapsed="false">
      <c r="A72" s="90"/>
      <c r="B72" s="91"/>
      <c r="C72" s="98" t="n">
        <f aca="false">SUM(D71)</f>
        <v>0</v>
      </c>
      <c r="D72" s="108"/>
      <c r="E72" s="92" t="n">
        <f aca="false">SUM(D72-C72)</f>
        <v>0</v>
      </c>
      <c r="F72" s="109" t="n">
        <f aca="false">SUM(D72-C72)</f>
        <v>0</v>
      </c>
      <c r="G72" s="41"/>
      <c r="H72" s="94" t="n">
        <f aca="false">SUM(G72*F72)</f>
        <v>0</v>
      </c>
      <c r="I72" s="1"/>
      <c r="J72" s="29"/>
      <c r="K72" s="111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true" customHeight="false" outlineLevel="0" collapsed="false">
      <c r="A73" s="90"/>
      <c r="B73" s="91"/>
      <c r="C73" s="98" t="n">
        <f aca="false">SUM(D72)</f>
        <v>0</v>
      </c>
      <c r="D73" s="108"/>
      <c r="E73" s="92" t="n">
        <f aca="false">SUM(D73-C73)</f>
        <v>0</v>
      </c>
      <c r="F73" s="109" t="n">
        <f aca="false">SUM(D73-C73)</f>
        <v>0</v>
      </c>
      <c r="G73" s="41"/>
      <c r="H73" s="94" t="n">
        <f aca="false">SUM(G73*F73)</f>
        <v>0</v>
      </c>
      <c r="I73" s="1"/>
      <c r="J73" s="29"/>
      <c r="K73" s="111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true" customHeight="false" outlineLevel="0" collapsed="false">
      <c r="A74" s="90"/>
      <c r="B74" s="91"/>
      <c r="C74" s="98" t="n">
        <f aca="false">SUM(D73)</f>
        <v>0</v>
      </c>
      <c r="D74" s="76"/>
      <c r="E74" s="92" t="n">
        <f aca="false">SUM(D74-C74)</f>
        <v>0</v>
      </c>
      <c r="F74" s="109" t="n">
        <f aca="false">SUM(D74-C74)</f>
        <v>0</v>
      </c>
      <c r="G74" s="41"/>
      <c r="H74" s="94" t="n">
        <f aca="false">SUM(G74*F74)</f>
        <v>0</v>
      </c>
      <c r="I74" s="1"/>
      <c r="J74" s="29"/>
      <c r="K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.75" hidden="true" customHeight="false" outlineLevel="0" collapsed="false">
      <c r="A75" s="90"/>
      <c r="B75" s="91"/>
      <c r="C75" s="98" t="n">
        <f aca="false">SUM(D74)</f>
        <v>0</v>
      </c>
      <c r="D75" s="76"/>
      <c r="E75" s="92" t="n">
        <f aca="false">SUM(D75-C75)</f>
        <v>0</v>
      </c>
      <c r="F75" s="131" t="n">
        <f aca="false">SUM(D75-C75)</f>
        <v>0</v>
      </c>
      <c r="G75" s="41"/>
      <c r="H75" s="132" t="n">
        <f aca="false">SUM(G75*F75)</f>
        <v>0</v>
      </c>
      <c r="I75" s="1"/>
      <c r="J75" s="29"/>
      <c r="K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.75" hidden="false" customHeight="false" outlineLevel="0" collapsed="false">
      <c r="A76" s="90"/>
      <c r="B76" s="91"/>
      <c r="C76" s="98"/>
      <c r="D76" s="76"/>
      <c r="E76" s="110"/>
      <c r="F76" s="133" t="n">
        <f aca="false">SUM(F40:F75)</f>
        <v>264511</v>
      </c>
      <c r="G76" s="134"/>
      <c r="H76" s="135" t="n">
        <f aca="false">SUM(H40:H75)</f>
        <v>218738.2119</v>
      </c>
      <c r="I76" s="136"/>
      <c r="J76" s="29"/>
      <c r="K76" s="121"/>
      <c r="L76" s="118"/>
      <c r="M76" s="118"/>
      <c r="N76" s="118"/>
      <c r="O76" s="118"/>
      <c r="P76" s="118"/>
      <c r="Q76" s="118"/>
      <c r="R76" s="118"/>
      <c r="S76" s="118"/>
    </row>
    <row r="77" customFormat="false" ht="15.75" hidden="false" customHeight="false" outlineLevel="0" collapsed="false">
      <c r="L77" s="118"/>
      <c r="M77" s="118"/>
      <c r="N77" s="118"/>
      <c r="O77" s="118"/>
      <c r="P77" s="118"/>
      <c r="Q77" s="118"/>
      <c r="R77" s="118"/>
      <c r="S77" s="118"/>
    </row>
    <row r="78" customFormat="false" ht="15.75" hidden="false" customHeight="false" outlineLevel="0" collapsed="false">
      <c r="F78" s="146" t="n">
        <f aca="false">F76+F38</f>
        <v>537979</v>
      </c>
      <c r="H78" s="135" t="n">
        <f aca="false">H76+H38</f>
        <v>447018.0878</v>
      </c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fals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fals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fals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fals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fals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fals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fals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false" customHeight="false" outlineLevel="0" collapsed="false">
      <c r="E87" s="118"/>
      <c r="L87" s="118"/>
      <c r="M87" s="118"/>
      <c r="N87" s="118"/>
      <c r="O87" s="118"/>
      <c r="P87" s="118"/>
      <c r="Q87" s="118"/>
      <c r="R87" s="118"/>
      <c r="S87" s="118"/>
    </row>
    <row r="88" customFormat="false" ht="15" hidden="false" customHeight="false" outlineLevel="0" collapsed="false">
      <c r="E88" s="118"/>
      <c r="L88" s="118"/>
      <c r="M88" s="118"/>
      <c r="N88" s="118"/>
      <c r="O88" s="118"/>
      <c r="P88" s="118"/>
      <c r="Q88" s="118"/>
      <c r="R88" s="118"/>
      <c r="S88" s="118"/>
    </row>
    <row r="89" customFormat="false" ht="15" hidden="false" customHeight="false" outlineLevel="0" collapsed="false">
      <c r="E89" s="118"/>
      <c r="L89" s="118"/>
      <c r="M89" s="118"/>
      <c r="N89" s="118"/>
      <c r="O89" s="118"/>
      <c r="P89" s="118"/>
      <c r="Q89" s="118"/>
      <c r="R89" s="118"/>
      <c r="S89" s="118"/>
    </row>
    <row r="90" customFormat="false" ht="15" hidden="false" customHeight="false" outlineLevel="0" collapsed="false">
      <c r="E90" s="118"/>
      <c r="L90" s="118"/>
      <c r="M90" s="118"/>
      <c r="N90" s="118"/>
      <c r="O90" s="118"/>
      <c r="P90" s="118"/>
      <c r="Q90" s="118"/>
      <c r="R90" s="118"/>
      <c r="S90" s="118"/>
    </row>
    <row r="91" customFormat="false" ht="15" hidden="false" customHeight="false" outlineLevel="0" collapsed="false">
      <c r="E91" s="118"/>
      <c r="L91" s="118"/>
      <c r="M91" s="118"/>
      <c r="N91" s="118"/>
      <c r="O91" s="118"/>
      <c r="P91" s="118"/>
      <c r="Q91" s="118"/>
      <c r="R91" s="118"/>
      <c r="S91" s="118"/>
    </row>
    <row r="92" customFormat="false" ht="15" hidden="false" customHeight="false" outlineLevel="0" collapsed="false">
      <c r="E92" s="118"/>
      <c r="L92" s="118"/>
      <c r="M92" s="118"/>
      <c r="N92" s="118"/>
      <c r="O92" s="118"/>
      <c r="P92" s="118"/>
      <c r="Q92" s="118"/>
      <c r="R92" s="118"/>
      <c r="S92" s="118"/>
    </row>
    <row r="93" customFormat="false" ht="15" hidden="false" customHeight="false" outlineLevel="0" collapsed="false">
      <c r="E93" s="118"/>
      <c r="L93" s="118"/>
      <c r="M93" s="118"/>
      <c r="N93" s="118"/>
      <c r="O93" s="118"/>
      <c r="P93" s="118"/>
      <c r="Q93" s="118"/>
      <c r="R93" s="118"/>
      <c r="S93" s="118"/>
    </row>
    <row r="94" customFormat="false" ht="15" hidden="false" customHeight="false" outlineLevel="0" collapsed="false">
      <c r="E94" s="118"/>
      <c r="L94" s="118"/>
      <c r="M94" s="118"/>
      <c r="N94" s="118"/>
      <c r="O94" s="118"/>
      <c r="P94" s="118"/>
      <c r="Q94" s="118"/>
      <c r="R94" s="118"/>
      <c r="S94" s="118"/>
    </row>
    <row r="95" customFormat="false" ht="15" hidden="false" customHeight="false" outlineLevel="0" collapsed="false">
      <c r="E95" s="118"/>
      <c r="L95" s="118"/>
      <c r="M95" s="118"/>
      <c r="N95" s="118"/>
      <c r="O95" s="118"/>
      <c r="P95" s="118"/>
      <c r="Q95" s="118"/>
      <c r="R95" s="118"/>
      <c r="S95" s="118"/>
    </row>
    <row r="96" customFormat="false" ht="15" hidden="true" customHeight="false" outlineLevel="0" collapsed="false">
      <c r="E96" s="118"/>
      <c r="L96" s="118"/>
      <c r="M96" s="118"/>
      <c r="N96" s="118"/>
      <c r="O96" s="118"/>
      <c r="P96" s="118"/>
      <c r="Q96" s="118"/>
      <c r="R96" s="118"/>
      <c r="S96" s="118"/>
    </row>
    <row r="97" customFormat="false" ht="15" hidden="true" customHeight="false" outlineLevel="0" collapsed="false">
      <c r="E97" s="118"/>
      <c r="L97" s="118"/>
      <c r="M97" s="118"/>
      <c r="N97" s="118"/>
      <c r="O97" s="118"/>
      <c r="P97" s="118"/>
      <c r="Q97" s="118"/>
      <c r="R97" s="118"/>
      <c r="S97" s="118"/>
    </row>
    <row r="98" customFormat="false" ht="15" hidden="true" customHeight="false" outlineLevel="0" collapsed="false">
      <c r="E98" s="118"/>
      <c r="L98" s="118"/>
      <c r="M98" s="118"/>
      <c r="N98" s="118"/>
      <c r="O98" s="118"/>
      <c r="P98" s="118"/>
      <c r="Q98" s="118"/>
      <c r="R98" s="118"/>
      <c r="S98" s="118"/>
    </row>
    <row r="99" customFormat="false" ht="15" hidden="true" customHeight="false" outlineLevel="0" collapsed="false">
      <c r="E99" s="118"/>
      <c r="L99" s="118"/>
      <c r="M99" s="118"/>
      <c r="N99" s="118"/>
      <c r="O99" s="118"/>
      <c r="P99" s="118"/>
      <c r="Q99" s="118"/>
      <c r="R99" s="118"/>
      <c r="S99" s="118"/>
    </row>
    <row r="100" customFormat="false" ht="15" hidden="true" customHeight="false" outlineLevel="0" collapsed="false">
      <c r="E100" s="118"/>
      <c r="L100" s="118"/>
      <c r="M100" s="118"/>
      <c r="N100" s="118"/>
      <c r="O100" s="118"/>
      <c r="P100" s="118"/>
      <c r="Q100" s="118"/>
      <c r="R100" s="118"/>
      <c r="S100" s="118"/>
    </row>
    <row r="101" customFormat="false" ht="15" hidden="false" customHeight="false" outlineLevel="0" collapsed="false">
      <c r="E101" s="118"/>
      <c r="L101" s="118"/>
      <c r="M101" s="118"/>
      <c r="N101" s="118"/>
      <c r="O101" s="118"/>
      <c r="P101" s="118"/>
      <c r="Q101" s="118"/>
      <c r="R101" s="118"/>
      <c r="S101" s="118"/>
    </row>
    <row r="102" customFormat="false" ht="15" hidden="false" customHeight="false" outlineLevel="0" collapsed="false">
      <c r="E102" s="118"/>
      <c r="L102" s="118"/>
      <c r="M102" s="118"/>
      <c r="N102" s="118"/>
      <c r="O102" s="118"/>
      <c r="P102" s="118"/>
      <c r="Q102" s="118"/>
      <c r="R102" s="118"/>
      <c r="S102" s="118"/>
    </row>
    <row r="103" customFormat="false" ht="15" hidden="false" customHeight="false" outlineLevel="0" collapsed="false">
      <c r="E103" s="118"/>
      <c r="L103" s="118"/>
      <c r="M103" s="118"/>
      <c r="N103" s="118"/>
      <c r="O103" s="118"/>
      <c r="P103" s="118"/>
      <c r="Q103" s="118"/>
      <c r="R103" s="118"/>
      <c r="S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  <row r="124" customFormat="false" ht="15" hidden="false" customHeight="false" outlineLevel="0" collapsed="false">
      <c r="E124" s="118"/>
    </row>
    <row r="125" customFormat="false" ht="15" hidden="false" customHeight="false" outlineLevel="0" collapsed="false">
      <c r="E125" s="118"/>
    </row>
    <row r="126" customFormat="false" ht="15" hidden="false" customHeight="false" outlineLevel="0" collapsed="false">
      <c r="E126" s="118"/>
    </row>
    <row r="127" customFormat="false" ht="15" hidden="false" customHeight="false" outlineLevel="0" collapsed="false">
      <c r="E127" s="118"/>
    </row>
    <row r="128" customFormat="false" ht="15" hidden="false" customHeight="false" outlineLevel="0" collapsed="false">
      <c r="E128" s="118"/>
    </row>
    <row r="129" customFormat="false" ht="15" hidden="false" customHeight="false" outlineLevel="0" collapsed="false">
      <c r="E129" s="118"/>
    </row>
    <row r="130" customFormat="false" ht="15" hidden="false" customHeight="false" outlineLevel="0" collapsed="false">
      <c r="E130" s="118"/>
    </row>
    <row r="131" customFormat="false" ht="15" hidden="false" customHeight="false" outlineLevel="0" collapsed="false">
      <c r="E131" s="118"/>
    </row>
    <row r="132" customFormat="false" ht="15" hidden="false" customHeight="false" outlineLevel="0" collapsed="false">
      <c r="E132" s="118"/>
    </row>
    <row r="133" customFormat="false" ht="15" hidden="false" customHeight="false" outlineLevel="0" collapsed="false">
      <c r="E133" s="118"/>
    </row>
    <row r="134" customFormat="false" ht="15" hidden="false" customHeight="false" outlineLevel="0" collapsed="false">
      <c r="E134" s="118"/>
    </row>
    <row r="135" customFormat="false" ht="15" hidden="false" customHeight="false" outlineLevel="0" collapsed="false">
      <c r="E135" s="118"/>
    </row>
    <row r="136" customFormat="false" ht="15" hidden="false" customHeight="false" outlineLevel="0" collapsed="false">
      <c r="E136" s="118"/>
    </row>
    <row r="137" customFormat="false" ht="15" hidden="false" customHeight="false" outlineLevel="0" collapsed="false">
      <c r="E137" s="118"/>
    </row>
    <row r="138" customFormat="false" ht="15" hidden="false" customHeight="false" outlineLevel="0" collapsed="false">
      <c r="E138" s="118"/>
    </row>
    <row r="139" customFormat="false" ht="15" hidden="false" customHeight="false" outlineLevel="0" collapsed="false">
      <c r="E139" s="118"/>
    </row>
    <row r="140" customFormat="false" ht="15" hidden="false" customHeight="false" outlineLevel="0" collapsed="false">
      <c r="E140" s="118"/>
    </row>
    <row r="141" customFormat="false" ht="15" hidden="false" customHeight="false" outlineLevel="0" collapsed="false">
      <c r="E141" s="118"/>
    </row>
    <row r="142" customFormat="false" ht="15" hidden="false" customHeight="false" outlineLevel="0" collapsed="false">
      <c r="E142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9"/>
  <sheetViews>
    <sheetView showFormulas="false" showGridLines="true" showRowColHeaders="true" showZeros="true" rightToLeft="false" tabSelected="false" showOutlineSymbols="true" defaultGridColor="true" view="normal" topLeftCell="A16" colorId="64" zoomScale="60" zoomScaleNormal="60" zoomScalePageLayoutView="100" workbookViewId="0">
      <selection pane="topLeft" activeCell="K50" activeCellId="0" sqref="K50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6.57"/>
    <col collapsed="false" customWidth="true" hidden="false" outlineLevel="0" max="13" min="12" style="71" width="9"/>
    <col collapsed="false" customWidth="true" hidden="false" outlineLevel="0" max="14" min="14" style="71" width="15.14"/>
    <col collapsed="false" customWidth="true" hidden="false" outlineLevel="0" max="15" min="15" style="71" width="14.57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60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.75" hidden="false" customHeight="false" outlineLevel="0" collapsed="false">
      <c r="A2" s="82"/>
      <c r="B2" s="82" t="s">
        <v>36</v>
      </c>
      <c r="C2" s="83"/>
      <c r="D2" s="83"/>
      <c r="E2" s="83"/>
      <c r="F2" s="83"/>
      <c r="G2" s="84"/>
      <c r="H2" s="85"/>
      <c r="I2" s="86"/>
      <c r="J2" s="87" t="s">
        <v>18</v>
      </c>
      <c r="K2" s="88"/>
      <c r="L2" s="149"/>
      <c r="M2" s="150" t="s">
        <v>37</v>
      </c>
      <c r="N2" s="151"/>
      <c r="O2" s="151"/>
      <c r="P2" s="151"/>
      <c r="Q2" s="152"/>
      <c r="R2" s="153"/>
      <c r="S2" s="154"/>
    </row>
    <row r="3" customFormat="false" ht="15.75" hidden="false" customHeight="false" outlineLevel="0" collapsed="false">
      <c r="A3" s="90" t="n">
        <v>0.402777777777778</v>
      </c>
      <c r="B3" s="155" t="s">
        <v>46</v>
      </c>
      <c r="C3" s="98" t="n">
        <v>48558210</v>
      </c>
      <c r="D3" s="76" t="n">
        <v>48565310</v>
      </c>
      <c r="E3" s="92" t="n">
        <f aca="false">SUM(D3-C3)</f>
        <v>7100</v>
      </c>
      <c r="F3" s="93" t="n">
        <f aca="false">SUM(D3-C3)</f>
        <v>7100</v>
      </c>
      <c r="G3" s="41" t="n">
        <v>0.835</v>
      </c>
      <c r="H3" s="94" t="n">
        <f aca="false">SUM(G3*F3)</f>
        <v>5928.5</v>
      </c>
      <c r="I3" s="156" t="n">
        <v>237</v>
      </c>
      <c r="J3" s="29" t="n">
        <v>6318</v>
      </c>
      <c r="K3" s="95"/>
      <c r="L3" s="157" t="n">
        <v>0.503472222222222</v>
      </c>
      <c r="M3" s="158" t="s">
        <v>46</v>
      </c>
      <c r="N3" s="159" t="n">
        <v>7621050</v>
      </c>
      <c r="O3" s="160" t="n">
        <v>7621290</v>
      </c>
      <c r="P3" s="159" t="n">
        <f aca="false">SUM(O3-N3)</f>
        <v>240</v>
      </c>
      <c r="Q3" s="161" t="n">
        <v>0.835</v>
      </c>
      <c r="R3" s="162" t="n">
        <f aca="false">SUM(Q3*P3)</f>
        <v>200.4</v>
      </c>
      <c r="S3" s="163" t="s">
        <v>53</v>
      </c>
      <c r="V3" s="0" t="s">
        <v>41</v>
      </c>
    </row>
    <row r="4" customFormat="false" ht="15.75" hidden="false" customHeight="false" outlineLevel="0" collapsed="false">
      <c r="A4" s="90" t="n">
        <v>0.427083333333333</v>
      </c>
      <c r="B4" s="139" t="s">
        <v>48</v>
      </c>
      <c r="C4" s="98" t="n">
        <f aca="false">SUM(D3)</f>
        <v>48565310</v>
      </c>
      <c r="D4" s="76" t="n">
        <v>48587730</v>
      </c>
      <c r="E4" s="92" t="n">
        <f aca="false">SUM(D4-C4)</f>
        <v>22420</v>
      </c>
      <c r="F4" s="164" t="n">
        <v>22430</v>
      </c>
      <c r="G4" s="41" t="n">
        <v>0.8319</v>
      </c>
      <c r="H4" s="94" t="n">
        <f aca="false">SUM(G4*F4)</f>
        <v>18659.517</v>
      </c>
      <c r="I4" s="165" t="n">
        <v>388</v>
      </c>
      <c r="J4" s="29" t="n">
        <v>6321</v>
      </c>
      <c r="K4" s="95"/>
      <c r="L4" s="157" t="n">
        <v>0.524305555555556</v>
      </c>
      <c r="M4" s="158" t="s">
        <v>46</v>
      </c>
      <c r="N4" s="159" t="n">
        <f aca="false">SUM(O3)</f>
        <v>7621290</v>
      </c>
      <c r="O4" s="160" t="n">
        <v>7621380</v>
      </c>
      <c r="P4" s="159" t="n">
        <f aca="false">SUM(O4-N4)</f>
        <v>90</v>
      </c>
      <c r="Q4" s="161" t="n">
        <v>0.835</v>
      </c>
      <c r="R4" s="162" t="n">
        <f aca="false">SUM(Q4*P4)</f>
        <v>75.15</v>
      </c>
      <c r="S4" s="163" t="s">
        <v>64</v>
      </c>
    </row>
    <row r="5" customFormat="false" ht="15.75" hidden="false" customHeight="false" outlineLevel="0" collapsed="false">
      <c r="A5" s="90" t="n">
        <v>0.440972222222222</v>
      </c>
      <c r="B5" s="91" t="s">
        <v>48</v>
      </c>
      <c r="C5" s="98" t="n">
        <f aca="false">SUM(D4)</f>
        <v>48587730</v>
      </c>
      <c r="D5" s="76" t="n">
        <v>48595010</v>
      </c>
      <c r="E5" s="92" t="n">
        <f aca="false">SUM(D5-C5)</f>
        <v>7280</v>
      </c>
      <c r="F5" s="93" t="n">
        <f aca="false">SUM(D5-C5)</f>
        <v>7280</v>
      </c>
      <c r="G5" s="41" t="n">
        <v>0.8319</v>
      </c>
      <c r="H5" s="94" t="n">
        <f aca="false">SUM(G5*F5)</f>
        <v>6056.232</v>
      </c>
      <c r="I5" s="165" t="n">
        <v>248</v>
      </c>
      <c r="J5" s="29" t="n">
        <v>6322</v>
      </c>
      <c r="K5" s="95"/>
      <c r="L5" s="157" t="n">
        <v>0.638888888888889</v>
      </c>
      <c r="M5" s="158" t="s">
        <v>38</v>
      </c>
      <c r="N5" s="159" t="n">
        <f aca="false">SUM(O4)</f>
        <v>7621380</v>
      </c>
      <c r="O5" s="160" t="n">
        <v>7621400</v>
      </c>
      <c r="P5" s="159" t="n">
        <f aca="false">SUM(O5-N5)</f>
        <v>20</v>
      </c>
      <c r="Q5" s="161" t="n">
        <v>0.8309</v>
      </c>
      <c r="R5" s="162" t="n">
        <f aca="false">SUM(Q5*P5)</f>
        <v>16.618</v>
      </c>
      <c r="S5" s="163" t="s">
        <v>67</v>
      </c>
    </row>
    <row r="6" customFormat="false" ht="15.75" hidden="false" customHeight="false" outlineLevel="0" collapsed="false">
      <c r="A6" s="90" t="n">
        <v>0.534722222222222</v>
      </c>
      <c r="B6" s="125" t="s">
        <v>38</v>
      </c>
      <c r="C6" s="98" t="n">
        <f aca="false">SUM(D5)</f>
        <v>48595010</v>
      </c>
      <c r="D6" s="76" t="n">
        <v>48612040</v>
      </c>
      <c r="E6" s="92" t="n">
        <f aca="false">SUM(D6-C6)</f>
        <v>17030</v>
      </c>
      <c r="F6" s="166" t="n">
        <v>17019</v>
      </c>
      <c r="G6" s="41" t="n">
        <v>0.8309</v>
      </c>
      <c r="H6" s="94" t="n">
        <f aca="false">SUM(G6*F6)</f>
        <v>14141.0871</v>
      </c>
      <c r="I6" s="167" t="n">
        <v>251</v>
      </c>
      <c r="J6" s="29" t="n">
        <v>6328</v>
      </c>
      <c r="K6" s="95"/>
      <c r="L6" s="157" t="n">
        <v>0.788194444444444</v>
      </c>
      <c r="M6" s="158" t="s">
        <v>38</v>
      </c>
      <c r="N6" s="159" t="n">
        <f aca="false">SUM(O5)</f>
        <v>7621400</v>
      </c>
      <c r="O6" s="160" t="n">
        <v>7621500</v>
      </c>
      <c r="P6" s="159" t="n">
        <f aca="false">SUM(O6-N6)</f>
        <v>100</v>
      </c>
      <c r="Q6" s="168" t="n">
        <v>0.8317</v>
      </c>
      <c r="R6" s="162" t="n">
        <f aca="false">SUM(Q6*P6)</f>
        <v>83.17</v>
      </c>
      <c r="S6" s="163" t="s">
        <v>47</v>
      </c>
    </row>
    <row r="7" customFormat="false" ht="15.75" hidden="false" customHeight="false" outlineLevel="0" collapsed="false">
      <c r="A7" s="90" t="n">
        <v>0.611111111111111</v>
      </c>
      <c r="B7" s="91" t="s">
        <v>38</v>
      </c>
      <c r="C7" s="98" t="n">
        <f aca="false">SUM(D6)</f>
        <v>48612040</v>
      </c>
      <c r="D7" s="76" t="n">
        <v>48634440</v>
      </c>
      <c r="E7" s="110" t="n">
        <f aca="false">SUM(D7-C7)</f>
        <v>22400</v>
      </c>
      <c r="F7" s="164" t="n">
        <v>22430</v>
      </c>
      <c r="G7" s="169" t="n">
        <v>0.8309</v>
      </c>
      <c r="H7" s="94" t="n">
        <f aca="false">SUM(G7*F7)</f>
        <v>18637.087</v>
      </c>
      <c r="I7" s="167" t="n">
        <v>388</v>
      </c>
      <c r="J7" s="29" t="n">
        <v>6331</v>
      </c>
      <c r="K7" s="95"/>
      <c r="L7" s="157" t="n">
        <v>0.0347222222222222</v>
      </c>
      <c r="M7" s="158" t="s">
        <v>38</v>
      </c>
      <c r="N7" s="159" t="n">
        <f aca="false">SUM(O6)</f>
        <v>7621500</v>
      </c>
      <c r="O7" s="160" t="n">
        <v>7621720</v>
      </c>
      <c r="P7" s="159" t="n">
        <f aca="false">SUM(O7-N7)</f>
        <v>220</v>
      </c>
      <c r="Q7" s="168" t="n">
        <v>0.8307</v>
      </c>
      <c r="R7" s="162" t="n">
        <f aca="false">SUM(Q7*P7)</f>
        <v>182.754</v>
      </c>
      <c r="S7" s="163" t="s">
        <v>43</v>
      </c>
    </row>
    <row r="8" customFormat="false" ht="15" hidden="false" customHeight="false" outlineLevel="0" collapsed="false">
      <c r="A8" s="90" t="n">
        <v>0.6875</v>
      </c>
      <c r="B8" s="91" t="s">
        <v>38</v>
      </c>
      <c r="C8" s="98" t="n">
        <f aca="false">SUM(D7)</f>
        <v>48634440</v>
      </c>
      <c r="D8" s="76" t="n">
        <v>48656870</v>
      </c>
      <c r="E8" s="92" t="n">
        <f aca="false">SUM(D8-C8)</f>
        <v>22430</v>
      </c>
      <c r="F8" s="170" t="n">
        <v>22430</v>
      </c>
      <c r="G8" s="41" t="n">
        <v>0.8317</v>
      </c>
      <c r="H8" s="94" t="n">
        <f aca="false">SUM(G8*F8)</f>
        <v>18655.031</v>
      </c>
      <c r="I8" s="167" t="n">
        <v>388</v>
      </c>
      <c r="J8" s="29" t="n">
        <v>6333</v>
      </c>
      <c r="K8" s="95"/>
      <c r="L8" s="171"/>
      <c r="M8" s="105"/>
      <c r="N8" s="100" t="n">
        <f aca="false">SUM(O7)</f>
        <v>7621720</v>
      </c>
      <c r="O8" s="172"/>
      <c r="P8" s="100" t="n">
        <f aca="false">SUM(O8-N8)</f>
        <v>-7621720</v>
      </c>
      <c r="Q8" s="106"/>
      <c r="R8" s="102" t="n">
        <f aca="false">SUM(Q8*P8)</f>
        <v>0</v>
      </c>
      <c r="S8" s="103"/>
    </row>
    <row r="9" customFormat="false" ht="15" hidden="false" customHeight="false" outlineLevel="0" collapsed="false">
      <c r="A9" s="90" t="n">
        <v>0.75</v>
      </c>
      <c r="B9" s="91" t="s">
        <v>38</v>
      </c>
      <c r="C9" s="98" t="n">
        <f aca="false">SUM(D8)</f>
        <v>48656870</v>
      </c>
      <c r="D9" s="76" t="n">
        <v>48679290</v>
      </c>
      <c r="E9" s="92" t="n">
        <f aca="false">SUM(D9-C9)</f>
        <v>22420</v>
      </c>
      <c r="F9" s="164" t="n">
        <v>22430</v>
      </c>
      <c r="G9" s="41" t="n">
        <v>0.8317</v>
      </c>
      <c r="H9" s="94" t="n">
        <f aca="false">SUM(G9*F9)</f>
        <v>18655.031</v>
      </c>
      <c r="I9" s="167" t="n">
        <v>388</v>
      </c>
      <c r="J9" s="29" t="n">
        <v>6334</v>
      </c>
      <c r="K9" s="95"/>
      <c r="L9" s="96"/>
      <c r="M9" s="97"/>
      <c r="N9" s="100" t="n">
        <f aca="false">SUM(O8)</f>
        <v>0</v>
      </c>
      <c r="O9" s="99"/>
      <c r="P9" s="100" t="n">
        <f aca="false">SUM(O9-N9)</f>
        <v>0</v>
      </c>
      <c r="Q9" s="101"/>
      <c r="R9" s="102" t="n">
        <f aca="false">SUM(Q9*P9)</f>
        <v>0</v>
      </c>
      <c r="S9" s="1"/>
    </row>
    <row r="10" customFormat="false" ht="15" hidden="false" customHeight="false" outlineLevel="0" collapsed="false">
      <c r="A10" s="90" t="n">
        <v>0.815972222222222</v>
      </c>
      <c r="B10" s="91" t="s">
        <v>48</v>
      </c>
      <c r="C10" s="98" t="n">
        <f aca="false">SUM(D9)</f>
        <v>48679290</v>
      </c>
      <c r="D10" s="76" t="n">
        <v>48701710</v>
      </c>
      <c r="E10" s="92" t="n">
        <f aca="false">SUM(D10-C10)</f>
        <v>22420</v>
      </c>
      <c r="F10" s="164" t="n">
        <v>22430</v>
      </c>
      <c r="G10" s="173" t="n">
        <v>0.8302</v>
      </c>
      <c r="H10" s="94" t="n">
        <f aca="false">SUM(G10*F10)</f>
        <v>18621.386</v>
      </c>
      <c r="I10" s="165" t="n">
        <v>388</v>
      </c>
      <c r="J10" s="29" t="n">
        <v>6337</v>
      </c>
      <c r="K10" s="95"/>
      <c r="L10" s="96"/>
      <c r="M10" s="97"/>
      <c r="N10" s="100" t="n">
        <f aca="false">SUM(O9)</f>
        <v>0</v>
      </c>
      <c r="O10" s="99"/>
      <c r="P10" s="100" t="n">
        <f aca="false">SUM(O10-N10)</f>
        <v>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0.885416666666667</v>
      </c>
      <c r="B11" s="91" t="s">
        <v>48</v>
      </c>
      <c r="C11" s="98" t="n">
        <f aca="false">SUM(D10)</f>
        <v>48701710</v>
      </c>
      <c r="D11" s="76" t="n">
        <v>48712420</v>
      </c>
      <c r="E11" s="92" t="n">
        <f aca="false">SUM(D11-C11)</f>
        <v>10710</v>
      </c>
      <c r="F11" s="93" t="n">
        <f aca="false">SUM(D11-C11)</f>
        <v>10710</v>
      </c>
      <c r="G11" s="41" t="n">
        <v>0.8302</v>
      </c>
      <c r="H11" s="94" t="n">
        <f aca="false">SUM(G11*F11)</f>
        <v>8891.442</v>
      </c>
      <c r="I11" s="165" t="n">
        <v>237</v>
      </c>
      <c r="J11" s="29" t="n">
        <v>6339</v>
      </c>
      <c r="K11" s="95"/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0.944444444444444</v>
      </c>
      <c r="B12" s="91" t="s">
        <v>38</v>
      </c>
      <c r="C12" s="98" t="n">
        <f aca="false">SUM(D11)</f>
        <v>48712420</v>
      </c>
      <c r="D12" s="76" t="n">
        <v>48722410</v>
      </c>
      <c r="E12" s="92" t="n">
        <f aca="false">SUM(D12-C12)</f>
        <v>9990</v>
      </c>
      <c r="F12" s="129" t="n">
        <v>9986</v>
      </c>
      <c r="G12" s="41" t="n">
        <v>0.8307</v>
      </c>
      <c r="H12" s="94" t="n">
        <f aca="false">SUM(G12*F12)</f>
        <v>8295.3702</v>
      </c>
      <c r="I12" s="167" t="n">
        <v>251</v>
      </c>
      <c r="J12" s="29" t="n">
        <v>6342</v>
      </c>
      <c r="K12" s="95"/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0.954861111111111</v>
      </c>
      <c r="B13" s="91" t="s">
        <v>48</v>
      </c>
      <c r="C13" s="98" t="n">
        <f aca="false">SUM(D12)</f>
        <v>48722410</v>
      </c>
      <c r="D13" s="76" t="n">
        <v>48744840</v>
      </c>
      <c r="E13" s="92" t="n">
        <f aca="false">SUM(D13-C13)</f>
        <v>22430</v>
      </c>
      <c r="F13" s="164" t="n">
        <v>22430</v>
      </c>
      <c r="G13" s="41" t="n">
        <v>0.8302</v>
      </c>
      <c r="H13" s="94" t="n">
        <f aca="false">SUM(G13*F13)</f>
        <v>18621.386</v>
      </c>
      <c r="I13" s="165" t="n">
        <v>388</v>
      </c>
      <c r="J13" s="29" t="n">
        <v>6344</v>
      </c>
      <c r="K13" s="95"/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0.00694444444444444</v>
      </c>
      <c r="B14" s="91" t="s">
        <v>38</v>
      </c>
      <c r="C14" s="98" t="n">
        <f aca="false">SUM(D13)</f>
        <v>48744840</v>
      </c>
      <c r="D14" s="76" t="n">
        <v>48767260</v>
      </c>
      <c r="E14" s="92" t="n">
        <f aca="false">SUM(D14-C14)</f>
        <v>22420</v>
      </c>
      <c r="F14" s="164" t="n">
        <v>22430</v>
      </c>
      <c r="G14" s="41" t="n">
        <v>0.8307</v>
      </c>
      <c r="H14" s="94" t="n">
        <f aca="false">SUM(G14*F14)</f>
        <v>18632.601</v>
      </c>
      <c r="I14" s="167" t="n">
        <v>388</v>
      </c>
      <c r="J14" s="29" t="n">
        <v>6346</v>
      </c>
      <c r="K14" s="95"/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0.125</v>
      </c>
      <c r="B15" s="122" t="s">
        <v>39</v>
      </c>
      <c r="C15" s="98" t="n">
        <f aca="false">SUM(D14)</f>
        <v>48767260</v>
      </c>
      <c r="D15" s="76" t="n">
        <v>48784290</v>
      </c>
      <c r="E15" s="92" t="n">
        <f aca="false">SUM(D15-C15)</f>
        <v>17030</v>
      </c>
      <c r="F15" s="129" t="n">
        <v>17019</v>
      </c>
      <c r="G15" s="41" t="n">
        <v>0.8348</v>
      </c>
      <c r="H15" s="94" t="n">
        <f aca="false">SUM(G15*F15)</f>
        <v>14207.4612</v>
      </c>
      <c r="I15" s="174" t="n">
        <v>251</v>
      </c>
      <c r="J15" s="29" t="n">
        <v>6350</v>
      </c>
      <c r="K15" s="95"/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0.142361111111111</v>
      </c>
      <c r="B16" s="91" t="s">
        <v>39</v>
      </c>
      <c r="C16" s="98" t="n">
        <f aca="false">SUM(D15)</f>
        <v>48784290</v>
      </c>
      <c r="D16" s="76" t="n">
        <v>48806720</v>
      </c>
      <c r="E16" s="92" t="n">
        <f aca="false">SUM(D16-C16)</f>
        <v>22430</v>
      </c>
      <c r="F16" s="164" t="n">
        <v>22430</v>
      </c>
      <c r="G16" s="41" t="n">
        <v>0.8348</v>
      </c>
      <c r="H16" s="94" t="n">
        <f aca="false">SUM(G16*F16)</f>
        <v>18724.564</v>
      </c>
      <c r="I16" s="174" t="n">
        <v>388</v>
      </c>
      <c r="J16" s="29" t="n">
        <v>6351</v>
      </c>
      <c r="K16" s="95"/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0.197916666666667</v>
      </c>
      <c r="B17" s="91" t="s">
        <v>39</v>
      </c>
      <c r="C17" s="98" t="n">
        <f aca="false">SUM(D16)</f>
        <v>48806720</v>
      </c>
      <c r="D17" s="76" t="n">
        <v>48829130</v>
      </c>
      <c r="E17" s="92" t="n">
        <f aca="false">SUM(D17-C17)</f>
        <v>22410</v>
      </c>
      <c r="F17" s="164" t="n">
        <v>22430</v>
      </c>
      <c r="G17" s="41" t="n">
        <v>0.8348</v>
      </c>
      <c r="H17" s="94" t="n">
        <f aca="false">SUM(G17*F17)</f>
        <v>18724.564</v>
      </c>
      <c r="I17" s="174" t="n">
        <v>388</v>
      </c>
      <c r="J17" s="29" t="n">
        <v>6353</v>
      </c>
      <c r="K17" s="95"/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0.225694444444444</v>
      </c>
      <c r="B18" s="91" t="s">
        <v>46</v>
      </c>
      <c r="C18" s="98" t="n">
        <f aca="false">SUM(D17)</f>
        <v>48829130</v>
      </c>
      <c r="D18" s="76" t="n">
        <v>48846170</v>
      </c>
      <c r="E18" s="92" t="n">
        <f aca="false">SUM(D18-C18)</f>
        <v>17040</v>
      </c>
      <c r="F18" s="129" t="n">
        <v>17019</v>
      </c>
      <c r="G18" s="41" t="n">
        <v>0.8335</v>
      </c>
      <c r="H18" s="94" t="n">
        <f aca="false">SUM(G18*F18)</f>
        <v>14185.3365</v>
      </c>
      <c r="I18" s="156" t="n">
        <v>251</v>
      </c>
      <c r="J18" s="29" t="n">
        <v>6354</v>
      </c>
      <c r="K18" s="95"/>
      <c r="L18" s="96"/>
      <c r="M18" s="105"/>
      <c r="N18" s="130"/>
      <c r="O18" s="99"/>
      <c r="P18" s="109" t="n">
        <f aca="false">SUM(O18-N18)</f>
        <v>0</v>
      </c>
      <c r="Q18" s="41"/>
      <c r="R18" s="94" t="n">
        <f aca="false">SUM(Q18*P18)</f>
        <v>0</v>
      </c>
      <c r="S18" s="103"/>
      <c r="T18" s="0" t="s">
        <v>41</v>
      </c>
    </row>
    <row r="19" customFormat="false" ht="15" hidden="false" customHeight="false" outlineLevel="0" collapsed="false">
      <c r="A19" s="90" t="n">
        <v>0.284722222222222</v>
      </c>
      <c r="B19" s="91" t="s">
        <v>46</v>
      </c>
      <c r="C19" s="98" t="n">
        <f aca="false">SUM(D18)</f>
        <v>48846170</v>
      </c>
      <c r="D19" s="76" t="n">
        <v>48868590</v>
      </c>
      <c r="E19" s="92" t="n">
        <f aca="false">SUM(D19-C19)</f>
        <v>22420</v>
      </c>
      <c r="F19" s="164" t="n">
        <v>22430</v>
      </c>
      <c r="G19" s="41" t="n">
        <v>0.8335</v>
      </c>
      <c r="H19" s="94" t="n">
        <f aca="false">SUM(G19*F19)</f>
        <v>18695.405</v>
      </c>
      <c r="I19" s="156" t="n">
        <v>388</v>
      </c>
      <c r="J19" s="29" t="n">
        <v>6356</v>
      </c>
      <c r="K19" s="95"/>
      <c r="L19" s="96"/>
      <c r="M19" s="105"/>
      <c r="N19" s="98" t="n">
        <f aca="false">SUM(O18)</f>
        <v>0</v>
      </c>
      <c r="O19" s="99"/>
      <c r="P19" s="109" t="n">
        <f aca="false">SUM(O19-N19)</f>
        <v>0</v>
      </c>
      <c r="Q19" s="41"/>
      <c r="R19" s="94" t="n">
        <f aca="false">SUM(Q19*P19)</f>
        <v>0</v>
      </c>
      <c r="S19" s="103"/>
    </row>
    <row r="20" customFormat="false" ht="15" hidden="false" customHeight="false" outlineLevel="0" collapsed="false">
      <c r="A20" s="90"/>
      <c r="B20" s="91"/>
      <c r="C20" s="98" t="n">
        <v>0</v>
      </c>
      <c r="D20" s="76"/>
      <c r="E20" s="92" t="n">
        <f aca="false">SUM(D20-C20)</f>
        <v>0</v>
      </c>
      <c r="F20" s="93" t="n">
        <f aca="false">SUM(D20-C20)</f>
        <v>0</v>
      </c>
      <c r="G20" s="41"/>
      <c r="H20" s="94" t="n">
        <f aca="false">SUM(G20*F20)</f>
        <v>0</v>
      </c>
      <c r="I20" s="1"/>
      <c r="J20" s="29"/>
      <c r="K20" s="95"/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/>
      <c r="B21" s="91"/>
      <c r="C21" s="98" t="n">
        <f aca="false">SUM(D20)</f>
        <v>0</v>
      </c>
      <c r="D21" s="76"/>
      <c r="E21" s="92" t="n">
        <f aca="false">SUM(D21-C21)</f>
        <v>0</v>
      </c>
      <c r="F21" s="93" t="n">
        <f aca="false">SUM(D21-C21)</f>
        <v>0</v>
      </c>
      <c r="G21" s="41"/>
      <c r="H21" s="94" t="n">
        <f aca="false">SUM(G21*F21)</f>
        <v>0</v>
      </c>
      <c r="I21" s="1"/>
      <c r="J21" s="29"/>
      <c r="K21" s="95"/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/>
      <c r="B22" s="91"/>
      <c r="C22" s="98" t="n">
        <f aca="false">SUM(D21)</f>
        <v>0</v>
      </c>
      <c r="D22" s="76"/>
      <c r="E22" s="92" t="n">
        <f aca="false">SUM(D22-C22)</f>
        <v>0</v>
      </c>
      <c r="F22" s="109" t="n">
        <f aca="false">SUM(D22-C22)</f>
        <v>0</v>
      </c>
      <c r="G22" s="41"/>
      <c r="H22" s="94" t="n">
        <f aca="false">SUM(G22*F22)</f>
        <v>0</v>
      </c>
      <c r="I22" s="1"/>
      <c r="J22" s="29"/>
      <c r="K22" s="95"/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.75" hidden="false" customHeight="false" outlineLevel="0" collapsed="false">
      <c r="A23" s="90"/>
      <c r="B23" s="91"/>
      <c r="C23" s="98" t="n">
        <f aca="false">SUM(D22)</f>
        <v>0</v>
      </c>
      <c r="D23" s="76"/>
      <c r="E23" s="92" t="n">
        <f aca="false">SUM(D23-C23)</f>
        <v>0</v>
      </c>
      <c r="F23" s="131" t="n">
        <f aca="false">SUM(D23-C23)</f>
        <v>0</v>
      </c>
      <c r="G23" s="41"/>
      <c r="H23" s="132" t="n">
        <f aca="false">SUM(G23*F23)</f>
        <v>0</v>
      </c>
      <c r="I23" s="1"/>
      <c r="J23" s="29"/>
      <c r="K23" s="95"/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.75" hidden="false" customHeight="false" outlineLevel="0" collapsed="false">
      <c r="A24" s="90"/>
      <c r="B24" s="91"/>
      <c r="C24" s="98" t="n">
        <f aca="false">SUM(D23)</f>
        <v>0</v>
      </c>
      <c r="D24" s="76"/>
      <c r="E24" s="110" t="n">
        <f aca="false">SUM(D24-C24)</f>
        <v>0</v>
      </c>
      <c r="F24" s="175" t="n">
        <v>310433</v>
      </c>
      <c r="G24" s="134"/>
      <c r="H24" s="176" t="n">
        <v>258332</v>
      </c>
      <c r="I24" s="136"/>
      <c r="J24" s="29"/>
      <c r="K24" s="95"/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" hidden="false" customHeight="false" outlineLevel="0" collapsed="false">
      <c r="A25" s="89"/>
      <c r="B25" s="82" t="s">
        <v>49</v>
      </c>
      <c r="C25" s="83"/>
      <c r="D25" s="83"/>
      <c r="E25" s="83"/>
      <c r="F25" s="137"/>
      <c r="G25" s="84"/>
      <c r="H25" s="138"/>
      <c r="I25" s="86"/>
      <c r="J25" s="86"/>
      <c r="L25" s="118"/>
      <c r="M25" s="118"/>
      <c r="N25" s="118"/>
      <c r="O25" s="118"/>
      <c r="P25" s="118"/>
      <c r="Q25" s="118"/>
      <c r="R25" s="118"/>
      <c r="S25" s="118"/>
    </row>
    <row r="26" customFormat="false" ht="15" hidden="false" customHeight="false" outlineLevel="0" collapsed="false">
      <c r="A26" s="90" t="n">
        <v>0.40625</v>
      </c>
      <c r="B26" s="144" t="s">
        <v>72</v>
      </c>
      <c r="C26" s="98" t="n">
        <v>4214840</v>
      </c>
      <c r="D26" s="108" t="n">
        <v>4231890</v>
      </c>
      <c r="E26" s="92" t="n">
        <f aca="false">SUM(D26-C26)</f>
        <v>17050</v>
      </c>
      <c r="F26" s="129" t="n">
        <v>17019</v>
      </c>
      <c r="G26" s="41" t="n">
        <v>0.8257</v>
      </c>
      <c r="H26" s="94" t="n">
        <f aca="false">SUM(G26*F26)</f>
        <v>14052.5883</v>
      </c>
      <c r="I26" s="177" t="n">
        <v>251</v>
      </c>
      <c r="J26" s="1" t="n">
        <v>6319</v>
      </c>
      <c r="K26" s="119" t="s">
        <v>60</v>
      </c>
      <c r="L26" s="118"/>
      <c r="M26" s="118"/>
      <c r="N26" s="118"/>
      <c r="O26" s="118"/>
      <c r="P26" s="118"/>
      <c r="Q26" s="118"/>
      <c r="R26" s="118"/>
      <c r="S26" s="118"/>
    </row>
    <row r="27" customFormat="false" ht="14.25" hidden="false" customHeight="true" outlineLevel="0" collapsed="false">
      <c r="A27" s="90" t="n">
        <v>0.420138888888889</v>
      </c>
      <c r="B27" s="91" t="s">
        <v>72</v>
      </c>
      <c r="C27" s="98" t="n">
        <f aca="false">SUM(D26)</f>
        <v>4231890</v>
      </c>
      <c r="D27" s="108" t="n">
        <v>4242620</v>
      </c>
      <c r="E27" s="92" t="n">
        <f aca="false">SUM(D27-C27)</f>
        <v>10730</v>
      </c>
      <c r="F27" s="109" t="n">
        <f aca="false">SUM(D27-C27)</f>
        <v>10730</v>
      </c>
      <c r="G27" s="41" t="n">
        <v>0.8257</v>
      </c>
      <c r="H27" s="94" t="n">
        <f aca="false">SUM(G27*F27)</f>
        <v>8859.761</v>
      </c>
      <c r="I27" s="177" t="n">
        <v>382</v>
      </c>
      <c r="J27" s="1" t="n">
        <v>6320</v>
      </c>
      <c r="K27" s="119" t="s">
        <v>60</v>
      </c>
      <c r="L27" s="118"/>
      <c r="M27" s="118"/>
      <c r="N27" s="118"/>
      <c r="O27" s="118"/>
      <c r="P27" s="118"/>
      <c r="Q27" s="118"/>
      <c r="R27" s="118"/>
      <c r="S27" s="118"/>
    </row>
    <row r="28" customFormat="false" ht="15" hidden="false" customHeight="true" outlineLevel="0" collapsed="false">
      <c r="A28" s="90" t="n">
        <v>0.440972222222222</v>
      </c>
      <c r="B28" s="178" t="s">
        <v>61</v>
      </c>
      <c r="C28" s="98" t="n">
        <f aca="false">SUM(D27)</f>
        <v>4242620</v>
      </c>
      <c r="D28" s="108" t="n">
        <v>4254050</v>
      </c>
      <c r="E28" s="92" t="n">
        <f aca="false">SUM(D28-C28)</f>
        <v>11430</v>
      </c>
      <c r="F28" s="109" t="n">
        <f aca="false">SUM(D28-C28)</f>
        <v>11430</v>
      </c>
      <c r="G28" s="41" t="n">
        <v>0.8259</v>
      </c>
      <c r="H28" s="94" t="n">
        <f aca="false">SUM(G28*F28)</f>
        <v>9440.037</v>
      </c>
      <c r="I28" s="179" t="n">
        <v>81</v>
      </c>
      <c r="J28" s="1" t="n">
        <v>6323</v>
      </c>
      <c r="K28" s="141" t="s">
        <v>70</v>
      </c>
      <c r="L28" s="118"/>
      <c r="M28" s="118"/>
      <c r="N28" s="118"/>
      <c r="O28" s="118"/>
      <c r="P28" s="118"/>
      <c r="Q28" s="118"/>
      <c r="R28" s="118"/>
      <c r="S28" s="118"/>
    </row>
    <row r="29" customFormat="false" ht="15" hidden="false" customHeight="false" outlineLevel="0" collapsed="false">
      <c r="A29" s="90" t="n">
        <v>0.451388888888889</v>
      </c>
      <c r="B29" s="180" t="s">
        <v>57</v>
      </c>
      <c r="C29" s="98" t="n">
        <f aca="false">SUM(D28)</f>
        <v>4254050</v>
      </c>
      <c r="D29" s="108" t="n">
        <v>4260330</v>
      </c>
      <c r="E29" s="92" t="n">
        <f aca="false">SUM(D29-C29)</f>
        <v>6280</v>
      </c>
      <c r="F29" s="109" t="n">
        <f aca="false">SUM(D29-C29)</f>
        <v>6280</v>
      </c>
      <c r="G29" s="41" t="n">
        <v>0.8281</v>
      </c>
      <c r="H29" s="94" t="n">
        <f aca="false">SUM(G29*F29)</f>
        <v>5200.468</v>
      </c>
      <c r="I29" s="181" t="n">
        <v>119</v>
      </c>
      <c r="J29" s="182" t="n">
        <v>6324</v>
      </c>
      <c r="K29" s="120" t="s">
        <v>84</v>
      </c>
      <c r="L29" s="118"/>
      <c r="M29" s="118"/>
      <c r="N29" s="118"/>
      <c r="O29" s="118"/>
      <c r="P29" s="118"/>
      <c r="Q29" s="118"/>
      <c r="R29" s="118"/>
      <c r="S29" s="118"/>
    </row>
    <row r="30" customFormat="false" ht="15" hidden="false" customHeight="false" outlineLevel="0" collapsed="false">
      <c r="A30" s="90" t="n">
        <v>0.458333333333333</v>
      </c>
      <c r="B30" s="91" t="s">
        <v>61</v>
      </c>
      <c r="C30" s="98" t="n">
        <f aca="false">SUM(D29)</f>
        <v>4260330</v>
      </c>
      <c r="D30" s="108" t="n">
        <v>4277390</v>
      </c>
      <c r="E30" s="92" t="n">
        <f aca="false">SUM(D30-C30)</f>
        <v>17060</v>
      </c>
      <c r="F30" s="129" t="n">
        <v>17019</v>
      </c>
      <c r="G30" s="41" t="n">
        <v>0.8259</v>
      </c>
      <c r="H30" s="94" t="n">
        <f aca="false">SUM(G30*F30)</f>
        <v>14055.9921</v>
      </c>
      <c r="I30" s="179" t="n">
        <v>251</v>
      </c>
      <c r="J30" s="1" t="n">
        <v>6325</v>
      </c>
      <c r="K30" s="141" t="s">
        <v>70</v>
      </c>
      <c r="L30" s="118"/>
      <c r="M30" s="118"/>
      <c r="N30" s="118"/>
      <c r="O30" s="118"/>
      <c r="P30" s="118"/>
      <c r="Q30" s="118"/>
      <c r="R30" s="118"/>
      <c r="S30" s="118"/>
    </row>
    <row r="31" customFormat="false" ht="15" hidden="false" customHeight="false" outlineLevel="0" collapsed="false">
      <c r="A31" s="90" t="n">
        <v>0.472222222222222</v>
      </c>
      <c r="B31" s="91" t="s">
        <v>61</v>
      </c>
      <c r="C31" s="98" t="n">
        <f aca="false">SUM(D30)</f>
        <v>4277390</v>
      </c>
      <c r="D31" s="108" t="n">
        <v>4283440</v>
      </c>
      <c r="E31" s="92" t="n">
        <f aca="false">SUM(D31-C31)</f>
        <v>6050</v>
      </c>
      <c r="F31" s="109" t="n">
        <f aca="false">SUM(D31-C31)</f>
        <v>6050</v>
      </c>
      <c r="G31" s="41" t="n">
        <v>0.8259</v>
      </c>
      <c r="H31" s="94" t="n">
        <f aca="false">SUM(G31*F31)</f>
        <v>4996.695</v>
      </c>
      <c r="I31" s="179" t="n">
        <v>57</v>
      </c>
      <c r="J31" s="1" t="n">
        <v>6326</v>
      </c>
      <c r="K31" s="141" t="s">
        <v>70</v>
      </c>
      <c r="L31" s="118"/>
      <c r="M31" s="118"/>
      <c r="N31" s="118"/>
      <c r="O31" s="118"/>
      <c r="P31" s="118"/>
      <c r="Q31" s="118"/>
      <c r="R31" s="118"/>
      <c r="S31" s="118"/>
    </row>
    <row r="32" customFormat="false" ht="15" hidden="false" customHeight="false" outlineLevel="0" collapsed="false">
      <c r="A32" s="90" t="n">
        <v>0.5</v>
      </c>
      <c r="B32" s="183" t="s">
        <v>90</v>
      </c>
      <c r="C32" s="98" t="n">
        <f aca="false">SUM(D31)</f>
        <v>4283440</v>
      </c>
      <c r="D32" s="108" t="n">
        <v>4293430</v>
      </c>
      <c r="E32" s="92" t="n">
        <f aca="false">SUM(D32-C32)</f>
        <v>9990</v>
      </c>
      <c r="F32" s="129" t="n">
        <v>9986</v>
      </c>
      <c r="G32" s="41" t="n">
        <v>0.8248</v>
      </c>
      <c r="H32" s="94" t="n">
        <f aca="false">SUM(G32*F32)</f>
        <v>8236.4528</v>
      </c>
      <c r="I32" s="184" t="n">
        <v>251</v>
      </c>
      <c r="J32" s="1" t="n">
        <v>6327</v>
      </c>
      <c r="K32" s="119" t="s">
        <v>60</v>
      </c>
      <c r="L32" s="118"/>
      <c r="M32" s="118"/>
      <c r="N32" s="95"/>
      <c r="O32" s="118"/>
      <c r="P32" s="118"/>
      <c r="Q32" s="118"/>
      <c r="R32" s="118"/>
      <c r="S32" s="118"/>
    </row>
    <row r="33" customFormat="false" ht="15" hidden="false" customHeight="false" outlineLevel="0" collapsed="false">
      <c r="A33" s="90" t="n">
        <v>0.597222222222222</v>
      </c>
      <c r="B33" s="91" t="s">
        <v>90</v>
      </c>
      <c r="C33" s="98" t="n">
        <f aca="false">SUM(D32)</f>
        <v>4293430</v>
      </c>
      <c r="D33" s="108" t="n">
        <v>4305080</v>
      </c>
      <c r="E33" s="92" t="n">
        <f aca="false">SUM(D33-C33)</f>
        <v>11650</v>
      </c>
      <c r="F33" s="109" t="n">
        <f aca="false">SUM(D33-C33)</f>
        <v>11650</v>
      </c>
      <c r="G33" s="41" t="n">
        <v>0.8248</v>
      </c>
      <c r="H33" s="94" t="n">
        <f aca="false">SUM(G33*F33)</f>
        <v>9608.92</v>
      </c>
      <c r="I33" s="184" t="n">
        <v>81</v>
      </c>
      <c r="J33" s="29" t="n">
        <v>6329</v>
      </c>
      <c r="K33" s="119" t="s">
        <v>60</v>
      </c>
      <c r="L33" s="118"/>
      <c r="M33" s="118"/>
      <c r="N33" s="95"/>
      <c r="O33" s="118"/>
      <c r="P33" s="118"/>
      <c r="Q33" s="118"/>
      <c r="R33" s="118"/>
      <c r="S33" s="118"/>
    </row>
    <row r="34" customFormat="false" ht="15" hidden="false" customHeight="false" outlineLevel="0" collapsed="false">
      <c r="A34" s="90" t="n">
        <v>0.604166666666667</v>
      </c>
      <c r="B34" s="91" t="s">
        <v>90</v>
      </c>
      <c r="C34" s="98" t="n">
        <f aca="false">SUM(D33)</f>
        <v>4305080</v>
      </c>
      <c r="D34" s="108" t="n">
        <v>4310810</v>
      </c>
      <c r="E34" s="92" t="n">
        <f aca="false">SUM(D34-C34)</f>
        <v>5730</v>
      </c>
      <c r="F34" s="109" t="n">
        <f aca="false">SUM(D34-C34)</f>
        <v>5730</v>
      </c>
      <c r="G34" s="41" t="n">
        <v>0.8248</v>
      </c>
      <c r="H34" s="94" t="n">
        <f aca="false">SUM(G34*F34)</f>
        <v>4726.104</v>
      </c>
      <c r="I34" s="184" t="n">
        <v>57</v>
      </c>
      <c r="J34" s="29" t="n">
        <v>6330</v>
      </c>
      <c r="K34" s="119" t="s">
        <v>60</v>
      </c>
      <c r="L34" s="118"/>
      <c r="M34" s="118"/>
      <c r="N34" s="95"/>
      <c r="O34" s="118"/>
      <c r="P34" s="118"/>
      <c r="Q34" s="118"/>
      <c r="R34" s="118"/>
      <c r="S34" s="118"/>
    </row>
    <row r="35" customFormat="false" ht="15" hidden="false" customHeight="true" outlineLevel="0" collapsed="false">
      <c r="A35" s="90" t="n">
        <v>0.663194444444444</v>
      </c>
      <c r="B35" s="185" t="s">
        <v>62</v>
      </c>
      <c r="C35" s="98" t="n">
        <f aca="false">SUM(D34)</f>
        <v>4310810</v>
      </c>
      <c r="D35" s="108" t="n">
        <v>4327810</v>
      </c>
      <c r="E35" s="92" t="n">
        <f aca="false">SUM(D35-C35)</f>
        <v>17000</v>
      </c>
      <c r="F35" s="129" t="n">
        <v>17019</v>
      </c>
      <c r="G35" s="41" t="n">
        <v>0.8235</v>
      </c>
      <c r="H35" s="94" t="n">
        <f aca="false">SUM(G35*F35)</f>
        <v>14015.1465</v>
      </c>
      <c r="I35" s="186" t="n">
        <v>251</v>
      </c>
      <c r="J35" s="182" t="n">
        <v>6332</v>
      </c>
      <c r="K35" s="120" t="s">
        <v>84</v>
      </c>
      <c r="L35" s="118"/>
      <c r="M35" s="118"/>
      <c r="N35" s="95"/>
      <c r="O35" s="118"/>
      <c r="P35" s="118"/>
      <c r="Q35" s="118"/>
      <c r="R35" s="118"/>
      <c r="S35" s="118"/>
    </row>
    <row r="36" customFormat="false" ht="15" hidden="false" customHeight="false" outlineLevel="0" collapsed="false">
      <c r="A36" s="90" t="n">
        <v>0.760416666666667</v>
      </c>
      <c r="B36" s="91" t="s">
        <v>62</v>
      </c>
      <c r="C36" s="98" t="n">
        <f aca="false">SUM(D35)</f>
        <v>4327810</v>
      </c>
      <c r="D36" s="108" t="n">
        <v>4344810</v>
      </c>
      <c r="E36" s="92" t="n">
        <f aca="false">SUM(D36-C36)</f>
        <v>17000</v>
      </c>
      <c r="F36" s="129" t="n">
        <v>17019</v>
      </c>
      <c r="G36" s="41" t="n">
        <v>0.8235</v>
      </c>
      <c r="H36" s="94" t="n">
        <f aca="false">SUM(G36*F36)</f>
        <v>14015.1465</v>
      </c>
      <c r="I36" s="186" t="n">
        <v>251</v>
      </c>
      <c r="J36" s="182" t="n">
        <v>6335</v>
      </c>
      <c r="K36" s="120" t="s">
        <v>84</v>
      </c>
      <c r="L36" s="118"/>
      <c r="M36" s="118"/>
      <c r="N36" s="118"/>
      <c r="O36" s="118"/>
      <c r="P36" s="118"/>
      <c r="Q36" s="118"/>
      <c r="R36" s="118"/>
      <c r="S36" s="118"/>
    </row>
    <row r="37" customFormat="false" ht="15" hidden="false" customHeight="false" outlineLevel="0" collapsed="false">
      <c r="A37" s="90" t="n">
        <v>0.809027777777778</v>
      </c>
      <c r="B37" s="91" t="s">
        <v>61</v>
      </c>
      <c r="C37" s="98" t="n">
        <f aca="false">SUM(D36)</f>
        <v>4344810</v>
      </c>
      <c r="D37" s="108" t="n">
        <v>4361850</v>
      </c>
      <c r="E37" s="92" t="n">
        <f aca="false">SUM(D37-C37)</f>
        <v>17040</v>
      </c>
      <c r="F37" s="129" t="n">
        <v>17019</v>
      </c>
      <c r="G37" s="41" t="n">
        <v>0.8218</v>
      </c>
      <c r="H37" s="94" t="n">
        <f aca="false">SUM(G37*F37)</f>
        <v>13986.2142</v>
      </c>
      <c r="I37" s="179" t="n">
        <v>251</v>
      </c>
      <c r="J37" s="29" t="n">
        <v>6336</v>
      </c>
      <c r="K37" s="141" t="s">
        <v>70</v>
      </c>
      <c r="L37" s="118"/>
      <c r="M37" s="118"/>
      <c r="N37" s="118"/>
      <c r="O37" s="118"/>
      <c r="P37" s="118"/>
      <c r="Q37" s="118"/>
      <c r="R37" s="118"/>
      <c r="S37" s="118"/>
    </row>
    <row r="38" customFormat="false" ht="15" hidden="false" customHeight="false" outlineLevel="0" collapsed="false">
      <c r="A38" s="90" t="n">
        <v>0.881944444444444</v>
      </c>
      <c r="B38" s="91" t="s">
        <v>61</v>
      </c>
      <c r="C38" s="98" t="n">
        <f aca="false">SUM(D37)</f>
        <v>4361850</v>
      </c>
      <c r="D38" s="108" t="n">
        <v>4371570</v>
      </c>
      <c r="E38" s="92" t="n">
        <f aca="false">SUM(D38-C38)</f>
        <v>9720</v>
      </c>
      <c r="F38" s="109" t="n">
        <f aca="false">SUM(D38-C38)</f>
        <v>9720</v>
      </c>
      <c r="G38" s="41" t="n">
        <v>0.8218</v>
      </c>
      <c r="H38" s="94" t="n">
        <f aca="false">SUM(G38*F38)</f>
        <v>7987.896</v>
      </c>
      <c r="I38" s="179" t="n">
        <v>81</v>
      </c>
      <c r="J38" s="29" t="n">
        <v>6338</v>
      </c>
      <c r="K38" s="141" t="s">
        <v>70</v>
      </c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90" t="n">
        <v>0.899305555555555</v>
      </c>
      <c r="B39" s="91" t="s">
        <v>61</v>
      </c>
      <c r="C39" s="98" t="n">
        <f aca="false">SUM(D38)</f>
        <v>4371570</v>
      </c>
      <c r="D39" s="108" t="n">
        <v>4376690</v>
      </c>
      <c r="E39" s="92" t="n">
        <f aca="false">SUM(D39-C39)</f>
        <v>5120</v>
      </c>
      <c r="F39" s="109" t="n">
        <f aca="false">SUM(D39-C39)</f>
        <v>5120</v>
      </c>
      <c r="G39" s="41" t="n">
        <v>0.8218</v>
      </c>
      <c r="H39" s="94" t="n">
        <f aca="false">SUM(G39*F39)</f>
        <v>4207.616</v>
      </c>
      <c r="I39" s="179" t="n">
        <v>382</v>
      </c>
      <c r="J39" s="29" t="n">
        <v>6340</v>
      </c>
      <c r="K39" s="141" t="s">
        <v>70</v>
      </c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0.916666666666667</v>
      </c>
      <c r="B40" s="91" t="s">
        <v>72</v>
      </c>
      <c r="C40" s="98" t="n">
        <f aca="false">SUM(D39)</f>
        <v>4376690</v>
      </c>
      <c r="D40" s="108" t="n">
        <v>4381990</v>
      </c>
      <c r="E40" s="92" t="n">
        <f aca="false">SUM(D40-C40)</f>
        <v>5300</v>
      </c>
      <c r="F40" s="109" t="n">
        <f aca="false">SUM(D40-C40)</f>
        <v>5300</v>
      </c>
      <c r="G40" s="41" t="n">
        <v>0.8252</v>
      </c>
      <c r="H40" s="94" t="n">
        <f aca="false">SUM(G40*F40)</f>
        <v>4373.56</v>
      </c>
      <c r="I40" s="177" t="n">
        <v>57</v>
      </c>
      <c r="J40" s="29" t="n">
        <v>6341</v>
      </c>
      <c r="K40" s="141" t="s">
        <v>70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5" hidden="false" customHeight="false" outlineLevel="0" collapsed="false">
      <c r="A41" s="90" t="n">
        <v>0.951388888888889</v>
      </c>
      <c r="B41" s="91" t="s">
        <v>62</v>
      </c>
      <c r="C41" s="98" t="n">
        <f aca="false">SUM(D40)</f>
        <v>4381990</v>
      </c>
      <c r="D41" s="108" t="n">
        <v>4393330</v>
      </c>
      <c r="E41" s="92" t="n">
        <f aca="false">SUM(D41-C41)</f>
        <v>11340</v>
      </c>
      <c r="F41" s="109" t="n">
        <f aca="false">SUM(D41-C41)</f>
        <v>11340</v>
      </c>
      <c r="G41" s="41" t="n">
        <v>0.8235</v>
      </c>
      <c r="H41" s="94" t="n">
        <f aca="false">SUM(G41*F41)</f>
        <v>9338.49</v>
      </c>
      <c r="I41" s="186" t="n">
        <v>119</v>
      </c>
      <c r="J41" s="182" t="n">
        <v>6343</v>
      </c>
      <c r="K41" s="120" t="s">
        <v>84</v>
      </c>
      <c r="L41" s="118"/>
      <c r="M41" s="118"/>
      <c r="N41" s="118"/>
      <c r="O41" s="118"/>
      <c r="P41" s="118"/>
      <c r="Q41" s="118"/>
      <c r="R41" s="118"/>
      <c r="S41" s="118"/>
    </row>
    <row r="42" customFormat="false" ht="15" hidden="false" customHeight="false" outlineLevel="0" collapsed="false">
      <c r="A42" s="90" t="n">
        <v>0.982638888888889</v>
      </c>
      <c r="B42" s="91" t="s">
        <v>62</v>
      </c>
      <c r="C42" s="98" t="n">
        <f aca="false">SUM(D41)</f>
        <v>4393330</v>
      </c>
      <c r="D42" s="108" t="n">
        <v>4410370</v>
      </c>
      <c r="E42" s="92" t="n">
        <f aca="false">SUM(D42-C42)</f>
        <v>17040</v>
      </c>
      <c r="F42" s="129" t="n">
        <v>17019</v>
      </c>
      <c r="G42" s="41" t="n">
        <v>0.8235</v>
      </c>
      <c r="H42" s="94" t="n">
        <f aca="false">SUM(G42*F42)</f>
        <v>14015.1465</v>
      </c>
      <c r="I42" s="186" t="n">
        <v>251</v>
      </c>
      <c r="J42" s="182" t="n">
        <v>6345</v>
      </c>
      <c r="K42" s="120" t="s">
        <v>84</v>
      </c>
      <c r="L42" s="118"/>
      <c r="M42" s="118"/>
      <c r="N42" s="118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0.0381944444444444</v>
      </c>
      <c r="B43" s="91" t="s">
        <v>72</v>
      </c>
      <c r="C43" s="98" t="n">
        <f aca="false">SUM(D42)</f>
        <v>4410370</v>
      </c>
      <c r="D43" s="108" t="n">
        <v>4425510</v>
      </c>
      <c r="E43" s="92" t="n">
        <f aca="false">SUM(D43-C43)</f>
        <v>15140</v>
      </c>
      <c r="F43" s="109" t="n">
        <v>15040</v>
      </c>
      <c r="G43" s="41" t="n">
        <v>0.8252</v>
      </c>
      <c r="H43" s="94" t="n">
        <f aca="false">SUM(G43*F43)</f>
        <v>12411.008</v>
      </c>
      <c r="I43" s="177" t="n">
        <v>467</v>
      </c>
      <c r="J43" s="29" t="n">
        <v>6347</v>
      </c>
      <c r="K43" s="141" t="s">
        <v>70</v>
      </c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0.107638888888889</v>
      </c>
      <c r="B44" s="91" t="s">
        <v>72</v>
      </c>
      <c r="C44" s="98" t="n">
        <f aca="false">SUM(D43)</f>
        <v>4425510</v>
      </c>
      <c r="D44" s="108" t="n">
        <v>4433160</v>
      </c>
      <c r="E44" s="92" t="n">
        <f aca="false">SUM(D44-C44)</f>
        <v>7650</v>
      </c>
      <c r="F44" s="109" t="n">
        <f aca="false">SUM(D44-C44)</f>
        <v>7650</v>
      </c>
      <c r="G44" s="41" t="n">
        <v>0.8252</v>
      </c>
      <c r="H44" s="94" t="n">
        <f aca="false">SUM(G44*F44)</f>
        <v>6312.78</v>
      </c>
      <c r="I44" s="177" t="n">
        <v>57</v>
      </c>
      <c r="J44" s="29" t="n">
        <v>6348</v>
      </c>
      <c r="K44" s="141" t="s">
        <v>70</v>
      </c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0.114583333333333</v>
      </c>
      <c r="B45" s="91" t="s">
        <v>72</v>
      </c>
      <c r="C45" s="98" t="n">
        <f aca="false">SUM(D44)</f>
        <v>4433160</v>
      </c>
      <c r="D45" s="108" t="n">
        <v>4439940</v>
      </c>
      <c r="E45" s="92" t="n">
        <f aca="false">SUM(D45-C45)</f>
        <v>6780</v>
      </c>
      <c r="F45" s="109" t="n">
        <f aca="false">SUM(D45-C45)</f>
        <v>6780</v>
      </c>
      <c r="G45" s="41" t="n">
        <v>0.8252</v>
      </c>
      <c r="H45" s="94" t="n">
        <f aca="false">SUM(G45*F45)</f>
        <v>5594.856</v>
      </c>
      <c r="I45" s="177" t="n">
        <v>81</v>
      </c>
      <c r="J45" s="29" t="n">
        <v>6349</v>
      </c>
      <c r="K45" s="141" t="s">
        <v>70</v>
      </c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0.180555555555556</v>
      </c>
      <c r="B46" s="187" t="s">
        <v>89</v>
      </c>
      <c r="C46" s="98" t="n">
        <f aca="false">SUM(D45)</f>
        <v>4439940</v>
      </c>
      <c r="D46" s="108" t="n">
        <v>4456970</v>
      </c>
      <c r="E46" s="92" t="n">
        <f aca="false">SUM(D46-C46)</f>
        <v>17030</v>
      </c>
      <c r="F46" s="129" t="n">
        <v>17019</v>
      </c>
      <c r="G46" s="41" t="n">
        <v>0.8241</v>
      </c>
      <c r="H46" s="94" t="n">
        <f aca="false">SUM(G46*F46)</f>
        <v>14025.3579</v>
      </c>
      <c r="I46" s="188" t="n">
        <v>251</v>
      </c>
      <c r="J46" s="182" t="n">
        <v>6352</v>
      </c>
      <c r="K46" s="120" t="s">
        <v>84</v>
      </c>
      <c r="L46" s="118"/>
      <c r="M46" s="118"/>
      <c r="N46" s="118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0.28125</v>
      </c>
      <c r="B47" s="91" t="s">
        <v>89</v>
      </c>
      <c r="C47" s="98" t="n">
        <f aca="false">SUM(D46)</f>
        <v>4456970</v>
      </c>
      <c r="D47" s="108" t="n">
        <v>4474010</v>
      </c>
      <c r="E47" s="92" t="n">
        <f aca="false">SUM(D47-C47)</f>
        <v>17040</v>
      </c>
      <c r="F47" s="129" t="n">
        <v>17019</v>
      </c>
      <c r="G47" s="41" t="n">
        <v>0.8241</v>
      </c>
      <c r="H47" s="94" t="n">
        <f aca="false">SUM(G47*F47)</f>
        <v>14025.3579</v>
      </c>
      <c r="I47" s="188" t="n">
        <v>251</v>
      </c>
      <c r="J47" s="182" t="n">
        <v>6355</v>
      </c>
      <c r="K47" s="120" t="s">
        <v>84</v>
      </c>
      <c r="L47" s="118"/>
      <c r="M47" s="118"/>
      <c r="N47" s="118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0.302083333333333</v>
      </c>
      <c r="B48" s="139" t="s">
        <v>50</v>
      </c>
      <c r="C48" s="98" t="n">
        <f aca="false">SUM(D47)</f>
        <v>4474010</v>
      </c>
      <c r="D48" s="108" t="n">
        <v>4479700</v>
      </c>
      <c r="E48" s="92" t="n">
        <f aca="false">SUM(D48-C48)</f>
        <v>5690</v>
      </c>
      <c r="F48" s="109" t="n">
        <f aca="false">SUM(D48-C48)</f>
        <v>5690</v>
      </c>
      <c r="G48" s="41" t="n">
        <v>0.8386</v>
      </c>
      <c r="H48" s="94" t="n">
        <f aca="false">SUM(G48*F48)</f>
        <v>4771.634</v>
      </c>
      <c r="I48" s="165" t="n">
        <v>467</v>
      </c>
      <c r="J48" s="29" t="n">
        <v>6357</v>
      </c>
      <c r="K48" s="120" t="s">
        <v>82</v>
      </c>
      <c r="L48" s="118"/>
      <c r="M48" s="118"/>
      <c r="N48" s="118"/>
      <c r="O48" s="118"/>
      <c r="P48" s="118"/>
      <c r="Q48" s="118"/>
      <c r="R48" s="118"/>
      <c r="S48" s="118"/>
    </row>
    <row r="49" customFormat="false" ht="15" hidden="false" customHeight="false" outlineLevel="0" collapsed="false">
      <c r="A49" s="90" t="n">
        <v>0.333333333333333</v>
      </c>
      <c r="B49" s="91" t="s">
        <v>72</v>
      </c>
      <c r="C49" s="98" t="n">
        <f aca="false">SUM(D48)</f>
        <v>4479700</v>
      </c>
      <c r="D49" s="108" t="n">
        <v>4496750</v>
      </c>
      <c r="E49" s="92" t="n">
        <f aca="false">SUM(D49-C49)</f>
        <v>17050</v>
      </c>
      <c r="F49" s="129" t="n">
        <v>17019</v>
      </c>
      <c r="G49" s="41" t="n">
        <v>0.8252</v>
      </c>
      <c r="H49" s="94" t="n">
        <f aca="false">SUM(G49*F49)</f>
        <v>14044.0788</v>
      </c>
      <c r="I49" s="177" t="n">
        <v>251</v>
      </c>
      <c r="J49" s="29" t="n">
        <v>6358</v>
      </c>
      <c r="K49" s="141" t="s">
        <v>70</v>
      </c>
      <c r="L49" s="118"/>
      <c r="M49" s="118"/>
      <c r="N49" s="118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/>
      <c r="B50" s="91"/>
      <c r="C50" s="98" t="n">
        <f aca="false">SUM(D49)</f>
        <v>4496750</v>
      </c>
      <c r="D50" s="108"/>
      <c r="E50" s="92" t="n">
        <f aca="false">SUM(D50-C50)</f>
        <v>-4496750</v>
      </c>
      <c r="F50" s="109" t="n">
        <f aca="false">SUM(D50-C50)</f>
        <v>-4496750</v>
      </c>
      <c r="G50" s="41"/>
      <c r="H50" s="94" t="n">
        <f aca="false">SUM(G50*F50)</f>
        <v>0</v>
      </c>
      <c r="I50" s="1"/>
      <c r="J50" s="29"/>
      <c r="K50" s="111"/>
      <c r="L50" s="118"/>
      <c r="M50" s="118"/>
      <c r="N50" s="118"/>
      <c r="O50" s="118"/>
      <c r="P50" s="118"/>
      <c r="Q50" s="118"/>
      <c r="R50" s="118"/>
      <c r="S50" s="118"/>
    </row>
    <row r="51" customFormat="false" ht="15.75" hidden="false" customHeight="false" outlineLevel="0" collapsed="false">
      <c r="A51" s="90"/>
      <c r="B51" s="91"/>
      <c r="C51" s="98" t="n">
        <f aca="false">SUM(D50)</f>
        <v>0</v>
      </c>
      <c r="D51" s="108"/>
      <c r="E51" s="92" t="n">
        <f aca="false">SUM(D51-C51)</f>
        <v>0</v>
      </c>
      <c r="F51" s="131" t="n">
        <f aca="false">SUM(D51-C51)</f>
        <v>0</v>
      </c>
      <c r="G51" s="41"/>
      <c r="H51" s="94" t="n">
        <f aca="false">SUM(G51*F51)</f>
        <v>0</v>
      </c>
      <c r="I51" s="1"/>
      <c r="J51" s="29"/>
      <c r="K51" s="118"/>
      <c r="L51" s="118"/>
      <c r="M51" s="118"/>
      <c r="N51" s="118"/>
      <c r="O51" s="118"/>
      <c r="P51" s="118"/>
      <c r="Q51" s="118"/>
      <c r="R51" s="118"/>
      <c r="S51" s="118"/>
    </row>
    <row r="52" customFormat="false" ht="15.75" hidden="false" customHeight="false" outlineLevel="0" collapsed="false">
      <c r="A52" s="90"/>
      <c r="B52" s="91"/>
      <c r="C52" s="98" t="n">
        <f aca="false">SUM(D51)</f>
        <v>0</v>
      </c>
      <c r="D52" s="76"/>
      <c r="E52" s="110" t="n">
        <f aca="false">SUM(D52-C52)</f>
        <v>0</v>
      </c>
      <c r="F52" s="189" t="n">
        <f aca="false">SUM(D52-C52)</f>
        <v>0</v>
      </c>
      <c r="G52" s="169"/>
      <c r="H52" s="132" t="n">
        <f aca="false">SUM(G52*F52)</f>
        <v>0</v>
      </c>
      <c r="I52" s="1"/>
      <c r="J52" s="29"/>
      <c r="K52" s="118"/>
      <c r="L52" s="118"/>
      <c r="M52" s="118"/>
      <c r="N52" s="118"/>
      <c r="O52" s="118"/>
      <c r="P52" s="118"/>
      <c r="Q52" s="118"/>
      <c r="R52" s="118"/>
      <c r="S52" s="118"/>
    </row>
    <row r="53" customFormat="false" ht="15.75" hidden="false" customHeight="false" outlineLevel="0" collapsed="false">
      <c r="A53" s="90"/>
      <c r="B53" s="91"/>
      <c r="C53" s="98" t="n">
        <f aca="false">SUM(D52)</f>
        <v>0</v>
      </c>
      <c r="D53" s="76"/>
      <c r="E53" s="110" t="n">
        <f aca="false">SUM(D53-C53)</f>
        <v>0</v>
      </c>
      <c r="F53" s="175" t="n">
        <v>281667</v>
      </c>
      <c r="G53" s="134"/>
      <c r="H53" s="176" t="n">
        <v>232301</v>
      </c>
      <c r="I53" s="136"/>
      <c r="J53" s="29"/>
      <c r="K53" s="121"/>
      <c r="L53" s="118"/>
      <c r="M53" s="118"/>
      <c r="N53" s="118"/>
      <c r="O53" s="118"/>
      <c r="P53" s="118"/>
      <c r="Q53" s="118"/>
      <c r="R53" s="118"/>
      <c r="S53" s="118"/>
    </row>
    <row r="54" customFormat="false" ht="15.75" hidden="false" customHeight="false" outlineLevel="0" collapsed="false">
      <c r="L54" s="118"/>
      <c r="M54" s="118"/>
      <c r="N54" s="118"/>
      <c r="O54" s="118"/>
      <c r="P54" s="118"/>
      <c r="Q54" s="118"/>
      <c r="R54" s="118"/>
      <c r="S54" s="118"/>
    </row>
    <row r="55" customFormat="false" ht="15.75" hidden="false" customHeight="false" outlineLevel="0" collapsed="false">
      <c r="F55" s="175" t="n">
        <f aca="false">F53+F24</f>
        <v>592100</v>
      </c>
      <c r="G55" s="134"/>
      <c r="H55" s="176" t="n">
        <f aca="false">H53+H24</f>
        <v>490633</v>
      </c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E56" s="118"/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E57" s="118"/>
      <c r="L57" s="118"/>
      <c r="M57" s="118"/>
      <c r="N57" s="118"/>
      <c r="O57" s="118"/>
      <c r="P57" s="118"/>
      <c r="Q57" s="118"/>
      <c r="R57" s="118"/>
      <c r="S57" s="118"/>
    </row>
    <row r="58" customFormat="false" ht="15" hidden="false" customHeight="false" outlineLevel="0" collapsed="false">
      <c r="E58" s="118"/>
      <c r="L58" s="118"/>
      <c r="M58" s="118"/>
      <c r="N58" s="118"/>
      <c r="O58" s="118"/>
      <c r="P58" s="118"/>
      <c r="Q58" s="118"/>
      <c r="R58" s="118"/>
      <c r="S58" s="118"/>
    </row>
    <row r="59" customFormat="false" ht="15" hidden="false" customHeight="false" outlineLevel="0" collapsed="false">
      <c r="E59" s="118"/>
      <c r="L59" s="118"/>
      <c r="M59" s="118"/>
      <c r="N59" s="118"/>
      <c r="O59" s="118"/>
      <c r="P59" s="118"/>
      <c r="Q59" s="118"/>
      <c r="R59" s="118"/>
      <c r="S59" s="118"/>
    </row>
    <row r="60" customFormat="false" ht="15" hidden="false" customHeight="false" outlineLevel="0" collapsed="false">
      <c r="E60" s="118"/>
      <c r="L60" s="118"/>
      <c r="M60" s="118"/>
      <c r="N60" s="118"/>
      <c r="O60" s="118"/>
      <c r="P60" s="118"/>
      <c r="Q60" s="118"/>
      <c r="R60" s="118"/>
      <c r="S60" s="118"/>
    </row>
    <row r="61" customFormat="false" ht="15" hidden="false" customHeight="false" outlineLevel="0" collapsed="false">
      <c r="E61" s="118"/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E62" s="118"/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E63" s="118"/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E64" s="118"/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E65" s="118"/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false" customHeight="false" outlineLevel="0" collapsed="false">
      <c r="E66" s="118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false" customHeight="false" outlineLevel="0" collapsed="false">
      <c r="E67" s="118"/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E68" s="118"/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false" customHeight="false" outlineLevel="0" collapsed="false">
      <c r="E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false" customHeight="false" outlineLevel="0" collapsed="false">
      <c r="E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false" customHeight="false" outlineLevel="0" collapsed="false">
      <c r="E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false" customHeight="false" outlineLevel="0" collapsed="false">
      <c r="E72" s="118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tru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tru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tru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tru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tru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fals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false" customHeight="false" outlineLevel="0" collapsed="false">
      <c r="E81" s="118"/>
    </row>
    <row r="82" customFormat="false" ht="15" hidden="false" customHeight="false" outlineLevel="0" collapsed="false">
      <c r="E82" s="118"/>
    </row>
    <row r="83" customFormat="false" ht="15" hidden="false" customHeight="false" outlineLevel="0" collapsed="false">
      <c r="E83" s="118"/>
    </row>
    <row r="84" customFormat="false" ht="15" hidden="false" customHeight="false" outlineLevel="0" collapsed="false">
      <c r="E84" s="118"/>
    </row>
    <row r="85" customFormat="false" ht="15" hidden="false" customHeight="false" outlineLevel="0" collapsed="false">
      <c r="E85" s="118"/>
    </row>
    <row r="86" customFormat="false" ht="15" hidden="false" customHeight="false" outlineLevel="0" collapsed="false">
      <c r="E86" s="118"/>
    </row>
    <row r="87" customFormat="false" ht="15" hidden="false" customHeight="false" outlineLevel="0" collapsed="false">
      <c r="E87" s="118"/>
    </row>
    <row r="88" customFormat="false" ht="15" hidden="false" customHeight="false" outlineLevel="0" collapsed="false">
      <c r="E88" s="118"/>
    </row>
    <row r="89" customFormat="false" ht="15" hidden="false" customHeight="false" outlineLevel="0" collapsed="false">
      <c r="E89" s="118"/>
    </row>
    <row r="90" customFormat="false" ht="15" hidden="false" customHeight="false" outlineLevel="0" collapsed="false">
      <c r="E90" s="118"/>
    </row>
    <row r="91" customFormat="false" ht="15" hidden="false" customHeight="false" outlineLevel="0" collapsed="false">
      <c r="E91" s="118"/>
    </row>
    <row r="92" customFormat="false" ht="15" hidden="false" customHeight="false" outlineLevel="0" collapsed="false">
      <c r="E92" s="118"/>
    </row>
    <row r="93" customFormat="false" ht="15" hidden="false" customHeight="false" outlineLevel="0" collapsed="false">
      <c r="E93" s="118"/>
    </row>
    <row r="94" customFormat="false" ht="15" hidden="false" customHeight="false" outlineLevel="0" collapsed="false">
      <c r="E94" s="118"/>
    </row>
    <row r="95" customFormat="false" ht="15" hidden="false" customHeight="false" outlineLevel="0" collapsed="false">
      <c r="E95" s="118"/>
    </row>
    <row r="96" customFormat="false" ht="15" hidden="false" customHeight="false" outlineLevel="0" collapsed="false">
      <c r="E96" s="118"/>
    </row>
    <row r="97" customFormat="false" ht="15" hidden="false" customHeight="false" outlineLevel="0" collapsed="false">
      <c r="E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23"/>
  <sheetViews>
    <sheetView showFormulas="false" showGridLines="true" showRowColHeaders="true" showZeros="true" rightToLeft="false" tabSelected="false" showOutlineSymbols="true" defaultGridColor="true" view="normal" topLeftCell="A25" colorId="64" zoomScale="60" zoomScaleNormal="60" zoomScalePageLayoutView="100" workbookViewId="0">
      <selection pane="topLeft" activeCell="A53" activeCellId="0" sqref="A53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0.28"/>
    <col collapsed="false" customWidth="true" hidden="false" outlineLevel="0" max="12" min="12" style="71" width="12.14"/>
    <col collapsed="false" customWidth="true" hidden="false" outlineLevel="0" max="13" min="13" style="71" width="10.14"/>
    <col collapsed="false" customWidth="true" hidden="false" outlineLevel="0" max="14" min="14" style="71" width="18.43"/>
    <col collapsed="false" customWidth="true" hidden="false" outlineLevel="0" max="15" min="15" style="71" width="17.85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45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.75" hidden="false" customHeight="false" outlineLevel="0" collapsed="false">
      <c r="A2" s="82" t="n">
        <v>45082</v>
      </c>
      <c r="B2" s="82" t="s">
        <v>36</v>
      </c>
      <c r="C2" s="83"/>
      <c r="D2" s="83"/>
      <c r="E2" s="83"/>
      <c r="F2" s="83"/>
      <c r="G2" s="84"/>
      <c r="H2" s="85"/>
      <c r="I2" s="86"/>
      <c r="J2" s="87"/>
      <c r="K2" s="88"/>
      <c r="L2" s="89"/>
      <c r="M2" s="82" t="s">
        <v>37</v>
      </c>
      <c r="N2" s="83"/>
      <c r="O2" s="83"/>
      <c r="P2" s="83"/>
      <c r="Q2" s="84"/>
      <c r="R2" s="85"/>
      <c r="S2" s="86"/>
    </row>
    <row r="3" customFormat="false" ht="15.75" hidden="false" customHeight="false" outlineLevel="0" collapsed="false">
      <c r="A3" s="90" t="n">
        <v>0.440972222222222</v>
      </c>
      <c r="B3" s="91" t="s">
        <v>46</v>
      </c>
      <c r="C3" s="76" t="n">
        <v>48868590</v>
      </c>
      <c r="D3" s="76" t="n">
        <v>48891020</v>
      </c>
      <c r="E3" s="92" t="n">
        <f aca="false">SUM(D3-C3)</f>
        <v>22430</v>
      </c>
      <c r="F3" s="190" t="n">
        <v>22430</v>
      </c>
      <c r="G3" s="41" t="n">
        <v>0.8323</v>
      </c>
      <c r="H3" s="94" t="n">
        <f aca="false">SUM(G3*F3)</f>
        <v>18668.489</v>
      </c>
      <c r="I3" s="29" t="n">
        <v>388</v>
      </c>
      <c r="J3" s="29" t="n">
        <v>6360</v>
      </c>
      <c r="K3" s="95" t="s">
        <v>18</v>
      </c>
      <c r="L3" s="96" t="n">
        <v>0.673611111111111</v>
      </c>
      <c r="M3" s="97" t="s">
        <v>39</v>
      </c>
      <c r="N3" s="160" t="n">
        <v>7621730</v>
      </c>
      <c r="O3" s="99" t="n">
        <v>7621990</v>
      </c>
      <c r="P3" s="100" t="n">
        <f aca="false">SUM(O3-N3)</f>
        <v>260</v>
      </c>
      <c r="Q3" s="101" t="n">
        <v>0.8357</v>
      </c>
      <c r="R3" s="102" t="n">
        <f aca="false">SUM(Q3*P3)</f>
        <v>217.282</v>
      </c>
      <c r="S3" s="103" t="s">
        <v>65</v>
      </c>
      <c r="V3" s="0" t="s">
        <v>41</v>
      </c>
    </row>
    <row r="4" customFormat="false" ht="15" hidden="false" customHeight="false" outlineLevel="0" collapsed="false">
      <c r="A4" s="90" t="n">
        <v>0.458333333333333</v>
      </c>
      <c r="B4" s="91" t="s">
        <v>38</v>
      </c>
      <c r="C4" s="98" t="n">
        <f aca="false">SUM(D3)</f>
        <v>48891020</v>
      </c>
      <c r="D4" s="76" t="n">
        <v>48899760</v>
      </c>
      <c r="E4" s="92" t="n">
        <f aca="false">SUM(D4-C4)</f>
        <v>8740</v>
      </c>
      <c r="F4" s="109" t="n">
        <f aca="false">SUM(D4-C4)</f>
        <v>8740</v>
      </c>
      <c r="G4" s="41" t="n">
        <v>0.8318</v>
      </c>
      <c r="H4" s="94" t="n">
        <f aca="false">SUM(G4*F4)</f>
        <v>7269.932</v>
      </c>
      <c r="I4" s="29" t="n">
        <v>237</v>
      </c>
      <c r="J4" s="29" t="n">
        <v>6362</v>
      </c>
      <c r="K4" s="95" t="s">
        <v>18</v>
      </c>
      <c r="L4" s="96" t="n">
        <v>0.756944444444444</v>
      </c>
      <c r="M4" s="105" t="s">
        <v>38</v>
      </c>
      <c r="N4" s="100" t="n">
        <f aca="false">SUM(O3)</f>
        <v>7621990</v>
      </c>
      <c r="O4" s="99" t="n">
        <v>7622070</v>
      </c>
      <c r="P4" s="100" t="n">
        <f aca="false">SUM(O4-N4)</f>
        <v>80</v>
      </c>
      <c r="Q4" s="106" t="n">
        <v>0.8312</v>
      </c>
      <c r="R4" s="102" t="n">
        <f aca="false">SUM(Q4*P4)</f>
        <v>66.496</v>
      </c>
      <c r="S4" s="103" t="s">
        <v>64</v>
      </c>
    </row>
    <row r="5" customFormat="false" ht="15" hidden="false" customHeight="false" outlineLevel="0" collapsed="false">
      <c r="A5" s="90" t="n">
        <v>0.5</v>
      </c>
      <c r="B5" s="91" t="s">
        <v>38</v>
      </c>
      <c r="C5" s="98" t="n">
        <f aca="false">SUM(D4)</f>
        <v>48899760</v>
      </c>
      <c r="D5" s="76" t="n">
        <v>48909930</v>
      </c>
      <c r="E5" s="92" t="n">
        <f aca="false">SUM(D5-C5)</f>
        <v>10170</v>
      </c>
      <c r="F5" s="109" t="n">
        <f aca="false">SUM(D5-C5)</f>
        <v>10170</v>
      </c>
      <c r="G5" s="41" t="n">
        <v>0.8318</v>
      </c>
      <c r="H5" s="94" t="n">
        <f aca="false">SUM(G5*F5)</f>
        <v>8459.406</v>
      </c>
      <c r="I5" s="29" t="n">
        <v>248</v>
      </c>
      <c r="J5" s="29" t="n">
        <v>6367</v>
      </c>
      <c r="K5" s="95" t="s">
        <v>18</v>
      </c>
      <c r="L5" s="96" t="n">
        <v>0.8125</v>
      </c>
      <c r="M5" s="105" t="s">
        <v>38</v>
      </c>
      <c r="N5" s="100" t="n">
        <f aca="false">SUM(O4)</f>
        <v>7622070</v>
      </c>
      <c r="O5" s="99" t="n">
        <v>7622080</v>
      </c>
      <c r="P5" s="100" t="n">
        <f aca="false">SUM(O5-N5)</f>
        <v>10</v>
      </c>
      <c r="Q5" s="101" t="n">
        <v>0.8312</v>
      </c>
      <c r="R5" s="102" t="n">
        <f aca="false">SUM(Q5*P5)</f>
        <v>8.312</v>
      </c>
      <c r="S5" s="103" t="s">
        <v>45</v>
      </c>
    </row>
    <row r="6" customFormat="false" ht="15" hidden="false" customHeight="false" outlineLevel="0" collapsed="false">
      <c r="A6" s="90" t="n">
        <v>0.534722222222222</v>
      </c>
      <c r="B6" s="91" t="s">
        <v>38</v>
      </c>
      <c r="C6" s="98" t="n">
        <f aca="false">SUM(D5)</f>
        <v>48909930</v>
      </c>
      <c r="D6" s="76" t="n">
        <v>48911110</v>
      </c>
      <c r="E6" s="92" t="n">
        <f aca="false">SUM(D6-C6)</f>
        <v>1180</v>
      </c>
      <c r="F6" s="109" t="n">
        <f aca="false">SUM(D6-C6)</f>
        <v>1180</v>
      </c>
      <c r="G6" s="41" t="n">
        <v>0.8318</v>
      </c>
      <c r="H6" s="94" t="n">
        <f aca="false">SUM(G6*F6)</f>
        <v>981.524</v>
      </c>
      <c r="I6" s="29" t="n">
        <v>237</v>
      </c>
      <c r="J6" s="29" t="n">
        <v>6368</v>
      </c>
      <c r="K6" s="95" t="s">
        <v>18</v>
      </c>
      <c r="L6" s="96"/>
      <c r="M6" s="105"/>
      <c r="N6" s="100" t="n">
        <f aca="false">SUM(O5)</f>
        <v>7622080</v>
      </c>
      <c r="O6" s="99"/>
      <c r="P6" s="100" t="n">
        <f aca="false">SUM(O6-N6)</f>
        <v>-7622080</v>
      </c>
      <c r="Q6" s="41"/>
      <c r="R6" s="102" t="n">
        <f aca="false">SUM(Q6*P6)</f>
        <v>0</v>
      </c>
      <c r="S6" s="103"/>
    </row>
    <row r="7" customFormat="false" ht="15" hidden="false" customHeight="false" outlineLevel="0" collapsed="false">
      <c r="A7" s="90" t="n">
        <v>0.555555555555556</v>
      </c>
      <c r="B7" s="91" t="s">
        <v>38</v>
      </c>
      <c r="C7" s="98" t="n">
        <f aca="false">SUM(D6)</f>
        <v>48911110</v>
      </c>
      <c r="D7" s="76" t="n">
        <v>48933540</v>
      </c>
      <c r="E7" s="92" t="n">
        <f aca="false">SUM(D7-C7)</f>
        <v>22430</v>
      </c>
      <c r="F7" s="190" t="n">
        <v>22430</v>
      </c>
      <c r="G7" s="41" t="n">
        <v>0.8318</v>
      </c>
      <c r="H7" s="94" t="n">
        <f aca="false">SUM(G7*F7)</f>
        <v>18657.274</v>
      </c>
      <c r="I7" s="29" t="n">
        <v>388</v>
      </c>
      <c r="J7" s="29" t="n">
        <v>6369</v>
      </c>
      <c r="K7" s="95" t="s">
        <v>18</v>
      </c>
      <c r="L7" s="96"/>
      <c r="M7" s="105"/>
      <c r="N7" s="100" t="n">
        <f aca="false">SUM(O6)</f>
        <v>0</v>
      </c>
      <c r="O7" s="99"/>
      <c r="P7" s="100" t="n">
        <f aca="false">SUM(O7-N7)</f>
        <v>0</v>
      </c>
      <c r="Q7" s="41"/>
      <c r="R7" s="102" t="n">
        <f aca="false">SUM(Q7*P7)</f>
        <v>0</v>
      </c>
      <c r="S7" s="103"/>
    </row>
    <row r="8" customFormat="false" ht="15" hidden="false" customHeight="false" outlineLevel="0" collapsed="false">
      <c r="A8" s="90" t="n">
        <v>0.635416666666667</v>
      </c>
      <c r="B8" s="91" t="s">
        <v>38</v>
      </c>
      <c r="C8" s="98" t="n">
        <f aca="false">SUM(D7)</f>
        <v>48933540</v>
      </c>
      <c r="D8" s="76" t="n">
        <v>48945020</v>
      </c>
      <c r="E8" s="92" t="n">
        <f aca="false">SUM(D8-C8)</f>
        <v>11480</v>
      </c>
      <c r="F8" s="190" t="n">
        <v>11480</v>
      </c>
      <c r="G8" s="41" t="n">
        <v>0.8312</v>
      </c>
      <c r="H8" s="94" t="n">
        <f aca="false">SUM(G8*F8)</f>
        <v>9542.176</v>
      </c>
      <c r="I8" s="29" t="n">
        <v>388</v>
      </c>
      <c r="J8" s="29" t="n">
        <v>6372</v>
      </c>
      <c r="K8" s="95" t="s">
        <v>18</v>
      </c>
      <c r="L8" s="96"/>
      <c r="M8" s="97"/>
      <c r="N8" s="100" t="n">
        <f aca="false">SUM(O7)</f>
        <v>0</v>
      </c>
      <c r="O8" s="99"/>
      <c r="P8" s="100" t="n">
        <f aca="false">SUM(O8-N8)</f>
        <v>0</v>
      </c>
      <c r="Q8" s="101"/>
      <c r="R8" s="102" t="n">
        <f aca="false">SUM(Q8*P8)</f>
        <v>0</v>
      </c>
      <c r="S8" s="1"/>
    </row>
    <row r="9" customFormat="false" ht="15" hidden="false" customHeight="false" outlineLevel="0" collapsed="false">
      <c r="A9" s="90" t="n">
        <v>0.635416666666667</v>
      </c>
      <c r="B9" s="91" t="s">
        <v>48</v>
      </c>
      <c r="C9" s="98" t="n">
        <f aca="false">SUM(D8)</f>
        <v>48945020</v>
      </c>
      <c r="D9" s="76" t="n">
        <v>48955950</v>
      </c>
      <c r="E9" s="92" t="n">
        <f aca="false">SUM(D9-C9)</f>
        <v>10930</v>
      </c>
      <c r="F9" s="190" t="n">
        <v>10950</v>
      </c>
      <c r="G9" s="41" t="n">
        <v>0.8312</v>
      </c>
      <c r="H9" s="94" t="n">
        <f aca="false">SUM(G9*F9)</f>
        <v>9101.64</v>
      </c>
      <c r="I9" s="29" t="n">
        <v>388</v>
      </c>
      <c r="J9" s="29" t="n">
        <v>6372</v>
      </c>
      <c r="K9" s="95" t="s">
        <v>18</v>
      </c>
      <c r="L9" s="96"/>
      <c r="M9" s="97"/>
      <c r="N9" s="100" t="n">
        <f aca="false">SUM(O8)</f>
        <v>0</v>
      </c>
      <c r="O9" s="99"/>
      <c r="P9" s="100" t="n">
        <f aca="false">SUM(O9-N9)</f>
        <v>0</v>
      </c>
      <c r="Q9" s="101"/>
      <c r="R9" s="102" t="n">
        <f aca="false">SUM(Q9*P9)</f>
        <v>0</v>
      </c>
      <c r="S9" s="1"/>
    </row>
    <row r="10" customFormat="false" ht="15" hidden="false" customHeight="false" outlineLevel="0" collapsed="false">
      <c r="A10" s="90" t="n">
        <v>0.722222222222222</v>
      </c>
      <c r="B10" s="91" t="s">
        <v>48</v>
      </c>
      <c r="C10" s="98" t="n">
        <f aca="false">SUM(D9)</f>
        <v>48955950</v>
      </c>
      <c r="D10" s="76" t="n">
        <v>48967430</v>
      </c>
      <c r="E10" s="92" t="n">
        <f aca="false">SUM(D10-C10)</f>
        <v>11480</v>
      </c>
      <c r="F10" s="190" t="n">
        <v>11480</v>
      </c>
      <c r="G10" s="41" t="n">
        <v>0.8312</v>
      </c>
      <c r="H10" s="94" t="n">
        <f aca="false">SUM(G10*F10)</f>
        <v>9542.176</v>
      </c>
      <c r="I10" s="29" t="n">
        <v>388</v>
      </c>
      <c r="J10" s="29" t="n">
        <v>6374</v>
      </c>
      <c r="K10" s="95" t="s">
        <v>18</v>
      </c>
      <c r="L10" s="96"/>
      <c r="M10" s="97"/>
      <c r="N10" s="100" t="n">
        <f aca="false">SUM(O9)</f>
        <v>0</v>
      </c>
      <c r="O10" s="99"/>
      <c r="P10" s="100" t="n">
        <f aca="false">SUM(O10-N10)</f>
        <v>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0.760416666666667</v>
      </c>
      <c r="B11" s="91" t="s">
        <v>48</v>
      </c>
      <c r="C11" s="98" t="n">
        <f aca="false">SUM(D10)</f>
        <v>48967430</v>
      </c>
      <c r="D11" s="76" t="n">
        <v>48977410</v>
      </c>
      <c r="E11" s="92" t="n">
        <f aca="false">SUM(D11-C11)</f>
        <v>9980</v>
      </c>
      <c r="F11" s="107" t="n">
        <v>9986</v>
      </c>
      <c r="G11" s="41" t="n">
        <v>0.8312</v>
      </c>
      <c r="H11" s="94" t="n">
        <f aca="false">SUM(G11*F11)</f>
        <v>8300.3632</v>
      </c>
      <c r="I11" s="29" t="n">
        <v>251</v>
      </c>
      <c r="J11" s="29" t="n">
        <v>6375</v>
      </c>
      <c r="K11" s="95" t="s">
        <v>18</v>
      </c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0.760416666666667</v>
      </c>
      <c r="B12" s="91" t="s">
        <v>48</v>
      </c>
      <c r="C12" s="98" t="n">
        <f aca="false">SUM(D11)</f>
        <v>48977410</v>
      </c>
      <c r="D12" s="76" t="n">
        <v>48984460</v>
      </c>
      <c r="E12" s="92" t="n">
        <f aca="false">SUM(D12-C12)</f>
        <v>7050</v>
      </c>
      <c r="F12" s="107" t="n">
        <v>7033</v>
      </c>
      <c r="G12" s="41" t="n">
        <v>0.8312</v>
      </c>
      <c r="H12" s="94" t="n">
        <f aca="false">SUM(G12*F12)</f>
        <v>5845.8296</v>
      </c>
      <c r="I12" s="29" t="n">
        <v>251</v>
      </c>
      <c r="J12" s="29" t="n">
        <v>6375</v>
      </c>
      <c r="K12" s="95" t="s">
        <v>18</v>
      </c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0.777777777777778</v>
      </c>
      <c r="B13" s="91" t="s">
        <v>54</v>
      </c>
      <c r="C13" s="98" t="n">
        <f aca="false">SUM(D12)</f>
        <v>48984460</v>
      </c>
      <c r="D13" s="76" t="n">
        <v>48995940</v>
      </c>
      <c r="E13" s="92" t="n">
        <f aca="false">SUM(D13-C13)</f>
        <v>11480</v>
      </c>
      <c r="F13" s="190" t="n">
        <v>11480</v>
      </c>
      <c r="G13" s="41" t="n">
        <v>0.8312</v>
      </c>
      <c r="H13" s="94" t="n">
        <f aca="false">SUM(G13*F13)</f>
        <v>9542.176</v>
      </c>
      <c r="I13" s="29" t="n">
        <v>388</v>
      </c>
      <c r="J13" s="29" t="n">
        <v>6376</v>
      </c>
      <c r="K13" s="95" t="s">
        <v>18</v>
      </c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0.777777777777778</v>
      </c>
      <c r="B14" s="91" t="s">
        <v>54</v>
      </c>
      <c r="C14" s="98" t="n">
        <f aca="false">SUM(D13)</f>
        <v>48995940</v>
      </c>
      <c r="D14" s="76" t="n">
        <v>49006890</v>
      </c>
      <c r="E14" s="92" t="n">
        <f aca="false">SUM(D14-C14)</f>
        <v>10950</v>
      </c>
      <c r="F14" s="190" t="n">
        <v>10950</v>
      </c>
      <c r="G14" s="41" t="n">
        <v>0.8312</v>
      </c>
      <c r="H14" s="94" t="n">
        <f aca="false">SUM(G14*F14)</f>
        <v>9101.64</v>
      </c>
      <c r="I14" s="29" t="n">
        <v>388</v>
      </c>
      <c r="J14" s="29" t="n">
        <v>6377</v>
      </c>
      <c r="K14" s="95" t="s">
        <v>18</v>
      </c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0.944444444444444</v>
      </c>
      <c r="B15" s="91" t="s">
        <v>38</v>
      </c>
      <c r="C15" s="98" t="n">
        <f aca="false">SUM(D14)</f>
        <v>49006890</v>
      </c>
      <c r="D15" s="76" t="n">
        <v>49018370</v>
      </c>
      <c r="E15" s="92" t="n">
        <f aca="false">SUM(D15-C15)</f>
        <v>11480</v>
      </c>
      <c r="F15" s="190" t="n">
        <v>11480</v>
      </c>
      <c r="G15" s="41" t="n">
        <v>0.8291</v>
      </c>
      <c r="H15" s="94" t="n">
        <f aca="false">SUM(G15*F15)</f>
        <v>9518.068</v>
      </c>
      <c r="I15" s="29" t="n">
        <v>388</v>
      </c>
      <c r="J15" s="29" t="n">
        <v>6381</v>
      </c>
      <c r="K15" s="95" t="s">
        <v>18</v>
      </c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0.944444444444444</v>
      </c>
      <c r="B16" s="91" t="s">
        <v>38</v>
      </c>
      <c r="C16" s="98" t="n">
        <f aca="false">SUM(D15)</f>
        <v>49018370</v>
      </c>
      <c r="D16" s="76" t="n">
        <v>49029320</v>
      </c>
      <c r="E16" s="92" t="n">
        <f aca="false">SUM(D16-C16)</f>
        <v>10950</v>
      </c>
      <c r="F16" s="190" t="n">
        <v>10950</v>
      </c>
      <c r="G16" s="41" t="n">
        <v>0.8291</v>
      </c>
      <c r="H16" s="94" t="n">
        <f aca="false">SUM(G16*F16)</f>
        <v>9078.645</v>
      </c>
      <c r="I16" s="29" t="n">
        <v>388</v>
      </c>
      <c r="J16" s="29" t="n">
        <v>6382</v>
      </c>
      <c r="K16" s="95" t="s">
        <v>18</v>
      </c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0.958333333333333</v>
      </c>
      <c r="B17" s="91" t="s">
        <v>38</v>
      </c>
      <c r="C17" s="98" t="n">
        <f aca="false">SUM(D16)</f>
        <v>49029320</v>
      </c>
      <c r="D17" s="76" t="n">
        <v>49038250</v>
      </c>
      <c r="E17" s="92" t="n">
        <f aca="false">SUM(D17-C17)</f>
        <v>8930</v>
      </c>
      <c r="F17" s="109" t="n">
        <f aca="false">SUM(D17-C17)</f>
        <v>8930</v>
      </c>
      <c r="G17" s="41" t="n">
        <v>0.8291</v>
      </c>
      <c r="H17" s="94" t="n">
        <f aca="false">SUM(G17*F17)</f>
        <v>7403.863</v>
      </c>
      <c r="I17" s="29" t="n">
        <v>237</v>
      </c>
      <c r="J17" s="29" t="n">
        <v>6384</v>
      </c>
      <c r="K17" s="95" t="s">
        <v>18</v>
      </c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0.00694444444444444</v>
      </c>
      <c r="B18" s="91" t="s">
        <v>38</v>
      </c>
      <c r="C18" s="98" t="n">
        <f aca="false">SUM(D17)</f>
        <v>49038250</v>
      </c>
      <c r="D18" s="76" t="n">
        <v>49060680</v>
      </c>
      <c r="E18" s="92" t="n">
        <f aca="false">SUM(D18-C18)</f>
        <v>22430</v>
      </c>
      <c r="F18" s="190" t="n">
        <v>22430</v>
      </c>
      <c r="G18" s="41" t="n">
        <v>0.8291</v>
      </c>
      <c r="H18" s="94" t="n">
        <f aca="false">SUM(G18*F18)</f>
        <v>18596.713</v>
      </c>
      <c r="I18" s="29" t="n">
        <v>388</v>
      </c>
      <c r="J18" s="29" t="n">
        <v>6385</v>
      </c>
      <c r="K18" s="95" t="s">
        <v>18</v>
      </c>
      <c r="L18" s="96" t="n">
        <v>0.409722222222222</v>
      </c>
      <c r="M18" s="105" t="s">
        <v>62</v>
      </c>
      <c r="N18" s="108" t="n">
        <v>4496750</v>
      </c>
      <c r="O18" s="99" t="n">
        <v>4496780</v>
      </c>
      <c r="P18" s="109" t="n">
        <f aca="false">SUM(O18-N18)</f>
        <v>30</v>
      </c>
      <c r="Q18" s="41" t="n">
        <v>0.8285</v>
      </c>
      <c r="R18" s="94" t="n">
        <f aca="false">SUM(Q18*P18)</f>
        <v>24.855</v>
      </c>
      <c r="S18" s="103" t="s">
        <v>78</v>
      </c>
      <c r="T18" s="0" t="s">
        <v>41</v>
      </c>
    </row>
    <row r="19" customFormat="false" ht="15" hidden="false" customHeight="false" outlineLevel="0" collapsed="false">
      <c r="A19" s="90" t="n">
        <v>0.159722222222222</v>
      </c>
      <c r="B19" s="91" t="s">
        <v>48</v>
      </c>
      <c r="C19" s="98" t="n">
        <f aca="false">SUM(D18)</f>
        <v>49060680</v>
      </c>
      <c r="D19" s="76" t="n">
        <v>49077700</v>
      </c>
      <c r="E19" s="92" t="n">
        <f aca="false">SUM(D19-C19)</f>
        <v>17020</v>
      </c>
      <c r="F19" s="107" t="n">
        <v>17019</v>
      </c>
      <c r="G19" s="41" t="n">
        <v>0.8285</v>
      </c>
      <c r="H19" s="94" t="n">
        <f aca="false">SUM(G19*F19)</f>
        <v>14100.2415</v>
      </c>
      <c r="I19" s="29" t="n">
        <v>251</v>
      </c>
      <c r="J19" s="29" t="n">
        <v>6387</v>
      </c>
      <c r="K19" s="95" t="s">
        <v>18</v>
      </c>
      <c r="L19" s="96"/>
      <c r="M19" s="105"/>
      <c r="N19" s="98" t="n">
        <f aca="false">SUM(O18)</f>
        <v>4496780</v>
      </c>
      <c r="O19" s="99"/>
      <c r="P19" s="109" t="n">
        <f aca="false">SUM(O19-N19)</f>
        <v>-4496780</v>
      </c>
      <c r="Q19" s="41"/>
      <c r="R19" s="94" t="n">
        <f aca="false">SUM(Q19*P19)</f>
        <v>0</v>
      </c>
      <c r="S19" s="103"/>
    </row>
    <row r="20" customFormat="false" ht="15" hidden="false" customHeight="false" outlineLevel="0" collapsed="false">
      <c r="A20" s="90" t="n">
        <v>0.1875</v>
      </c>
      <c r="B20" s="91" t="s">
        <v>48</v>
      </c>
      <c r="C20" s="98" t="n">
        <f aca="false">SUM(D19)</f>
        <v>49077700</v>
      </c>
      <c r="D20" s="76" t="n">
        <v>49100130</v>
      </c>
      <c r="E20" s="92" t="n">
        <f aca="false">SUM(D20-C20)</f>
        <v>22430</v>
      </c>
      <c r="F20" s="190" t="n">
        <v>22430</v>
      </c>
      <c r="G20" s="41" t="n">
        <v>0.8305</v>
      </c>
      <c r="H20" s="94" t="n">
        <f aca="false">SUM(G20*F20)</f>
        <v>18628.115</v>
      </c>
      <c r="I20" s="1" t="n">
        <v>388</v>
      </c>
      <c r="J20" s="29" t="n">
        <v>6388</v>
      </c>
      <c r="K20" s="95" t="s">
        <v>18</v>
      </c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 t="n">
        <v>0.25</v>
      </c>
      <c r="B21" s="91" t="s">
        <v>48</v>
      </c>
      <c r="C21" s="98" t="n">
        <f aca="false">SUM(D20)</f>
        <v>49100130</v>
      </c>
      <c r="D21" s="76" t="n">
        <v>49122560</v>
      </c>
      <c r="E21" s="92" t="n">
        <f aca="false">SUM(D21-C21)</f>
        <v>22430</v>
      </c>
      <c r="F21" s="190" t="n">
        <v>22430</v>
      </c>
      <c r="G21" s="41" t="n">
        <v>0.8305</v>
      </c>
      <c r="H21" s="94" t="n">
        <f aca="false">SUM(G21*F21)</f>
        <v>18628.115</v>
      </c>
      <c r="I21" s="1" t="n">
        <v>388</v>
      </c>
      <c r="J21" s="29" t="n">
        <v>6390</v>
      </c>
      <c r="K21" s="95" t="s">
        <v>18</v>
      </c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 t="n">
        <v>0.263888888888889</v>
      </c>
      <c r="B22" s="91" t="s">
        <v>39</v>
      </c>
      <c r="C22" s="98" t="n">
        <f aca="false">SUM(D21)</f>
        <v>49122560</v>
      </c>
      <c r="D22" s="76" t="n">
        <v>49139580</v>
      </c>
      <c r="E22" s="92" t="n">
        <f aca="false">SUM(D22-C22)</f>
        <v>17020</v>
      </c>
      <c r="F22" s="107" t="n">
        <v>17019</v>
      </c>
      <c r="G22" s="41" t="n">
        <v>0.8335</v>
      </c>
      <c r="H22" s="94" t="n">
        <f aca="false">SUM(G22*F22)</f>
        <v>14185.3365</v>
      </c>
      <c r="I22" s="1" t="n">
        <v>251</v>
      </c>
      <c r="J22" s="29" t="n">
        <v>6391</v>
      </c>
      <c r="K22" s="95" t="s">
        <v>18</v>
      </c>
      <c r="L22" s="96"/>
      <c r="M22" s="105"/>
      <c r="N22" s="98"/>
      <c r="O22" s="99"/>
      <c r="P22" s="109"/>
      <c r="Q22" s="41"/>
      <c r="R22" s="94"/>
      <c r="S22" s="103"/>
    </row>
    <row r="23" customFormat="false" ht="15" hidden="false" customHeight="false" outlineLevel="0" collapsed="false">
      <c r="A23" s="90" t="n">
        <v>0.305555555555555</v>
      </c>
      <c r="B23" s="91" t="s">
        <v>39</v>
      </c>
      <c r="C23" s="98" t="n">
        <f aca="false">SUM(D22)</f>
        <v>49139580</v>
      </c>
      <c r="D23" s="76" t="n">
        <v>49161990</v>
      </c>
      <c r="E23" s="92" t="n">
        <f aca="false">SUM(D23-C23)</f>
        <v>22410</v>
      </c>
      <c r="F23" s="190" t="n">
        <v>22430</v>
      </c>
      <c r="G23" s="41" t="n">
        <v>0.8335</v>
      </c>
      <c r="H23" s="94" t="n">
        <f aca="false">SUM(G23*F23)</f>
        <v>18695.405</v>
      </c>
      <c r="I23" s="1" t="n">
        <v>388</v>
      </c>
      <c r="J23" s="29" t="n">
        <v>6392</v>
      </c>
      <c r="K23" s="95" t="s">
        <v>18</v>
      </c>
      <c r="L23" s="96"/>
      <c r="M23" s="105"/>
      <c r="N23" s="98"/>
      <c r="O23" s="99"/>
      <c r="P23" s="109"/>
      <c r="Q23" s="41"/>
      <c r="R23" s="94"/>
      <c r="S23" s="103"/>
    </row>
    <row r="24" customFormat="false" ht="15" hidden="false" customHeight="false" outlineLevel="0" collapsed="false">
      <c r="A24" s="90" t="n">
        <v>0.361111111111111</v>
      </c>
      <c r="B24" s="91" t="s">
        <v>39</v>
      </c>
      <c r="C24" s="98" t="n">
        <f aca="false">SUM(D23)</f>
        <v>49161990</v>
      </c>
      <c r="D24" s="76" t="n">
        <v>49184410</v>
      </c>
      <c r="E24" s="92" t="n">
        <f aca="false">SUM(D24-C24)</f>
        <v>22420</v>
      </c>
      <c r="F24" s="190" t="n">
        <v>22430</v>
      </c>
      <c r="G24" s="41" t="n">
        <v>0.8335</v>
      </c>
      <c r="H24" s="94" t="n">
        <f aca="false">SUM(G24*F24)</f>
        <v>18695.405</v>
      </c>
      <c r="I24" s="1" t="n">
        <v>388</v>
      </c>
      <c r="J24" s="29" t="n">
        <v>6395</v>
      </c>
      <c r="K24" s="95" t="s">
        <v>18</v>
      </c>
      <c r="L24" s="96"/>
      <c r="M24" s="105"/>
      <c r="N24" s="98" t="n">
        <f aca="false">SUM(O21)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" hidden="false" customHeight="false" outlineLevel="0" collapsed="false">
      <c r="A25" s="90"/>
      <c r="B25" s="91"/>
      <c r="C25" s="98"/>
      <c r="D25" s="76"/>
      <c r="E25" s="92" t="n">
        <f aca="false">SUM(D25-C25)</f>
        <v>0</v>
      </c>
      <c r="F25" s="109" t="n">
        <f aca="false">SUM(D25-C25)</f>
        <v>0</v>
      </c>
      <c r="G25" s="41"/>
      <c r="H25" s="94" t="n">
        <f aca="false">SUM(G25*F25)</f>
        <v>0</v>
      </c>
      <c r="I25" s="1"/>
      <c r="J25" s="29"/>
      <c r="K25" s="95"/>
      <c r="L25" s="96"/>
      <c r="M25" s="105"/>
      <c r="N25" s="98" t="n">
        <f aca="false">SUM(O24)</f>
        <v>0</v>
      </c>
      <c r="O25" s="99"/>
      <c r="P25" s="109" t="n">
        <f aca="false">SUM(O25-N25)</f>
        <v>0</v>
      </c>
      <c r="Q25" s="41"/>
      <c r="R25" s="94" t="n">
        <f aca="false">SUM(Q25*P25)</f>
        <v>0</v>
      </c>
      <c r="S25" s="103"/>
    </row>
    <row r="26" customFormat="false" ht="15" hidden="false" customHeight="false" outlineLevel="0" collapsed="false">
      <c r="A26" s="90"/>
      <c r="B26" s="91"/>
      <c r="C26" s="98" t="n">
        <f aca="false">SUM(D25)</f>
        <v>0</v>
      </c>
      <c r="D26" s="76"/>
      <c r="E26" s="92" t="n">
        <f aca="false">SUM(D26-C26)</f>
        <v>0</v>
      </c>
      <c r="F26" s="109" t="n">
        <f aca="false">SUM(F3:F25)</f>
        <v>315857</v>
      </c>
      <c r="G26" s="41"/>
      <c r="H26" s="94" t="n">
        <f aca="false">SUM(H3:H25)</f>
        <v>262542.5328</v>
      </c>
      <c r="I26" s="1"/>
      <c r="J26" s="29"/>
      <c r="K26" s="95"/>
      <c r="L26" s="96"/>
      <c r="M26" s="105"/>
      <c r="N26" s="98" t="n">
        <f aca="false">SUM(O25)</f>
        <v>0</v>
      </c>
      <c r="O26" s="99"/>
      <c r="P26" s="109" t="n">
        <f aca="false">SUM(O26-N26)</f>
        <v>0</v>
      </c>
      <c r="Q26" s="41"/>
      <c r="R26" s="94" t="n">
        <f aca="false">SUM(Q26*P26)</f>
        <v>0</v>
      </c>
      <c r="S26" s="103"/>
    </row>
    <row r="27" customFormat="false" ht="15" hidden="false" customHeight="false" outlineLevel="0" collapsed="false">
      <c r="A27" s="89"/>
      <c r="B27" s="82" t="s">
        <v>49</v>
      </c>
      <c r="C27" s="83"/>
      <c r="D27" s="83"/>
      <c r="E27" s="83"/>
      <c r="F27" s="83"/>
      <c r="G27" s="84"/>
      <c r="H27" s="85"/>
      <c r="I27" s="86"/>
      <c r="J27" s="86"/>
      <c r="L27" s="96"/>
      <c r="M27" s="97"/>
      <c r="N27" s="98" t="n">
        <f aca="false">SUM(O26)</f>
        <v>0</v>
      </c>
      <c r="O27" s="99"/>
      <c r="P27" s="109" t="n">
        <f aca="false">SUM(O27-N27)</f>
        <v>0</v>
      </c>
      <c r="Q27" s="101"/>
      <c r="R27" s="94" t="n">
        <f aca="false">SUM(Q27*P27)</f>
        <v>0</v>
      </c>
      <c r="S27" s="1"/>
    </row>
    <row r="28" customFormat="false" ht="15" hidden="false" customHeight="false" outlineLevel="0" collapsed="false">
      <c r="A28" s="90" t="n">
        <v>0.416666666666667</v>
      </c>
      <c r="B28" s="91" t="s">
        <v>57</v>
      </c>
      <c r="C28" s="99" t="n">
        <v>4496780</v>
      </c>
      <c r="D28" s="108" t="n">
        <v>4502790</v>
      </c>
      <c r="E28" s="92" t="n">
        <f aca="false">SUM(D28-C28)</f>
        <v>6010</v>
      </c>
      <c r="F28" s="109" t="n">
        <f aca="false">SUM(D28-C28)</f>
        <v>6010</v>
      </c>
      <c r="G28" s="41" t="n">
        <v>0.8245</v>
      </c>
      <c r="H28" s="94" t="n">
        <f aca="false">SUM(G28*F28)</f>
        <v>4955.245</v>
      </c>
      <c r="I28" s="29" t="n">
        <v>119</v>
      </c>
      <c r="J28" s="1" t="n">
        <v>6359</v>
      </c>
      <c r="K28" s="120" t="s">
        <v>91</v>
      </c>
      <c r="L28" s="96"/>
      <c r="M28" s="97"/>
      <c r="N28" s="98" t="n">
        <f aca="false">SUM(O27)</f>
        <v>0</v>
      </c>
      <c r="O28" s="99"/>
      <c r="P28" s="109" t="n">
        <f aca="false">SUM(O28-N28)</f>
        <v>0</v>
      </c>
      <c r="Q28" s="101"/>
      <c r="R28" s="94" t="n">
        <f aca="false">SUM(Q28*P28)</f>
        <v>0</v>
      </c>
      <c r="S28" s="103"/>
    </row>
    <row r="29" customFormat="false" ht="15" hidden="false" customHeight="false" outlineLevel="0" collapsed="false">
      <c r="A29" s="90" t="n">
        <v>0.451388888888889</v>
      </c>
      <c r="B29" s="91" t="s">
        <v>72</v>
      </c>
      <c r="C29" s="98" t="n">
        <f aca="false">SUM(D28)</f>
        <v>4502790</v>
      </c>
      <c r="D29" s="108" t="n">
        <v>4510080</v>
      </c>
      <c r="E29" s="92" t="n">
        <f aca="false">SUM(D29-C29)</f>
        <v>7290</v>
      </c>
      <c r="F29" s="109" t="n">
        <f aca="false">SUM(D29-C29)</f>
        <v>7290</v>
      </c>
      <c r="G29" s="41" t="n">
        <v>0.8252</v>
      </c>
      <c r="H29" s="94" t="n">
        <f aca="false">SUM(G29*F29)</f>
        <v>6015.708</v>
      </c>
      <c r="I29" s="29" t="n">
        <v>81</v>
      </c>
      <c r="J29" s="1" t="n">
        <v>6361</v>
      </c>
      <c r="K29" s="112" t="s">
        <v>56</v>
      </c>
      <c r="L29" s="96"/>
      <c r="M29" s="97"/>
      <c r="N29" s="98" t="n">
        <f aca="false">SUM(O28)</f>
        <v>0</v>
      </c>
      <c r="O29" s="99"/>
      <c r="P29" s="109" t="n">
        <f aca="false">SUM(O29-N29)</f>
        <v>0</v>
      </c>
      <c r="Q29" s="101"/>
      <c r="R29" s="94" t="n">
        <f aca="false">SUM(Q29*P29)</f>
        <v>0</v>
      </c>
      <c r="S29" s="1"/>
    </row>
    <row r="30" customFormat="false" ht="15" hidden="false" customHeight="false" outlineLevel="0" collapsed="false">
      <c r="A30" s="90" t="n">
        <v>0.458333333333333</v>
      </c>
      <c r="B30" s="91" t="s">
        <v>90</v>
      </c>
      <c r="C30" s="98" t="n">
        <f aca="false">SUM(D29)</f>
        <v>4510080</v>
      </c>
      <c r="D30" s="108" t="n">
        <v>4525140</v>
      </c>
      <c r="E30" s="92" t="n">
        <f aca="false">SUM(D30-C30)</f>
        <v>15060</v>
      </c>
      <c r="F30" s="109" t="n">
        <v>15040</v>
      </c>
      <c r="G30" s="41" t="n">
        <v>0.8218</v>
      </c>
      <c r="H30" s="94" t="n">
        <f aca="false">SUM(G30*F30)</f>
        <v>12359.872</v>
      </c>
      <c r="I30" s="29" t="n">
        <v>467</v>
      </c>
      <c r="J30" s="1" t="n">
        <v>6363</v>
      </c>
      <c r="K30" s="119" t="s">
        <v>60</v>
      </c>
      <c r="L30" s="96"/>
      <c r="M30" s="97"/>
      <c r="N30" s="98" t="n">
        <f aca="false">SUM(O29)</f>
        <v>0</v>
      </c>
      <c r="O30" s="99"/>
      <c r="P30" s="109" t="n">
        <f aca="false">SUM(O30-N30)</f>
        <v>0</v>
      </c>
      <c r="Q30" s="101"/>
      <c r="R30" s="94" t="n">
        <f aca="false">SUM(Q30*P30)</f>
        <v>0</v>
      </c>
      <c r="S30" s="1"/>
    </row>
    <row r="31" customFormat="false" ht="15" hidden="false" customHeight="false" outlineLevel="0" collapsed="false">
      <c r="A31" s="90" t="n">
        <v>0.472222222222222</v>
      </c>
      <c r="B31" s="91" t="s">
        <v>72</v>
      </c>
      <c r="C31" s="98" t="n">
        <f aca="false">SUM(D30)</f>
        <v>4525140</v>
      </c>
      <c r="D31" s="108" t="n">
        <v>4530790</v>
      </c>
      <c r="E31" s="92" t="n">
        <f aca="false">SUM(D31-C31)</f>
        <v>5650</v>
      </c>
      <c r="F31" s="109" t="n">
        <f aca="false">SUM(D31-C31)</f>
        <v>5650</v>
      </c>
      <c r="G31" s="41" t="n">
        <v>0.8256</v>
      </c>
      <c r="H31" s="94" t="n">
        <f aca="false">SUM(G31*F31)</f>
        <v>4664.64</v>
      </c>
      <c r="I31" s="29" t="n">
        <v>57</v>
      </c>
      <c r="J31" s="1" t="n">
        <v>6364</v>
      </c>
      <c r="K31" s="112" t="s">
        <v>56</v>
      </c>
      <c r="L31" s="96"/>
      <c r="M31" s="97"/>
      <c r="N31" s="98" t="n">
        <f aca="false">SUM(O30)</f>
        <v>0</v>
      </c>
      <c r="O31" s="99"/>
      <c r="P31" s="109" t="n">
        <f aca="false">SUM(O31-N31)</f>
        <v>0</v>
      </c>
      <c r="Q31" s="101"/>
      <c r="R31" s="94" t="n">
        <f aca="false">SUM(Q31*P31)</f>
        <v>0</v>
      </c>
      <c r="S31" s="1"/>
    </row>
    <row r="32" customFormat="false" ht="15" hidden="false" customHeight="false" outlineLevel="0" collapsed="false">
      <c r="A32" s="90" t="n">
        <v>0.482638888888889</v>
      </c>
      <c r="B32" s="91" t="s">
        <v>90</v>
      </c>
      <c r="C32" s="98" t="n">
        <f aca="false">SUM(D31)</f>
        <v>4530790</v>
      </c>
      <c r="D32" s="108" t="n">
        <v>4540770</v>
      </c>
      <c r="E32" s="92" t="n">
        <f aca="false">SUM(D32-C32)</f>
        <v>9980</v>
      </c>
      <c r="F32" s="107" t="n">
        <v>9986</v>
      </c>
      <c r="G32" s="41" t="n">
        <v>0.8221</v>
      </c>
      <c r="H32" s="94" t="n">
        <f aca="false">SUM(G32*F32)</f>
        <v>8209.4906</v>
      </c>
      <c r="I32" s="29" t="n">
        <v>251</v>
      </c>
      <c r="J32" s="1" t="n">
        <v>6365</v>
      </c>
      <c r="K32" s="119" t="s">
        <v>60</v>
      </c>
      <c r="L32" s="96"/>
      <c r="M32" s="97"/>
      <c r="N32" s="98" t="n">
        <f aca="false">SUM(O31)</f>
        <v>0</v>
      </c>
      <c r="O32" s="99"/>
      <c r="P32" s="109" t="n">
        <f aca="false">SUM(O32-N32)</f>
        <v>0</v>
      </c>
      <c r="Q32" s="101"/>
      <c r="R32" s="94" t="n">
        <f aca="false">SUM(Q32*P32)</f>
        <v>0</v>
      </c>
      <c r="S32" s="1"/>
    </row>
    <row r="33" customFormat="false" ht="15" hidden="false" customHeight="false" outlineLevel="0" collapsed="false">
      <c r="A33" s="90" t="n">
        <v>0.482638888888889</v>
      </c>
      <c r="B33" s="91" t="s">
        <v>90</v>
      </c>
      <c r="C33" s="98" t="n">
        <f aca="false">SUM(D32)</f>
        <v>4540770</v>
      </c>
      <c r="D33" s="108" t="n">
        <v>4547810</v>
      </c>
      <c r="E33" s="92" t="n">
        <f aca="false">SUM(D33-C33)</f>
        <v>7040</v>
      </c>
      <c r="F33" s="107" t="n">
        <v>7033</v>
      </c>
      <c r="G33" s="41" t="n">
        <v>0.8221</v>
      </c>
      <c r="H33" s="94" t="n">
        <f aca="false">SUM(G33*F33)</f>
        <v>5781.8293</v>
      </c>
      <c r="I33" s="29" t="n">
        <v>251</v>
      </c>
      <c r="J33" s="1" t="n">
        <v>6366</v>
      </c>
      <c r="K33" s="119" t="s">
        <v>60</v>
      </c>
      <c r="L33" s="96"/>
      <c r="M33" s="97"/>
      <c r="N33" s="98" t="n">
        <f aca="false">SUM(O32)</f>
        <v>0</v>
      </c>
      <c r="O33" s="99"/>
      <c r="P33" s="109" t="n">
        <f aca="false">SUM(O33-N33)</f>
        <v>0</v>
      </c>
      <c r="Q33" s="101"/>
      <c r="R33" s="94" t="n">
        <f aca="false">SUM(Q33*P33)</f>
        <v>0</v>
      </c>
      <c r="S33" s="1"/>
    </row>
    <row r="34" customFormat="false" ht="15" hidden="false" customHeight="false" outlineLevel="0" collapsed="false">
      <c r="A34" s="90" t="n">
        <v>0.569444444444444</v>
      </c>
      <c r="B34" s="91" t="s">
        <v>90</v>
      </c>
      <c r="C34" s="98" t="n">
        <f aca="false">SUM(D33)</f>
        <v>4547810</v>
      </c>
      <c r="D34" s="108" t="n">
        <v>4554890</v>
      </c>
      <c r="E34" s="92" t="n">
        <f aca="false">SUM(D34-C34)</f>
        <v>7080</v>
      </c>
      <c r="F34" s="109" t="n">
        <f aca="false">SUM(D34-C34)</f>
        <v>7080</v>
      </c>
      <c r="G34" s="41" t="n">
        <v>0.8221</v>
      </c>
      <c r="H34" s="94" t="n">
        <f aca="false">SUM(G34*F34)</f>
        <v>5820.468</v>
      </c>
      <c r="I34" s="29" t="n">
        <v>81</v>
      </c>
      <c r="J34" s="1" t="n">
        <v>6370</v>
      </c>
      <c r="K34" s="119" t="s">
        <v>60</v>
      </c>
      <c r="L34" s="113"/>
      <c r="M34" s="114"/>
      <c r="N34" s="114"/>
      <c r="O34" s="115"/>
      <c r="P34" s="116"/>
      <c r="Q34" s="117"/>
      <c r="R34" s="62"/>
      <c r="S34" s="62"/>
    </row>
    <row r="35" customFormat="false" ht="15" hidden="false" customHeight="false" outlineLevel="0" collapsed="false">
      <c r="A35" s="90" t="n">
        <v>0.576388888888889</v>
      </c>
      <c r="B35" s="91" t="s">
        <v>90</v>
      </c>
      <c r="C35" s="98" t="n">
        <f aca="false">SUM(D34)</f>
        <v>4554890</v>
      </c>
      <c r="D35" s="108" t="n">
        <v>4560760</v>
      </c>
      <c r="E35" s="92" t="n">
        <f aca="false">SUM(D35-C35)</f>
        <v>5870</v>
      </c>
      <c r="F35" s="109" t="n">
        <f aca="false">SUM(D35-C35)</f>
        <v>5870</v>
      </c>
      <c r="G35" s="41" t="n">
        <v>0.8221</v>
      </c>
      <c r="H35" s="94" t="n">
        <f aca="false">SUM(G35*F35)</f>
        <v>4825.727</v>
      </c>
      <c r="I35" s="29" t="n">
        <v>57</v>
      </c>
      <c r="J35" s="29" t="n">
        <v>6371</v>
      </c>
      <c r="K35" s="119" t="s">
        <v>60</v>
      </c>
      <c r="L35" s="118"/>
      <c r="M35" s="118"/>
      <c r="N35" s="118"/>
      <c r="O35" s="118"/>
      <c r="P35" s="118"/>
      <c r="Q35" s="118"/>
      <c r="R35" s="118"/>
      <c r="S35" s="118"/>
    </row>
    <row r="36" customFormat="false" ht="15" hidden="false" customHeight="false" outlineLevel="0" collapsed="false">
      <c r="A36" s="90" t="n">
        <v>0.6875</v>
      </c>
      <c r="B36" s="91" t="s">
        <v>57</v>
      </c>
      <c r="C36" s="98" t="n">
        <f aca="false">SUM(D35)</f>
        <v>4560760</v>
      </c>
      <c r="D36" s="108" t="n">
        <v>4570790</v>
      </c>
      <c r="E36" s="92" t="n">
        <f aca="false">SUM(D36-C36)</f>
        <v>10030</v>
      </c>
      <c r="F36" s="107" t="n">
        <v>9986</v>
      </c>
      <c r="G36" s="41" t="n">
        <v>0.8231</v>
      </c>
      <c r="H36" s="94" t="n">
        <f aca="false">SUM(G36*F36)</f>
        <v>8219.4766</v>
      </c>
      <c r="I36" s="29" t="n">
        <v>251</v>
      </c>
      <c r="J36" s="29" t="n">
        <v>6373</v>
      </c>
      <c r="K36" s="120" t="s">
        <v>91</v>
      </c>
      <c r="L36" s="118"/>
      <c r="M36" s="118"/>
      <c r="N36" s="118"/>
      <c r="O36" s="118"/>
      <c r="P36" s="118"/>
      <c r="Q36" s="118"/>
      <c r="R36" s="118"/>
      <c r="S36" s="118"/>
    </row>
    <row r="37" customFormat="false" ht="15" hidden="false" customHeight="false" outlineLevel="0" collapsed="false">
      <c r="A37" s="90" t="n">
        <v>0.6875</v>
      </c>
      <c r="B37" s="91" t="s">
        <v>57</v>
      </c>
      <c r="C37" s="98" t="n">
        <f aca="false">SUM(D36)</f>
        <v>4570790</v>
      </c>
      <c r="D37" s="108" t="n">
        <v>4577900</v>
      </c>
      <c r="E37" s="92" t="n">
        <f aca="false">SUM(D37-C37)</f>
        <v>7110</v>
      </c>
      <c r="F37" s="107" t="n">
        <v>7033</v>
      </c>
      <c r="G37" s="41" t="n">
        <v>0.8231</v>
      </c>
      <c r="H37" s="94" t="n">
        <f aca="false">SUM(G37*F37)</f>
        <v>5788.8623</v>
      </c>
      <c r="I37" s="29" t="n">
        <v>251</v>
      </c>
      <c r="J37" s="29" t="n">
        <v>6373</v>
      </c>
      <c r="K37" s="120" t="s">
        <v>91</v>
      </c>
      <c r="L37" s="118"/>
      <c r="M37" s="118"/>
      <c r="N37" s="118"/>
      <c r="O37" s="118"/>
      <c r="P37" s="118"/>
      <c r="Q37" s="118"/>
      <c r="R37" s="118"/>
      <c r="S37" s="118"/>
    </row>
    <row r="38" customFormat="false" ht="15" hidden="false" customHeight="false" outlineLevel="0" collapsed="false">
      <c r="A38" s="90" t="n">
        <v>0.854166666666667</v>
      </c>
      <c r="B38" s="91" t="s">
        <v>72</v>
      </c>
      <c r="C38" s="98" t="n">
        <f aca="false">SUM(D37)</f>
        <v>4577900</v>
      </c>
      <c r="D38" s="108" t="n">
        <v>4584990</v>
      </c>
      <c r="E38" s="92" t="n">
        <f aca="false">SUM(D38-C38)</f>
        <v>7090</v>
      </c>
      <c r="F38" s="109" t="n">
        <f aca="false">SUM(D38-C38)</f>
        <v>7090</v>
      </c>
      <c r="G38" s="41" t="n">
        <v>0.8224</v>
      </c>
      <c r="H38" s="94" t="n">
        <f aca="false">SUM(G38*F38)</f>
        <v>5830.816</v>
      </c>
      <c r="I38" s="29" t="n">
        <v>81</v>
      </c>
      <c r="J38" s="29" t="n">
        <v>6378</v>
      </c>
      <c r="K38" s="119" t="s">
        <v>60</v>
      </c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90" t="n">
        <v>0.930555555555555</v>
      </c>
      <c r="B39" s="91" t="s">
        <v>72</v>
      </c>
      <c r="C39" s="98" t="n">
        <f aca="false">SUM(D38)</f>
        <v>4584990</v>
      </c>
      <c r="D39" s="108" t="n">
        <v>4590040</v>
      </c>
      <c r="E39" s="92" t="n">
        <f aca="false">SUM(D39-C39)</f>
        <v>5050</v>
      </c>
      <c r="F39" s="109" t="n">
        <f aca="false">SUM(D39-C39)</f>
        <v>5050</v>
      </c>
      <c r="G39" s="41" t="n">
        <v>0.8209</v>
      </c>
      <c r="H39" s="94" t="n">
        <f aca="false">SUM(G39*F39)</f>
        <v>4145.545</v>
      </c>
      <c r="I39" s="29" t="n">
        <v>57</v>
      </c>
      <c r="J39" s="29" t="n">
        <v>6379</v>
      </c>
      <c r="K39" s="119" t="s">
        <v>60</v>
      </c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0.958333333333333</v>
      </c>
      <c r="B40" s="91" t="s">
        <v>57</v>
      </c>
      <c r="C40" s="98" t="n">
        <f aca="false">SUM(D39)</f>
        <v>4590040</v>
      </c>
      <c r="D40" s="76" t="n">
        <v>4599270</v>
      </c>
      <c r="E40" s="92" t="n">
        <f aca="false">SUM(D40-C40)</f>
        <v>9230</v>
      </c>
      <c r="F40" s="109" t="n">
        <f aca="false">SUM(D40-C40)</f>
        <v>9230</v>
      </c>
      <c r="G40" s="41" t="n">
        <v>0.8215</v>
      </c>
      <c r="H40" s="94" t="n">
        <f aca="false">SUM(G40*F40)</f>
        <v>7582.445</v>
      </c>
      <c r="I40" s="1" t="n">
        <v>119</v>
      </c>
      <c r="J40" s="1" t="n">
        <v>6383</v>
      </c>
      <c r="K40" s="120" t="s">
        <v>91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5" hidden="false" customHeight="false" outlineLevel="0" collapsed="false">
      <c r="A41" s="90" t="n">
        <v>0.0625</v>
      </c>
      <c r="B41" s="91" t="s">
        <v>72</v>
      </c>
      <c r="C41" s="98" t="n">
        <f aca="false">SUM(D40)</f>
        <v>4599270</v>
      </c>
      <c r="D41" s="76" t="n">
        <v>4604350</v>
      </c>
      <c r="E41" s="92" t="n">
        <f aca="false">SUM(D41-C41)</f>
        <v>5080</v>
      </c>
      <c r="F41" s="109" t="n">
        <f aca="false">SUM(D41-C41)</f>
        <v>5080</v>
      </c>
      <c r="G41" s="41" t="n">
        <v>0.8214</v>
      </c>
      <c r="H41" s="94" t="n">
        <f aca="false">SUM(G41*F41)</f>
        <v>4172.712</v>
      </c>
      <c r="I41" s="1" t="n">
        <v>57</v>
      </c>
      <c r="J41" s="1" t="n">
        <v>6387</v>
      </c>
      <c r="K41" s="112" t="s">
        <v>56</v>
      </c>
      <c r="L41" s="118"/>
      <c r="M41" s="118"/>
      <c r="N41" s="118"/>
      <c r="O41" s="118"/>
      <c r="P41" s="118"/>
      <c r="Q41" s="118"/>
      <c r="R41" s="118"/>
      <c r="S41" s="118"/>
    </row>
    <row r="42" customFormat="false" ht="15" hidden="false" customHeight="false" outlineLevel="0" collapsed="false">
      <c r="A42" s="90"/>
      <c r="B42" s="91"/>
      <c r="C42" s="98"/>
      <c r="D42" s="76"/>
      <c r="E42" s="92" t="n">
        <f aca="false">SUM(D42-C42)</f>
        <v>0</v>
      </c>
      <c r="F42" s="109" t="n">
        <f aca="false">SUM(D42-C42)</f>
        <v>0</v>
      </c>
      <c r="G42" s="41"/>
      <c r="H42" s="94" t="n">
        <f aca="false">SUM(G42*F42)</f>
        <v>0</v>
      </c>
      <c r="I42" s="1"/>
      <c r="J42" s="1"/>
      <c r="K42" s="120"/>
      <c r="L42" s="118"/>
      <c r="M42" s="118"/>
      <c r="N42" s="118"/>
      <c r="O42" s="118"/>
      <c r="P42" s="118"/>
      <c r="Q42" s="118"/>
      <c r="R42" s="118"/>
      <c r="S42" s="118"/>
    </row>
    <row r="43" customFormat="false" ht="14.25" hidden="false" customHeight="true" outlineLevel="0" collapsed="false">
      <c r="A43" s="90"/>
      <c r="B43" s="91"/>
      <c r="C43" s="98" t="n">
        <f aca="false">SUM(D42)</f>
        <v>0</v>
      </c>
      <c r="D43" s="76"/>
      <c r="E43" s="92" t="n">
        <f aca="false">SUM(D43-C43)</f>
        <v>0</v>
      </c>
      <c r="F43" s="109" t="n">
        <f aca="false">SUM(D43-C43)</f>
        <v>0</v>
      </c>
      <c r="G43" s="41"/>
      <c r="H43" s="94" t="n">
        <f aca="false">SUM(G43*F43)</f>
        <v>0</v>
      </c>
      <c r="I43" s="1"/>
      <c r="J43" s="1"/>
      <c r="K43" s="112"/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true" outlineLevel="0" collapsed="false">
      <c r="A44" s="90"/>
      <c r="B44" s="91"/>
      <c r="C44" s="98" t="n">
        <f aca="false">SUM(D43)</f>
        <v>0</v>
      </c>
      <c r="D44" s="76"/>
      <c r="E44" s="92" t="n">
        <f aca="false">SUM(D44-C44)</f>
        <v>0</v>
      </c>
      <c r="F44" s="109" t="n">
        <f aca="false">SUM(D44-C44)</f>
        <v>0</v>
      </c>
      <c r="G44" s="41"/>
      <c r="H44" s="94" t="n">
        <f aca="false">SUM(G44*F44)</f>
        <v>0</v>
      </c>
      <c r="I44" s="1"/>
      <c r="J44" s="1"/>
      <c r="K44" s="119"/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/>
      <c r="B45" s="91"/>
      <c r="C45" s="98" t="n">
        <f aca="false">SUM(D44)</f>
        <v>0</v>
      </c>
      <c r="D45" s="76"/>
      <c r="E45" s="92" t="n">
        <f aca="false">SUM(D45-C45)</f>
        <v>0</v>
      </c>
      <c r="F45" s="109" t="n">
        <f aca="false">SUM(D45-C45)</f>
        <v>0</v>
      </c>
      <c r="G45" s="41"/>
      <c r="H45" s="94" t="n">
        <f aca="false">SUM(G45*F45)</f>
        <v>0</v>
      </c>
      <c r="I45" s="1"/>
      <c r="J45" s="1"/>
      <c r="K45" s="112"/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/>
      <c r="B46" s="91"/>
      <c r="C46" s="98" t="n">
        <f aca="false">SUM(D45)</f>
        <v>0</v>
      </c>
      <c r="D46" s="76"/>
      <c r="E46" s="92" t="n">
        <f aca="false">SUM(D46-C46)</f>
        <v>0</v>
      </c>
      <c r="F46" s="109" t="n">
        <f aca="false">SUM(D46-C46)</f>
        <v>0</v>
      </c>
      <c r="G46" s="41"/>
      <c r="H46" s="94" t="n">
        <f aca="false">SUM(G46*F46)</f>
        <v>0</v>
      </c>
      <c r="I46" s="1"/>
      <c r="J46" s="1"/>
      <c r="K46" s="119"/>
      <c r="L46" s="118"/>
      <c r="M46" s="118"/>
      <c r="N46" s="118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191"/>
      <c r="B47" s="82" t="s">
        <v>92</v>
      </c>
      <c r="C47" s="192" t="n">
        <f aca="false">SUM(D46)</f>
        <v>0</v>
      </c>
      <c r="D47" s="192"/>
      <c r="E47" s="193" t="n">
        <f aca="false">SUM(D47-C47)</f>
        <v>0</v>
      </c>
      <c r="F47" s="193" t="n">
        <f aca="false">SUM(D47-C47)</f>
        <v>0</v>
      </c>
      <c r="G47" s="194"/>
      <c r="H47" s="195" t="n">
        <f aca="false">SUM(G47*F47)</f>
        <v>0</v>
      </c>
      <c r="I47" s="58"/>
      <c r="J47" s="58"/>
      <c r="K47" s="119"/>
      <c r="L47" s="118"/>
      <c r="M47" s="118"/>
      <c r="N47" s="118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0.9375</v>
      </c>
      <c r="B48" s="91" t="s">
        <v>57</v>
      </c>
      <c r="C48" s="98" t="n">
        <v>335750</v>
      </c>
      <c r="D48" s="76" t="n">
        <v>352790</v>
      </c>
      <c r="E48" s="92" t="n">
        <f aca="false">SUM(D48-C48)</f>
        <v>17040</v>
      </c>
      <c r="F48" s="107" t="n">
        <v>17019</v>
      </c>
      <c r="G48" s="41" t="n">
        <v>0.8204</v>
      </c>
      <c r="H48" s="94" t="n">
        <f aca="false">SUM(G48*F48)</f>
        <v>13962.3876</v>
      </c>
      <c r="I48" s="1" t="n">
        <v>251</v>
      </c>
      <c r="J48" s="1" t="n">
        <v>6380</v>
      </c>
      <c r="K48" s="120" t="s">
        <v>91</v>
      </c>
      <c r="L48" s="118"/>
      <c r="M48" s="118"/>
      <c r="N48" s="95"/>
      <c r="O48" s="118"/>
      <c r="P48" s="118"/>
      <c r="Q48" s="118"/>
      <c r="R48" s="118"/>
      <c r="S48" s="118"/>
    </row>
    <row r="49" customFormat="false" ht="15" hidden="false" customHeight="false" outlineLevel="0" collapsed="false">
      <c r="A49" s="90" t="n">
        <v>0.208333333333333</v>
      </c>
      <c r="B49" s="91" t="s">
        <v>57</v>
      </c>
      <c r="C49" s="98" t="n">
        <f aca="false">SUM(D48)</f>
        <v>352790</v>
      </c>
      <c r="D49" s="76" t="n">
        <v>369830</v>
      </c>
      <c r="E49" s="92" t="n">
        <f aca="false">SUM(D49-C49)</f>
        <v>17040</v>
      </c>
      <c r="F49" s="107" t="n">
        <v>17019</v>
      </c>
      <c r="G49" s="41" t="n">
        <v>0.8219</v>
      </c>
      <c r="H49" s="94" t="n">
        <f aca="false">SUM(G49*F49)</f>
        <v>13987.9161</v>
      </c>
      <c r="I49" s="1" t="n">
        <v>251</v>
      </c>
      <c r="J49" s="1" t="n">
        <v>6389</v>
      </c>
      <c r="K49" s="120" t="s">
        <v>91</v>
      </c>
      <c r="L49" s="118"/>
      <c r="M49" s="118"/>
      <c r="N49" s="95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0.309027777777778</v>
      </c>
      <c r="B50" s="91" t="s">
        <v>62</v>
      </c>
      <c r="C50" s="98" t="n">
        <f aca="false">SUM(D49)</f>
        <v>369830</v>
      </c>
      <c r="D50" s="76" t="n">
        <v>386860</v>
      </c>
      <c r="E50" s="92" t="n">
        <f aca="false">SUM(D50-C50)</f>
        <v>17030</v>
      </c>
      <c r="F50" s="107" t="n">
        <v>17019</v>
      </c>
      <c r="G50" s="41" t="n">
        <v>0.8252</v>
      </c>
      <c r="H50" s="94" t="n">
        <f aca="false">SUM(G50*F50)</f>
        <v>14044.0788</v>
      </c>
      <c r="I50" s="1" t="n">
        <v>251</v>
      </c>
      <c r="J50" s="1" t="n">
        <v>6393</v>
      </c>
      <c r="K50" s="120" t="s">
        <v>91</v>
      </c>
      <c r="L50" s="118"/>
      <c r="M50" s="118"/>
      <c r="N50" s="95"/>
      <c r="O50" s="118"/>
      <c r="P50" s="118"/>
      <c r="Q50" s="118"/>
      <c r="R50" s="118"/>
      <c r="S50" s="118"/>
    </row>
    <row r="51" customFormat="false" ht="15" hidden="false" customHeight="true" outlineLevel="0" collapsed="false">
      <c r="A51" s="90" t="n">
        <v>0.354166666666667</v>
      </c>
      <c r="B51" s="91" t="s">
        <v>72</v>
      </c>
      <c r="C51" s="98" t="n">
        <f aca="false">SUM(D50)</f>
        <v>386860</v>
      </c>
      <c r="D51" s="76" t="n">
        <v>403910</v>
      </c>
      <c r="E51" s="92" t="n">
        <f aca="false">SUM(D51-C51)</f>
        <v>17050</v>
      </c>
      <c r="F51" s="107" t="n">
        <v>17019</v>
      </c>
      <c r="G51" s="41" t="n">
        <v>0.8231</v>
      </c>
      <c r="H51" s="94" t="n">
        <f aca="false">SUM(G51*F51)</f>
        <v>14008.3389</v>
      </c>
      <c r="I51" s="1" t="n">
        <v>251</v>
      </c>
      <c r="J51" s="1" t="n">
        <v>6394</v>
      </c>
      <c r="K51" s="112" t="s">
        <v>56</v>
      </c>
      <c r="L51" s="118"/>
      <c r="M51" s="118"/>
      <c r="N51" s="95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/>
      <c r="B52" s="91"/>
      <c r="C52" s="98"/>
      <c r="D52" s="76"/>
      <c r="E52" s="92" t="n">
        <f aca="false">SUM(D52-C52)</f>
        <v>0</v>
      </c>
      <c r="F52" s="109" t="n">
        <f aca="false">SUM(D52-C52)</f>
        <v>0</v>
      </c>
      <c r="G52" s="41"/>
      <c r="H52" s="94" t="n">
        <f aca="false">SUM(G52*F52)</f>
        <v>0</v>
      </c>
      <c r="I52" s="1"/>
      <c r="J52" s="1"/>
      <c r="K52" s="119"/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/>
      <c r="B53" s="91"/>
      <c r="C53" s="98" t="n">
        <f aca="false">SUM(D52)</f>
        <v>0</v>
      </c>
      <c r="D53" s="108"/>
      <c r="E53" s="92" t="n">
        <f aca="false">SUM(D53-C53)</f>
        <v>0</v>
      </c>
      <c r="F53" s="109" t="n">
        <f aca="false">SUM(D53-C53)</f>
        <v>0</v>
      </c>
      <c r="G53" s="41"/>
      <c r="H53" s="94" t="n">
        <f aca="false">SUM(G53*F53)</f>
        <v>0</v>
      </c>
      <c r="I53" s="1"/>
      <c r="J53" s="29"/>
      <c r="K53" s="119"/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/>
      <c r="B54" s="91"/>
      <c r="C54" s="98" t="n">
        <f aca="false">SUM(D53)</f>
        <v>0</v>
      </c>
      <c r="D54" s="108"/>
      <c r="E54" s="92" t="n">
        <f aca="false">SUM(D54-C54)</f>
        <v>0</v>
      </c>
      <c r="F54" s="109" t="n">
        <f aca="false">SUM(D54-C54)</f>
        <v>0</v>
      </c>
      <c r="G54" s="41"/>
      <c r="H54" s="94" t="n">
        <f aca="false">SUM(G54*F54)</f>
        <v>0</v>
      </c>
      <c r="I54" s="1"/>
      <c r="J54" s="29"/>
      <c r="K54" s="120"/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/>
      <c r="B55" s="91"/>
      <c r="C55" s="98" t="n">
        <f aca="false">SUM(D54)</f>
        <v>0</v>
      </c>
      <c r="D55" s="108"/>
      <c r="E55" s="92" t="n">
        <f aca="false">SUM(D55-C55)</f>
        <v>0</v>
      </c>
      <c r="F55" s="109" t="n">
        <f aca="false">SUM(D55-C55)</f>
        <v>0</v>
      </c>
      <c r="G55" s="41"/>
      <c r="H55" s="94" t="n">
        <f aca="false">SUM(G55*F55)</f>
        <v>0</v>
      </c>
      <c r="I55" s="1"/>
      <c r="J55" s="29"/>
      <c r="K55" s="119"/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/>
      <c r="B56" s="91"/>
      <c r="C56" s="98" t="n">
        <f aca="false">SUM(D55)</f>
        <v>0</v>
      </c>
      <c r="D56" s="76"/>
      <c r="E56" s="92" t="n">
        <f aca="false">SUM(D56-C56)</f>
        <v>0</v>
      </c>
      <c r="F56" s="109" t="n">
        <f aca="false">SUM(D56-C56)</f>
        <v>0</v>
      </c>
      <c r="G56" s="41"/>
      <c r="H56" s="94" t="n">
        <f aca="false">SUM(G56*F56)</f>
        <v>0</v>
      </c>
      <c r="I56" s="1"/>
      <c r="J56" s="29"/>
      <c r="K56" s="111"/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A57" s="90"/>
      <c r="B57" s="91"/>
      <c r="C57" s="98" t="n">
        <f aca="false">SUM(D56)</f>
        <v>0</v>
      </c>
      <c r="D57" s="76"/>
      <c r="E57" s="92" t="n">
        <f aca="false">SUM(D57-C57)</f>
        <v>0</v>
      </c>
      <c r="F57" s="109" t="n">
        <f aca="false">SUM(F28:F56)</f>
        <v>175504</v>
      </c>
      <c r="G57" s="41"/>
      <c r="H57" s="94" t="n">
        <f aca="false">SUM(H28:H56)</f>
        <v>144375.5582</v>
      </c>
      <c r="I57" s="1"/>
      <c r="J57" s="29"/>
      <c r="K57" s="111"/>
      <c r="L57" s="118"/>
      <c r="M57" s="118"/>
      <c r="N57" s="118"/>
      <c r="O57" s="118"/>
      <c r="P57" s="118"/>
      <c r="Q57" s="118"/>
      <c r="R57" s="118"/>
      <c r="S57" s="118"/>
    </row>
    <row r="58" customFormat="false" ht="15" hidden="false" customHeight="false" outlineLevel="0" collapsed="false">
      <c r="K58" s="111"/>
      <c r="L58" s="118"/>
      <c r="M58" s="118"/>
      <c r="N58" s="118"/>
      <c r="O58" s="118"/>
      <c r="P58" s="118"/>
      <c r="Q58" s="118"/>
      <c r="R58" s="118"/>
      <c r="S58" s="118"/>
    </row>
    <row r="59" customFormat="false" ht="15" hidden="false" customHeight="false" outlineLevel="0" collapsed="false">
      <c r="F59" s="98" t="n">
        <f aca="false">SUM(F26+F57)</f>
        <v>491361</v>
      </c>
      <c r="G59" s="41"/>
      <c r="H59" s="94" t="n">
        <f aca="false">SUM(H26+H57)</f>
        <v>406918.091</v>
      </c>
      <c r="K59" s="111"/>
      <c r="L59" s="118"/>
      <c r="M59" s="118"/>
      <c r="N59" s="118"/>
      <c r="O59" s="118"/>
      <c r="P59" s="118"/>
      <c r="Q59" s="118"/>
      <c r="R59" s="118"/>
      <c r="S59" s="118"/>
    </row>
    <row r="60" customFormat="false" ht="15" hidden="false" customHeight="false" outlineLevel="0" collapsed="false">
      <c r="E60" s="118"/>
      <c r="K60" s="111"/>
      <c r="L60" s="118"/>
      <c r="M60" s="118"/>
      <c r="N60" s="118"/>
      <c r="O60" s="118"/>
      <c r="P60" s="118"/>
      <c r="Q60" s="118"/>
      <c r="R60" s="118"/>
      <c r="S60" s="118"/>
    </row>
    <row r="61" customFormat="false" ht="15" hidden="false" customHeight="false" outlineLevel="0" collapsed="false">
      <c r="E61" s="118"/>
      <c r="K61" s="118"/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E62" s="118"/>
      <c r="K62" s="118"/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E63" s="118"/>
      <c r="K63" s="121"/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E64" s="118"/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E65" s="118"/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false" customHeight="false" outlineLevel="0" collapsed="false">
      <c r="E66" s="118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false" customHeight="false" outlineLevel="0" collapsed="false">
      <c r="E67" s="118"/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E68" s="118"/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false" customHeight="false" outlineLevel="0" collapsed="false">
      <c r="E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false" customHeight="false" outlineLevel="0" collapsed="false">
      <c r="E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false" customHeight="false" outlineLevel="0" collapsed="false">
      <c r="E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false" customHeight="false" outlineLevel="0" collapsed="false">
      <c r="E72" s="118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fals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fals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fals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fals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fals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tru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tru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tru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tru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true" customHeight="false" outlineLevel="0" collapsed="false">
      <c r="E87" s="118"/>
      <c r="L87" s="118"/>
      <c r="M87" s="118"/>
      <c r="N87" s="118"/>
      <c r="O87" s="118"/>
      <c r="P87" s="118"/>
      <c r="Q87" s="118"/>
      <c r="R87" s="118"/>
      <c r="S87" s="118"/>
    </row>
    <row r="88" customFormat="false" ht="15" hidden="false" customHeight="false" outlineLevel="0" collapsed="false">
      <c r="E88" s="118"/>
      <c r="L88" s="118"/>
      <c r="M88" s="118"/>
      <c r="N88" s="118"/>
      <c r="O88" s="118"/>
      <c r="P88" s="118"/>
      <c r="Q88" s="118"/>
      <c r="R88" s="118"/>
      <c r="S88" s="118"/>
    </row>
    <row r="89" customFormat="false" ht="15" hidden="false" customHeight="false" outlineLevel="0" collapsed="false">
      <c r="E89" s="118"/>
      <c r="L89" s="118"/>
      <c r="M89" s="118"/>
      <c r="N89" s="118"/>
      <c r="O89" s="118"/>
      <c r="P89" s="118"/>
      <c r="Q89" s="118"/>
      <c r="R89" s="118"/>
      <c r="S89" s="118"/>
    </row>
    <row r="90" customFormat="false" ht="15" hidden="false" customHeight="false" outlineLevel="0" collapsed="false">
      <c r="E90" s="118"/>
      <c r="L90" s="118"/>
      <c r="M90" s="118"/>
      <c r="N90" s="118"/>
      <c r="O90" s="118"/>
      <c r="P90" s="118"/>
      <c r="Q90" s="118"/>
      <c r="R90" s="118"/>
      <c r="S90" s="118"/>
    </row>
    <row r="91" customFormat="false" ht="15" hidden="false" customHeight="false" outlineLevel="0" collapsed="false">
      <c r="E91" s="118"/>
    </row>
    <row r="92" customFormat="false" ht="15" hidden="false" customHeight="false" outlineLevel="0" collapsed="false">
      <c r="E92" s="118"/>
    </row>
    <row r="93" customFormat="false" ht="15" hidden="false" customHeight="false" outlineLevel="0" collapsed="false">
      <c r="E93" s="118"/>
    </row>
    <row r="94" customFormat="false" ht="15" hidden="false" customHeight="false" outlineLevel="0" collapsed="false">
      <c r="E94" s="118"/>
    </row>
    <row r="95" customFormat="false" ht="15" hidden="false" customHeight="false" outlineLevel="0" collapsed="false">
      <c r="E95" s="118"/>
    </row>
    <row r="96" customFormat="false" ht="15" hidden="false" customHeight="false" outlineLevel="0" collapsed="false">
      <c r="E96" s="118"/>
    </row>
    <row r="97" customFormat="false" ht="15" hidden="false" customHeight="false" outlineLevel="0" collapsed="false">
      <c r="E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27"/>
  <sheetViews>
    <sheetView showFormulas="false" showGridLines="true" showRowColHeaders="true" showZeros="true" rightToLeft="false" tabSelected="false" showOutlineSymbols="true" defaultGridColor="true" view="normal" topLeftCell="A13" colorId="64" zoomScale="60" zoomScaleNormal="60" zoomScalePageLayoutView="100" workbookViewId="0">
      <selection pane="topLeft" activeCell="K54" activeCellId="0" sqref="K54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6.57"/>
    <col collapsed="false" customWidth="true" hidden="false" outlineLevel="0" max="12" min="12" style="71" width="12.14"/>
    <col collapsed="false" customWidth="true" hidden="false" outlineLevel="0" max="13" min="13" style="71" width="12.43"/>
    <col collapsed="false" customWidth="true" hidden="false" outlineLevel="0" max="14" min="14" style="71" width="18.43"/>
    <col collapsed="false" customWidth="true" hidden="false" outlineLevel="0" max="15" min="15" style="71" width="17.85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45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" hidden="false" customHeight="false" outlineLevel="0" collapsed="false">
      <c r="A2" s="82"/>
      <c r="B2" s="82" t="s">
        <v>36</v>
      </c>
      <c r="C2" s="83"/>
      <c r="D2" s="83"/>
      <c r="E2" s="83"/>
      <c r="F2" s="83"/>
      <c r="G2" s="84"/>
      <c r="H2" s="85"/>
      <c r="I2" s="86"/>
      <c r="J2" s="87" t="s">
        <v>18</v>
      </c>
      <c r="K2" s="88"/>
      <c r="L2" s="89"/>
      <c r="M2" s="82" t="s">
        <v>37</v>
      </c>
      <c r="N2" s="83"/>
      <c r="O2" s="83"/>
      <c r="P2" s="83"/>
      <c r="Q2" s="84"/>
      <c r="R2" s="85"/>
      <c r="S2" s="86"/>
    </row>
    <row r="3" customFormat="false" ht="15" hidden="false" customHeight="false" outlineLevel="0" collapsed="false">
      <c r="A3" s="90" t="n">
        <v>0.444444444444444</v>
      </c>
      <c r="B3" s="144" t="s">
        <v>38</v>
      </c>
      <c r="C3" s="76" t="n">
        <v>49184410</v>
      </c>
      <c r="D3" s="76" t="n">
        <v>49193030</v>
      </c>
      <c r="E3" s="92" t="n">
        <f aca="false">SUM(D3-C3)</f>
        <v>8620</v>
      </c>
      <c r="F3" s="109" t="n">
        <f aca="false">SUM(D3-C3)</f>
        <v>8620</v>
      </c>
      <c r="G3" s="41" t="n">
        <v>0.833</v>
      </c>
      <c r="H3" s="145" t="n">
        <f aca="false">SUM(G3*F3)</f>
        <v>7180.46</v>
      </c>
      <c r="I3" s="29" t="n">
        <v>237</v>
      </c>
      <c r="J3" s="29" t="n">
        <v>6398</v>
      </c>
      <c r="K3" s="95"/>
      <c r="L3" s="96" t="n">
        <v>0.5</v>
      </c>
      <c r="M3" s="97" t="s">
        <v>38</v>
      </c>
      <c r="N3" s="99" t="n">
        <v>7622080</v>
      </c>
      <c r="O3" s="99" t="n">
        <v>7622180</v>
      </c>
      <c r="P3" s="100" t="n">
        <f aca="false">SUM(O3-N3)</f>
        <v>100</v>
      </c>
      <c r="Q3" s="101" t="n">
        <v>0.8326</v>
      </c>
      <c r="R3" s="102" t="n">
        <f aca="false">SUM(Q3*P3)</f>
        <v>83.26</v>
      </c>
      <c r="S3" s="103" t="s">
        <v>42</v>
      </c>
      <c r="V3" s="0" t="s">
        <v>41</v>
      </c>
    </row>
    <row r="4" customFormat="false" ht="15" hidden="false" customHeight="false" outlineLevel="0" collapsed="false">
      <c r="A4" s="90" t="n">
        <v>0.458333333333333</v>
      </c>
      <c r="B4" s="139" t="s">
        <v>46</v>
      </c>
      <c r="C4" s="98" t="n">
        <f aca="false">SUM(D3)</f>
        <v>49193030</v>
      </c>
      <c r="D4" s="76" t="n">
        <v>49199810</v>
      </c>
      <c r="E4" s="92" t="n">
        <f aca="false">SUM(D4-C4)</f>
        <v>6780</v>
      </c>
      <c r="F4" s="109" t="n">
        <f aca="false">SUM(D4-C4)</f>
        <v>6780</v>
      </c>
      <c r="G4" s="41" t="n">
        <v>0.8328</v>
      </c>
      <c r="H4" s="140" t="n">
        <f aca="false">SUM(G4*F4)</f>
        <v>5646.384</v>
      </c>
      <c r="I4" s="29" t="n">
        <v>248</v>
      </c>
      <c r="J4" s="29" t="n">
        <v>6399</v>
      </c>
      <c r="K4" s="95"/>
      <c r="L4" s="96" t="n">
        <v>0.972222222222222</v>
      </c>
      <c r="M4" s="105" t="s">
        <v>46</v>
      </c>
      <c r="N4" s="100" t="n">
        <f aca="false">SUM(O3)</f>
        <v>7622180</v>
      </c>
      <c r="O4" s="99" t="n">
        <v>7622250</v>
      </c>
      <c r="P4" s="100" t="n">
        <f aca="false">SUM(O4-N4)</f>
        <v>70</v>
      </c>
      <c r="Q4" s="106" t="n">
        <v>0.8423</v>
      </c>
      <c r="R4" s="102" t="n">
        <f aca="false">SUM(Q4*P4)</f>
        <v>58.961</v>
      </c>
      <c r="S4" s="103" t="s">
        <v>93</v>
      </c>
    </row>
    <row r="5" customFormat="false" ht="15" hidden="false" customHeight="false" outlineLevel="0" collapsed="false">
      <c r="A5" s="90" t="n">
        <v>0.59375</v>
      </c>
      <c r="B5" s="91" t="s">
        <v>46</v>
      </c>
      <c r="C5" s="98" t="n">
        <f aca="false">SUM(D4)</f>
        <v>49199810</v>
      </c>
      <c r="D5" s="76" t="n">
        <v>49222240</v>
      </c>
      <c r="E5" s="92" t="n">
        <f aca="false">SUM(D5-C5)</f>
        <v>22430</v>
      </c>
      <c r="F5" s="123" t="n">
        <v>22430</v>
      </c>
      <c r="G5" s="41" t="n">
        <v>0.832</v>
      </c>
      <c r="H5" s="140" t="n">
        <f aca="false">SUM(G5*F5)</f>
        <v>18661.76</v>
      </c>
      <c r="I5" s="29" t="n">
        <v>388</v>
      </c>
      <c r="J5" s="1" t="n">
        <v>6404</v>
      </c>
      <c r="K5" s="95"/>
      <c r="L5" s="96" t="n">
        <v>0.0555555555555556</v>
      </c>
      <c r="M5" s="105" t="s">
        <v>46</v>
      </c>
      <c r="N5" s="100" t="n">
        <f aca="false">SUM(O4)</f>
        <v>7622250</v>
      </c>
      <c r="O5" s="99" t="n">
        <v>7622400</v>
      </c>
      <c r="P5" s="100" t="n">
        <f aca="false">SUM(O5-N5)</f>
        <v>150</v>
      </c>
      <c r="Q5" s="101" t="n">
        <v>0.829</v>
      </c>
      <c r="R5" s="102" t="n">
        <f aca="false">SUM(Q5*P5)</f>
        <v>124.35</v>
      </c>
      <c r="S5" s="103" t="s">
        <v>67</v>
      </c>
    </row>
    <row r="6" customFormat="false" ht="15" hidden="false" customHeight="false" outlineLevel="0" collapsed="false">
      <c r="A6" s="90" t="n">
        <v>0.663194444444444</v>
      </c>
      <c r="B6" s="91" t="s">
        <v>46</v>
      </c>
      <c r="C6" s="98" t="n">
        <f aca="false">SUM(D5)</f>
        <v>49222240</v>
      </c>
      <c r="D6" s="76" t="n">
        <v>49244660</v>
      </c>
      <c r="E6" s="92" t="n">
        <f aca="false">SUM(D6-C6)</f>
        <v>22420</v>
      </c>
      <c r="F6" s="123" t="n">
        <v>22430</v>
      </c>
      <c r="G6" s="41" t="n">
        <v>0.832</v>
      </c>
      <c r="H6" s="140" t="n">
        <f aca="false">SUM(G6*F6)</f>
        <v>18661.76</v>
      </c>
      <c r="I6" s="29" t="n">
        <v>388</v>
      </c>
      <c r="J6" s="1" t="n">
        <v>6406</v>
      </c>
      <c r="K6" s="95"/>
      <c r="L6" s="96"/>
      <c r="M6" s="105"/>
      <c r="N6" s="100" t="n">
        <v>0</v>
      </c>
      <c r="O6" s="99"/>
      <c r="P6" s="100" t="n">
        <f aca="false">SUM(O6-N6)</f>
        <v>0</v>
      </c>
      <c r="Q6" s="41"/>
      <c r="R6" s="102" t="n">
        <f aca="false">SUM(Q6*P6)</f>
        <v>0</v>
      </c>
      <c r="S6" s="103"/>
    </row>
    <row r="7" customFormat="false" ht="15" hidden="false" customHeight="false" outlineLevel="0" collapsed="false">
      <c r="A7" s="90" t="n">
        <v>0.708333333333333</v>
      </c>
      <c r="B7" s="91" t="s">
        <v>46</v>
      </c>
      <c r="C7" s="98" t="n">
        <f aca="false">SUM(D6)</f>
        <v>49244660</v>
      </c>
      <c r="D7" s="76" t="n">
        <v>49256140</v>
      </c>
      <c r="E7" s="92" t="n">
        <f aca="false">SUM(D7-C7)</f>
        <v>11480</v>
      </c>
      <c r="F7" s="123" t="n">
        <v>11480</v>
      </c>
      <c r="G7" s="41" t="n">
        <v>0.832</v>
      </c>
      <c r="H7" s="140" t="n">
        <f aca="false">SUM(G7*F7)</f>
        <v>9551.36</v>
      </c>
      <c r="I7" s="29" t="n">
        <v>388</v>
      </c>
      <c r="J7" s="1" t="n">
        <v>6408</v>
      </c>
      <c r="K7" s="95"/>
      <c r="L7" s="96"/>
      <c r="M7" s="105"/>
      <c r="N7" s="100" t="n">
        <f aca="false">SUM(O6)</f>
        <v>0</v>
      </c>
      <c r="O7" s="99"/>
      <c r="P7" s="100" t="n">
        <f aca="false">SUM(O7-N7)</f>
        <v>0</v>
      </c>
      <c r="Q7" s="41"/>
      <c r="R7" s="102" t="n">
        <f aca="false">SUM(Q7*P7)</f>
        <v>0</v>
      </c>
      <c r="S7" s="103"/>
    </row>
    <row r="8" customFormat="false" ht="15" hidden="false" customHeight="false" outlineLevel="0" collapsed="false">
      <c r="A8" s="90" t="n">
        <v>0.708333333333333</v>
      </c>
      <c r="B8" s="122" t="s">
        <v>39</v>
      </c>
      <c r="C8" s="98" t="n">
        <f aca="false">SUM(D7)</f>
        <v>49256140</v>
      </c>
      <c r="D8" s="76" t="n">
        <v>49267080</v>
      </c>
      <c r="E8" s="92" t="n">
        <f aca="false">SUM(D8-C8)</f>
        <v>10940</v>
      </c>
      <c r="F8" s="123" t="n">
        <v>10950</v>
      </c>
      <c r="G8" s="41" t="n">
        <v>0.83</v>
      </c>
      <c r="H8" s="124" t="n">
        <f aca="false">SUM(G8*F8)</f>
        <v>9088.5</v>
      </c>
      <c r="I8" s="29" t="n">
        <v>388</v>
      </c>
      <c r="J8" s="1" t="n">
        <v>6409</v>
      </c>
      <c r="K8" s="95"/>
      <c r="L8" s="96"/>
      <c r="M8" s="97"/>
      <c r="N8" s="100" t="n">
        <f aca="false">SUM(O7)</f>
        <v>0</v>
      </c>
      <c r="O8" s="99"/>
      <c r="P8" s="100" t="n">
        <f aca="false">SUM(O8-N8)</f>
        <v>0</v>
      </c>
      <c r="Q8" s="101"/>
      <c r="R8" s="102" t="n">
        <f aca="false">SUM(Q8*P8)</f>
        <v>0</v>
      </c>
      <c r="S8" s="1"/>
    </row>
    <row r="9" customFormat="false" ht="15" hidden="false" customHeight="false" outlineLevel="0" collapsed="false">
      <c r="A9" s="90" t="n">
        <v>0.75</v>
      </c>
      <c r="B9" s="91" t="s">
        <v>39</v>
      </c>
      <c r="C9" s="98" t="n">
        <f aca="false">SUM(D8)</f>
        <v>49267080</v>
      </c>
      <c r="D9" s="76" t="n">
        <v>49284100</v>
      </c>
      <c r="E9" s="92" t="n">
        <f aca="false">SUM(D9-C9)</f>
        <v>17020</v>
      </c>
      <c r="F9" s="129" t="n">
        <v>17019</v>
      </c>
      <c r="G9" s="41" t="n">
        <v>0.83</v>
      </c>
      <c r="H9" s="124" t="n">
        <f aca="false">SUM(G9*F9)</f>
        <v>14125.77</v>
      </c>
      <c r="I9" s="29" t="n">
        <v>251</v>
      </c>
      <c r="J9" s="1" t="n">
        <v>6410</v>
      </c>
      <c r="K9" s="95"/>
      <c r="L9" s="96"/>
      <c r="M9" s="97"/>
      <c r="N9" s="100" t="n">
        <f aca="false">SUM(O8)</f>
        <v>0</v>
      </c>
      <c r="O9" s="99"/>
      <c r="P9" s="100" t="n">
        <f aca="false">SUM(O9-N9)</f>
        <v>0</v>
      </c>
      <c r="Q9" s="101"/>
      <c r="R9" s="102" t="n">
        <f aca="false">SUM(Q9*P9)</f>
        <v>0</v>
      </c>
      <c r="S9" s="1"/>
    </row>
    <row r="10" customFormat="false" ht="15" hidden="false" customHeight="false" outlineLevel="0" collapsed="false">
      <c r="A10" s="90" t="n">
        <v>0.802083333333333</v>
      </c>
      <c r="B10" s="91" t="s">
        <v>39</v>
      </c>
      <c r="C10" s="98" t="n">
        <f aca="false">SUM(D9)</f>
        <v>49284100</v>
      </c>
      <c r="D10" s="76" t="n">
        <v>49306550</v>
      </c>
      <c r="E10" s="92" t="n">
        <f aca="false">SUM(D10-C10)</f>
        <v>22450</v>
      </c>
      <c r="F10" s="123" t="n">
        <v>22430</v>
      </c>
      <c r="G10" s="41" t="n">
        <v>0.83</v>
      </c>
      <c r="H10" s="124" t="n">
        <f aca="false">SUM(G10*F10)</f>
        <v>18616.9</v>
      </c>
      <c r="I10" s="29" t="n">
        <v>388</v>
      </c>
      <c r="J10" s="1" t="n">
        <v>6411</v>
      </c>
      <c r="K10" s="95"/>
      <c r="L10" s="96"/>
      <c r="M10" s="97"/>
      <c r="N10" s="100" t="n">
        <f aca="false">SUM(O9)</f>
        <v>0</v>
      </c>
      <c r="O10" s="99"/>
      <c r="P10" s="100" t="n">
        <f aca="false">SUM(O10-N10)</f>
        <v>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0.871527777777778</v>
      </c>
      <c r="B11" s="91" t="s">
        <v>39</v>
      </c>
      <c r="C11" s="98" t="n">
        <f aca="false">SUM(D10)</f>
        <v>49306550</v>
      </c>
      <c r="D11" s="76" t="n">
        <v>49315850</v>
      </c>
      <c r="E11" s="92" t="n">
        <f aca="false">SUM(D11-C11)</f>
        <v>9300</v>
      </c>
      <c r="F11" s="109" t="n">
        <f aca="false">SUM(D11-C11)</f>
        <v>9300</v>
      </c>
      <c r="G11" s="41" t="n">
        <v>0.83</v>
      </c>
      <c r="H11" s="124" t="n">
        <f aca="false">SUM(G11*F11)</f>
        <v>7719</v>
      </c>
      <c r="I11" s="29" t="n">
        <v>237</v>
      </c>
      <c r="J11" s="1" t="n">
        <v>6414</v>
      </c>
      <c r="K11" s="95"/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0.944444444444444</v>
      </c>
      <c r="B12" s="91" t="s">
        <v>38</v>
      </c>
      <c r="C12" s="98" t="n">
        <f aca="false">SUM(D11)</f>
        <v>49315850</v>
      </c>
      <c r="D12" s="76" t="n">
        <v>49327330</v>
      </c>
      <c r="E12" s="92" t="n">
        <f aca="false">SUM(D12-C12)</f>
        <v>11480</v>
      </c>
      <c r="F12" s="123" t="n">
        <v>11480</v>
      </c>
      <c r="G12" s="41" t="n">
        <v>0.834</v>
      </c>
      <c r="H12" s="145" t="n">
        <f aca="false">SUM(G12*F12)</f>
        <v>9574.32</v>
      </c>
      <c r="I12" s="29" t="n">
        <v>388</v>
      </c>
      <c r="J12" s="1" t="n">
        <v>6421</v>
      </c>
      <c r="K12" s="95"/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0.993055555555555</v>
      </c>
      <c r="B13" s="91" t="s">
        <v>38</v>
      </c>
      <c r="C13" s="98" t="n">
        <f aca="false">SUM(D12)</f>
        <v>49327330</v>
      </c>
      <c r="D13" s="76" t="n">
        <v>49349750</v>
      </c>
      <c r="E13" s="92" t="n">
        <f aca="false">SUM(D13-C13)</f>
        <v>22420</v>
      </c>
      <c r="F13" s="123" t="n">
        <v>22430</v>
      </c>
      <c r="G13" s="41" t="n">
        <v>0.834</v>
      </c>
      <c r="H13" s="145" t="n">
        <f aca="false">SUM(G13*F13)</f>
        <v>18706.62</v>
      </c>
      <c r="I13" s="29" t="n">
        <v>388</v>
      </c>
      <c r="J13" s="1" t="n">
        <v>6423</v>
      </c>
      <c r="K13" s="95"/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0.170138888888889</v>
      </c>
      <c r="B14" s="91" t="s">
        <v>46</v>
      </c>
      <c r="C14" s="98" t="n">
        <f aca="false">SUM(D13)</f>
        <v>49349750</v>
      </c>
      <c r="D14" s="76" t="n">
        <v>49366770</v>
      </c>
      <c r="E14" s="92" t="n">
        <f aca="false">SUM(D14-C14)</f>
        <v>17020</v>
      </c>
      <c r="F14" s="129" t="n">
        <v>17019</v>
      </c>
      <c r="G14" s="41" t="n">
        <v>0.8315</v>
      </c>
      <c r="H14" s="140" t="n">
        <f aca="false">SUM(G14*F14)</f>
        <v>14151.2985</v>
      </c>
      <c r="I14" s="29" t="n">
        <v>251</v>
      </c>
      <c r="J14" s="1" t="n">
        <v>6426</v>
      </c>
      <c r="K14" s="95"/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0.197916666666667</v>
      </c>
      <c r="B15" s="91" t="s">
        <v>46</v>
      </c>
      <c r="C15" s="98" t="n">
        <f aca="false">SUM(D14)</f>
        <v>49366770</v>
      </c>
      <c r="D15" s="76" t="n">
        <v>49389190</v>
      </c>
      <c r="E15" s="92" t="n">
        <f aca="false">SUM(D15-C15)</f>
        <v>22420</v>
      </c>
      <c r="F15" s="123" t="n">
        <v>22430</v>
      </c>
      <c r="G15" s="41" t="n">
        <v>0.8315</v>
      </c>
      <c r="H15" s="140" t="n">
        <f aca="false">SUM(G15*F15)</f>
        <v>18650.545</v>
      </c>
      <c r="I15" s="29" t="n">
        <v>388</v>
      </c>
      <c r="J15" s="1" t="n">
        <v>6427</v>
      </c>
      <c r="K15" s="95"/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0.260416666666667</v>
      </c>
      <c r="B16" s="91" t="s">
        <v>46</v>
      </c>
      <c r="C16" s="98" t="n">
        <f aca="false">SUM(D15)</f>
        <v>49389190</v>
      </c>
      <c r="D16" s="76" t="n">
        <v>49411610</v>
      </c>
      <c r="E16" s="92" t="n">
        <f aca="false">SUM(D16-C16)</f>
        <v>22420</v>
      </c>
      <c r="F16" s="123" t="n">
        <v>22430</v>
      </c>
      <c r="G16" s="41" t="n">
        <v>0.8315</v>
      </c>
      <c r="H16" s="140" t="n">
        <f aca="false">SUM(G16*F16)</f>
        <v>18650.545</v>
      </c>
      <c r="I16" s="29" t="n">
        <v>388</v>
      </c>
      <c r="J16" s="1" t="n">
        <v>6429</v>
      </c>
      <c r="K16" s="95"/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0.270833333333333</v>
      </c>
      <c r="B17" s="125" t="s">
        <v>54</v>
      </c>
      <c r="C17" s="98" t="n">
        <f aca="false">SUM(D16)</f>
        <v>49411610</v>
      </c>
      <c r="D17" s="76" t="n">
        <v>49428640</v>
      </c>
      <c r="E17" s="92" t="n">
        <f aca="false">SUM(D17-C17)</f>
        <v>17030</v>
      </c>
      <c r="F17" s="129" t="n">
        <v>17019</v>
      </c>
      <c r="G17" s="41" t="n">
        <v>0.8285</v>
      </c>
      <c r="H17" s="126" t="n">
        <v>14101</v>
      </c>
      <c r="I17" s="29" t="n">
        <v>251</v>
      </c>
      <c r="J17" s="1" t="n">
        <v>6430</v>
      </c>
      <c r="K17" s="95"/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0.319444444444444</v>
      </c>
      <c r="B18" s="91" t="s">
        <v>54</v>
      </c>
      <c r="C18" s="98" t="n">
        <f aca="false">SUM(D17)</f>
        <v>49428640</v>
      </c>
      <c r="D18" s="76" t="n">
        <v>49451060</v>
      </c>
      <c r="E18" s="92" t="n">
        <f aca="false">SUM(D18-C18)</f>
        <v>22420</v>
      </c>
      <c r="F18" s="123" t="n">
        <v>22430</v>
      </c>
      <c r="G18" s="41" t="n">
        <v>0.8285</v>
      </c>
      <c r="H18" s="126" t="n">
        <f aca="false">SUM(G18*F18)</f>
        <v>18583.255</v>
      </c>
      <c r="I18" s="29" t="n">
        <v>388</v>
      </c>
      <c r="J18" s="1" t="n">
        <v>6431</v>
      </c>
      <c r="K18" s="95"/>
      <c r="L18" s="96" t="n">
        <v>0.434027777777778</v>
      </c>
      <c r="M18" s="105" t="s">
        <v>72</v>
      </c>
      <c r="N18" s="130" t="n">
        <f aca="false">D40</f>
        <v>1810380</v>
      </c>
      <c r="O18" s="99" t="n">
        <v>1810420</v>
      </c>
      <c r="P18" s="109" t="n">
        <f aca="false">SUM(O18-N18)</f>
        <v>40</v>
      </c>
      <c r="Q18" s="41" t="n">
        <v>0.82344</v>
      </c>
      <c r="R18" s="94" t="n">
        <f aca="false">SUM(Q18*P18)</f>
        <v>32.9376</v>
      </c>
      <c r="S18" s="103" t="s">
        <v>68</v>
      </c>
      <c r="T18" s="0" t="s">
        <v>41</v>
      </c>
    </row>
    <row r="19" customFormat="false" ht="15" hidden="false" customHeight="false" outlineLevel="0" collapsed="false">
      <c r="A19" s="90"/>
      <c r="B19" s="91"/>
      <c r="C19" s="98" t="n">
        <v>0</v>
      </c>
      <c r="D19" s="76"/>
      <c r="E19" s="92" t="n">
        <f aca="false">SUM(D19-C19)</f>
        <v>0</v>
      </c>
      <c r="F19" s="109" t="n">
        <f aca="false">SUM(D19-C19)</f>
        <v>0</v>
      </c>
      <c r="G19" s="41"/>
      <c r="H19" s="94" t="n">
        <f aca="false">SUM(G19*F19)</f>
        <v>0</v>
      </c>
      <c r="I19" s="29"/>
      <c r="J19" s="1"/>
      <c r="K19" s="95"/>
      <c r="L19" s="96"/>
      <c r="M19" s="105"/>
      <c r="N19" s="98" t="n">
        <v>0</v>
      </c>
      <c r="O19" s="99"/>
      <c r="P19" s="109" t="n">
        <f aca="false">SUM(O19-N19)</f>
        <v>0</v>
      </c>
      <c r="Q19" s="41"/>
      <c r="R19" s="94" t="n">
        <f aca="false">SUM(Q19*P19)</f>
        <v>0</v>
      </c>
      <c r="S19" s="103"/>
    </row>
    <row r="20" customFormat="false" ht="15" hidden="false" customHeight="false" outlineLevel="0" collapsed="false">
      <c r="A20" s="90"/>
      <c r="B20" s="91"/>
      <c r="C20" s="98" t="n">
        <f aca="false">SUM(D19)</f>
        <v>0</v>
      </c>
      <c r="D20" s="76"/>
      <c r="E20" s="92" t="n">
        <f aca="false">SUM(D20-C20)</f>
        <v>0</v>
      </c>
      <c r="F20" s="109" t="n">
        <f aca="false">SUM(D20-C20)</f>
        <v>0</v>
      </c>
      <c r="G20" s="41"/>
      <c r="H20" s="94" t="n">
        <f aca="false">SUM(G20*F20)</f>
        <v>0</v>
      </c>
      <c r="I20" s="1"/>
      <c r="J20" s="1"/>
      <c r="K20" s="95"/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/>
      <c r="B21" s="91"/>
      <c r="C21" s="98" t="n">
        <f aca="false">SUM(D20)</f>
        <v>0</v>
      </c>
      <c r="D21" s="76"/>
      <c r="E21" s="92" t="n">
        <f aca="false">SUM(D21-C21)</f>
        <v>0</v>
      </c>
      <c r="F21" s="109" t="n">
        <f aca="false">SUM(D21-C21)</f>
        <v>0</v>
      </c>
      <c r="G21" s="41"/>
      <c r="H21" s="94" t="n">
        <f aca="false">SUM(G21*F21)</f>
        <v>0</v>
      </c>
      <c r="I21" s="1"/>
      <c r="J21" s="1"/>
      <c r="K21" s="95"/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/>
      <c r="B22" s="91"/>
      <c r="C22" s="98" t="n">
        <f aca="false">SUM(D21)</f>
        <v>0</v>
      </c>
      <c r="D22" s="76"/>
      <c r="E22" s="92" t="n">
        <f aca="false">SUM(D22-C22)</f>
        <v>0</v>
      </c>
      <c r="F22" s="109" t="n">
        <f aca="false">SUM(D22-C22)</f>
        <v>0</v>
      </c>
      <c r="G22" s="41"/>
      <c r="H22" s="94" t="n">
        <f aca="false">SUM(G22*F22)</f>
        <v>0</v>
      </c>
      <c r="I22" s="1"/>
      <c r="J22" s="29"/>
      <c r="K22" s="95"/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false" customHeight="false" outlineLevel="0" collapsed="false">
      <c r="A23" s="90"/>
      <c r="B23" s="91"/>
      <c r="C23" s="98" t="n">
        <f aca="false">SUM(D22)</f>
        <v>0</v>
      </c>
      <c r="D23" s="76"/>
      <c r="E23" s="92" t="n">
        <f aca="false">SUM(D23-C23)</f>
        <v>0</v>
      </c>
      <c r="F23" s="109" t="n">
        <f aca="false">SUM(D23-C23)</f>
        <v>0</v>
      </c>
      <c r="G23" s="41"/>
      <c r="H23" s="94" t="n">
        <f aca="false">SUM(G23*F23)</f>
        <v>0</v>
      </c>
      <c r="I23" s="1"/>
      <c r="J23" s="29"/>
      <c r="K23" s="95"/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" hidden="false" customHeight="false" outlineLevel="0" collapsed="false">
      <c r="A24" s="90"/>
      <c r="B24" s="91"/>
      <c r="C24" s="98" t="n">
        <f aca="false">SUM(D23)</f>
        <v>0</v>
      </c>
      <c r="D24" s="76"/>
      <c r="E24" s="92" t="n">
        <f aca="false">SUM(D24-C24)</f>
        <v>0</v>
      </c>
      <c r="F24" s="109" t="n">
        <f aca="false">SUM(D24-C24)</f>
        <v>0</v>
      </c>
      <c r="G24" s="41"/>
      <c r="H24" s="94" t="n">
        <f aca="false">SUM(G24*F24)</f>
        <v>0</v>
      </c>
      <c r="I24" s="1"/>
      <c r="J24" s="29"/>
      <c r="K24" s="95"/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" hidden="true" customHeight="false" outlineLevel="0" collapsed="false">
      <c r="A25" s="90"/>
      <c r="B25" s="91"/>
      <c r="C25" s="98" t="n">
        <f aca="false">SUM(D24)</f>
        <v>0</v>
      </c>
      <c r="D25" s="76"/>
      <c r="E25" s="92" t="n">
        <f aca="false">SUM(D25-C25)</f>
        <v>0</v>
      </c>
      <c r="F25" s="109" t="n">
        <f aca="false">SUM(D25-C25)</f>
        <v>0</v>
      </c>
      <c r="G25" s="41"/>
      <c r="H25" s="94" t="n">
        <f aca="false">SUM(G25*F25)</f>
        <v>0</v>
      </c>
      <c r="I25" s="1"/>
      <c r="J25" s="29"/>
      <c r="K25" s="95"/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" hidden="true" customHeight="false" outlineLevel="0" collapsed="false">
      <c r="A26" s="90"/>
      <c r="B26" s="91"/>
      <c r="C26" s="98" t="n">
        <f aca="false">SUM(D25)</f>
        <v>0</v>
      </c>
      <c r="D26" s="76"/>
      <c r="E26" s="92" t="n">
        <f aca="false">SUM(D26-C26)</f>
        <v>0</v>
      </c>
      <c r="F26" s="109" t="n">
        <f aca="false">SUM(D26-C26)</f>
        <v>0</v>
      </c>
      <c r="G26" s="41"/>
      <c r="H26" s="94" t="n">
        <f aca="false">SUM(G26*F26)</f>
        <v>0</v>
      </c>
      <c r="I26" s="1"/>
      <c r="J26" s="29"/>
      <c r="K26" s="95"/>
      <c r="L26" s="96"/>
      <c r="M26" s="97"/>
      <c r="N26" s="98" t="n">
        <f aca="false">SUM(O25)</f>
        <v>0</v>
      </c>
      <c r="O26" s="99"/>
      <c r="P26" s="109" t="n">
        <f aca="false">SUM(O26-N26)</f>
        <v>0</v>
      </c>
      <c r="Q26" s="101"/>
      <c r="R26" s="94" t="n">
        <f aca="false">SUM(Q26*P26)</f>
        <v>0</v>
      </c>
      <c r="S26" s="103"/>
    </row>
    <row r="27" customFormat="false" ht="15" hidden="true" customHeight="false" outlineLevel="0" collapsed="false">
      <c r="A27" s="90"/>
      <c r="B27" s="91"/>
      <c r="C27" s="98" t="n">
        <f aca="false">SUM(D26)</f>
        <v>0</v>
      </c>
      <c r="D27" s="76"/>
      <c r="E27" s="92" t="n">
        <f aca="false">SUM(D27-C27)</f>
        <v>0</v>
      </c>
      <c r="F27" s="109" t="n">
        <f aca="false">SUM(D27-C27)</f>
        <v>0</v>
      </c>
      <c r="G27" s="41"/>
      <c r="H27" s="94" t="n">
        <f aca="false">SUM(G27*F27)</f>
        <v>0</v>
      </c>
      <c r="I27" s="1"/>
      <c r="J27" s="29"/>
      <c r="K27" s="95"/>
      <c r="L27" s="96"/>
      <c r="M27" s="97"/>
      <c r="N27" s="98" t="n">
        <f aca="false">SUM(O26)</f>
        <v>0</v>
      </c>
      <c r="O27" s="99"/>
      <c r="P27" s="109" t="n">
        <f aca="false">SUM(O27-N27)</f>
        <v>0</v>
      </c>
      <c r="Q27" s="101"/>
      <c r="R27" s="94" t="n">
        <f aca="false">SUM(Q27*P27)</f>
        <v>0</v>
      </c>
      <c r="S27" s="1"/>
    </row>
    <row r="28" customFormat="false" ht="15" hidden="true" customHeight="false" outlineLevel="0" collapsed="false">
      <c r="A28" s="90"/>
      <c r="B28" s="91"/>
      <c r="C28" s="98" t="n">
        <f aca="false">SUM(D27)</f>
        <v>0</v>
      </c>
      <c r="D28" s="76"/>
      <c r="E28" s="92" t="n">
        <f aca="false">SUM(D28-C28)</f>
        <v>0</v>
      </c>
      <c r="F28" s="109" t="n">
        <f aca="false">SUM(D28-C28)</f>
        <v>0</v>
      </c>
      <c r="G28" s="41"/>
      <c r="H28" s="94" t="n">
        <f aca="false">SUM(G28*F28)</f>
        <v>0</v>
      </c>
      <c r="I28" s="1"/>
      <c r="J28" s="29"/>
      <c r="K28" s="95"/>
      <c r="L28" s="96"/>
      <c r="M28" s="97"/>
      <c r="N28" s="98" t="n">
        <f aca="false">SUM(O27)</f>
        <v>0</v>
      </c>
      <c r="O28" s="99"/>
      <c r="P28" s="109" t="n">
        <f aca="false">SUM(O28-N28)</f>
        <v>0</v>
      </c>
      <c r="Q28" s="101"/>
      <c r="R28" s="94" t="n">
        <f aca="false">SUM(Q28*P28)</f>
        <v>0</v>
      </c>
      <c r="S28" s="1"/>
    </row>
    <row r="29" customFormat="false" ht="15" hidden="true" customHeight="false" outlineLevel="0" collapsed="false">
      <c r="A29" s="90"/>
      <c r="B29" s="91"/>
      <c r="C29" s="98" t="n">
        <f aca="false">SUM(D28)</f>
        <v>0</v>
      </c>
      <c r="D29" s="76"/>
      <c r="E29" s="92" t="n">
        <f aca="false">SUM(D29-C29)</f>
        <v>0</v>
      </c>
      <c r="F29" s="109" t="n">
        <f aca="false">SUM(D29-C29)</f>
        <v>0</v>
      </c>
      <c r="G29" s="41"/>
      <c r="H29" s="94" t="n">
        <f aca="false">SUM(G29*F29)</f>
        <v>0</v>
      </c>
      <c r="I29" s="1"/>
      <c r="J29" s="29"/>
      <c r="K29" s="95"/>
      <c r="L29" s="96"/>
      <c r="M29" s="97"/>
      <c r="N29" s="98" t="n">
        <f aca="false">SUM(O28)</f>
        <v>0</v>
      </c>
      <c r="O29" s="99"/>
      <c r="P29" s="109" t="n">
        <f aca="false">SUM(O29-N29)</f>
        <v>0</v>
      </c>
      <c r="Q29" s="101"/>
      <c r="R29" s="94" t="n">
        <f aca="false">SUM(Q29*P29)</f>
        <v>0</v>
      </c>
      <c r="S29" s="1"/>
    </row>
    <row r="30" customFormat="false" ht="15" hidden="true" customHeight="false" outlineLevel="0" collapsed="false">
      <c r="A30" s="90"/>
      <c r="B30" s="91"/>
      <c r="C30" s="98" t="n">
        <f aca="false">SUM(D29)</f>
        <v>0</v>
      </c>
      <c r="D30" s="76"/>
      <c r="E30" s="92" t="n">
        <f aca="false">SUM(D30-C30)</f>
        <v>0</v>
      </c>
      <c r="F30" s="109" t="n">
        <f aca="false">SUM(D30-C30)</f>
        <v>0</v>
      </c>
      <c r="G30" s="41"/>
      <c r="H30" s="94" t="n">
        <f aca="false">SUM(G30*F30)</f>
        <v>0</v>
      </c>
      <c r="I30" s="1"/>
      <c r="J30" s="29"/>
      <c r="K30" s="111"/>
      <c r="L30" s="96"/>
      <c r="M30" s="97"/>
      <c r="N30" s="98" t="n">
        <f aca="false">SUM(O29)</f>
        <v>0</v>
      </c>
      <c r="O30" s="99"/>
      <c r="P30" s="109" t="n">
        <f aca="false">SUM(O30-N30)</f>
        <v>0</v>
      </c>
      <c r="Q30" s="101"/>
      <c r="R30" s="94" t="n">
        <f aca="false">SUM(Q30*P30)</f>
        <v>0</v>
      </c>
      <c r="S30" s="1"/>
    </row>
    <row r="31" customFormat="false" ht="15" hidden="true" customHeight="false" outlineLevel="0" collapsed="false">
      <c r="A31" s="90"/>
      <c r="B31" s="91"/>
      <c r="C31" s="98" t="n">
        <f aca="false">SUM(D30)</f>
        <v>0</v>
      </c>
      <c r="D31" s="76"/>
      <c r="E31" s="92" t="n">
        <f aca="false">SUM(D31-C31)</f>
        <v>0</v>
      </c>
      <c r="F31" s="109" t="n">
        <f aca="false">SUM(D31-C31)</f>
        <v>0</v>
      </c>
      <c r="G31" s="41"/>
      <c r="H31" s="94" t="n">
        <f aca="false">SUM(G31*F31)</f>
        <v>0</v>
      </c>
      <c r="I31" s="1"/>
      <c r="J31" s="29"/>
      <c r="K31" s="95"/>
      <c r="L31" s="96"/>
      <c r="M31" s="97"/>
      <c r="N31" s="98" t="n">
        <f aca="false">SUM(O30)</f>
        <v>0</v>
      </c>
      <c r="O31" s="99"/>
      <c r="P31" s="109" t="n">
        <f aca="false">SUM(O31-N31)</f>
        <v>0</v>
      </c>
      <c r="Q31" s="101"/>
      <c r="R31" s="94" t="n">
        <f aca="false">SUM(Q31*P31)</f>
        <v>0</v>
      </c>
      <c r="S31" s="1"/>
    </row>
    <row r="32" customFormat="false" ht="15" hidden="true" customHeight="false" outlineLevel="0" collapsed="false">
      <c r="A32" s="90"/>
      <c r="B32" s="91"/>
      <c r="C32" s="98" t="n">
        <f aca="false">SUM(D31)</f>
        <v>0</v>
      </c>
      <c r="D32" s="76"/>
      <c r="E32" s="92" t="n">
        <f aca="false">SUM(D32-C32)</f>
        <v>0</v>
      </c>
      <c r="F32" s="109" t="n">
        <f aca="false">SUM(D32-C32)</f>
        <v>0</v>
      </c>
      <c r="G32" s="41"/>
      <c r="H32" s="94" t="n">
        <f aca="false">SUM(G32*F32)</f>
        <v>0</v>
      </c>
      <c r="I32" s="1"/>
      <c r="J32" s="29"/>
      <c r="K32" s="95"/>
      <c r="L32" s="113"/>
      <c r="M32" s="114"/>
      <c r="N32" s="114"/>
      <c r="O32" s="115"/>
      <c r="P32" s="116"/>
      <c r="Q32" s="117"/>
      <c r="R32" s="62"/>
      <c r="S32" s="62"/>
    </row>
    <row r="33" customFormat="false" ht="15" hidden="true" customHeight="false" outlineLevel="0" collapsed="false">
      <c r="A33" s="90"/>
      <c r="B33" s="91"/>
      <c r="C33" s="98" t="n">
        <f aca="false">SUM(D32)</f>
        <v>0</v>
      </c>
      <c r="D33" s="76"/>
      <c r="E33" s="92" t="n">
        <f aca="false">SUM(D33-C33)</f>
        <v>0</v>
      </c>
      <c r="F33" s="109" t="n">
        <f aca="false">SUM(D33-C33)</f>
        <v>0</v>
      </c>
      <c r="G33" s="41"/>
      <c r="H33" s="94" t="n">
        <f aca="false">SUM(G33*F33)</f>
        <v>0</v>
      </c>
      <c r="I33" s="1"/>
      <c r="J33" s="29"/>
      <c r="K33" s="95"/>
      <c r="L33" s="118"/>
      <c r="M33" s="118"/>
      <c r="N33" s="118"/>
      <c r="O33" s="118"/>
      <c r="P33" s="118"/>
      <c r="Q33" s="118"/>
      <c r="R33" s="118"/>
      <c r="S33" s="118"/>
    </row>
    <row r="34" customFormat="false" ht="15" hidden="true" customHeight="false" outlineLevel="0" collapsed="false">
      <c r="A34" s="90"/>
      <c r="B34" s="91"/>
      <c r="C34" s="98" t="n">
        <f aca="false">SUM(D33)</f>
        <v>0</v>
      </c>
      <c r="D34" s="76"/>
      <c r="E34" s="92" t="n">
        <f aca="false">SUM(D34-C34)</f>
        <v>0</v>
      </c>
      <c r="F34" s="109" t="n">
        <f aca="false">SUM(D34-C34)</f>
        <v>0</v>
      </c>
      <c r="G34" s="41"/>
      <c r="H34" s="94" t="n">
        <f aca="false">SUM(G34*F34)</f>
        <v>0</v>
      </c>
      <c r="I34" s="1"/>
      <c r="J34" s="29"/>
      <c r="K34" s="95"/>
      <c r="L34" s="118"/>
      <c r="M34" s="118"/>
      <c r="N34" s="118"/>
      <c r="O34" s="118"/>
      <c r="P34" s="118"/>
      <c r="Q34" s="118"/>
      <c r="R34" s="118"/>
      <c r="S34" s="118"/>
    </row>
    <row r="35" customFormat="false" ht="15" hidden="true" customHeight="false" outlineLevel="0" collapsed="false">
      <c r="A35" s="90"/>
      <c r="B35" s="91"/>
      <c r="C35" s="98" t="n">
        <f aca="false">SUM(D34)</f>
        <v>0</v>
      </c>
      <c r="D35" s="76"/>
      <c r="E35" s="92" t="n">
        <f aca="false">SUM(D35-C35)</f>
        <v>0</v>
      </c>
      <c r="F35" s="109" t="n">
        <f aca="false">SUM(D35-C35)</f>
        <v>0</v>
      </c>
      <c r="G35" s="41"/>
      <c r="H35" s="94" t="n">
        <f aca="false">SUM(G35*F35)</f>
        <v>0</v>
      </c>
      <c r="I35" s="1"/>
      <c r="J35" s="29"/>
      <c r="K35" s="95"/>
      <c r="L35" s="118"/>
      <c r="M35" s="118"/>
      <c r="N35" s="118"/>
      <c r="O35" s="118"/>
      <c r="P35" s="118"/>
      <c r="Q35" s="118"/>
      <c r="R35" s="118"/>
      <c r="S35" s="118"/>
    </row>
    <row r="36" customFormat="false" ht="15" hidden="true" customHeight="false" outlineLevel="0" collapsed="false">
      <c r="A36" s="90"/>
      <c r="B36" s="91"/>
      <c r="C36" s="98" t="n">
        <f aca="false">SUM(D35)</f>
        <v>0</v>
      </c>
      <c r="D36" s="76"/>
      <c r="E36" s="92" t="n">
        <f aca="false">SUM(D36-C36)</f>
        <v>0</v>
      </c>
      <c r="F36" s="109" t="n">
        <f aca="false">SUM(D36-C36)</f>
        <v>0</v>
      </c>
      <c r="G36" s="41"/>
      <c r="H36" s="94" t="n">
        <f aca="false">SUM(G36*F36)</f>
        <v>0</v>
      </c>
      <c r="I36" s="1"/>
      <c r="J36" s="29"/>
      <c r="K36" s="95"/>
      <c r="L36" s="118"/>
      <c r="M36" s="118"/>
      <c r="N36" s="118"/>
      <c r="O36" s="118"/>
      <c r="P36" s="118"/>
      <c r="Q36" s="118"/>
      <c r="R36" s="118"/>
      <c r="S36" s="118"/>
    </row>
    <row r="37" customFormat="false" ht="15.75" hidden="false" customHeight="false" outlineLevel="0" collapsed="false">
      <c r="A37" s="90"/>
      <c r="B37" s="91"/>
      <c r="C37" s="98" t="n">
        <f aca="false">SUM(D36)</f>
        <v>0</v>
      </c>
      <c r="D37" s="76"/>
      <c r="E37" s="92" t="n">
        <f aca="false">SUM(D37-C37)</f>
        <v>0</v>
      </c>
      <c r="F37" s="131" t="n">
        <f aca="false">SUM(D37-C37)</f>
        <v>0</v>
      </c>
      <c r="G37" s="41"/>
      <c r="H37" s="132" t="n">
        <f aca="false">SUM(G37*F37)</f>
        <v>0</v>
      </c>
      <c r="I37" s="1"/>
      <c r="J37" s="1"/>
      <c r="K37" s="95"/>
      <c r="L37" s="118"/>
      <c r="M37" s="118"/>
      <c r="N37" s="118"/>
      <c r="O37" s="118"/>
      <c r="P37" s="118"/>
      <c r="Q37" s="118"/>
      <c r="R37" s="118"/>
      <c r="S37" s="118"/>
    </row>
    <row r="38" customFormat="false" ht="15.75" hidden="false" customHeight="false" outlineLevel="0" collapsed="false">
      <c r="A38" s="90"/>
      <c r="B38" s="91"/>
      <c r="C38" s="98" t="n">
        <f aca="false">SUM(D37)</f>
        <v>0</v>
      </c>
      <c r="D38" s="76"/>
      <c r="E38" s="110"/>
      <c r="F38" s="133" t="n">
        <f aca="false">SUM(F3:F37)</f>
        <v>266677</v>
      </c>
      <c r="G38" s="134"/>
      <c r="H38" s="135" t="n">
        <f aca="false">SUM(H3:H37)</f>
        <v>221669.4775</v>
      </c>
      <c r="I38" s="136"/>
      <c r="J38" s="1"/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89"/>
      <c r="B39" s="82" t="s">
        <v>49</v>
      </c>
      <c r="C39" s="83"/>
      <c r="D39" s="83"/>
      <c r="E39" s="83"/>
      <c r="F39" s="137"/>
      <c r="G39" s="84"/>
      <c r="H39" s="138"/>
      <c r="I39" s="86"/>
      <c r="J39" s="86"/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0.423611111111111</v>
      </c>
      <c r="B40" s="139" t="s">
        <v>62</v>
      </c>
      <c r="C40" s="76" t="n">
        <v>1806010</v>
      </c>
      <c r="D40" s="108" t="n">
        <v>1810380</v>
      </c>
      <c r="E40" s="92" t="n">
        <f aca="false">SUM(D40-C40)</f>
        <v>4370</v>
      </c>
      <c r="F40" s="109" t="n">
        <f aca="false">SUM(D40-C40)</f>
        <v>4370</v>
      </c>
      <c r="G40" s="41" t="n">
        <v>0.8255</v>
      </c>
      <c r="H40" s="140" t="n">
        <f aca="false">SUM(G40*F40)</f>
        <v>3607.435</v>
      </c>
      <c r="I40" s="29" t="n">
        <v>119</v>
      </c>
      <c r="J40" s="1" t="n">
        <v>6396</v>
      </c>
      <c r="K40" s="120" t="s">
        <v>91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4.25" hidden="false" customHeight="true" outlineLevel="0" collapsed="false">
      <c r="A41" s="90" t="n">
        <v>0.440972222222222</v>
      </c>
      <c r="B41" s="122" t="s">
        <v>90</v>
      </c>
      <c r="C41" s="98" t="n">
        <f aca="false">O18</f>
        <v>1810420</v>
      </c>
      <c r="D41" s="108" t="n">
        <v>1817090</v>
      </c>
      <c r="E41" s="92" t="n">
        <f aca="false">SUM(D41-C41)</f>
        <v>6670</v>
      </c>
      <c r="F41" s="109" t="n">
        <f aca="false">SUM(D41-C41)</f>
        <v>6670</v>
      </c>
      <c r="G41" s="41" t="n">
        <v>0.8247</v>
      </c>
      <c r="H41" s="124" t="n">
        <f aca="false">SUM(G41*F41)</f>
        <v>5500.749</v>
      </c>
      <c r="I41" s="29" t="n">
        <v>382</v>
      </c>
      <c r="J41" s="1" t="n">
        <v>6397</v>
      </c>
      <c r="K41" s="196" t="s">
        <v>56</v>
      </c>
      <c r="L41" s="118"/>
      <c r="M41" s="118"/>
      <c r="N41" s="118"/>
      <c r="O41" s="118"/>
      <c r="P41" s="118"/>
      <c r="Q41" s="118"/>
      <c r="R41" s="118"/>
      <c r="S41" s="118"/>
    </row>
    <row r="42" customFormat="false" ht="15" hidden="false" customHeight="true" outlineLevel="0" collapsed="false">
      <c r="A42" s="90" t="n">
        <v>0.458333333333333</v>
      </c>
      <c r="B42" s="91" t="s">
        <v>90</v>
      </c>
      <c r="C42" s="98" t="n">
        <f aca="false">SUM(D41)</f>
        <v>1817090</v>
      </c>
      <c r="D42" s="108" t="n">
        <v>1827440</v>
      </c>
      <c r="E42" s="92" t="n">
        <f aca="false">SUM(D42-C42)</f>
        <v>10350</v>
      </c>
      <c r="F42" s="109" t="n">
        <f aca="false">SUM(D42-C42)</f>
        <v>10350</v>
      </c>
      <c r="G42" s="41" t="n">
        <v>0.8247</v>
      </c>
      <c r="H42" s="124" t="n">
        <f aca="false">SUM(G42*F42)</f>
        <v>8535.645</v>
      </c>
      <c r="I42" s="29" t="n">
        <v>81</v>
      </c>
      <c r="J42" s="1" t="n">
        <v>6400</v>
      </c>
      <c r="K42" s="196" t="s">
        <v>56</v>
      </c>
      <c r="L42" s="118"/>
      <c r="M42" s="118"/>
      <c r="N42" s="118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0.46875</v>
      </c>
      <c r="B43" s="91" t="s">
        <v>61</v>
      </c>
      <c r="C43" s="98" t="n">
        <f aca="false">SUM(D42)</f>
        <v>1827440</v>
      </c>
      <c r="D43" s="108" t="n">
        <v>1833210</v>
      </c>
      <c r="E43" s="92" t="n">
        <f aca="false">SUM(D43-C43)</f>
        <v>5770</v>
      </c>
      <c r="F43" s="109" t="n">
        <f aca="false">SUM(D43-C43)</f>
        <v>5770</v>
      </c>
      <c r="G43" s="41" t="n">
        <v>0.8247</v>
      </c>
      <c r="H43" s="94" t="n">
        <f aca="false">SUM(G43*F43)</f>
        <v>4758.519</v>
      </c>
      <c r="I43" s="29" t="n">
        <v>57</v>
      </c>
      <c r="J43" s="1" t="n">
        <v>6401</v>
      </c>
      <c r="K43" s="196" t="s">
        <v>56</v>
      </c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0.583333333333333</v>
      </c>
      <c r="B44" s="155" t="s">
        <v>55</v>
      </c>
      <c r="C44" s="98" t="n">
        <f aca="false">SUM(D43)</f>
        <v>1833210</v>
      </c>
      <c r="D44" s="108" t="n">
        <v>1839550</v>
      </c>
      <c r="E44" s="92" t="n">
        <f aca="false">SUM(D44-C44)</f>
        <v>6340</v>
      </c>
      <c r="F44" s="109" t="n">
        <f aca="false">SUM(D44-C44)</f>
        <v>6340</v>
      </c>
      <c r="G44" s="41" t="n">
        <v>0.8238</v>
      </c>
      <c r="H44" s="197" t="n">
        <f aca="false">SUM(G44*F44)</f>
        <v>5222.892</v>
      </c>
      <c r="I44" s="29" t="n">
        <v>81</v>
      </c>
      <c r="J44" s="1" t="n">
        <v>6402</v>
      </c>
      <c r="K44" s="196" t="s">
        <v>56</v>
      </c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0.590277777777778</v>
      </c>
      <c r="B45" s="91" t="s">
        <v>55</v>
      </c>
      <c r="C45" s="98" t="n">
        <f aca="false">SUM(D44)</f>
        <v>1839550</v>
      </c>
      <c r="D45" s="108" t="n">
        <v>1848680</v>
      </c>
      <c r="E45" s="92" t="n">
        <f aca="false">SUM(D45-C45)</f>
        <v>9130</v>
      </c>
      <c r="F45" s="109" t="n">
        <f aca="false">SUM(D45-C45)</f>
        <v>9130</v>
      </c>
      <c r="G45" s="41" t="n">
        <v>0.8238</v>
      </c>
      <c r="H45" s="197" t="n">
        <f aca="false">SUM(G45*F45)</f>
        <v>7521.294</v>
      </c>
      <c r="I45" s="29" t="n">
        <v>57</v>
      </c>
      <c r="J45" s="1" t="n">
        <v>6403</v>
      </c>
      <c r="K45" s="196" t="s">
        <v>56</v>
      </c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0.618055555555556</v>
      </c>
      <c r="B46" s="91" t="s">
        <v>55</v>
      </c>
      <c r="C46" s="98" t="n">
        <f aca="false">SUM(D45)</f>
        <v>1848680</v>
      </c>
      <c r="D46" s="108" t="n">
        <v>1865680</v>
      </c>
      <c r="E46" s="92" t="n">
        <f aca="false">SUM(D46-C46)</f>
        <v>17000</v>
      </c>
      <c r="F46" s="129" t="n">
        <v>17019</v>
      </c>
      <c r="G46" s="41" t="n">
        <v>0.8238</v>
      </c>
      <c r="H46" s="197" t="n">
        <f aca="false">SUM(G46*F46)</f>
        <v>14020.2522</v>
      </c>
      <c r="I46" s="29" t="n">
        <v>251</v>
      </c>
      <c r="J46" s="1" t="n">
        <v>6405</v>
      </c>
      <c r="K46" s="196" t="s">
        <v>56</v>
      </c>
      <c r="L46" s="118"/>
      <c r="M46" s="118"/>
      <c r="N46" s="95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0.690972222222222</v>
      </c>
      <c r="B47" s="91" t="s">
        <v>57</v>
      </c>
      <c r="C47" s="98" t="n">
        <f aca="false">SUM(D46)</f>
        <v>1865680</v>
      </c>
      <c r="D47" s="108" t="n">
        <v>1882770</v>
      </c>
      <c r="E47" s="92" t="n">
        <f aca="false">SUM(D47-C47)</f>
        <v>17090</v>
      </c>
      <c r="F47" s="129" t="n">
        <v>17019</v>
      </c>
      <c r="G47" s="41" t="n">
        <v>0.8235</v>
      </c>
      <c r="H47" s="94" t="n">
        <f aca="false">SUM(G47*F47)</f>
        <v>14015.1465</v>
      </c>
      <c r="I47" s="29" t="n">
        <v>251</v>
      </c>
      <c r="J47" s="1" t="n">
        <v>6407</v>
      </c>
      <c r="K47" s="120" t="s">
        <v>91</v>
      </c>
      <c r="L47" s="118"/>
      <c r="M47" s="118"/>
      <c r="N47" s="95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0.809027777777778</v>
      </c>
      <c r="B48" s="91" t="s">
        <v>62</v>
      </c>
      <c r="C48" s="98" t="n">
        <f aca="false">SUM(D47)</f>
        <v>1882770</v>
      </c>
      <c r="D48" s="108" t="n">
        <v>1899790</v>
      </c>
      <c r="E48" s="92" t="n">
        <f aca="false">SUM(D48-C48)</f>
        <v>17020</v>
      </c>
      <c r="F48" s="129" t="n">
        <v>17019</v>
      </c>
      <c r="G48" s="41" t="n">
        <v>0.8255</v>
      </c>
      <c r="H48" s="140" t="n">
        <f aca="false">SUM(G48*F48)</f>
        <v>14049.1845</v>
      </c>
      <c r="I48" s="29" t="n">
        <v>251</v>
      </c>
      <c r="J48" s="1" t="n">
        <v>6412</v>
      </c>
      <c r="K48" s="120" t="s">
        <v>91</v>
      </c>
      <c r="L48" s="118"/>
      <c r="M48" s="118"/>
      <c r="N48" s="95"/>
      <c r="O48" s="118"/>
      <c r="P48" s="118"/>
      <c r="Q48" s="118"/>
      <c r="R48" s="118"/>
      <c r="S48" s="118"/>
    </row>
    <row r="49" customFormat="false" ht="15" hidden="false" customHeight="true" outlineLevel="0" collapsed="false">
      <c r="A49" s="90" t="n">
        <v>0.850694444444444</v>
      </c>
      <c r="B49" s="91" t="s">
        <v>55</v>
      </c>
      <c r="C49" s="98" t="n">
        <f aca="false">SUM(D48)</f>
        <v>1899790</v>
      </c>
      <c r="D49" s="108" t="n">
        <v>1907560</v>
      </c>
      <c r="E49" s="92" t="n">
        <f aca="false">SUM(D49-C49)</f>
        <v>7770</v>
      </c>
      <c r="F49" s="109" t="n">
        <f aca="false">SUM(D49-C49)</f>
        <v>7770</v>
      </c>
      <c r="G49" s="41" t="n">
        <v>0.8235</v>
      </c>
      <c r="H49" s="197" t="n">
        <f aca="false">SUM(G49*F49)</f>
        <v>6398.595</v>
      </c>
      <c r="I49" s="29" t="n">
        <v>81</v>
      </c>
      <c r="J49" s="1" t="n">
        <v>6413</v>
      </c>
      <c r="K49" s="196" t="s">
        <v>56</v>
      </c>
      <c r="L49" s="118"/>
      <c r="M49" s="118"/>
      <c r="N49" s="95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0.881944444444444</v>
      </c>
      <c r="B50" s="125" t="s">
        <v>72</v>
      </c>
      <c r="C50" s="98" t="n">
        <f aca="false">SUM(D49)</f>
        <v>1907560</v>
      </c>
      <c r="D50" s="108" t="n">
        <v>1915800</v>
      </c>
      <c r="E50" s="92" t="n">
        <f aca="false">SUM(D50-C50)</f>
        <v>8240</v>
      </c>
      <c r="F50" s="109" t="n">
        <f aca="false">SUM(D50-C50)</f>
        <v>8240</v>
      </c>
      <c r="G50" s="41" t="n">
        <v>0.8225</v>
      </c>
      <c r="H50" s="126" t="n">
        <f aca="false">SUM(G50*F50)</f>
        <v>6777.4</v>
      </c>
      <c r="I50" s="29" t="n">
        <v>382</v>
      </c>
      <c r="J50" s="1" t="n">
        <v>6415</v>
      </c>
      <c r="K50" s="196" t="s">
        <v>56</v>
      </c>
      <c r="L50" s="118"/>
      <c r="M50" s="118"/>
      <c r="N50" s="118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 t="n">
        <v>0.892361111111111</v>
      </c>
      <c r="B51" s="91" t="s">
        <v>72</v>
      </c>
      <c r="C51" s="98" t="n">
        <f aca="false">SUM(D50)</f>
        <v>1915800</v>
      </c>
      <c r="D51" s="108" t="n">
        <v>1932860</v>
      </c>
      <c r="E51" s="92" t="n">
        <f aca="false">SUM(D51-C51)</f>
        <v>17060</v>
      </c>
      <c r="F51" s="129" t="n">
        <v>17019</v>
      </c>
      <c r="G51" s="41" t="n">
        <v>0.8225</v>
      </c>
      <c r="H51" s="126" t="n">
        <f aca="false">SUM(G51*F51)</f>
        <v>13998.1275</v>
      </c>
      <c r="I51" s="29" t="n">
        <v>251</v>
      </c>
      <c r="J51" s="1" t="n">
        <v>6416</v>
      </c>
      <c r="K51" s="196" t="s">
        <v>56</v>
      </c>
      <c r="L51" s="118"/>
      <c r="M51" s="118"/>
      <c r="N51" s="118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 t="n">
        <v>0.902777777777778</v>
      </c>
      <c r="B52" s="91" t="s">
        <v>72</v>
      </c>
      <c r="C52" s="98" t="n">
        <f aca="false">SUM(D51)</f>
        <v>1932860</v>
      </c>
      <c r="D52" s="108" t="n">
        <v>1938970</v>
      </c>
      <c r="E52" s="92" t="n">
        <f aca="false">SUM(D52-C52)</f>
        <v>6110</v>
      </c>
      <c r="F52" s="109" t="n">
        <f aca="false">SUM(D52-C52)</f>
        <v>6110</v>
      </c>
      <c r="G52" s="41" t="n">
        <v>0.8225</v>
      </c>
      <c r="H52" s="126" t="n">
        <f aca="false">SUM(G52*F52)</f>
        <v>5025.475</v>
      </c>
      <c r="I52" s="29" t="n">
        <v>57</v>
      </c>
      <c r="J52" s="1" t="n">
        <v>6417</v>
      </c>
      <c r="K52" s="196" t="s">
        <v>56</v>
      </c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 t="n">
        <v>0.916666666666667</v>
      </c>
      <c r="B53" s="91" t="s">
        <v>62</v>
      </c>
      <c r="C53" s="98" t="n">
        <f aca="false">SUM(D52)</f>
        <v>1938970</v>
      </c>
      <c r="D53" s="108" t="n">
        <v>1950140</v>
      </c>
      <c r="E53" s="92" t="n">
        <f aca="false">SUM(D53-C53)</f>
        <v>11170</v>
      </c>
      <c r="F53" s="109" t="n">
        <f aca="false">SUM(D53-C53)</f>
        <v>11170</v>
      </c>
      <c r="G53" s="41" t="n">
        <v>0.8255</v>
      </c>
      <c r="H53" s="140" t="n">
        <f aca="false">SUM(G53*F53)</f>
        <v>9220.835</v>
      </c>
      <c r="I53" s="29" t="n">
        <v>119</v>
      </c>
      <c r="J53" s="1" t="n">
        <v>6418</v>
      </c>
      <c r="K53" s="120" t="s">
        <v>91</v>
      </c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 t="n">
        <v>0.934027777777778</v>
      </c>
      <c r="B54" s="91" t="s">
        <v>59</v>
      </c>
      <c r="C54" s="98" t="n">
        <f aca="false">SUM(D53)</f>
        <v>1950140</v>
      </c>
      <c r="D54" s="108" t="n">
        <v>1965250</v>
      </c>
      <c r="E54" s="92" t="n">
        <f aca="false">SUM(D54-C54)</f>
        <v>15110</v>
      </c>
      <c r="F54" s="142" t="n">
        <v>15040</v>
      </c>
      <c r="G54" s="41" t="n">
        <v>0.8345</v>
      </c>
      <c r="H54" s="94" t="n">
        <f aca="false">SUM(G54*F54)</f>
        <v>12550.88</v>
      </c>
      <c r="I54" s="1" t="n">
        <v>467</v>
      </c>
      <c r="J54" s="1" t="n">
        <v>6419</v>
      </c>
      <c r="K54" s="120" t="s">
        <v>82</v>
      </c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 t="n">
        <v>0.9375</v>
      </c>
      <c r="B55" s="91" t="s">
        <v>62</v>
      </c>
      <c r="C55" s="98" t="n">
        <f aca="false">SUM(D54)</f>
        <v>1965250</v>
      </c>
      <c r="D55" s="108" t="n">
        <v>1975330</v>
      </c>
      <c r="E55" s="92" t="n">
        <f aca="false">SUM(D55-C55)</f>
        <v>10080</v>
      </c>
      <c r="F55" s="129" t="n">
        <v>9986</v>
      </c>
      <c r="G55" s="41" t="n">
        <v>0.8255</v>
      </c>
      <c r="H55" s="140" t="n">
        <f aca="false">SUM(G55*F55)</f>
        <v>8243.443</v>
      </c>
      <c r="I55" s="1" t="n">
        <v>251</v>
      </c>
      <c r="J55" s="1" t="n">
        <v>6420</v>
      </c>
      <c r="K55" s="120" t="s">
        <v>91</v>
      </c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 t="n">
        <v>0.979166666666667</v>
      </c>
      <c r="B56" s="91" t="s">
        <v>89</v>
      </c>
      <c r="C56" s="98" t="n">
        <f aca="false">SUM(D55)</f>
        <v>1975330</v>
      </c>
      <c r="D56" s="108" t="n">
        <v>1992410</v>
      </c>
      <c r="E56" s="92" t="n">
        <f aca="false">SUM(D56-C56)</f>
        <v>17080</v>
      </c>
      <c r="F56" s="129" t="n">
        <v>17019</v>
      </c>
      <c r="G56" s="41" t="n">
        <v>0.823</v>
      </c>
      <c r="H56" s="94" t="n">
        <f aca="false">SUM(G56*F56)</f>
        <v>14006.637</v>
      </c>
      <c r="I56" s="1" t="n">
        <v>251</v>
      </c>
      <c r="J56" s="1" t="n">
        <v>6422</v>
      </c>
      <c r="K56" s="120" t="s">
        <v>91</v>
      </c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A57" s="90" t="n">
        <v>0.0729166666666667</v>
      </c>
      <c r="B57" s="91" t="s">
        <v>72</v>
      </c>
      <c r="C57" s="98" t="n">
        <f aca="false">SUM(D56)</f>
        <v>1992410</v>
      </c>
      <c r="D57" s="108" t="n">
        <v>1998200</v>
      </c>
      <c r="E57" s="92" t="n">
        <f aca="false">SUM(D57-C57)</f>
        <v>5790</v>
      </c>
      <c r="F57" s="109" t="n">
        <f aca="false">SUM(D57-C57)</f>
        <v>5790</v>
      </c>
      <c r="G57" s="41" t="n">
        <v>0.8235</v>
      </c>
      <c r="H57" s="126" t="n">
        <f aca="false">SUM(G57*F57)</f>
        <v>4768.065</v>
      </c>
      <c r="I57" s="1" t="n">
        <v>81</v>
      </c>
      <c r="J57" s="1" t="n">
        <v>6424</v>
      </c>
      <c r="K57" s="196" t="s">
        <v>56</v>
      </c>
      <c r="L57" s="118"/>
      <c r="M57" s="118"/>
      <c r="N57" s="118"/>
      <c r="O57" s="118"/>
      <c r="P57" s="118"/>
      <c r="Q57" s="118"/>
      <c r="R57" s="118"/>
      <c r="S57" s="118"/>
    </row>
    <row r="58" customFormat="false" ht="15" hidden="false" customHeight="false" outlineLevel="0" collapsed="false">
      <c r="A58" s="90" t="n">
        <v>0.0833333333333333</v>
      </c>
      <c r="B58" s="91" t="s">
        <v>72</v>
      </c>
      <c r="C58" s="98" t="n">
        <f aca="false">SUM(D57)</f>
        <v>1998200</v>
      </c>
      <c r="D58" s="108" t="n">
        <v>2005110</v>
      </c>
      <c r="E58" s="92" t="n">
        <f aca="false">SUM(D58-C58)</f>
        <v>6910</v>
      </c>
      <c r="F58" s="109" t="n">
        <f aca="false">SUM(D58-C58)</f>
        <v>6910</v>
      </c>
      <c r="G58" s="41" t="n">
        <v>0.8235</v>
      </c>
      <c r="H58" s="126" t="n">
        <f aca="false">SUM(G58*F58)</f>
        <v>5690.385</v>
      </c>
      <c r="I58" s="1" t="n">
        <v>57</v>
      </c>
      <c r="J58" s="1" t="n">
        <v>6425</v>
      </c>
      <c r="K58" s="196" t="s">
        <v>56</v>
      </c>
      <c r="L58" s="118"/>
      <c r="M58" s="118"/>
      <c r="N58" s="118"/>
      <c r="O58" s="118"/>
      <c r="P58" s="118"/>
      <c r="Q58" s="118"/>
      <c r="R58" s="118"/>
      <c r="S58" s="118"/>
    </row>
    <row r="59" customFormat="false" ht="15" hidden="false" customHeight="false" outlineLevel="0" collapsed="false">
      <c r="A59" s="90" t="n">
        <v>0.222222222222222</v>
      </c>
      <c r="B59" s="91" t="s">
        <v>89</v>
      </c>
      <c r="C59" s="98" t="n">
        <f aca="false">SUM(D58)</f>
        <v>2005110</v>
      </c>
      <c r="D59" s="108" t="n">
        <v>2022240</v>
      </c>
      <c r="E59" s="92" t="n">
        <f aca="false">SUM(D59-C59)</f>
        <v>17130</v>
      </c>
      <c r="F59" s="129" t="n">
        <v>17019</v>
      </c>
      <c r="G59" s="41" t="n">
        <v>0.825</v>
      </c>
      <c r="H59" s="94" t="n">
        <f aca="false">SUM(G59*F59)</f>
        <v>14040.675</v>
      </c>
      <c r="I59" s="1" t="n">
        <v>251</v>
      </c>
      <c r="J59" s="1" t="n">
        <v>6428</v>
      </c>
      <c r="K59" s="120" t="s">
        <v>91</v>
      </c>
      <c r="L59" s="118"/>
      <c r="M59" s="118"/>
      <c r="N59" s="118"/>
      <c r="O59" s="118"/>
      <c r="P59" s="118"/>
      <c r="Q59" s="118"/>
      <c r="R59" s="118"/>
      <c r="S59" s="118"/>
    </row>
    <row r="60" customFormat="false" ht="15.75" hidden="false" customHeight="false" outlineLevel="0" collapsed="false">
      <c r="A60" s="90" t="n">
        <v>0.322916666666667</v>
      </c>
      <c r="B60" s="91" t="s">
        <v>72</v>
      </c>
      <c r="C60" s="98" t="n">
        <f aca="false">SUM(D59)</f>
        <v>2022240</v>
      </c>
      <c r="D60" s="108" t="n">
        <v>2039390</v>
      </c>
      <c r="E60" s="92" t="n">
        <f aca="false">SUM(D60-C60)</f>
        <v>17150</v>
      </c>
      <c r="F60" s="129" t="n">
        <v>17019</v>
      </c>
      <c r="G60" s="41" t="n">
        <v>0.826</v>
      </c>
      <c r="H60" s="198" t="n">
        <f aca="false">SUM(G60*F60)</f>
        <v>14057.694</v>
      </c>
      <c r="I60" s="1" t="n">
        <v>251</v>
      </c>
      <c r="J60" s="1" t="n">
        <v>6432</v>
      </c>
      <c r="K60" s="119" t="s">
        <v>60</v>
      </c>
      <c r="L60" s="118"/>
      <c r="M60" s="118"/>
      <c r="N60" s="118"/>
      <c r="O60" s="118"/>
      <c r="P60" s="118"/>
      <c r="Q60" s="118"/>
      <c r="R60" s="118"/>
      <c r="S60" s="118"/>
    </row>
    <row r="61" customFormat="false" ht="15.75" hidden="false" customHeight="false" outlineLevel="0" collapsed="false">
      <c r="A61" s="90"/>
      <c r="B61" s="91"/>
      <c r="C61" s="98" t="n">
        <v>0</v>
      </c>
      <c r="D61" s="108"/>
      <c r="E61" s="110" t="n">
        <f aca="false">SUM(D61-C61)</f>
        <v>0</v>
      </c>
      <c r="F61" s="133" t="n">
        <f aca="false">SUM(F40:F60)</f>
        <v>232779</v>
      </c>
      <c r="G61" s="134"/>
      <c r="H61" s="135" t="n">
        <f aca="false">SUM(H40:H60)</f>
        <v>192009.3287</v>
      </c>
      <c r="I61" s="136"/>
      <c r="J61" s="1"/>
      <c r="K61" s="121"/>
      <c r="L61" s="118"/>
      <c r="M61" s="118"/>
      <c r="N61" s="118"/>
      <c r="O61" s="118"/>
      <c r="P61" s="118"/>
      <c r="Q61" s="118"/>
      <c r="R61" s="118"/>
      <c r="S61" s="118"/>
    </row>
    <row r="62" customFormat="false" ht="15.75" hidden="false" customHeight="false" outlineLevel="0" collapsed="false">
      <c r="L62" s="118"/>
      <c r="M62" s="118"/>
      <c r="N62" s="118"/>
      <c r="O62" s="118"/>
      <c r="P62" s="118"/>
      <c r="Q62" s="118"/>
      <c r="R62" s="118"/>
      <c r="S62" s="118"/>
    </row>
    <row r="63" customFormat="false" ht="15.75" hidden="false" customHeight="false" outlineLevel="0" collapsed="false">
      <c r="F63" s="146" t="n">
        <f aca="false">F61+F38</f>
        <v>499456</v>
      </c>
      <c r="G63" s="134"/>
      <c r="H63" s="135" t="n">
        <f aca="false">H61+H38</f>
        <v>413678.8062</v>
      </c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E64" s="118"/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E65" s="118"/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false" customHeight="false" outlineLevel="0" collapsed="false">
      <c r="E66" s="118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false" customHeight="false" outlineLevel="0" collapsed="false">
      <c r="E67" s="118"/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E68" s="118"/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false" customHeight="false" outlineLevel="0" collapsed="false">
      <c r="E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false" customHeight="false" outlineLevel="0" collapsed="false">
      <c r="E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false" customHeight="false" outlineLevel="0" collapsed="false">
      <c r="E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false" customHeight="false" outlineLevel="0" collapsed="false">
      <c r="E72" s="118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fals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fals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fals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tru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tru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tru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tru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tru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fals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false" customHeight="false" outlineLevel="0" collapsed="false">
      <c r="E87" s="118"/>
      <c r="L87" s="118"/>
      <c r="M87" s="118"/>
      <c r="N87" s="118"/>
      <c r="O87" s="118"/>
      <c r="P87" s="118"/>
      <c r="Q87" s="118"/>
      <c r="R87" s="118"/>
      <c r="S87" s="118"/>
    </row>
    <row r="88" customFormat="false" ht="15" hidden="false" customHeight="false" outlineLevel="0" collapsed="false">
      <c r="E88" s="118"/>
      <c r="L88" s="118"/>
      <c r="M88" s="118"/>
      <c r="N88" s="118"/>
      <c r="O88" s="118"/>
      <c r="P88" s="118"/>
      <c r="Q88" s="118"/>
      <c r="R88" s="118"/>
      <c r="S88" s="118"/>
    </row>
    <row r="89" customFormat="false" ht="15" hidden="false" customHeight="false" outlineLevel="0" collapsed="false">
      <c r="E89" s="118"/>
    </row>
    <row r="90" customFormat="false" ht="15" hidden="false" customHeight="false" outlineLevel="0" collapsed="false">
      <c r="E90" s="118"/>
    </row>
    <row r="91" customFormat="false" ht="15" hidden="false" customHeight="false" outlineLevel="0" collapsed="false">
      <c r="E91" s="118"/>
    </row>
    <row r="92" customFormat="false" ht="15" hidden="false" customHeight="false" outlineLevel="0" collapsed="false">
      <c r="E92" s="118"/>
    </row>
    <row r="93" customFormat="false" ht="15" hidden="false" customHeight="false" outlineLevel="0" collapsed="false">
      <c r="E93" s="118"/>
    </row>
    <row r="94" customFormat="false" ht="15" hidden="false" customHeight="false" outlineLevel="0" collapsed="false">
      <c r="E94" s="118"/>
    </row>
    <row r="95" customFormat="false" ht="15" hidden="false" customHeight="false" outlineLevel="0" collapsed="false">
      <c r="E95" s="118"/>
    </row>
    <row r="96" customFormat="false" ht="15" hidden="false" customHeight="false" outlineLevel="0" collapsed="false">
      <c r="E96" s="118"/>
    </row>
    <row r="97" customFormat="false" ht="15" hidden="false" customHeight="false" outlineLevel="0" collapsed="false">
      <c r="E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  <row r="124" customFormat="false" ht="15" hidden="false" customHeight="false" outlineLevel="0" collapsed="false">
      <c r="E124" s="118"/>
    </row>
    <row r="125" customFormat="false" ht="15" hidden="false" customHeight="false" outlineLevel="0" collapsed="false">
      <c r="E125" s="118"/>
    </row>
    <row r="126" customFormat="false" ht="15" hidden="false" customHeight="false" outlineLevel="0" collapsed="false">
      <c r="E126" s="118"/>
    </row>
    <row r="127" customFormat="false" ht="15" hidden="false" customHeight="false" outlineLevel="0" collapsed="false">
      <c r="E127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26"/>
  <sheetViews>
    <sheetView showFormulas="false" showGridLines="true" showRowColHeaders="true" showZeros="true" rightToLeft="false" tabSelected="false" showOutlineSymbols="true" defaultGridColor="true" view="normal" topLeftCell="A19" colorId="64" zoomScale="60" zoomScaleNormal="60" zoomScalePageLayoutView="100" workbookViewId="0">
      <selection pane="topLeft" activeCell="K57" activeCellId="0" sqref="K57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1"/>
    <col collapsed="false" customWidth="true" hidden="false" outlineLevel="0" max="12" min="12" style="71" width="10.57"/>
    <col collapsed="false" customWidth="true" hidden="false" outlineLevel="0" max="13" min="13" style="71" width="9.7"/>
    <col collapsed="false" customWidth="true" hidden="false" outlineLevel="0" max="14" min="14" style="71" width="14.43"/>
    <col collapsed="false" customWidth="true" hidden="false" outlineLevel="0" max="15" min="15" style="71" width="15.57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60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.75" hidden="false" customHeight="false" outlineLevel="0" collapsed="false">
      <c r="A2" s="82"/>
      <c r="B2" s="82" t="s">
        <v>36</v>
      </c>
      <c r="C2" s="83"/>
      <c r="D2" s="83"/>
      <c r="E2" s="83"/>
      <c r="F2" s="83"/>
      <c r="G2" s="84"/>
      <c r="H2" s="85"/>
      <c r="I2" s="86"/>
      <c r="J2" s="87" t="s">
        <v>18</v>
      </c>
      <c r="K2" s="88"/>
      <c r="L2" s="149"/>
      <c r="M2" s="150" t="s">
        <v>37</v>
      </c>
      <c r="N2" s="151"/>
      <c r="O2" s="151"/>
      <c r="P2" s="151"/>
      <c r="Q2" s="152"/>
      <c r="R2" s="153"/>
      <c r="S2" s="154"/>
    </row>
    <row r="3" customFormat="false" ht="15.75" hidden="false" customHeight="false" outlineLevel="0" collapsed="false">
      <c r="A3" s="90" t="n">
        <v>0.423611111111111</v>
      </c>
      <c r="B3" s="155" t="s">
        <v>54</v>
      </c>
      <c r="C3" s="98" t="n">
        <v>49451060</v>
      </c>
      <c r="D3" s="76" t="n">
        <v>49461510</v>
      </c>
      <c r="E3" s="92" t="n">
        <f aca="false">SUM(D3-C3)</f>
        <v>10450</v>
      </c>
      <c r="F3" s="93" t="n">
        <f aca="false">SUM(D3-C3)</f>
        <v>10450</v>
      </c>
      <c r="G3" s="41" t="n">
        <v>0.8317</v>
      </c>
      <c r="H3" s="94" t="n">
        <f aca="false">SUM(G3*F3)</f>
        <v>8691.265</v>
      </c>
      <c r="I3" s="156" t="n">
        <v>237</v>
      </c>
      <c r="J3" s="29" t="n">
        <v>6434</v>
      </c>
      <c r="K3" s="95"/>
      <c r="L3" s="157" t="n">
        <v>0.402777777777778</v>
      </c>
      <c r="M3" s="158" t="s">
        <v>46</v>
      </c>
      <c r="N3" s="159" t="n">
        <v>7622400</v>
      </c>
      <c r="O3" s="160" t="n">
        <v>7622620</v>
      </c>
      <c r="P3" s="159" t="n">
        <f aca="false">SUM(O3-N3)</f>
        <v>220</v>
      </c>
      <c r="Q3" s="161" t="n">
        <v>0.835</v>
      </c>
      <c r="R3" s="162" t="n">
        <f aca="false">SUM(Q3*P3)</f>
        <v>183.7</v>
      </c>
      <c r="S3" s="163" t="s">
        <v>53</v>
      </c>
      <c r="V3" s="0" t="s">
        <v>41</v>
      </c>
    </row>
    <row r="4" customFormat="false" ht="15.75" hidden="false" customHeight="false" outlineLevel="0" collapsed="false">
      <c r="A4" s="90" t="n">
        <v>0.444444444444444</v>
      </c>
      <c r="B4" s="91" t="s">
        <v>54</v>
      </c>
      <c r="C4" s="98" t="n">
        <f aca="false">SUM(D3)</f>
        <v>49461510</v>
      </c>
      <c r="D4" s="76" t="n">
        <v>49472990</v>
      </c>
      <c r="E4" s="92" t="n">
        <f aca="false">SUM(D4-C4)</f>
        <v>11480</v>
      </c>
      <c r="F4" s="164" t="n">
        <v>11480</v>
      </c>
      <c r="G4" s="41" t="n">
        <v>0.8317</v>
      </c>
      <c r="H4" s="94" t="n">
        <f aca="false">SUM(G4*F4)</f>
        <v>9547.916</v>
      </c>
      <c r="I4" s="156" t="n">
        <v>388</v>
      </c>
      <c r="J4" s="29" t="n">
        <v>6438</v>
      </c>
      <c r="K4" s="95"/>
      <c r="L4" s="157" t="n">
        <v>0.420138888888889</v>
      </c>
      <c r="M4" s="158" t="s">
        <v>48</v>
      </c>
      <c r="N4" s="159" t="n">
        <f aca="false">SUM(O3)</f>
        <v>7622620</v>
      </c>
      <c r="O4" s="160" t="n">
        <v>7622780</v>
      </c>
      <c r="P4" s="159" t="n">
        <f aca="false">SUM(O4-N4)</f>
        <v>160</v>
      </c>
      <c r="Q4" s="161" t="n">
        <v>0.8367</v>
      </c>
      <c r="R4" s="162" t="n">
        <f aca="false">SUM(Q4*P4)</f>
        <v>133.872</v>
      </c>
      <c r="S4" s="163" t="s">
        <v>65</v>
      </c>
    </row>
    <row r="5" customFormat="false" ht="15.75" hidden="false" customHeight="false" outlineLevel="0" collapsed="false">
      <c r="A5" s="90" t="n">
        <v>0.444444444444444</v>
      </c>
      <c r="B5" s="139" t="s">
        <v>66</v>
      </c>
      <c r="C5" s="98" t="n">
        <f aca="false">SUM(D4)</f>
        <v>49472990</v>
      </c>
      <c r="D5" s="76" t="n">
        <v>49483930</v>
      </c>
      <c r="E5" s="92" t="n">
        <f aca="false">SUM(D5-C5)</f>
        <v>10940</v>
      </c>
      <c r="F5" s="164" t="n">
        <v>10950</v>
      </c>
      <c r="G5" s="41" t="n">
        <v>0.8331</v>
      </c>
      <c r="H5" s="94" t="n">
        <f aca="false">SUM(G5*F5)</f>
        <v>9122.445</v>
      </c>
      <c r="I5" s="165" t="n">
        <v>388</v>
      </c>
      <c r="J5" s="29" t="n">
        <v>6438</v>
      </c>
      <c r="K5" s="95"/>
      <c r="L5" s="157" t="n">
        <v>0.486111111111111</v>
      </c>
      <c r="M5" s="158" t="s">
        <v>48</v>
      </c>
      <c r="N5" s="159" t="n">
        <f aca="false">SUM(O4)</f>
        <v>7622780</v>
      </c>
      <c r="O5" s="160" t="n">
        <v>7622920</v>
      </c>
      <c r="P5" s="159" t="n">
        <f aca="false">SUM(O5-N5)</f>
        <v>140</v>
      </c>
      <c r="Q5" s="161" t="n">
        <v>0.8367</v>
      </c>
      <c r="R5" s="162" t="n">
        <f aca="false">SUM(Q5*P5)</f>
        <v>117.138</v>
      </c>
      <c r="S5" s="163" t="s">
        <v>64</v>
      </c>
    </row>
    <row r="6" customFormat="false" ht="15.75" hidden="false" customHeight="false" outlineLevel="0" collapsed="false">
      <c r="A6" s="90" t="n">
        <v>0.46875</v>
      </c>
      <c r="B6" s="91" t="s">
        <v>66</v>
      </c>
      <c r="C6" s="98" t="n">
        <f aca="false">SUM(D5)</f>
        <v>49483930</v>
      </c>
      <c r="D6" s="76" t="n">
        <v>49493640</v>
      </c>
      <c r="E6" s="92" t="n">
        <f aca="false">SUM(D6-C6)</f>
        <v>9710</v>
      </c>
      <c r="F6" s="93" t="n">
        <f aca="false">SUM(D6-C6)</f>
        <v>9710</v>
      </c>
      <c r="G6" s="41" t="n">
        <v>0.8331</v>
      </c>
      <c r="H6" s="94" t="n">
        <f aca="false">SUM(G6*F6)</f>
        <v>8089.401</v>
      </c>
      <c r="I6" s="165" t="n">
        <v>248</v>
      </c>
      <c r="J6" s="29" t="n">
        <v>6441</v>
      </c>
      <c r="K6" s="95"/>
      <c r="L6" s="157" t="n">
        <v>0.84375</v>
      </c>
      <c r="M6" s="158" t="s">
        <v>66</v>
      </c>
      <c r="N6" s="159" t="n">
        <f aca="false">SUM(O5)</f>
        <v>7622920</v>
      </c>
      <c r="O6" s="160" t="n">
        <v>7623040</v>
      </c>
      <c r="P6" s="159" t="n">
        <f aca="false">SUM(O6-N6)</f>
        <v>120</v>
      </c>
      <c r="Q6" s="168" t="n">
        <v>0.8331</v>
      </c>
      <c r="R6" s="162" t="n">
        <f aca="false">SUM(Q6*P6)</f>
        <v>99.972</v>
      </c>
      <c r="S6" s="163" t="s">
        <v>45</v>
      </c>
    </row>
    <row r="7" customFormat="false" ht="15" hidden="false" customHeight="false" outlineLevel="0" collapsed="false">
      <c r="A7" s="90" t="n">
        <v>0.489583333333333</v>
      </c>
      <c r="B7" s="91" t="s">
        <v>66</v>
      </c>
      <c r="C7" s="98" t="n">
        <f aca="false">SUM(D6)</f>
        <v>49493640</v>
      </c>
      <c r="D7" s="76" t="n">
        <v>49494430</v>
      </c>
      <c r="E7" s="92" t="n">
        <f aca="false">SUM(D7-C7)</f>
        <v>790</v>
      </c>
      <c r="F7" s="93" t="n">
        <f aca="false">SUM(D7-C7)</f>
        <v>790</v>
      </c>
      <c r="G7" s="41" t="n">
        <v>0.8331</v>
      </c>
      <c r="H7" s="94" t="n">
        <f aca="false">SUM(G7*F7)</f>
        <v>658.149</v>
      </c>
      <c r="I7" s="165" t="n">
        <v>237</v>
      </c>
      <c r="J7" s="29" t="n">
        <v>6442</v>
      </c>
      <c r="K7" s="95"/>
      <c r="L7" s="171" t="n">
        <v>0.875</v>
      </c>
      <c r="M7" s="105" t="s">
        <v>54</v>
      </c>
      <c r="N7" s="100" t="n">
        <f aca="false">SUM(O6)</f>
        <v>7623040</v>
      </c>
      <c r="O7" s="172" t="n">
        <v>7623080</v>
      </c>
      <c r="P7" s="100" t="n">
        <f aca="false">SUM(O7-N7)</f>
        <v>40</v>
      </c>
      <c r="Q7" s="199" t="n">
        <v>0.827</v>
      </c>
      <c r="R7" s="102" t="n">
        <f aca="false">SUM(Q7*P7)</f>
        <v>33.08</v>
      </c>
      <c r="S7" s="103" t="s">
        <v>94</v>
      </c>
    </row>
    <row r="8" customFormat="false" ht="15" hidden="false" customHeight="false" outlineLevel="0" collapsed="false">
      <c r="A8" s="90" t="n">
        <v>0.663194444444444</v>
      </c>
      <c r="B8" s="91" t="s">
        <v>66</v>
      </c>
      <c r="C8" s="98" t="n">
        <f aca="false">SUM(D7)</f>
        <v>49494430</v>
      </c>
      <c r="D8" s="76" t="n">
        <v>49516850</v>
      </c>
      <c r="E8" s="92" t="n">
        <f aca="false">SUM(D8-C8)</f>
        <v>22420</v>
      </c>
      <c r="F8" s="164" t="n">
        <v>22430</v>
      </c>
      <c r="G8" s="41" t="n">
        <v>0.8331</v>
      </c>
      <c r="H8" s="94" t="n">
        <f aca="false">SUM(G8*F8)</f>
        <v>18686.433</v>
      </c>
      <c r="I8" s="165" t="n">
        <v>388</v>
      </c>
      <c r="J8" s="29" t="n">
        <v>6448</v>
      </c>
      <c r="K8" s="95"/>
      <c r="L8" s="96" t="n">
        <v>0.986111111111111</v>
      </c>
      <c r="M8" s="97" t="s">
        <v>66</v>
      </c>
      <c r="N8" s="100" t="n">
        <f aca="false">SUM(O7)</f>
        <v>7623080</v>
      </c>
      <c r="O8" s="172" t="n">
        <v>7623150</v>
      </c>
      <c r="P8" s="100" t="n">
        <f aca="false">SUM(O8-N8)</f>
        <v>70</v>
      </c>
      <c r="Q8" s="101" t="n">
        <v>0.828</v>
      </c>
      <c r="R8" s="102" t="n">
        <f aca="false">SUM(Q8*P8)</f>
        <v>57.96</v>
      </c>
      <c r="S8" s="1" t="s">
        <v>42</v>
      </c>
    </row>
    <row r="9" customFormat="false" ht="15" hidden="false" customHeight="false" outlineLevel="0" collapsed="false">
      <c r="A9" s="90" t="n">
        <v>0.729166666666667</v>
      </c>
      <c r="B9" s="91" t="s">
        <v>66</v>
      </c>
      <c r="C9" s="98" t="n">
        <f aca="false">SUM(D8)</f>
        <v>49516850</v>
      </c>
      <c r="D9" s="76" t="n">
        <v>49539270</v>
      </c>
      <c r="E9" s="92" t="n">
        <f aca="false">SUM(D9-C9)</f>
        <v>22420</v>
      </c>
      <c r="F9" s="164" t="n">
        <v>22430</v>
      </c>
      <c r="G9" s="41" t="n">
        <v>0.8331</v>
      </c>
      <c r="H9" s="94" t="n">
        <f aca="false">SUM(G9*F9)</f>
        <v>18686.433</v>
      </c>
      <c r="I9" s="165" t="n">
        <v>388</v>
      </c>
      <c r="J9" s="29" t="n">
        <v>6449</v>
      </c>
      <c r="K9" s="95"/>
      <c r="L9" s="96"/>
      <c r="M9" s="97"/>
      <c r="N9" s="100" t="n">
        <v>0</v>
      </c>
      <c r="O9" s="172"/>
      <c r="P9" s="100" t="n">
        <f aca="false">SUM(O9-N9)</f>
        <v>0</v>
      </c>
      <c r="Q9" s="101"/>
      <c r="R9" s="102" t="n">
        <f aca="false">SUM(Q9*P9)</f>
        <v>0</v>
      </c>
      <c r="S9" s="1"/>
    </row>
    <row r="10" customFormat="false" ht="15" hidden="false" customHeight="false" outlineLevel="0" collapsed="false">
      <c r="A10" s="90" t="n">
        <v>0.75</v>
      </c>
      <c r="B10" s="125" t="s">
        <v>39</v>
      </c>
      <c r="C10" s="98" t="n">
        <f aca="false">SUM(D9)</f>
        <v>49539270</v>
      </c>
      <c r="D10" s="76" t="n">
        <v>49556290</v>
      </c>
      <c r="E10" s="92" t="n">
        <f aca="false">SUM(D10-C10)</f>
        <v>17020</v>
      </c>
      <c r="F10" s="129" t="n">
        <v>17019</v>
      </c>
      <c r="G10" s="41" t="n">
        <v>0.8296</v>
      </c>
      <c r="H10" s="94" t="n">
        <f aca="false">SUM(G10*F10)</f>
        <v>14118.9624</v>
      </c>
      <c r="I10" s="167" t="n">
        <v>251</v>
      </c>
      <c r="J10" s="29" t="n">
        <v>6450</v>
      </c>
      <c r="K10" s="95"/>
      <c r="L10" s="96"/>
      <c r="M10" s="97"/>
      <c r="N10" s="100" t="n">
        <f aca="false">SUM(O9)</f>
        <v>0</v>
      </c>
      <c r="O10" s="172"/>
      <c r="P10" s="100" t="n">
        <f aca="false">SUM(O10-N10)</f>
        <v>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0.791666666666667</v>
      </c>
      <c r="B11" s="91" t="s">
        <v>39</v>
      </c>
      <c r="C11" s="98" t="n">
        <f aca="false">SUM(D10)</f>
        <v>49556290</v>
      </c>
      <c r="D11" s="76" t="n">
        <v>49578710</v>
      </c>
      <c r="E11" s="92" t="n">
        <f aca="false">SUM(D11-C11)</f>
        <v>22420</v>
      </c>
      <c r="F11" s="164" t="n">
        <v>22430</v>
      </c>
      <c r="G11" s="41" t="n">
        <v>0.8296</v>
      </c>
      <c r="H11" s="94" t="n">
        <f aca="false">SUM(G11*F11)</f>
        <v>18607.928</v>
      </c>
      <c r="I11" s="167" t="n">
        <v>388</v>
      </c>
      <c r="J11" s="29" t="n">
        <v>6451</v>
      </c>
      <c r="K11" s="95"/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0.892361111111111</v>
      </c>
      <c r="B12" s="91" t="s">
        <v>39</v>
      </c>
      <c r="C12" s="98" t="n">
        <f aca="false">SUM(D11)</f>
        <v>49578710</v>
      </c>
      <c r="D12" s="76" t="n">
        <v>49595740</v>
      </c>
      <c r="E12" s="92" t="n">
        <f aca="false">SUM(D12-C12)</f>
        <v>17030</v>
      </c>
      <c r="F12" s="129" t="n">
        <v>17019</v>
      </c>
      <c r="G12" s="41" t="n">
        <v>0.8296</v>
      </c>
      <c r="H12" s="94" t="n">
        <f aca="false">SUM(G12*F12)</f>
        <v>14118.9624</v>
      </c>
      <c r="I12" s="167" t="n">
        <v>251</v>
      </c>
      <c r="J12" s="29" t="n">
        <v>6453</v>
      </c>
      <c r="K12" s="95"/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0.902777777777778</v>
      </c>
      <c r="B13" s="91" t="s">
        <v>39</v>
      </c>
      <c r="C13" s="98" t="n">
        <f aca="false">SUM(D12)</f>
        <v>49595740</v>
      </c>
      <c r="D13" s="76" t="n">
        <v>49604380</v>
      </c>
      <c r="E13" s="92" t="n">
        <f aca="false">SUM(D13-C13)</f>
        <v>8640</v>
      </c>
      <c r="F13" s="93" t="n">
        <f aca="false">SUM(D13-C13)</f>
        <v>8640</v>
      </c>
      <c r="G13" s="41" t="n">
        <v>0.83</v>
      </c>
      <c r="H13" s="94" t="n">
        <f aca="false">SUM(G13*F13)</f>
        <v>7171.2</v>
      </c>
      <c r="I13" s="167" t="n">
        <v>237</v>
      </c>
      <c r="J13" s="29" t="n">
        <v>6454</v>
      </c>
      <c r="K13" s="95"/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0.0729166666666667</v>
      </c>
      <c r="B14" s="144" t="s">
        <v>46</v>
      </c>
      <c r="C14" s="98" t="n">
        <f aca="false">SUM(D13)</f>
        <v>49604380</v>
      </c>
      <c r="D14" s="76" t="n">
        <v>49626810</v>
      </c>
      <c r="E14" s="92" t="n">
        <f aca="false">SUM(D14-C14)</f>
        <v>22430</v>
      </c>
      <c r="F14" s="164" t="n">
        <v>22430</v>
      </c>
      <c r="G14" s="41" t="n">
        <v>0.8315</v>
      </c>
      <c r="H14" s="94" t="n">
        <v>18561</v>
      </c>
      <c r="I14" s="177" t="n">
        <v>388</v>
      </c>
      <c r="J14" s="29" t="n">
        <v>6460</v>
      </c>
      <c r="K14" s="95"/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0.135416666666667</v>
      </c>
      <c r="B15" s="91" t="s">
        <v>46</v>
      </c>
      <c r="C15" s="98" t="n">
        <f aca="false">SUM(D14)</f>
        <v>49626810</v>
      </c>
      <c r="D15" s="76" t="n">
        <v>49638290</v>
      </c>
      <c r="E15" s="92" t="n">
        <f aca="false">SUM(D15-C15)</f>
        <v>11480</v>
      </c>
      <c r="F15" s="164" t="n">
        <v>11480</v>
      </c>
      <c r="G15" s="41" t="n">
        <v>0.8315</v>
      </c>
      <c r="H15" s="94" t="n">
        <f aca="false">SUM(G15*F15)</f>
        <v>9545.62</v>
      </c>
      <c r="I15" s="177" t="n">
        <v>388</v>
      </c>
      <c r="J15" s="29" t="n">
        <v>6462</v>
      </c>
      <c r="K15" s="95"/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0.135416666666667</v>
      </c>
      <c r="B16" s="91" t="s">
        <v>46</v>
      </c>
      <c r="C16" s="98" t="n">
        <f aca="false">SUM(D15)</f>
        <v>49638290</v>
      </c>
      <c r="D16" s="76" t="n">
        <v>49649240</v>
      </c>
      <c r="E16" s="92" t="n">
        <f aca="false">SUM(D16-C16)</f>
        <v>10950</v>
      </c>
      <c r="F16" s="164" t="n">
        <v>10950</v>
      </c>
      <c r="G16" s="41" t="n">
        <v>0.8315</v>
      </c>
      <c r="H16" s="94" t="n">
        <f aca="false">SUM(G16*F16)</f>
        <v>9104.925</v>
      </c>
      <c r="I16" s="177" t="n">
        <v>388</v>
      </c>
      <c r="J16" s="29" t="n">
        <v>6463</v>
      </c>
      <c r="K16" s="95"/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0.21875</v>
      </c>
      <c r="B17" s="91" t="s">
        <v>46</v>
      </c>
      <c r="C17" s="98" t="n">
        <f aca="false">SUM(D16)</f>
        <v>49649240</v>
      </c>
      <c r="D17" s="76" t="n">
        <v>49666250</v>
      </c>
      <c r="E17" s="92" t="n">
        <f aca="false">SUM(D17-C17)</f>
        <v>17010</v>
      </c>
      <c r="F17" s="129" t="n">
        <v>17019</v>
      </c>
      <c r="G17" s="41" t="n">
        <v>0.8315</v>
      </c>
      <c r="H17" s="94" t="n">
        <f aca="false">SUM(G17*F17)</f>
        <v>14151.2985</v>
      </c>
      <c r="I17" s="177" t="n">
        <v>251</v>
      </c>
      <c r="J17" s="29" t="n">
        <v>6465</v>
      </c>
      <c r="K17" s="95"/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0.236111111111111</v>
      </c>
      <c r="B18" s="187" t="s">
        <v>48</v>
      </c>
      <c r="C18" s="98" t="n">
        <f aca="false">SUM(D17)</f>
        <v>49666250</v>
      </c>
      <c r="D18" s="76" t="n">
        <v>49688670</v>
      </c>
      <c r="E18" s="92" t="n">
        <f aca="false">SUM(D18-C18)</f>
        <v>22420</v>
      </c>
      <c r="F18" s="164" t="n">
        <v>22430</v>
      </c>
      <c r="G18" s="41" t="n">
        <v>0.8325</v>
      </c>
      <c r="H18" s="94" t="n">
        <f aca="false">SUM(G18*F18)</f>
        <v>18672.975</v>
      </c>
      <c r="I18" s="188" t="n">
        <v>388</v>
      </c>
      <c r="J18" s="29" t="n">
        <v>6466</v>
      </c>
      <c r="K18" s="95"/>
      <c r="L18" s="96"/>
      <c r="M18" s="105"/>
      <c r="N18" s="130"/>
      <c r="O18" s="99"/>
      <c r="P18" s="109" t="n">
        <f aca="false">SUM(O18-N18)</f>
        <v>0</v>
      </c>
      <c r="Q18" s="41"/>
      <c r="R18" s="94" t="n">
        <f aca="false">SUM(Q18*P18)</f>
        <v>0</v>
      </c>
      <c r="S18" s="103"/>
      <c r="T18" s="0" t="s">
        <v>41</v>
      </c>
    </row>
    <row r="19" customFormat="false" ht="15" hidden="false" customHeight="false" outlineLevel="0" collapsed="false">
      <c r="A19" s="90" t="n">
        <v>0.295138888888889</v>
      </c>
      <c r="B19" s="91" t="s">
        <v>48</v>
      </c>
      <c r="C19" s="98" t="n">
        <f aca="false">SUM(D18)</f>
        <v>49688670</v>
      </c>
      <c r="D19" s="76" t="n">
        <v>49711090</v>
      </c>
      <c r="E19" s="92" t="n">
        <f aca="false">SUM(D19-C19)</f>
        <v>22420</v>
      </c>
      <c r="F19" s="164" t="n">
        <v>22430</v>
      </c>
      <c r="G19" s="41" t="n">
        <v>0.8325</v>
      </c>
      <c r="H19" s="94" t="n">
        <f aca="false">SUM(G19*F19)</f>
        <v>18672.975</v>
      </c>
      <c r="I19" s="188" t="n">
        <v>388</v>
      </c>
      <c r="J19" s="29" t="n">
        <v>6468</v>
      </c>
      <c r="K19" s="95"/>
      <c r="L19" s="96"/>
      <c r="M19" s="105"/>
      <c r="N19" s="98" t="n">
        <f aca="false">SUM(O18)</f>
        <v>0</v>
      </c>
      <c r="O19" s="99"/>
      <c r="P19" s="109" t="n">
        <f aca="false">SUM(O19-N19)</f>
        <v>0</v>
      </c>
      <c r="Q19" s="41"/>
      <c r="R19" s="94" t="n">
        <f aca="false">SUM(Q19*P19)</f>
        <v>0</v>
      </c>
      <c r="S19" s="103"/>
    </row>
    <row r="20" customFormat="false" ht="15" hidden="false" customHeight="false" outlineLevel="0" collapsed="false">
      <c r="A20" s="90" t="n">
        <v>0.34375</v>
      </c>
      <c r="B20" s="91" t="s">
        <v>48</v>
      </c>
      <c r="C20" s="98" t="n">
        <f aca="false">SUM(D19)</f>
        <v>49711090</v>
      </c>
      <c r="D20" s="76" t="n">
        <v>49721080</v>
      </c>
      <c r="E20" s="92" t="n">
        <f aca="false">SUM(D20-C20)</f>
        <v>9990</v>
      </c>
      <c r="F20" s="129" t="n">
        <v>9986</v>
      </c>
      <c r="G20" s="41" t="n">
        <v>0.8325</v>
      </c>
      <c r="H20" s="94" t="n">
        <f aca="false">SUM(G20*F20)</f>
        <v>8313.345</v>
      </c>
      <c r="I20" s="188" t="n">
        <v>251</v>
      </c>
      <c r="J20" s="29" t="n">
        <v>6470</v>
      </c>
      <c r="K20" s="95"/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 t="n">
        <v>0.34375</v>
      </c>
      <c r="B21" s="91" t="s">
        <v>54</v>
      </c>
      <c r="C21" s="98" t="n">
        <f aca="false">SUM(D20)</f>
        <v>49721080</v>
      </c>
      <c r="D21" s="76" t="n">
        <v>49728120</v>
      </c>
      <c r="E21" s="92" t="n">
        <f aca="false">SUM(D21-C21)</f>
        <v>7040</v>
      </c>
      <c r="F21" s="129" t="n">
        <v>7033</v>
      </c>
      <c r="G21" s="41" t="n">
        <v>0.8285</v>
      </c>
      <c r="H21" s="94" t="n">
        <f aca="false">SUM(G21*F21)</f>
        <v>5826.8405</v>
      </c>
      <c r="I21" s="156" t="n">
        <v>251</v>
      </c>
      <c r="J21" s="29" t="n">
        <v>6470</v>
      </c>
      <c r="K21" s="95"/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 t="n">
        <v>0.357638888888889</v>
      </c>
      <c r="B22" s="91" t="s">
        <v>54</v>
      </c>
      <c r="C22" s="98" t="n">
        <f aca="false">SUM(D21)</f>
        <v>49728120</v>
      </c>
      <c r="D22" s="76" t="n">
        <v>49750540</v>
      </c>
      <c r="E22" s="92" t="n">
        <f aca="false">SUM(D22-C22)</f>
        <v>22420</v>
      </c>
      <c r="F22" s="164" t="n">
        <v>22430</v>
      </c>
      <c r="G22" s="41" t="n">
        <v>0.8285</v>
      </c>
      <c r="H22" s="94" t="n">
        <f aca="false">SUM(G22*F22)</f>
        <v>18583.255</v>
      </c>
      <c r="I22" s="156" t="n">
        <v>388</v>
      </c>
      <c r="J22" s="29" t="n">
        <v>6472</v>
      </c>
      <c r="K22" s="95"/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false" customHeight="false" outlineLevel="0" collapsed="false">
      <c r="A23" s="90"/>
      <c r="B23" s="91"/>
      <c r="C23" s="98"/>
      <c r="D23" s="76"/>
      <c r="E23" s="92" t="n">
        <f aca="false">SUM(D23-C23)</f>
        <v>0</v>
      </c>
      <c r="F23" s="109" t="n">
        <f aca="false">SUM(D23-C23)</f>
        <v>0</v>
      </c>
      <c r="G23" s="41"/>
      <c r="H23" s="94" t="n">
        <f aca="false">SUM(G23*F23)</f>
        <v>0</v>
      </c>
      <c r="I23" s="1"/>
      <c r="J23" s="29"/>
      <c r="K23" s="95"/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" hidden="true" customHeight="false" outlineLevel="0" collapsed="false">
      <c r="A24" s="90"/>
      <c r="B24" s="91"/>
      <c r="C24" s="98" t="n">
        <f aca="false">SUM(D23)</f>
        <v>0</v>
      </c>
      <c r="D24" s="76"/>
      <c r="E24" s="92" t="n">
        <f aca="false">SUM(D24-C24)</f>
        <v>0</v>
      </c>
      <c r="F24" s="109" t="n">
        <f aca="false">SUM(D24-C24)</f>
        <v>0</v>
      </c>
      <c r="G24" s="41"/>
      <c r="H24" s="94" t="n">
        <f aca="false">SUM(G24*F24)</f>
        <v>0</v>
      </c>
      <c r="I24" s="1"/>
      <c r="J24" s="29"/>
      <c r="K24" s="95"/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" hidden="true" customHeight="false" outlineLevel="0" collapsed="false">
      <c r="A25" s="90"/>
      <c r="B25" s="91"/>
      <c r="C25" s="98" t="n">
        <f aca="false">SUM(D24)</f>
        <v>0</v>
      </c>
      <c r="D25" s="76"/>
      <c r="E25" s="92" t="n">
        <f aca="false">SUM(D25-C25)</f>
        <v>0</v>
      </c>
      <c r="F25" s="109" t="n">
        <f aca="false">SUM(D25-C25)</f>
        <v>0</v>
      </c>
      <c r="G25" s="41"/>
      <c r="H25" s="94" t="n">
        <f aca="false">SUM(G25*F25)</f>
        <v>0</v>
      </c>
      <c r="I25" s="1"/>
      <c r="J25" s="29"/>
      <c r="K25" s="95"/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" hidden="true" customHeight="false" outlineLevel="0" collapsed="false">
      <c r="A26" s="90"/>
      <c r="B26" s="91"/>
      <c r="C26" s="98" t="n">
        <f aca="false">SUM(D25)</f>
        <v>0</v>
      </c>
      <c r="D26" s="76"/>
      <c r="E26" s="92" t="n">
        <f aca="false">SUM(D26-C26)</f>
        <v>0</v>
      </c>
      <c r="F26" s="109" t="n">
        <f aca="false">SUM(D26-C26)</f>
        <v>0</v>
      </c>
      <c r="G26" s="41"/>
      <c r="H26" s="94" t="n">
        <f aca="false">SUM(G26*F26)</f>
        <v>0</v>
      </c>
      <c r="I26" s="1"/>
      <c r="J26" s="29"/>
      <c r="K26" s="95"/>
      <c r="L26" s="96"/>
      <c r="M26" s="97"/>
      <c r="N26" s="98" t="n">
        <f aca="false">SUM(O25)</f>
        <v>0</v>
      </c>
      <c r="O26" s="99"/>
      <c r="P26" s="109" t="n">
        <f aca="false">SUM(O26-N26)</f>
        <v>0</v>
      </c>
      <c r="Q26" s="101"/>
      <c r="R26" s="94" t="n">
        <f aca="false">SUM(Q26*P26)</f>
        <v>0</v>
      </c>
      <c r="S26" s="103"/>
    </row>
    <row r="27" customFormat="false" ht="15" hidden="true" customHeight="false" outlineLevel="0" collapsed="false">
      <c r="A27" s="90"/>
      <c r="B27" s="91"/>
      <c r="C27" s="98" t="n">
        <f aca="false">SUM(D26)</f>
        <v>0</v>
      </c>
      <c r="D27" s="76"/>
      <c r="E27" s="92" t="n">
        <f aca="false">SUM(D27-C27)</f>
        <v>0</v>
      </c>
      <c r="F27" s="109" t="n">
        <f aca="false">SUM(D27-C27)</f>
        <v>0</v>
      </c>
      <c r="G27" s="41"/>
      <c r="H27" s="94" t="n">
        <f aca="false">SUM(G27*F27)</f>
        <v>0</v>
      </c>
      <c r="I27" s="1"/>
      <c r="J27" s="29"/>
      <c r="K27" s="95"/>
      <c r="L27" s="96"/>
      <c r="M27" s="97"/>
      <c r="N27" s="98" t="n">
        <f aca="false">SUM(O26)</f>
        <v>0</v>
      </c>
      <c r="O27" s="99"/>
      <c r="P27" s="109" t="n">
        <f aca="false">SUM(O27-N27)</f>
        <v>0</v>
      </c>
      <c r="Q27" s="101"/>
      <c r="R27" s="94" t="n">
        <f aca="false">SUM(Q27*P27)</f>
        <v>0</v>
      </c>
      <c r="S27" s="1"/>
    </row>
    <row r="28" customFormat="false" ht="15" hidden="true" customHeight="false" outlineLevel="0" collapsed="false">
      <c r="A28" s="90"/>
      <c r="B28" s="91"/>
      <c r="C28" s="98" t="n">
        <f aca="false">SUM(D27)</f>
        <v>0</v>
      </c>
      <c r="D28" s="76"/>
      <c r="E28" s="92" t="n">
        <f aca="false">SUM(D28-C28)</f>
        <v>0</v>
      </c>
      <c r="F28" s="109" t="n">
        <f aca="false">SUM(D28-C28)</f>
        <v>0</v>
      </c>
      <c r="G28" s="41"/>
      <c r="H28" s="94" t="n">
        <f aca="false">SUM(G28*F28)</f>
        <v>0</v>
      </c>
      <c r="I28" s="1"/>
      <c r="J28" s="29"/>
      <c r="K28" s="95"/>
      <c r="L28" s="96"/>
      <c r="M28" s="97"/>
      <c r="N28" s="98" t="n">
        <f aca="false">SUM(O27)</f>
        <v>0</v>
      </c>
      <c r="O28" s="99"/>
      <c r="P28" s="109" t="n">
        <f aca="false">SUM(O28-N28)</f>
        <v>0</v>
      </c>
      <c r="Q28" s="101"/>
      <c r="R28" s="94" t="n">
        <f aca="false">SUM(Q28*P28)</f>
        <v>0</v>
      </c>
      <c r="S28" s="1"/>
    </row>
    <row r="29" customFormat="false" ht="15" hidden="true" customHeight="false" outlineLevel="0" collapsed="false">
      <c r="A29" s="90"/>
      <c r="B29" s="91"/>
      <c r="C29" s="98" t="n">
        <f aca="false">SUM(D28)</f>
        <v>0</v>
      </c>
      <c r="D29" s="76"/>
      <c r="E29" s="92" t="n">
        <f aca="false">SUM(D29-C29)</f>
        <v>0</v>
      </c>
      <c r="F29" s="109" t="n">
        <f aca="false">SUM(D29-C29)</f>
        <v>0</v>
      </c>
      <c r="G29" s="41"/>
      <c r="H29" s="94" t="n">
        <f aca="false">SUM(G29*F29)</f>
        <v>0</v>
      </c>
      <c r="I29" s="1"/>
      <c r="J29" s="29"/>
      <c r="K29" s="95"/>
      <c r="L29" s="96"/>
      <c r="M29" s="97"/>
      <c r="N29" s="98" t="n">
        <f aca="false">SUM(O28)</f>
        <v>0</v>
      </c>
      <c r="O29" s="99"/>
      <c r="P29" s="109" t="n">
        <f aca="false">SUM(O29-N29)</f>
        <v>0</v>
      </c>
      <c r="Q29" s="101"/>
      <c r="R29" s="94" t="n">
        <f aca="false">SUM(Q29*P29)</f>
        <v>0</v>
      </c>
      <c r="S29" s="1"/>
    </row>
    <row r="30" customFormat="false" ht="15" hidden="true" customHeight="false" outlineLevel="0" collapsed="false">
      <c r="A30" s="90"/>
      <c r="B30" s="91"/>
      <c r="C30" s="98" t="n">
        <f aca="false">SUM(D29)</f>
        <v>0</v>
      </c>
      <c r="D30" s="76"/>
      <c r="E30" s="92" t="n">
        <f aca="false">SUM(D30-C30)</f>
        <v>0</v>
      </c>
      <c r="F30" s="109" t="n">
        <f aca="false">SUM(D30-C30)</f>
        <v>0</v>
      </c>
      <c r="G30" s="41"/>
      <c r="H30" s="94" t="n">
        <f aca="false">SUM(G30*F30)</f>
        <v>0</v>
      </c>
      <c r="I30" s="1"/>
      <c r="J30" s="29"/>
      <c r="K30" s="111"/>
      <c r="L30" s="96"/>
      <c r="M30" s="97"/>
      <c r="N30" s="98" t="n">
        <f aca="false">SUM(O29)</f>
        <v>0</v>
      </c>
      <c r="O30" s="99"/>
      <c r="P30" s="109" t="n">
        <f aca="false">SUM(O30-N30)</f>
        <v>0</v>
      </c>
      <c r="Q30" s="101"/>
      <c r="R30" s="94" t="n">
        <f aca="false">SUM(Q30*P30)</f>
        <v>0</v>
      </c>
      <c r="S30" s="1"/>
    </row>
    <row r="31" customFormat="false" ht="15" hidden="true" customHeight="false" outlineLevel="0" collapsed="false">
      <c r="A31" s="90"/>
      <c r="B31" s="91"/>
      <c r="C31" s="98" t="n">
        <f aca="false">SUM(D30)</f>
        <v>0</v>
      </c>
      <c r="D31" s="76"/>
      <c r="E31" s="92" t="n">
        <f aca="false">SUM(D31-C31)</f>
        <v>0</v>
      </c>
      <c r="F31" s="109" t="n">
        <f aca="false">SUM(D31-C31)</f>
        <v>0</v>
      </c>
      <c r="G31" s="41"/>
      <c r="H31" s="94" t="n">
        <f aca="false">SUM(G31*F31)</f>
        <v>0</v>
      </c>
      <c r="I31" s="1"/>
      <c r="J31" s="29"/>
      <c r="K31" s="95"/>
      <c r="L31" s="96"/>
      <c r="M31" s="97"/>
      <c r="N31" s="98" t="n">
        <f aca="false">SUM(O30)</f>
        <v>0</v>
      </c>
      <c r="O31" s="99"/>
      <c r="P31" s="109" t="n">
        <f aca="false">SUM(O31-N31)</f>
        <v>0</v>
      </c>
      <c r="Q31" s="101"/>
      <c r="R31" s="94" t="n">
        <f aca="false">SUM(Q31*P31)</f>
        <v>0</v>
      </c>
      <c r="S31" s="1"/>
    </row>
    <row r="32" customFormat="false" ht="15.75" hidden="false" customHeight="false" outlineLevel="0" collapsed="false">
      <c r="A32" s="90"/>
      <c r="B32" s="91"/>
      <c r="C32" s="98" t="n">
        <f aca="false">SUM(D31)</f>
        <v>0</v>
      </c>
      <c r="D32" s="76"/>
      <c r="E32" s="92" t="n">
        <f aca="false">SUM(D32-C32)</f>
        <v>0</v>
      </c>
      <c r="F32" s="131" t="n">
        <f aca="false">SUM(D32-C32)</f>
        <v>0</v>
      </c>
      <c r="G32" s="41"/>
      <c r="H32" s="132" t="n">
        <f aca="false">SUM(G32*F32)</f>
        <v>0</v>
      </c>
      <c r="I32" s="1"/>
      <c r="J32" s="29"/>
      <c r="K32" s="95"/>
      <c r="L32" s="113"/>
      <c r="M32" s="114"/>
      <c r="N32" s="114"/>
      <c r="O32" s="115"/>
      <c r="P32" s="116"/>
      <c r="Q32" s="117"/>
      <c r="R32" s="62"/>
      <c r="S32" s="62"/>
    </row>
    <row r="33" customFormat="false" ht="16.5" hidden="false" customHeight="true" outlineLevel="0" collapsed="false">
      <c r="A33" s="90"/>
      <c r="B33" s="91"/>
      <c r="C33" s="98" t="n">
        <f aca="false">SUM(D32)</f>
        <v>0</v>
      </c>
      <c r="D33" s="76"/>
      <c r="E33" s="110" t="n">
        <f aca="false">SUM(D33-C33)</f>
        <v>0</v>
      </c>
      <c r="F33" s="133" t="n">
        <f aca="false">SUM(F3:F32)</f>
        <v>299536</v>
      </c>
      <c r="G33" s="134"/>
      <c r="H33" s="135" t="n">
        <f aca="false">SUM(H3:H32)</f>
        <v>248931.3288</v>
      </c>
      <c r="I33" s="136"/>
      <c r="J33" s="29"/>
      <c r="K33" s="95"/>
      <c r="L33" s="118"/>
      <c r="M33" s="118"/>
      <c r="N33" s="118"/>
      <c r="O33" s="118"/>
      <c r="P33" s="118"/>
      <c r="Q33" s="118"/>
      <c r="R33" s="118"/>
      <c r="S33" s="118"/>
    </row>
    <row r="34" customFormat="false" ht="15" hidden="false" customHeight="false" outlineLevel="0" collapsed="false">
      <c r="A34" s="89"/>
      <c r="B34" s="82" t="s">
        <v>49</v>
      </c>
      <c r="C34" s="83"/>
      <c r="D34" s="83"/>
      <c r="E34" s="83"/>
      <c r="F34" s="137"/>
      <c r="G34" s="84"/>
      <c r="H34" s="138"/>
      <c r="I34" s="86"/>
      <c r="J34" s="86"/>
      <c r="L34" s="118"/>
      <c r="M34" s="118"/>
      <c r="N34" s="118"/>
      <c r="O34" s="118"/>
      <c r="P34" s="118"/>
      <c r="Q34" s="118"/>
      <c r="R34" s="118"/>
      <c r="S34" s="118"/>
    </row>
    <row r="35" customFormat="false" ht="15" hidden="false" customHeight="false" outlineLevel="0" collapsed="false">
      <c r="A35" s="90" t="n">
        <v>0.413194444444444</v>
      </c>
      <c r="B35" s="178" t="s">
        <v>62</v>
      </c>
      <c r="C35" s="98" t="n">
        <v>2039390</v>
      </c>
      <c r="D35" s="108" t="n">
        <v>2045560</v>
      </c>
      <c r="E35" s="92" t="n">
        <f aca="false">SUM(D35-C35)</f>
        <v>6170</v>
      </c>
      <c r="F35" s="109" t="n">
        <f aca="false">SUM(D35-C35)</f>
        <v>6170</v>
      </c>
      <c r="G35" s="41" t="n">
        <v>0.8245</v>
      </c>
      <c r="H35" s="94" t="n">
        <f aca="false">SUM(G35*F35)</f>
        <v>5087.165</v>
      </c>
      <c r="I35" s="200" t="n">
        <v>119</v>
      </c>
      <c r="J35" s="182" t="n">
        <v>6433</v>
      </c>
      <c r="K35" s="120" t="s">
        <v>91</v>
      </c>
      <c r="L35" s="118"/>
      <c r="M35" s="118"/>
      <c r="N35" s="118"/>
      <c r="O35" s="118"/>
      <c r="P35" s="118"/>
      <c r="Q35" s="118"/>
      <c r="R35" s="118"/>
      <c r="S35" s="118"/>
    </row>
    <row r="36" customFormat="false" ht="14.25" hidden="false" customHeight="true" outlineLevel="0" collapsed="false">
      <c r="A36" s="90" t="n">
        <v>0.427083333333333</v>
      </c>
      <c r="B36" s="144" t="s">
        <v>61</v>
      </c>
      <c r="C36" s="98" t="n">
        <f aca="false">SUM(D35)</f>
        <v>2045560</v>
      </c>
      <c r="D36" s="108" t="n">
        <v>2051630</v>
      </c>
      <c r="E36" s="92" t="n">
        <f aca="false">SUM(D36-C36)</f>
        <v>6070</v>
      </c>
      <c r="F36" s="109" t="n">
        <f aca="false">SUM(D36-C36)</f>
        <v>6070</v>
      </c>
      <c r="G36" s="41" t="n">
        <v>0.8247</v>
      </c>
      <c r="H36" s="94" t="n">
        <f aca="false">SUM(G36*F36)</f>
        <v>5005.929</v>
      </c>
      <c r="I36" s="177" t="n">
        <v>81</v>
      </c>
      <c r="J36" s="1" t="n">
        <v>6435</v>
      </c>
      <c r="K36" s="119" t="s">
        <v>60</v>
      </c>
      <c r="L36" s="118"/>
      <c r="M36" s="118"/>
      <c r="N36" s="118"/>
      <c r="O36" s="118"/>
      <c r="P36" s="118"/>
      <c r="Q36" s="118"/>
      <c r="R36" s="118"/>
      <c r="S36" s="118"/>
    </row>
    <row r="37" customFormat="false" ht="15" hidden="false" customHeight="true" outlineLevel="0" collapsed="false">
      <c r="A37" s="90" t="n">
        <v>0.440972222222222</v>
      </c>
      <c r="B37" s="91" t="s">
        <v>61</v>
      </c>
      <c r="C37" s="98" t="n">
        <f aca="false">SUM(D36)</f>
        <v>2051630</v>
      </c>
      <c r="D37" s="108" t="n">
        <v>2061620</v>
      </c>
      <c r="E37" s="92" t="n">
        <f aca="false">SUM(D37-C37)</f>
        <v>9990</v>
      </c>
      <c r="F37" s="129" t="n">
        <v>9986</v>
      </c>
      <c r="G37" s="41" t="n">
        <v>0.8247</v>
      </c>
      <c r="H37" s="94" t="n">
        <f aca="false">SUM(G37*F37)</f>
        <v>8235.4542</v>
      </c>
      <c r="I37" s="177" t="n">
        <v>251</v>
      </c>
      <c r="J37" s="1" t="n">
        <v>6436</v>
      </c>
      <c r="K37" s="119" t="s">
        <v>60</v>
      </c>
      <c r="L37" s="118"/>
      <c r="M37" s="118"/>
      <c r="N37" s="118"/>
      <c r="O37" s="118"/>
      <c r="P37" s="118"/>
      <c r="Q37" s="118"/>
      <c r="R37" s="118"/>
      <c r="S37" s="118"/>
    </row>
    <row r="38" customFormat="false" ht="15" hidden="false" customHeight="false" outlineLevel="0" collapsed="false">
      <c r="A38" s="90" t="n">
        <v>0.447916666666667</v>
      </c>
      <c r="B38" s="91" t="s">
        <v>61</v>
      </c>
      <c r="C38" s="98" t="n">
        <f aca="false">SUM(D37)</f>
        <v>2061620</v>
      </c>
      <c r="D38" s="108" t="n">
        <v>2068750</v>
      </c>
      <c r="E38" s="92" t="n">
        <f aca="false">SUM(D38-C38)</f>
        <v>7130</v>
      </c>
      <c r="F38" s="129" t="n">
        <v>7033</v>
      </c>
      <c r="G38" s="41" t="n">
        <v>0.8247</v>
      </c>
      <c r="H38" s="94" t="n">
        <f aca="false">SUM(G38*F38)</f>
        <v>5800.1151</v>
      </c>
      <c r="I38" s="177" t="n">
        <v>251</v>
      </c>
      <c r="J38" s="1" t="n">
        <v>6437</v>
      </c>
      <c r="K38" s="119" t="s">
        <v>60</v>
      </c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90" t="n">
        <v>0.458333333333333</v>
      </c>
      <c r="B39" s="91" t="s">
        <v>61</v>
      </c>
      <c r="C39" s="98" t="n">
        <f aca="false">SUM(D38)</f>
        <v>2068750</v>
      </c>
      <c r="D39" s="108" t="n">
        <v>2074980</v>
      </c>
      <c r="E39" s="92" t="n">
        <f aca="false">SUM(D39-C39)</f>
        <v>6230</v>
      </c>
      <c r="F39" s="109" t="n">
        <f aca="false">SUM(D39-C39)</f>
        <v>6230</v>
      </c>
      <c r="G39" s="41" t="n">
        <v>0.8247</v>
      </c>
      <c r="H39" s="94" t="n">
        <f aca="false">SUM(G39*F39)</f>
        <v>5137.881</v>
      </c>
      <c r="I39" s="177" t="n">
        <v>57</v>
      </c>
      <c r="J39" s="1" t="n">
        <v>6439</v>
      </c>
      <c r="K39" s="119" t="s">
        <v>60</v>
      </c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0.465277777777778</v>
      </c>
      <c r="B40" s="91" t="s">
        <v>61</v>
      </c>
      <c r="C40" s="98" t="n">
        <f aca="false">SUM(D39)</f>
        <v>2074980</v>
      </c>
      <c r="D40" s="108" t="n">
        <v>2082290</v>
      </c>
      <c r="E40" s="92" t="n">
        <f aca="false">SUM(D40-C40)</f>
        <v>7310</v>
      </c>
      <c r="F40" s="109" t="n">
        <f aca="false">SUM(D40-C40)</f>
        <v>7310</v>
      </c>
      <c r="G40" s="41" t="n">
        <v>0.8247</v>
      </c>
      <c r="H40" s="94" t="n">
        <f aca="false">SUM(G40*F40)</f>
        <v>6028.557</v>
      </c>
      <c r="I40" s="177" t="n">
        <v>382</v>
      </c>
      <c r="J40" s="1" t="n">
        <v>6440</v>
      </c>
      <c r="K40" s="119" t="s">
        <v>60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5" hidden="false" customHeight="false" outlineLevel="0" collapsed="false">
      <c r="A41" s="90" t="n">
        <v>0.496527777777778</v>
      </c>
      <c r="B41" s="91" t="s">
        <v>62</v>
      </c>
      <c r="C41" s="98" t="n">
        <f aca="false">SUM(D40)</f>
        <v>2082290</v>
      </c>
      <c r="D41" s="108" t="n">
        <v>2099400</v>
      </c>
      <c r="E41" s="92" t="n">
        <f aca="false">SUM(D41-C41)</f>
        <v>17110</v>
      </c>
      <c r="F41" s="129" t="n">
        <v>17019</v>
      </c>
      <c r="G41" s="41" t="n">
        <v>0.8245</v>
      </c>
      <c r="H41" s="94" t="n">
        <f aca="false">SUM(G41*F41)</f>
        <v>14032.1655</v>
      </c>
      <c r="I41" s="200" t="n">
        <v>251</v>
      </c>
      <c r="J41" s="182" t="n">
        <v>6443</v>
      </c>
      <c r="K41" s="120" t="s">
        <v>91</v>
      </c>
      <c r="L41" s="118"/>
      <c r="M41" s="118"/>
      <c r="N41" s="95"/>
      <c r="O41" s="118"/>
      <c r="P41" s="118"/>
      <c r="Q41" s="118"/>
      <c r="R41" s="118"/>
      <c r="S41" s="118"/>
    </row>
    <row r="42" customFormat="false" ht="15" hidden="false" customHeight="false" outlineLevel="0" collapsed="false">
      <c r="A42" s="90" t="n">
        <v>0.53125</v>
      </c>
      <c r="B42" s="91" t="s">
        <v>61</v>
      </c>
      <c r="C42" s="98" t="n">
        <f aca="false">SUM(D41)</f>
        <v>2099400</v>
      </c>
      <c r="D42" s="108" t="n">
        <v>2121930</v>
      </c>
      <c r="E42" s="92" t="n">
        <f aca="false">SUM(D42-C42)</f>
        <v>22530</v>
      </c>
      <c r="F42" s="164" t="n">
        <v>22430</v>
      </c>
      <c r="G42" s="41" t="n">
        <v>0.8247</v>
      </c>
      <c r="H42" s="94" t="n">
        <f aca="false">SUM(G42*F42)</f>
        <v>18498.021</v>
      </c>
      <c r="I42" s="177" t="n">
        <v>388</v>
      </c>
      <c r="J42" s="29" t="n">
        <v>6444</v>
      </c>
      <c r="K42" s="119" t="s">
        <v>60</v>
      </c>
      <c r="L42" s="118"/>
      <c r="M42" s="118"/>
      <c r="N42" s="95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0.576388888888889</v>
      </c>
      <c r="B43" s="91" t="s">
        <v>61</v>
      </c>
      <c r="C43" s="98" t="n">
        <f aca="false">SUM(D42)</f>
        <v>2121930</v>
      </c>
      <c r="D43" s="108" t="n">
        <v>2133210</v>
      </c>
      <c r="E43" s="92" t="n">
        <f aca="false">SUM(D43-C43)</f>
        <v>11280</v>
      </c>
      <c r="F43" s="201" t="n">
        <v>11219</v>
      </c>
      <c r="G43" s="41" t="n">
        <v>0.8232</v>
      </c>
      <c r="H43" s="94" t="n">
        <f aca="false">SUM(G43*F43)</f>
        <v>9235.4808</v>
      </c>
      <c r="I43" s="177" t="n">
        <v>81</v>
      </c>
      <c r="J43" s="29" t="n">
        <v>6445</v>
      </c>
      <c r="K43" s="119" t="s">
        <v>60</v>
      </c>
      <c r="L43" s="118"/>
      <c r="M43" s="118"/>
      <c r="N43" s="95"/>
      <c r="O43" s="118"/>
      <c r="P43" s="118"/>
      <c r="Q43" s="118"/>
      <c r="R43" s="118"/>
      <c r="S43" s="118"/>
    </row>
    <row r="44" customFormat="false" ht="15" hidden="false" customHeight="true" outlineLevel="0" collapsed="false">
      <c r="A44" s="90" t="n">
        <v>0.597222222222222</v>
      </c>
      <c r="B44" s="91" t="s">
        <v>61</v>
      </c>
      <c r="C44" s="98" t="n">
        <f aca="false">SUM(D43)</f>
        <v>2133210</v>
      </c>
      <c r="D44" s="108" t="n">
        <v>2138260</v>
      </c>
      <c r="E44" s="92" t="n">
        <f aca="false">SUM(D44-C44)</f>
        <v>5050</v>
      </c>
      <c r="F44" s="109" t="n">
        <v>5017</v>
      </c>
      <c r="G44" s="41" t="n">
        <v>0.8232</v>
      </c>
      <c r="H44" s="94" t="n">
        <f aca="false">SUM(G44*F44)</f>
        <v>4129.9944</v>
      </c>
      <c r="I44" s="177" t="n">
        <v>57</v>
      </c>
      <c r="J44" s="29" t="n">
        <v>6446</v>
      </c>
      <c r="K44" s="202" t="s">
        <v>95</v>
      </c>
      <c r="L44" s="118"/>
      <c r="M44" s="118"/>
      <c r="N44" s="95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0.642361111111111</v>
      </c>
      <c r="B45" s="91" t="s">
        <v>62</v>
      </c>
      <c r="C45" s="98" t="n">
        <f aca="false">SUM(D44)</f>
        <v>2138260</v>
      </c>
      <c r="D45" s="108" t="n">
        <v>2155360</v>
      </c>
      <c r="E45" s="92" t="n">
        <f aca="false">SUM(D45-C45)</f>
        <v>17100</v>
      </c>
      <c r="F45" s="129" t="n">
        <v>17019</v>
      </c>
      <c r="G45" s="41" t="n">
        <v>0.824</v>
      </c>
      <c r="H45" s="94" t="n">
        <f aca="false">SUM(G45*F45)</f>
        <v>14023.656</v>
      </c>
      <c r="I45" s="200" t="n">
        <v>251</v>
      </c>
      <c r="J45" s="182" t="n">
        <v>6447</v>
      </c>
      <c r="K45" s="120" t="s">
        <v>91</v>
      </c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0.802083333333333</v>
      </c>
      <c r="B46" s="183" t="s">
        <v>90</v>
      </c>
      <c r="C46" s="98" t="n">
        <f aca="false">SUM(D45)</f>
        <v>2155360</v>
      </c>
      <c r="D46" s="108" t="n">
        <v>2172490</v>
      </c>
      <c r="E46" s="92" t="n">
        <f aca="false">SUM(D46-C46)</f>
        <v>17130</v>
      </c>
      <c r="F46" s="129" t="n">
        <v>17019</v>
      </c>
      <c r="G46" s="41" t="n">
        <v>0.8221</v>
      </c>
      <c r="H46" s="94" t="n">
        <f aca="false">SUM(G46*F46)</f>
        <v>13991.3199</v>
      </c>
      <c r="I46" s="184" t="n">
        <v>251</v>
      </c>
      <c r="J46" s="29" t="n">
        <v>6452</v>
      </c>
      <c r="K46" s="119" t="s">
        <v>60</v>
      </c>
      <c r="L46" s="118"/>
      <c r="M46" s="118"/>
      <c r="N46" s="118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0.913194444444444</v>
      </c>
      <c r="B47" s="91" t="s">
        <v>62</v>
      </c>
      <c r="C47" s="98" t="n">
        <f aca="false">SUM(D46)</f>
        <v>2172490</v>
      </c>
      <c r="D47" s="108" t="n">
        <v>2183550</v>
      </c>
      <c r="E47" s="92" t="n">
        <f aca="false">SUM(D47-C47)</f>
        <v>11060</v>
      </c>
      <c r="F47" s="109" t="n">
        <v>11005</v>
      </c>
      <c r="G47" s="41" t="n">
        <v>0.824</v>
      </c>
      <c r="H47" s="94" t="n">
        <f aca="false">SUM(G47*F47)</f>
        <v>9068.12</v>
      </c>
      <c r="I47" s="200" t="n">
        <v>119</v>
      </c>
      <c r="J47" s="29" t="n">
        <v>6455</v>
      </c>
      <c r="K47" s="120" t="s">
        <v>91</v>
      </c>
      <c r="L47" s="118"/>
      <c r="M47" s="118"/>
      <c r="N47" s="118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0.927083333333333</v>
      </c>
      <c r="B48" s="91" t="s">
        <v>62</v>
      </c>
      <c r="C48" s="98" t="n">
        <f aca="false">SUM(D47)</f>
        <v>2183550</v>
      </c>
      <c r="D48" s="108" t="n">
        <v>2206080</v>
      </c>
      <c r="E48" s="92" t="n">
        <f aca="false">SUM(D48-C48)</f>
        <v>22530</v>
      </c>
      <c r="F48" s="164" t="n">
        <v>22430</v>
      </c>
      <c r="G48" s="41" t="n">
        <v>0.824</v>
      </c>
      <c r="H48" s="94" t="n">
        <f aca="false">SUM(G48*F48)</f>
        <v>18482.32</v>
      </c>
      <c r="I48" s="200" t="n">
        <v>388</v>
      </c>
      <c r="J48" s="29" t="n">
        <v>6456</v>
      </c>
      <c r="K48" s="120" t="s">
        <v>91</v>
      </c>
      <c r="L48" s="118"/>
      <c r="M48" s="118"/>
      <c r="N48" s="118"/>
      <c r="O48" s="118"/>
      <c r="P48" s="118"/>
      <c r="Q48" s="118"/>
      <c r="R48" s="118"/>
      <c r="S48" s="118"/>
    </row>
    <row r="49" customFormat="false" ht="15" hidden="false" customHeight="false" outlineLevel="0" collapsed="false">
      <c r="A49" s="90" t="n">
        <v>0.9375</v>
      </c>
      <c r="B49" s="91" t="s">
        <v>90</v>
      </c>
      <c r="C49" s="98" t="n">
        <f aca="false">SUM(D48)</f>
        <v>2206080</v>
      </c>
      <c r="D49" s="108" t="n">
        <v>2215980</v>
      </c>
      <c r="E49" s="92" t="n">
        <f aca="false">SUM(D49-C49)</f>
        <v>9900</v>
      </c>
      <c r="F49" s="109" t="n">
        <v>9847</v>
      </c>
      <c r="G49" s="41" t="n">
        <v>0.8225</v>
      </c>
      <c r="H49" s="94" t="n">
        <f aca="false">SUM(G49*F49)</f>
        <v>8099.1575</v>
      </c>
      <c r="I49" s="184" t="n">
        <v>81</v>
      </c>
      <c r="J49" s="29" t="n">
        <v>6457</v>
      </c>
      <c r="K49" s="119" t="s">
        <v>60</v>
      </c>
      <c r="L49" s="118"/>
      <c r="M49" s="118"/>
      <c r="N49" s="118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0.947916666666667</v>
      </c>
      <c r="B50" s="91" t="s">
        <v>90</v>
      </c>
      <c r="C50" s="98" t="n">
        <f aca="false">SUM(D49)</f>
        <v>2215980</v>
      </c>
      <c r="D50" s="108" t="n">
        <v>2226300</v>
      </c>
      <c r="E50" s="92" t="n">
        <f aca="false">SUM(D50-C50)</f>
        <v>10320</v>
      </c>
      <c r="F50" s="109" t="n">
        <v>10265</v>
      </c>
      <c r="G50" s="41" t="n">
        <v>0.8225</v>
      </c>
      <c r="H50" s="94" t="n">
        <f aca="false">SUM(G50*F50)</f>
        <v>8442.9625</v>
      </c>
      <c r="I50" s="184" t="n">
        <v>382</v>
      </c>
      <c r="J50" s="29" t="n">
        <v>6458</v>
      </c>
      <c r="K50" s="119" t="s">
        <v>60</v>
      </c>
      <c r="L50" s="118"/>
      <c r="M50" s="118"/>
      <c r="N50" s="118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 t="n">
        <v>0.958333333333333</v>
      </c>
      <c r="B51" s="91" t="s">
        <v>90</v>
      </c>
      <c r="C51" s="98" t="n">
        <f aca="false">SUM(D50)</f>
        <v>2226300</v>
      </c>
      <c r="D51" s="108" t="n">
        <v>2231190</v>
      </c>
      <c r="E51" s="92" t="n">
        <f aca="false">SUM(D51-C51)</f>
        <v>4890</v>
      </c>
      <c r="F51" s="109" t="n">
        <v>4850</v>
      </c>
      <c r="G51" s="41" t="n">
        <v>0.8225</v>
      </c>
      <c r="H51" s="94" t="n">
        <f aca="false">SUM(G51*F51)</f>
        <v>3989.125</v>
      </c>
      <c r="I51" s="184" t="n">
        <v>57</v>
      </c>
      <c r="J51" s="29" t="n">
        <v>6459</v>
      </c>
      <c r="K51" s="119" t="s">
        <v>60</v>
      </c>
      <c r="L51" s="118"/>
      <c r="M51" s="118"/>
      <c r="N51" s="118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 t="n">
        <v>0.0729166666666667</v>
      </c>
      <c r="B52" s="91" t="s">
        <v>90</v>
      </c>
      <c r="C52" s="98" t="n">
        <f aca="false">SUM(D51)</f>
        <v>2231190</v>
      </c>
      <c r="D52" s="108" t="n">
        <v>2237900</v>
      </c>
      <c r="E52" s="92" t="n">
        <f aca="false">SUM(D52-C52)</f>
        <v>6710</v>
      </c>
      <c r="F52" s="109" t="n">
        <v>6676</v>
      </c>
      <c r="G52" s="41" t="n">
        <v>0.823</v>
      </c>
      <c r="H52" s="94" t="n">
        <f aca="false">SUM(G52*F52)</f>
        <v>5494.348</v>
      </c>
      <c r="I52" s="184" t="n">
        <v>57</v>
      </c>
      <c r="J52" s="29" t="n">
        <v>6461</v>
      </c>
      <c r="K52" s="119" t="s">
        <v>60</v>
      </c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 t="n">
        <v>0.177083333333333</v>
      </c>
      <c r="B53" s="91" t="s">
        <v>62</v>
      </c>
      <c r="C53" s="98" t="n">
        <f aca="false">SUM(D52)</f>
        <v>2237900</v>
      </c>
      <c r="D53" s="108" t="n">
        <v>2255020</v>
      </c>
      <c r="E53" s="92" t="n">
        <f aca="false">SUM(D53-C53)</f>
        <v>17120</v>
      </c>
      <c r="F53" s="129" t="n">
        <v>17019</v>
      </c>
      <c r="G53" s="41" t="n">
        <v>0.8255</v>
      </c>
      <c r="H53" s="94" t="n">
        <f aca="false">SUM(G53*F53)</f>
        <v>14049.1845</v>
      </c>
      <c r="I53" s="200" t="n">
        <v>251</v>
      </c>
      <c r="J53" s="29" t="n">
        <v>6464</v>
      </c>
      <c r="K53" s="120" t="s">
        <v>91</v>
      </c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 t="n">
        <v>0.260416666666667</v>
      </c>
      <c r="B54" s="91" t="s">
        <v>62</v>
      </c>
      <c r="C54" s="98" t="n">
        <f aca="false">SUM(D53)</f>
        <v>2255020</v>
      </c>
      <c r="D54" s="108" t="n">
        <v>2272120</v>
      </c>
      <c r="E54" s="92" t="n">
        <f aca="false">SUM(D54-C54)</f>
        <v>17100</v>
      </c>
      <c r="F54" s="129" t="n">
        <v>17019</v>
      </c>
      <c r="G54" s="41" t="n">
        <v>0.8255</v>
      </c>
      <c r="H54" s="94" t="n">
        <f aca="false">SUM(G54*F54)</f>
        <v>14049.1845</v>
      </c>
      <c r="I54" s="200" t="n">
        <v>251</v>
      </c>
      <c r="J54" s="29" t="n">
        <v>6467</v>
      </c>
      <c r="K54" s="120" t="s">
        <v>91</v>
      </c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 t="n">
        <v>0.302083333333333</v>
      </c>
      <c r="B55" s="91" t="s">
        <v>62</v>
      </c>
      <c r="C55" s="98" t="n">
        <f aca="false">D54</f>
        <v>2272120</v>
      </c>
      <c r="D55" s="108" t="n">
        <v>2282120</v>
      </c>
      <c r="E55" s="92" t="n">
        <f aca="false">SUM(D55-C55)</f>
        <v>10000</v>
      </c>
      <c r="F55" s="129" t="n">
        <v>9986</v>
      </c>
      <c r="G55" s="41" t="n">
        <v>0.8255</v>
      </c>
      <c r="H55" s="94" t="n">
        <f aca="false">SUM(G55*F55)</f>
        <v>8243.443</v>
      </c>
      <c r="I55" s="200" t="n">
        <v>251</v>
      </c>
      <c r="J55" s="29" t="n">
        <v>6469</v>
      </c>
      <c r="K55" s="120" t="s">
        <v>91</v>
      </c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 t="n">
        <v>0.302083333333333</v>
      </c>
      <c r="B56" s="91" t="s">
        <v>62</v>
      </c>
      <c r="C56" s="98" t="n">
        <f aca="false">D55</f>
        <v>2282120</v>
      </c>
      <c r="D56" s="108" t="n">
        <v>2289270</v>
      </c>
      <c r="E56" s="92" t="n">
        <f aca="false">SUM(D56-C56)</f>
        <v>7150</v>
      </c>
      <c r="F56" s="129" t="n">
        <v>7033</v>
      </c>
      <c r="G56" s="41" t="n">
        <v>0.8265</v>
      </c>
      <c r="H56" s="132" t="n">
        <f aca="false">SUM(G56*F56)</f>
        <v>5812.7745</v>
      </c>
      <c r="I56" s="200" t="n">
        <v>251</v>
      </c>
      <c r="J56" s="29" t="n">
        <v>6469</v>
      </c>
      <c r="K56" s="120" t="s">
        <v>91</v>
      </c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A57" s="90" t="n">
        <v>0.34375</v>
      </c>
      <c r="B57" s="91" t="s">
        <v>52</v>
      </c>
      <c r="C57" s="98" t="n">
        <f aca="false">SUM(D56)</f>
        <v>2289270</v>
      </c>
      <c r="D57" s="108" t="n">
        <v>2304420</v>
      </c>
      <c r="E57" s="92" t="n">
        <f aca="false">SUM(D57-C57)</f>
        <v>15150</v>
      </c>
      <c r="F57" s="203" t="n">
        <v>15040</v>
      </c>
      <c r="G57" s="41" t="n">
        <v>0.8376</v>
      </c>
      <c r="H57" s="94" t="n">
        <f aca="false">SUM(G57*F57)</f>
        <v>12597.504</v>
      </c>
      <c r="I57" s="1" t="n">
        <v>467</v>
      </c>
      <c r="J57" s="29" t="n">
        <v>6471</v>
      </c>
      <c r="K57" s="120" t="s">
        <v>82</v>
      </c>
      <c r="L57" s="118"/>
      <c r="M57" s="118"/>
      <c r="N57" s="118"/>
      <c r="O57" s="118"/>
      <c r="P57" s="118"/>
      <c r="Q57" s="118"/>
      <c r="R57" s="118"/>
      <c r="S57" s="118"/>
    </row>
    <row r="58" customFormat="false" ht="15" hidden="false" customHeight="false" outlineLevel="0" collapsed="false">
      <c r="A58" s="90"/>
      <c r="B58" s="91"/>
      <c r="C58" s="98" t="n">
        <v>0</v>
      </c>
      <c r="D58" s="108"/>
      <c r="E58" s="92" t="n">
        <f aca="false">SUM(D58-C58)</f>
        <v>0</v>
      </c>
      <c r="F58" s="109" t="n">
        <f aca="false">SUM(D58-C58)</f>
        <v>0</v>
      </c>
      <c r="G58" s="41"/>
      <c r="H58" s="94" t="n">
        <f aca="false">SUM(G58*F58)</f>
        <v>0</v>
      </c>
      <c r="I58" s="1"/>
      <c r="J58" s="29"/>
      <c r="K58" s="120"/>
      <c r="L58" s="118"/>
      <c r="M58" s="118"/>
      <c r="N58" s="118"/>
      <c r="O58" s="118"/>
      <c r="P58" s="118"/>
      <c r="Q58" s="118"/>
      <c r="R58" s="118"/>
      <c r="S58" s="118"/>
    </row>
    <row r="59" customFormat="false" ht="15.75" hidden="false" customHeight="false" outlineLevel="0" collapsed="false">
      <c r="A59" s="90"/>
      <c r="B59" s="91"/>
      <c r="C59" s="98" t="n">
        <f aca="false">SUM(D58)</f>
        <v>0</v>
      </c>
      <c r="D59" s="108"/>
      <c r="E59" s="92" t="n">
        <f aca="false">SUM(D59-C59)</f>
        <v>0</v>
      </c>
      <c r="F59" s="109" t="n">
        <f aca="false">SUM(D59-C59)</f>
        <v>0</v>
      </c>
      <c r="G59" s="41"/>
      <c r="H59" s="94" t="n">
        <f aca="false">SUM(G59*F59)</f>
        <v>0</v>
      </c>
      <c r="I59" s="1"/>
      <c r="J59" s="29"/>
      <c r="K59" s="119"/>
      <c r="L59" s="118"/>
      <c r="M59" s="118"/>
      <c r="N59" s="118"/>
      <c r="O59" s="118"/>
      <c r="P59" s="118"/>
      <c r="Q59" s="118"/>
      <c r="R59" s="118"/>
      <c r="S59" s="118"/>
    </row>
    <row r="60" customFormat="false" ht="15.75" hidden="false" customHeight="false" outlineLevel="0" collapsed="false">
      <c r="A60" s="90"/>
      <c r="B60" s="91"/>
      <c r="C60" s="98" t="n">
        <v>0</v>
      </c>
      <c r="D60" s="76"/>
      <c r="E60" s="110" t="n">
        <f aca="false">SUM(D60-C60)</f>
        <v>0</v>
      </c>
      <c r="F60" s="133" t="n">
        <v>263692</v>
      </c>
      <c r="G60" s="134"/>
      <c r="H60" s="135" t="n">
        <v>217534</v>
      </c>
      <c r="I60" s="136"/>
      <c r="J60" s="29"/>
      <c r="K60" s="121"/>
      <c r="L60" s="118"/>
      <c r="M60" s="118"/>
      <c r="N60" s="118"/>
      <c r="O60" s="118"/>
      <c r="P60" s="118"/>
      <c r="Q60" s="118"/>
      <c r="R60" s="118"/>
      <c r="S60" s="118"/>
    </row>
    <row r="61" customFormat="false" ht="15.75" hidden="false" customHeight="false" outlineLevel="0" collapsed="false">
      <c r="L61" s="118"/>
      <c r="M61" s="118"/>
      <c r="N61" s="118"/>
      <c r="O61" s="118"/>
      <c r="P61" s="118"/>
      <c r="Q61" s="118"/>
      <c r="R61" s="118"/>
      <c r="S61" s="118"/>
    </row>
    <row r="62" customFormat="false" ht="15.75" hidden="false" customHeight="false" outlineLevel="0" collapsed="false">
      <c r="F62" s="146" t="n">
        <f aca="false">F60+F33</f>
        <v>563228</v>
      </c>
      <c r="G62" s="134"/>
      <c r="H62" s="135" t="n">
        <f aca="false">H60+H33</f>
        <v>466465.3288</v>
      </c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E63" s="118"/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E64" s="118"/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E65" s="118"/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false" customHeight="false" outlineLevel="0" collapsed="false">
      <c r="E66" s="118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false" customHeight="false" outlineLevel="0" collapsed="false">
      <c r="E67" s="118"/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E68" s="118"/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false" customHeight="false" outlineLevel="0" collapsed="false">
      <c r="E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false" customHeight="false" outlineLevel="0" collapsed="false">
      <c r="E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false" customHeight="false" outlineLevel="0" collapsed="false">
      <c r="E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false" customHeight="false" outlineLevel="0" collapsed="false">
      <c r="E72" s="118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fals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fals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tru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tru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tru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tru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tru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fals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fals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false" customHeight="false" outlineLevel="0" collapsed="false">
      <c r="E87" s="118"/>
      <c r="L87" s="118"/>
      <c r="M87" s="118"/>
      <c r="N87" s="118"/>
      <c r="O87" s="118"/>
      <c r="P87" s="118"/>
      <c r="Q87" s="118"/>
      <c r="R87" s="118"/>
      <c r="S87" s="118"/>
    </row>
    <row r="88" customFormat="false" ht="15" hidden="false" customHeight="false" outlineLevel="0" collapsed="false">
      <c r="E88" s="118"/>
    </row>
    <row r="89" customFormat="false" ht="15" hidden="false" customHeight="false" outlineLevel="0" collapsed="false">
      <c r="E89" s="118"/>
    </row>
    <row r="90" customFormat="false" ht="15" hidden="false" customHeight="false" outlineLevel="0" collapsed="false">
      <c r="E90" s="118"/>
    </row>
    <row r="91" customFormat="false" ht="15" hidden="false" customHeight="false" outlineLevel="0" collapsed="false">
      <c r="E91" s="118"/>
    </row>
    <row r="92" customFormat="false" ht="15" hidden="false" customHeight="false" outlineLevel="0" collapsed="false">
      <c r="E92" s="118"/>
    </row>
    <row r="93" customFormat="false" ht="15" hidden="false" customHeight="false" outlineLevel="0" collapsed="false">
      <c r="E93" s="118"/>
    </row>
    <row r="94" customFormat="false" ht="15" hidden="false" customHeight="false" outlineLevel="0" collapsed="false">
      <c r="E94" s="118"/>
    </row>
    <row r="95" customFormat="false" ht="15" hidden="false" customHeight="false" outlineLevel="0" collapsed="false">
      <c r="E95" s="118"/>
    </row>
    <row r="96" customFormat="false" ht="15" hidden="false" customHeight="false" outlineLevel="0" collapsed="false">
      <c r="E96" s="118"/>
    </row>
    <row r="97" customFormat="false" ht="15" hidden="false" customHeight="false" outlineLevel="0" collapsed="false">
      <c r="E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  <row r="124" customFormat="false" ht="15" hidden="false" customHeight="false" outlineLevel="0" collapsed="false">
      <c r="E124" s="118"/>
    </row>
    <row r="125" customFormat="false" ht="15" hidden="false" customHeight="false" outlineLevel="0" collapsed="false">
      <c r="E125" s="118"/>
    </row>
    <row r="126" customFormat="false" ht="15" hidden="false" customHeight="false" outlineLevel="0" collapsed="false">
      <c r="E126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2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K51" activeCellId="0" sqref="K51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6.57"/>
    <col collapsed="false" customWidth="true" hidden="false" outlineLevel="0" max="12" min="12" style="71" width="10.43"/>
    <col collapsed="false" customWidth="true" hidden="false" outlineLevel="0" max="13" min="13" style="71" width="9.43"/>
    <col collapsed="false" customWidth="true" hidden="false" outlineLevel="0" max="14" min="14" style="71" width="15"/>
    <col collapsed="false" customWidth="true" hidden="false" outlineLevel="0" max="15" min="15" style="71" width="14.14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60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.75" hidden="false" customHeight="false" outlineLevel="0" collapsed="false">
      <c r="A2" s="82"/>
      <c r="B2" s="82" t="s">
        <v>36</v>
      </c>
      <c r="C2" s="83"/>
      <c r="D2" s="83"/>
      <c r="E2" s="83"/>
      <c r="F2" s="83"/>
      <c r="G2" s="84"/>
      <c r="H2" s="85"/>
      <c r="I2" s="86"/>
      <c r="J2" s="87" t="s">
        <v>18</v>
      </c>
      <c r="K2" s="88"/>
      <c r="L2" s="149"/>
      <c r="M2" s="150" t="s">
        <v>37</v>
      </c>
      <c r="N2" s="151"/>
      <c r="O2" s="151"/>
      <c r="P2" s="151"/>
      <c r="Q2" s="152"/>
      <c r="R2" s="153"/>
      <c r="S2" s="154"/>
    </row>
    <row r="3" customFormat="false" ht="15.75" hidden="false" customHeight="false" outlineLevel="0" collapsed="false">
      <c r="A3" s="90" t="n">
        <v>0.420138888888889</v>
      </c>
      <c r="B3" s="155" t="s">
        <v>66</v>
      </c>
      <c r="C3" s="98" t="n">
        <v>49750540</v>
      </c>
      <c r="D3" s="76" t="n">
        <v>49758950</v>
      </c>
      <c r="E3" s="92" t="n">
        <f aca="false">SUM(D3-C3)</f>
        <v>8410</v>
      </c>
      <c r="F3" s="93" t="n">
        <f aca="false">SUM(D3-C3)</f>
        <v>8410</v>
      </c>
      <c r="G3" s="41" t="n">
        <v>0.8296</v>
      </c>
      <c r="H3" s="94" t="n">
        <f aca="false">SUM(G3*F3)</f>
        <v>6976.936</v>
      </c>
      <c r="I3" s="156" t="n">
        <v>237</v>
      </c>
      <c r="J3" s="29" t="n">
        <v>6474</v>
      </c>
      <c r="K3" s="95"/>
      <c r="L3" s="157" t="n">
        <v>0.444444444444444</v>
      </c>
      <c r="M3" s="158" t="s">
        <v>39</v>
      </c>
      <c r="N3" s="159" t="n">
        <v>7623150</v>
      </c>
      <c r="O3" s="160" t="n">
        <v>7623470</v>
      </c>
      <c r="P3" s="159" t="n">
        <f aca="false">SUM(O3-N3)</f>
        <v>320</v>
      </c>
      <c r="Q3" s="161" t="n">
        <v>0.8365</v>
      </c>
      <c r="R3" s="162" t="n">
        <f aca="false">SUM(Q3*P3)</f>
        <v>267.68</v>
      </c>
      <c r="S3" s="163" t="s">
        <v>67</v>
      </c>
      <c r="V3" s="0" t="s">
        <v>41</v>
      </c>
    </row>
    <row r="4" customFormat="false" ht="15.75" hidden="false" customHeight="false" outlineLevel="0" collapsed="false">
      <c r="A4" s="90" t="n">
        <v>0.447916666666667</v>
      </c>
      <c r="B4" s="91" t="s">
        <v>66</v>
      </c>
      <c r="C4" s="98" t="n">
        <f aca="false">SUM(D3)</f>
        <v>49758950</v>
      </c>
      <c r="D4" s="76" t="n">
        <v>49770430</v>
      </c>
      <c r="E4" s="92" t="n">
        <f aca="false">SUM(D4-C4)</f>
        <v>11480</v>
      </c>
      <c r="F4" s="164" t="n">
        <v>11480</v>
      </c>
      <c r="G4" s="41" t="n">
        <v>0.8296</v>
      </c>
      <c r="H4" s="94" t="n">
        <f aca="false">SUM(G4*F4)</f>
        <v>9523.808</v>
      </c>
      <c r="I4" s="156" t="n">
        <v>388</v>
      </c>
      <c r="J4" s="29" t="n">
        <v>6477</v>
      </c>
      <c r="K4" s="95"/>
      <c r="L4" s="157" t="n">
        <v>0.631944444444444</v>
      </c>
      <c r="M4" s="158" t="s">
        <v>39</v>
      </c>
      <c r="N4" s="159" t="n">
        <f aca="false">SUM(O3)</f>
        <v>7623470</v>
      </c>
      <c r="O4" s="160" t="n">
        <v>7623580</v>
      </c>
      <c r="P4" s="159" t="n">
        <f aca="false">SUM(O4-N4)</f>
        <v>110</v>
      </c>
      <c r="Q4" s="161" t="n">
        <v>0.8344</v>
      </c>
      <c r="R4" s="162" t="n">
        <f aca="false">SUM(Q4*P4)</f>
        <v>91.784</v>
      </c>
      <c r="S4" s="163" t="s">
        <v>63</v>
      </c>
    </row>
    <row r="5" customFormat="false" ht="15.75" hidden="false" customHeight="false" outlineLevel="0" collapsed="false">
      <c r="A5" s="90" t="n">
        <v>0.454861111111111</v>
      </c>
      <c r="B5" s="91" t="s">
        <v>66</v>
      </c>
      <c r="C5" s="98" t="n">
        <f aca="false">SUM(D4)</f>
        <v>49770430</v>
      </c>
      <c r="D5" s="76" t="n">
        <v>49781380</v>
      </c>
      <c r="E5" s="92" t="n">
        <f aca="false">SUM(D5-C5)</f>
        <v>10950</v>
      </c>
      <c r="F5" s="164" t="n">
        <v>10950</v>
      </c>
      <c r="G5" s="41" t="n">
        <v>0.8296</v>
      </c>
      <c r="H5" s="94" t="n">
        <f aca="false">SUM(G5*F5)</f>
        <v>9084.12</v>
      </c>
      <c r="I5" s="156" t="n">
        <v>388</v>
      </c>
      <c r="J5" s="29" t="n">
        <v>6479</v>
      </c>
      <c r="K5" s="95"/>
      <c r="L5" s="157" t="n">
        <v>0.649305555555556</v>
      </c>
      <c r="M5" s="158" t="s">
        <v>46</v>
      </c>
      <c r="N5" s="159" t="n">
        <f aca="false">SUM(O4)</f>
        <v>7623580</v>
      </c>
      <c r="O5" s="160" t="n">
        <v>7623720</v>
      </c>
      <c r="P5" s="159" t="n">
        <f aca="false">SUM(O5-N5)</f>
        <v>140</v>
      </c>
      <c r="Q5" s="161" t="n">
        <v>0.8331</v>
      </c>
      <c r="R5" s="162" t="n">
        <f aca="false">SUM(Q5*P5)</f>
        <v>116.634</v>
      </c>
      <c r="S5" s="163" t="s">
        <v>65</v>
      </c>
    </row>
    <row r="6" customFormat="false" ht="15.75" hidden="false" customHeight="false" outlineLevel="0" collapsed="false">
      <c r="A6" s="90" t="n">
        <v>0.461805555555556</v>
      </c>
      <c r="B6" s="91" t="s">
        <v>66</v>
      </c>
      <c r="C6" s="98" t="n">
        <f aca="false">SUM(D5)</f>
        <v>49781380</v>
      </c>
      <c r="D6" s="76" t="n">
        <v>49787300</v>
      </c>
      <c r="E6" s="92" t="n">
        <f aca="false">SUM(D6-C6)</f>
        <v>5920</v>
      </c>
      <c r="F6" s="93" t="n">
        <f aca="false">SUM(D6-C6)</f>
        <v>5920</v>
      </c>
      <c r="G6" s="41" t="n">
        <v>0.8296</v>
      </c>
      <c r="H6" s="94" t="n">
        <f aca="false">SUM(G6*F6)</f>
        <v>4911.232</v>
      </c>
      <c r="I6" s="156" t="n">
        <v>248</v>
      </c>
      <c r="J6" s="29" t="n">
        <v>6481</v>
      </c>
      <c r="K6" s="95"/>
      <c r="L6" s="157" t="n">
        <v>0.871527777777778</v>
      </c>
      <c r="M6" s="158" t="s">
        <v>66</v>
      </c>
      <c r="N6" s="159" t="n">
        <f aca="false">SUM(O5)</f>
        <v>7623720</v>
      </c>
      <c r="O6" s="160" t="n">
        <v>7623800</v>
      </c>
      <c r="P6" s="159" t="n">
        <f aca="false">SUM(O6-N6)</f>
        <v>80</v>
      </c>
      <c r="Q6" s="168" t="n">
        <v>0.8296</v>
      </c>
      <c r="R6" s="162" t="n">
        <f aca="false">SUM(Q6*P6)</f>
        <v>66.368</v>
      </c>
      <c r="S6" s="163" t="s">
        <v>45</v>
      </c>
    </row>
    <row r="7" customFormat="false" ht="15.75" hidden="false" customHeight="false" outlineLevel="0" collapsed="false">
      <c r="A7" s="90" t="n">
        <v>0.479166666666667</v>
      </c>
      <c r="B7" s="91" t="s">
        <v>66</v>
      </c>
      <c r="C7" s="98" t="n">
        <f aca="false">SUM(D6)</f>
        <v>49787300</v>
      </c>
      <c r="D7" s="76" t="n">
        <v>49788600</v>
      </c>
      <c r="E7" s="92" t="n">
        <f aca="false">SUM(D7-C7)</f>
        <v>1300</v>
      </c>
      <c r="F7" s="93" t="n">
        <f aca="false">SUM(D7-C7)</f>
        <v>1300</v>
      </c>
      <c r="G7" s="41" t="n">
        <v>0.8296</v>
      </c>
      <c r="H7" s="94" t="n">
        <f aca="false">SUM(G7*F7)</f>
        <v>1078.48</v>
      </c>
      <c r="I7" s="156" t="n">
        <v>237</v>
      </c>
      <c r="J7" s="29" t="n">
        <v>6482</v>
      </c>
      <c r="K7" s="95"/>
      <c r="L7" s="157" t="n">
        <v>0.888888888888889</v>
      </c>
      <c r="M7" s="158" t="s">
        <v>38</v>
      </c>
      <c r="N7" s="159" t="n">
        <f aca="false">SUM(O6)</f>
        <v>7623800</v>
      </c>
      <c r="O7" s="160" t="n">
        <v>7623890</v>
      </c>
      <c r="P7" s="159" t="n">
        <f aca="false">SUM(O7-N7)</f>
        <v>90</v>
      </c>
      <c r="Q7" s="168" t="n">
        <v>0.8289</v>
      </c>
      <c r="R7" s="162" t="n">
        <f aca="false">SUM(Q7*P7)</f>
        <v>74.601</v>
      </c>
      <c r="S7" s="163" t="s">
        <v>47</v>
      </c>
    </row>
    <row r="8" customFormat="false" ht="15.75" hidden="false" customHeight="false" outlineLevel="0" collapsed="false">
      <c r="A8" s="90" t="n">
        <v>0.538194444444444</v>
      </c>
      <c r="B8" s="91" t="s">
        <v>66</v>
      </c>
      <c r="C8" s="98" t="n">
        <f aca="false">SUM(D7)</f>
        <v>49788600</v>
      </c>
      <c r="D8" s="76" t="n">
        <v>49811020</v>
      </c>
      <c r="E8" s="92" t="n">
        <f aca="false">SUM(D8-C8)</f>
        <v>22420</v>
      </c>
      <c r="F8" s="164" t="n">
        <v>22430</v>
      </c>
      <c r="G8" s="41" t="n">
        <v>0.8296</v>
      </c>
      <c r="H8" s="94" t="n">
        <f aca="false">SUM(G8*F8)</f>
        <v>18607.928</v>
      </c>
      <c r="I8" s="156" t="n">
        <v>388</v>
      </c>
      <c r="J8" s="29" t="n">
        <v>6484</v>
      </c>
      <c r="K8" s="95"/>
      <c r="L8" s="157" t="n">
        <v>0.09375</v>
      </c>
      <c r="M8" s="158" t="s">
        <v>48</v>
      </c>
      <c r="N8" s="159" t="n">
        <f aca="false">SUM(O7)</f>
        <v>7623890</v>
      </c>
      <c r="O8" s="160" t="n">
        <v>7624030</v>
      </c>
      <c r="P8" s="159" t="n">
        <f aca="false">SUM(O8-N8)</f>
        <v>140</v>
      </c>
      <c r="Q8" s="161" t="n">
        <v>0.8298</v>
      </c>
      <c r="R8" s="162" t="n">
        <f aca="false">SUM(Q8*P8)</f>
        <v>116.172</v>
      </c>
      <c r="S8" s="163" t="s">
        <v>64</v>
      </c>
    </row>
    <row r="9" customFormat="false" ht="15" hidden="false" customHeight="false" outlineLevel="0" collapsed="false">
      <c r="A9" s="90" t="n">
        <v>0.722222222222222</v>
      </c>
      <c r="B9" s="139" t="s">
        <v>38</v>
      </c>
      <c r="C9" s="98" t="n">
        <f aca="false">SUM(D8)</f>
        <v>49811020</v>
      </c>
      <c r="D9" s="76" t="n">
        <v>49833450</v>
      </c>
      <c r="E9" s="92" t="n">
        <f aca="false">SUM(D9-C9)</f>
        <v>22430</v>
      </c>
      <c r="F9" s="164" t="n">
        <v>22430</v>
      </c>
      <c r="G9" s="41" t="n">
        <v>0.8289</v>
      </c>
      <c r="H9" s="94" t="n">
        <f aca="false">SUM(G9*F9)</f>
        <v>18592.227</v>
      </c>
      <c r="I9" s="165" t="n">
        <v>388</v>
      </c>
      <c r="J9" s="29" t="n">
        <v>6493</v>
      </c>
      <c r="K9" s="95"/>
      <c r="L9" s="171"/>
      <c r="M9" s="105"/>
      <c r="N9" s="100" t="n">
        <f aca="false">SUM(O8)</f>
        <v>7624030</v>
      </c>
      <c r="O9" s="172"/>
      <c r="P9" s="100" t="n">
        <f aca="false">SUM(O9-N9)</f>
        <v>-7624030</v>
      </c>
      <c r="Q9" s="106"/>
      <c r="R9" s="102" t="n">
        <f aca="false">SUM(Q9*P9)</f>
        <v>0</v>
      </c>
      <c r="S9" s="103"/>
    </row>
    <row r="10" customFormat="false" ht="15" hidden="false" customHeight="false" outlineLevel="0" collapsed="false">
      <c r="A10" s="90" t="n">
        <v>0.78125</v>
      </c>
      <c r="B10" s="91" t="s">
        <v>38</v>
      </c>
      <c r="C10" s="98" t="n">
        <f aca="false">SUM(D9)</f>
        <v>49833450</v>
      </c>
      <c r="D10" s="76" t="n">
        <v>49855870</v>
      </c>
      <c r="E10" s="92" t="n">
        <f aca="false">SUM(D10-C10)</f>
        <v>22420</v>
      </c>
      <c r="F10" s="164" t="n">
        <v>22430</v>
      </c>
      <c r="G10" s="41" t="n">
        <v>0.8289</v>
      </c>
      <c r="H10" s="94" t="n">
        <f aca="false">SUM(G10*F10)</f>
        <v>18592.227</v>
      </c>
      <c r="I10" s="165" t="n">
        <v>388</v>
      </c>
      <c r="J10" s="29" t="n">
        <v>6496</v>
      </c>
      <c r="K10" s="95"/>
      <c r="L10" s="96"/>
      <c r="M10" s="97"/>
      <c r="N10" s="100" t="n">
        <f aca="false">SUM(O9)</f>
        <v>0</v>
      </c>
      <c r="O10" s="99"/>
      <c r="P10" s="100" t="n">
        <f aca="false">SUM(O10-N10)</f>
        <v>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0.871527777777778</v>
      </c>
      <c r="B11" s="91" t="s">
        <v>38</v>
      </c>
      <c r="C11" s="98" t="n">
        <f aca="false">SUM(D10)</f>
        <v>49855870</v>
      </c>
      <c r="D11" s="76" t="n">
        <v>49867350</v>
      </c>
      <c r="E11" s="92" t="n">
        <f aca="false">SUM(D11-C11)</f>
        <v>11480</v>
      </c>
      <c r="F11" s="164" t="n">
        <v>11480</v>
      </c>
      <c r="G11" s="41" t="n">
        <v>0.8289</v>
      </c>
      <c r="H11" s="94" t="n">
        <f aca="false">SUM(G11*F11)</f>
        <v>9515.772</v>
      </c>
      <c r="I11" s="165" t="n">
        <v>388</v>
      </c>
      <c r="J11" s="29" t="n">
        <v>6498</v>
      </c>
      <c r="K11" s="95"/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0.878472222222222</v>
      </c>
      <c r="B12" s="125" t="s">
        <v>44</v>
      </c>
      <c r="C12" s="98" t="n">
        <f aca="false">SUM(D11)</f>
        <v>49867350</v>
      </c>
      <c r="D12" s="76" t="n">
        <v>49878300</v>
      </c>
      <c r="E12" s="92" t="n">
        <f aca="false">SUM(D12-C12)</f>
        <v>10950</v>
      </c>
      <c r="F12" s="164" t="n">
        <v>10950</v>
      </c>
      <c r="G12" s="41" t="n">
        <v>0.8321</v>
      </c>
      <c r="H12" s="94" t="n">
        <f aca="false">SUM(G12*F12)</f>
        <v>9111.495</v>
      </c>
      <c r="I12" s="167" t="n">
        <v>388</v>
      </c>
      <c r="J12" s="29" t="n">
        <v>6499</v>
      </c>
      <c r="K12" s="95"/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0.895833333333333</v>
      </c>
      <c r="B13" s="91" t="s">
        <v>44</v>
      </c>
      <c r="C13" s="98" t="n">
        <f aca="false">SUM(D12)</f>
        <v>49878300</v>
      </c>
      <c r="D13" s="76" t="n">
        <v>49895330</v>
      </c>
      <c r="E13" s="92" t="n">
        <f aca="false">SUM(D13-C13)</f>
        <v>17030</v>
      </c>
      <c r="F13" s="129" t="n">
        <v>17019</v>
      </c>
      <c r="G13" s="41" t="n">
        <v>0.8321</v>
      </c>
      <c r="H13" s="94" t="n">
        <f aca="false">SUM(G13*F13)</f>
        <v>14161.5099</v>
      </c>
      <c r="I13" s="167" t="n">
        <v>251</v>
      </c>
      <c r="J13" s="29" t="n">
        <v>6501</v>
      </c>
      <c r="K13" s="95"/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0.913194444444444</v>
      </c>
      <c r="B14" s="91" t="s">
        <v>44</v>
      </c>
      <c r="C14" s="98" t="n">
        <f aca="false">SUM(D13)</f>
        <v>49895330</v>
      </c>
      <c r="D14" s="76" t="n">
        <v>49903750</v>
      </c>
      <c r="E14" s="92" t="n">
        <f aca="false">SUM(D14-C14)</f>
        <v>8420</v>
      </c>
      <c r="F14" s="93" t="n">
        <f aca="false">SUM(D14-C14)</f>
        <v>8420</v>
      </c>
      <c r="G14" s="41" t="n">
        <v>0.8321</v>
      </c>
      <c r="H14" s="94" t="n">
        <f aca="false">SUM(G14*F14)</f>
        <v>7006.282</v>
      </c>
      <c r="I14" s="167" t="n">
        <v>237</v>
      </c>
      <c r="J14" s="29" t="n">
        <v>6502</v>
      </c>
      <c r="K14" s="95"/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0.0763888888888889</v>
      </c>
      <c r="B15" s="91" t="s">
        <v>44</v>
      </c>
      <c r="C15" s="98" t="n">
        <f aca="false">SUM(D14)</f>
        <v>49903750</v>
      </c>
      <c r="D15" s="76" t="n">
        <v>49926170</v>
      </c>
      <c r="E15" s="92" t="n">
        <f aca="false">SUM(D15-C15)</f>
        <v>22420</v>
      </c>
      <c r="F15" s="164" t="n">
        <v>22430</v>
      </c>
      <c r="G15" s="41" t="n">
        <v>0.8321</v>
      </c>
      <c r="H15" s="94" t="n">
        <f aca="false">SUM(G15*F15)</f>
        <v>18664.003</v>
      </c>
      <c r="I15" s="167" t="n">
        <v>388</v>
      </c>
      <c r="J15" s="29" t="n">
        <v>6508</v>
      </c>
      <c r="K15" s="95"/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0.173611111111111</v>
      </c>
      <c r="B16" s="122" t="s">
        <v>39</v>
      </c>
      <c r="C16" s="98" t="n">
        <f aca="false">SUM(D15)</f>
        <v>49926170</v>
      </c>
      <c r="D16" s="76" t="n">
        <v>49948600</v>
      </c>
      <c r="E16" s="92" t="n">
        <f aca="false">SUM(D16-C16)</f>
        <v>22430</v>
      </c>
      <c r="F16" s="164" t="n">
        <v>22430</v>
      </c>
      <c r="G16" s="41" t="n">
        <v>0.8327</v>
      </c>
      <c r="H16" s="94" t="n">
        <f aca="false">SUM(G16*F16)</f>
        <v>18677.461</v>
      </c>
      <c r="I16" s="174" t="n">
        <v>388</v>
      </c>
      <c r="J16" s="29" t="n">
        <v>6510</v>
      </c>
      <c r="K16" s="95"/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0.21875</v>
      </c>
      <c r="B17" s="91" t="s">
        <v>39</v>
      </c>
      <c r="C17" s="98" t="n">
        <f aca="false">SUM(D16)</f>
        <v>49948600</v>
      </c>
      <c r="D17" s="76" t="n">
        <v>49965620</v>
      </c>
      <c r="E17" s="92" t="n">
        <f aca="false">SUM(D17-C17)</f>
        <v>17020</v>
      </c>
      <c r="F17" s="129" t="n">
        <v>17019</v>
      </c>
      <c r="G17" s="41" t="n">
        <v>0.8327</v>
      </c>
      <c r="H17" s="94" t="n">
        <f aca="false">SUM(G17*F17)</f>
        <v>14171.7213</v>
      </c>
      <c r="I17" s="174" t="n">
        <v>251</v>
      </c>
      <c r="J17" s="29" t="n">
        <v>6511</v>
      </c>
      <c r="K17" s="95"/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0.236111111111111</v>
      </c>
      <c r="B18" s="91" t="s">
        <v>39</v>
      </c>
      <c r="C18" s="98" t="n">
        <f aca="false">SUM(D17)</f>
        <v>49965620</v>
      </c>
      <c r="D18" s="76" t="n">
        <v>49988040</v>
      </c>
      <c r="E18" s="92" t="n">
        <f aca="false">SUM(D18-C18)</f>
        <v>22420</v>
      </c>
      <c r="F18" s="164" t="n">
        <v>22430</v>
      </c>
      <c r="G18" s="41" t="n">
        <v>0.8327</v>
      </c>
      <c r="H18" s="94" t="n">
        <f aca="false">SUM(G18*F18)</f>
        <v>18677.461</v>
      </c>
      <c r="I18" s="174" t="n">
        <v>388</v>
      </c>
      <c r="J18" s="29" t="n">
        <v>6512</v>
      </c>
      <c r="K18" s="95"/>
      <c r="L18" s="96"/>
      <c r="M18" s="105"/>
      <c r="N18" s="130"/>
      <c r="O18" s="99"/>
      <c r="P18" s="109" t="n">
        <f aca="false">SUM(O18-N18)</f>
        <v>0</v>
      </c>
      <c r="Q18" s="41"/>
      <c r="R18" s="94" t="n">
        <f aca="false">SUM(Q18*P18)</f>
        <v>0</v>
      </c>
      <c r="S18" s="103"/>
      <c r="T18" s="0" t="s">
        <v>41</v>
      </c>
    </row>
    <row r="19" customFormat="false" ht="15" hidden="false" customHeight="false" outlineLevel="0" collapsed="false">
      <c r="A19" s="90" t="n">
        <v>0.295138888888889</v>
      </c>
      <c r="B19" s="91" t="s">
        <v>38</v>
      </c>
      <c r="C19" s="98" t="n">
        <f aca="false">SUM(D18)</f>
        <v>49988040</v>
      </c>
      <c r="D19" s="76" t="n">
        <v>50005070</v>
      </c>
      <c r="E19" s="92" t="n">
        <f aca="false">SUM(D19-C19)</f>
        <v>17030</v>
      </c>
      <c r="F19" s="129" t="n">
        <v>17019</v>
      </c>
      <c r="G19" s="41" t="n">
        <v>0.8298</v>
      </c>
      <c r="H19" s="94" t="n">
        <f aca="false">SUM(G19*F19)</f>
        <v>14122.3662</v>
      </c>
      <c r="I19" s="165" t="n">
        <v>251</v>
      </c>
      <c r="J19" s="29" t="n">
        <v>6514</v>
      </c>
      <c r="K19" s="95"/>
      <c r="L19" s="96"/>
      <c r="M19" s="105"/>
      <c r="N19" s="98" t="n">
        <f aca="false">SUM(O18)</f>
        <v>0</v>
      </c>
      <c r="O19" s="99"/>
      <c r="P19" s="109" t="n">
        <f aca="false">SUM(O19-N19)</f>
        <v>0</v>
      </c>
      <c r="Q19" s="41"/>
      <c r="R19" s="94" t="n">
        <f aca="false">SUM(Q19*P19)</f>
        <v>0</v>
      </c>
      <c r="S19" s="103"/>
    </row>
    <row r="20" customFormat="false" ht="15" hidden="false" customHeight="false" outlineLevel="0" collapsed="false">
      <c r="A20" s="90" t="n">
        <v>0.309027777777778</v>
      </c>
      <c r="B20" s="91" t="s">
        <v>38</v>
      </c>
      <c r="C20" s="98" t="n">
        <f aca="false">SUM(D19)</f>
        <v>50005070</v>
      </c>
      <c r="D20" s="76" t="n">
        <v>50027490</v>
      </c>
      <c r="E20" s="92" t="n">
        <f aca="false">SUM(D20-C20)</f>
        <v>22420</v>
      </c>
      <c r="F20" s="164" t="n">
        <v>22430</v>
      </c>
      <c r="G20" s="41" t="n">
        <v>0.8298</v>
      </c>
      <c r="H20" s="94" t="n">
        <f aca="false">SUM(G20*F20)</f>
        <v>18612.414</v>
      </c>
      <c r="I20" s="165" t="n">
        <v>388</v>
      </c>
      <c r="J20" s="29" t="n">
        <v>6515</v>
      </c>
      <c r="K20" s="95"/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/>
      <c r="B21" s="91"/>
      <c r="C21" s="98" t="n">
        <v>0</v>
      </c>
      <c r="D21" s="76"/>
      <c r="E21" s="92" t="n">
        <f aca="false">SUM(D21-C21)</f>
        <v>0</v>
      </c>
      <c r="F21" s="93" t="n">
        <f aca="false">SUM(D21-C21)</f>
        <v>0</v>
      </c>
      <c r="G21" s="41"/>
      <c r="H21" s="94" t="n">
        <f aca="false">SUM(G21*F21)</f>
        <v>0</v>
      </c>
      <c r="I21" s="1"/>
      <c r="J21" s="29"/>
      <c r="K21" s="95"/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/>
      <c r="B22" s="91"/>
      <c r="C22" s="98" t="n">
        <f aca="false">SUM(D21)</f>
        <v>0</v>
      </c>
      <c r="D22" s="76"/>
      <c r="E22" s="92" t="n">
        <f aca="false">SUM(D22-C22)</f>
        <v>0</v>
      </c>
      <c r="F22" s="109" t="n">
        <f aca="false">SUM(D22-C22)</f>
        <v>0</v>
      </c>
      <c r="G22" s="41"/>
      <c r="H22" s="94" t="n">
        <f aca="false">SUM(G22*F22)</f>
        <v>0</v>
      </c>
      <c r="I22" s="1"/>
      <c r="J22" s="29"/>
      <c r="K22" s="95"/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false" customHeight="false" outlineLevel="0" collapsed="false">
      <c r="A23" s="90"/>
      <c r="B23" s="91"/>
      <c r="C23" s="98" t="n">
        <f aca="false">SUM(D22)</f>
        <v>0</v>
      </c>
      <c r="D23" s="76"/>
      <c r="E23" s="92" t="n">
        <f aca="false">SUM(D23-C23)</f>
        <v>0</v>
      </c>
      <c r="F23" s="109" t="n">
        <f aca="false">SUM(D23-C23)</f>
        <v>0</v>
      </c>
      <c r="G23" s="41"/>
      <c r="H23" s="94" t="n">
        <f aca="false">SUM(G23*F23)</f>
        <v>0</v>
      </c>
      <c r="I23" s="1"/>
      <c r="J23" s="29"/>
      <c r="K23" s="95"/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" hidden="false" customHeight="false" outlineLevel="0" collapsed="false">
      <c r="A24" s="90"/>
      <c r="B24" s="91"/>
      <c r="C24" s="98" t="n">
        <f aca="false">SUM(D23)</f>
        <v>0</v>
      </c>
      <c r="D24" s="76"/>
      <c r="E24" s="92" t="n">
        <f aca="false">SUM(D24-C24)</f>
        <v>0</v>
      </c>
      <c r="F24" s="109" t="n">
        <f aca="false">SUM(D24-C24)</f>
        <v>0</v>
      </c>
      <c r="G24" s="41"/>
      <c r="H24" s="94" t="n">
        <f aca="false">SUM(G24*F24)</f>
        <v>0</v>
      </c>
      <c r="I24" s="1"/>
      <c r="J24" s="29"/>
      <c r="K24" s="95"/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.75" hidden="false" customHeight="false" outlineLevel="0" collapsed="false">
      <c r="A25" s="90"/>
      <c r="B25" s="91"/>
      <c r="C25" s="98" t="n">
        <f aca="false">SUM(D24)</f>
        <v>0</v>
      </c>
      <c r="D25" s="76"/>
      <c r="E25" s="92" t="n">
        <f aca="false">SUM(D25-C25)</f>
        <v>0</v>
      </c>
      <c r="F25" s="131" t="n">
        <f aca="false">SUM(D25-C25)</f>
        <v>0</v>
      </c>
      <c r="G25" s="41"/>
      <c r="H25" s="132" t="n">
        <f aca="false">SUM(G25*F25)</f>
        <v>0</v>
      </c>
      <c r="I25" s="1"/>
      <c r="J25" s="29"/>
      <c r="K25" s="95"/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.75" hidden="false" customHeight="false" outlineLevel="0" collapsed="false">
      <c r="A26" s="90"/>
      <c r="B26" s="91"/>
      <c r="C26" s="98" t="n">
        <f aca="false">SUM(D25)</f>
        <v>0</v>
      </c>
      <c r="D26" s="76"/>
      <c r="E26" s="110" t="n">
        <f aca="false">SUM(D26-C26)</f>
        <v>0</v>
      </c>
      <c r="F26" s="175" t="n">
        <v>276977</v>
      </c>
      <c r="G26" s="134"/>
      <c r="H26" s="176" t="n">
        <v>230087</v>
      </c>
      <c r="I26" s="136"/>
      <c r="J26" s="29"/>
      <c r="K26" s="95"/>
      <c r="L26" s="96"/>
      <c r="M26" s="97"/>
      <c r="N26" s="98" t="n">
        <f aca="false">SUM(O25)</f>
        <v>0</v>
      </c>
      <c r="O26" s="99"/>
      <c r="P26" s="109" t="n">
        <f aca="false">SUM(O26-N26)</f>
        <v>0</v>
      </c>
      <c r="Q26" s="101"/>
      <c r="R26" s="94" t="n">
        <f aca="false">SUM(Q26*P26)</f>
        <v>0</v>
      </c>
      <c r="S26" s="103"/>
    </row>
    <row r="27" customFormat="false" ht="15" hidden="false" customHeight="false" outlineLevel="0" collapsed="false">
      <c r="A27" s="89"/>
      <c r="B27" s="82" t="s">
        <v>49</v>
      </c>
      <c r="C27" s="83"/>
      <c r="D27" s="83"/>
      <c r="E27" s="83"/>
      <c r="F27" s="137"/>
      <c r="G27" s="84"/>
      <c r="H27" s="138"/>
      <c r="I27" s="86"/>
      <c r="J27" s="86"/>
      <c r="L27" s="118"/>
      <c r="M27" s="118"/>
      <c r="N27" s="118"/>
      <c r="O27" s="118"/>
      <c r="P27" s="118"/>
      <c r="Q27" s="118"/>
      <c r="R27" s="118"/>
      <c r="S27" s="118"/>
    </row>
    <row r="28" customFormat="false" ht="15" hidden="false" customHeight="false" outlineLevel="0" collapsed="false">
      <c r="A28" s="90" t="n">
        <v>0.40625</v>
      </c>
      <c r="B28" s="144" t="s">
        <v>57</v>
      </c>
      <c r="C28" s="98" t="n">
        <v>2304420</v>
      </c>
      <c r="D28" s="108" t="n">
        <v>2312200</v>
      </c>
      <c r="E28" s="92" t="n">
        <f aca="false">SUM(D28-C28)</f>
        <v>7780</v>
      </c>
      <c r="F28" s="109" t="n">
        <v>7730</v>
      </c>
      <c r="G28" s="41" t="n">
        <v>0.825</v>
      </c>
      <c r="H28" s="94" t="n">
        <f aca="false">SUM(G28*F28)</f>
        <v>6377.25</v>
      </c>
      <c r="I28" s="177" t="n">
        <v>119</v>
      </c>
      <c r="J28" s="182" t="n">
        <v>6473</v>
      </c>
      <c r="K28" s="120" t="s">
        <v>91</v>
      </c>
      <c r="L28" s="118"/>
      <c r="M28" s="118"/>
      <c r="N28" s="118"/>
      <c r="O28" s="118"/>
      <c r="P28" s="118"/>
      <c r="Q28" s="118"/>
      <c r="R28" s="118"/>
      <c r="S28" s="118"/>
    </row>
    <row r="29" customFormat="false" ht="14.25" hidden="false" customHeight="true" outlineLevel="0" collapsed="false">
      <c r="A29" s="90" t="n">
        <v>0.427083333333333</v>
      </c>
      <c r="B29" s="178" t="s">
        <v>90</v>
      </c>
      <c r="C29" s="98" t="n">
        <f aca="false">SUM(D28)</f>
        <v>2312200</v>
      </c>
      <c r="D29" s="108" t="n">
        <v>2323520</v>
      </c>
      <c r="E29" s="92" t="n">
        <f aca="false">SUM(D29-C29)</f>
        <v>11320</v>
      </c>
      <c r="F29" s="109" t="n">
        <v>11266</v>
      </c>
      <c r="G29" s="41" t="n">
        <v>0.8234</v>
      </c>
      <c r="H29" s="94" t="n">
        <f aca="false">SUM(G29*F29)</f>
        <v>9276.4244</v>
      </c>
      <c r="I29" s="179" t="n">
        <v>81</v>
      </c>
      <c r="J29" s="1" t="n">
        <v>6475</v>
      </c>
      <c r="K29" s="119" t="s">
        <v>60</v>
      </c>
      <c r="L29" s="118"/>
      <c r="M29" s="118"/>
      <c r="N29" s="118"/>
      <c r="O29" s="118"/>
      <c r="P29" s="118"/>
      <c r="Q29" s="118"/>
      <c r="R29" s="118"/>
      <c r="S29" s="118"/>
    </row>
    <row r="30" customFormat="false" ht="15" hidden="false" customHeight="true" outlineLevel="0" collapsed="false">
      <c r="A30" s="90" t="n">
        <v>0.4375</v>
      </c>
      <c r="B30" s="180" t="s">
        <v>72</v>
      </c>
      <c r="C30" s="98" t="n">
        <f aca="false">SUM(D29)</f>
        <v>2323520</v>
      </c>
      <c r="D30" s="108" t="n">
        <v>2340640</v>
      </c>
      <c r="E30" s="92" t="n">
        <f aca="false">SUM(D30-C30)</f>
        <v>17120</v>
      </c>
      <c r="F30" s="129" t="n">
        <v>17019</v>
      </c>
      <c r="G30" s="41" t="n">
        <v>0.8231</v>
      </c>
      <c r="H30" s="94" t="n">
        <f aca="false">SUM(G30*F30)</f>
        <v>14008.3389</v>
      </c>
      <c r="I30" s="181" t="n">
        <v>251</v>
      </c>
      <c r="J30" s="1" t="n">
        <v>6476</v>
      </c>
      <c r="K30" s="119" t="s">
        <v>60</v>
      </c>
      <c r="L30" s="118"/>
      <c r="M30" s="118"/>
      <c r="N30" s="118"/>
      <c r="O30" s="118"/>
      <c r="P30" s="118"/>
      <c r="Q30" s="118"/>
      <c r="R30" s="118"/>
      <c r="S30" s="118"/>
    </row>
    <row r="31" customFormat="false" ht="15" hidden="false" customHeight="false" outlineLevel="0" collapsed="false">
      <c r="A31" s="90" t="n">
        <v>0.451388888888889</v>
      </c>
      <c r="B31" s="91" t="s">
        <v>90</v>
      </c>
      <c r="C31" s="98" t="n">
        <f aca="false">SUM(D30)</f>
        <v>2340640</v>
      </c>
      <c r="D31" s="108" t="n">
        <v>2346450</v>
      </c>
      <c r="E31" s="92" t="n">
        <f aca="false">SUM(D31-C31)</f>
        <v>5810</v>
      </c>
      <c r="F31" s="109" t="n">
        <v>5772</v>
      </c>
      <c r="G31" s="41" t="n">
        <v>0.8234</v>
      </c>
      <c r="H31" s="94" t="n">
        <f aca="false">SUM(G31*F31)</f>
        <v>4752.6648</v>
      </c>
      <c r="I31" s="179" t="n">
        <v>57</v>
      </c>
      <c r="J31" s="1" t="n">
        <v>6478</v>
      </c>
      <c r="K31" s="119" t="s">
        <v>60</v>
      </c>
      <c r="L31" s="118"/>
      <c r="M31" s="118"/>
      <c r="N31" s="118"/>
      <c r="O31" s="118"/>
      <c r="P31" s="118"/>
      <c r="Q31" s="118"/>
      <c r="R31" s="118"/>
      <c r="S31" s="118"/>
    </row>
    <row r="32" customFormat="false" ht="15" hidden="false" customHeight="false" outlineLevel="0" collapsed="false">
      <c r="A32" s="90" t="n">
        <v>0.461805555555556</v>
      </c>
      <c r="B32" s="91" t="s">
        <v>72</v>
      </c>
      <c r="C32" s="98" t="n">
        <f aca="false">SUM(D31)</f>
        <v>2346450</v>
      </c>
      <c r="D32" s="108" t="n">
        <v>2354650</v>
      </c>
      <c r="E32" s="92" t="n">
        <f aca="false">SUM(D32-C32)</f>
        <v>8200</v>
      </c>
      <c r="F32" s="109" t="n">
        <v>8147</v>
      </c>
      <c r="G32" s="41" t="n">
        <v>0.8231</v>
      </c>
      <c r="H32" s="94" t="n">
        <f aca="false">SUM(G32*F32)</f>
        <v>6705.7957</v>
      </c>
      <c r="I32" s="181" t="n">
        <v>382</v>
      </c>
      <c r="J32" s="1" t="n">
        <v>6480</v>
      </c>
      <c r="K32" s="119" t="s">
        <v>60</v>
      </c>
      <c r="L32" s="118"/>
      <c r="M32" s="118"/>
      <c r="N32" s="118"/>
      <c r="O32" s="118"/>
      <c r="P32" s="118"/>
      <c r="Q32" s="118"/>
      <c r="R32" s="118"/>
      <c r="S32" s="118"/>
    </row>
    <row r="33" customFormat="false" ht="15" hidden="false" customHeight="false" outlineLevel="0" collapsed="false">
      <c r="A33" s="90" t="n">
        <v>0.493055555555556</v>
      </c>
      <c r="B33" s="91" t="s">
        <v>57</v>
      </c>
      <c r="C33" s="98" t="n">
        <f aca="false">SUM(D32)</f>
        <v>2354650</v>
      </c>
      <c r="D33" s="108" t="n">
        <v>2371760</v>
      </c>
      <c r="E33" s="92" t="n">
        <f aca="false">SUM(D33-C33)</f>
        <v>17110</v>
      </c>
      <c r="F33" s="129" t="n">
        <v>17019</v>
      </c>
      <c r="G33" s="41" t="n">
        <v>0.825</v>
      </c>
      <c r="H33" s="94" t="n">
        <f aca="false">SUM(G33*F33)</f>
        <v>14040.675</v>
      </c>
      <c r="I33" s="177" t="n">
        <v>251</v>
      </c>
      <c r="J33" s="182" t="n">
        <v>6483</v>
      </c>
      <c r="K33" s="120" t="s">
        <v>91</v>
      </c>
      <c r="L33" s="118"/>
      <c r="M33" s="118"/>
      <c r="N33" s="118"/>
      <c r="O33" s="118"/>
      <c r="P33" s="118"/>
      <c r="Q33" s="118"/>
      <c r="R33" s="118"/>
      <c r="S33" s="118"/>
    </row>
    <row r="34" customFormat="false" ht="15" hidden="false" customHeight="false" outlineLevel="0" collapsed="false">
      <c r="A34" s="90" t="n">
        <v>0.548611111111111</v>
      </c>
      <c r="B34" s="91" t="s">
        <v>72</v>
      </c>
      <c r="C34" s="98" t="n">
        <f aca="false">SUM(D33)</f>
        <v>2371760</v>
      </c>
      <c r="D34" s="108" t="n">
        <v>2383910</v>
      </c>
      <c r="E34" s="92" t="n">
        <f aca="false">SUM(D34-C34)</f>
        <v>12150</v>
      </c>
      <c r="F34" s="109" t="n">
        <v>12093</v>
      </c>
      <c r="G34" s="41" t="n">
        <v>0.8231</v>
      </c>
      <c r="H34" s="94" t="n">
        <f aca="false">SUM(G34*F34)</f>
        <v>9953.7483</v>
      </c>
      <c r="I34" s="181" t="n">
        <v>119</v>
      </c>
      <c r="J34" s="1" t="n">
        <v>6485</v>
      </c>
      <c r="K34" s="119" t="s">
        <v>96</v>
      </c>
      <c r="L34" s="118"/>
      <c r="M34" s="118"/>
      <c r="N34" s="95"/>
      <c r="O34" s="118"/>
      <c r="P34" s="118"/>
      <c r="Q34" s="118"/>
      <c r="R34" s="118"/>
      <c r="S34" s="118"/>
    </row>
    <row r="35" customFormat="false" ht="15" hidden="false" customHeight="false" outlineLevel="0" collapsed="false">
      <c r="A35" s="90" t="n">
        <v>0.5625</v>
      </c>
      <c r="B35" s="91" t="s">
        <v>72</v>
      </c>
      <c r="C35" s="98" t="n">
        <f aca="false">SUM(D34)</f>
        <v>2383910</v>
      </c>
      <c r="D35" s="108" t="n">
        <v>2394760</v>
      </c>
      <c r="E35" s="92" t="n">
        <f aca="false">SUM(D35-C35)</f>
        <v>10850</v>
      </c>
      <c r="F35" s="109" t="n">
        <v>10798</v>
      </c>
      <c r="G35" s="41" t="n">
        <v>0.8231</v>
      </c>
      <c r="H35" s="94" t="n">
        <f aca="false">SUM(G35*F35)</f>
        <v>8887.8338</v>
      </c>
      <c r="I35" s="181" t="n">
        <v>81</v>
      </c>
      <c r="J35" s="29" t="n">
        <v>6486</v>
      </c>
      <c r="K35" s="119" t="s">
        <v>60</v>
      </c>
      <c r="L35" s="118"/>
      <c r="M35" s="118"/>
      <c r="N35" s="95"/>
      <c r="O35" s="118"/>
      <c r="P35" s="118"/>
      <c r="Q35" s="118"/>
      <c r="R35" s="118"/>
      <c r="S35" s="118"/>
    </row>
    <row r="36" customFormat="false" ht="15" hidden="false" customHeight="false" outlineLevel="0" collapsed="false">
      <c r="A36" s="90" t="n">
        <v>0.590277777777778</v>
      </c>
      <c r="B36" s="91" t="s">
        <v>72</v>
      </c>
      <c r="C36" s="98" t="n">
        <f aca="false">SUM(D35)</f>
        <v>2394760</v>
      </c>
      <c r="D36" s="108" t="n">
        <v>2400750</v>
      </c>
      <c r="E36" s="92" t="n">
        <f aca="false">SUM(D36-C36)</f>
        <v>5990</v>
      </c>
      <c r="F36" s="109" t="n">
        <v>5926</v>
      </c>
      <c r="G36" s="41" t="n">
        <v>0.8231</v>
      </c>
      <c r="H36" s="94" t="n">
        <f aca="false">SUM(G36*F36)</f>
        <v>4877.6906</v>
      </c>
      <c r="I36" s="181" t="n">
        <v>57</v>
      </c>
      <c r="J36" s="29" t="n">
        <v>6487</v>
      </c>
      <c r="K36" s="119" t="s">
        <v>60</v>
      </c>
      <c r="L36" s="118"/>
      <c r="M36" s="118"/>
      <c r="N36" s="95"/>
      <c r="O36" s="118"/>
      <c r="P36" s="118"/>
      <c r="Q36" s="118"/>
      <c r="R36" s="118"/>
      <c r="S36" s="118"/>
    </row>
    <row r="37" customFormat="false" ht="15" hidden="false" customHeight="true" outlineLevel="0" collapsed="false">
      <c r="A37" s="90" t="n">
        <v>0.597222222222222</v>
      </c>
      <c r="B37" s="91" t="s">
        <v>72</v>
      </c>
      <c r="C37" s="98" t="n">
        <f aca="false">SUM(D36)</f>
        <v>2400750</v>
      </c>
      <c r="D37" s="108" t="n">
        <v>2405900</v>
      </c>
      <c r="E37" s="92" t="n">
        <f aca="false">SUM(D37-C37)</f>
        <v>5150</v>
      </c>
      <c r="F37" s="109" t="n">
        <v>5117</v>
      </c>
      <c r="G37" s="41" t="n">
        <v>0.8231</v>
      </c>
      <c r="H37" s="94" t="n">
        <f aca="false">SUM(G37*F37)</f>
        <v>4211.8027</v>
      </c>
      <c r="I37" s="181" t="n">
        <v>382</v>
      </c>
      <c r="J37" s="29" t="n">
        <v>6488</v>
      </c>
      <c r="K37" s="119" t="s">
        <v>60</v>
      </c>
      <c r="L37" s="118"/>
      <c r="M37" s="118"/>
      <c r="N37" s="95"/>
      <c r="O37" s="118"/>
      <c r="P37" s="118"/>
      <c r="Q37" s="118"/>
      <c r="R37" s="118"/>
      <c r="S37" s="118"/>
    </row>
    <row r="38" customFormat="false" ht="15" hidden="false" customHeight="false" outlineLevel="0" collapsed="false">
      <c r="A38" s="90" t="n">
        <v>0.604166666666667</v>
      </c>
      <c r="B38" s="91" t="s">
        <v>57</v>
      </c>
      <c r="C38" s="98" t="n">
        <f aca="false">SUM(D37)</f>
        <v>2405900</v>
      </c>
      <c r="D38" s="108" t="n">
        <v>2411440</v>
      </c>
      <c r="E38" s="92" t="n">
        <f aca="false">SUM(D38-C38)</f>
        <v>5540</v>
      </c>
      <c r="F38" s="109" t="n">
        <v>5500</v>
      </c>
      <c r="G38" s="41" t="n">
        <v>0.825</v>
      </c>
      <c r="H38" s="94" t="n">
        <f aca="false">SUM(G38*F38)</f>
        <v>4537.5</v>
      </c>
      <c r="I38" s="177" t="n">
        <v>467</v>
      </c>
      <c r="J38" s="182" t="n">
        <v>6489</v>
      </c>
      <c r="K38" s="120" t="s">
        <v>91</v>
      </c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90" t="n">
        <v>0.635416666666667</v>
      </c>
      <c r="B39" s="91" t="s">
        <v>57</v>
      </c>
      <c r="C39" s="98" t="n">
        <f aca="false">SUM(D38)</f>
        <v>2411440</v>
      </c>
      <c r="D39" s="108" t="n">
        <v>2412470</v>
      </c>
      <c r="E39" s="92" t="n">
        <f aca="false">SUM(D39-C39)</f>
        <v>1030</v>
      </c>
      <c r="F39" s="109" t="n">
        <v>1010</v>
      </c>
      <c r="G39" s="41" t="n">
        <v>0.825</v>
      </c>
      <c r="H39" s="94" t="n">
        <f aca="false">SUM(G39*F39)</f>
        <v>833.25</v>
      </c>
      <c r="I39" s="177" t="n">
        <v>467</v>
      </c>
      <c r="J39" s="182" t="n">
        <v>6490</v>
      </c>
      <c r="K39" s="120" t="s">
        <v>91</v>
      </c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0.680555555555555</v>
      </c>
      <c r="B40" s="91" t="s">
        <v>72</v>
      </c>
      <c r="C40" s="98" t="n">
        <f aca="false">SUM(D39)</f>
        <v>2412470</v>
      </c>
      <c r="D40" s="108" t="n">
        <v>2422510</v>
      </c>
      <c r="E40" s="92" t="n">
        <f aca="false">SUM(D40-C40)</f>
        <v>10040</v>
      </c>
      <c r="F40" s="129" t="n">
        <v>9986</v>
      </c>
      <c r="G40" s="41" t="n">
        <v>0.8229</v>
      </c>
      <c r="H40" s="94" t="n">
        <f aca="false">SUM(G40*F40)</f>
        <v>8217.4794</v>
      </c>
      <c r="I40" s="181" t="n">
        <v>251</v>
      </c>
      <c r="J40" s="29" t="n">
        <v>6491</v>
      </c>
      <c r="K40" s="119" t="s">
        <v>60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5" hidden="false" customHeight="false" outlineLevel="0" collapsed="false">
      <c r="A41" s="90" t="n">
        <v>0.6875</v>
      </c>
      <c r="B41" s="183" t="s">
        <v>55</v>
      </c>
      <c r="C41" s="98" t="n">
        <f aca="false">SUM(D40)</f>
        <v>2422510</v>
      </c>
      <c r="D41" s="108" t="n">
        <v>2429590</v>
      </c>
      <c r="E41" s="92" t="n">
        <f aca="false">SUM(D41-C41)</f>
        <v>7080</v>
      </c>
      <c r="F41" s="129" t="n">
        <v>7033</v>
      </c>
      <c r="G41" s="41" t="n">
        <v>0.8224</v>
      </c>
      <c r="H41" s="94" t="n">
        <f aca="false">SUM(G41*F41)</f>
        <v>5783.9392</v>
      </c>
      <c r="I41" s="184" t="n">
        <v>251</v>
      </c>
      <c r="J41" s="29" t="n">
        <v>6492</v>
      </c>
      <c r="K41" s="119" t="s">
        <v>60</v>
      </c>
      <c r="L41" s="118"/>
      <c r="M41" s="118"/>
      <c r="N41" s="118"/>
      <c r="O41" s="118"/>
      <c r="P41" s="118"/>
      <c r="Q41" s="118"/>
      <c r="R41" s="118"/>
      <c r="S41" s="118"/>
    </row>
    <row r="42" customFormat="false" ht="15" hidden="false" customHeight="false" outlineLevel="0" collapsed="false">
      <c r="A42" s="90" t="n">
        <v>0.732638888888889</v>
      </c>
      <c r="B42" s="91" t="s">
        <v>57</v>
      </c>
      <c r="C42" s="98" t="n">
        <f aca="false">SUM(D41)</f>
        <v>2429590</v>
      </c>
      <c r="D42" s="108" t="n">
        <v>2446700</v>
      </c>
      <c r="E42" s="92" t="n">
        <f aca="false">SUM(D42-C42)</f>
        <v>17110</v>
      </c>
      <c r="F42" s="129" t="n">
        <v>17019</v>
      </c>
      <c r="G42" s="41" t="n">
        <v>0.8242</v>
      </c>
      <c r="H42" s="94" t="n">
        <f aca="false">SUM(G42*F42)</f>
        <v>14027.0598</v>
      </c>
      <c r="I42" s="177" t="n">
        <v>251</v>
      </c>
      <c r="J42" s="182" t="n">
        <v>6494</v>
      </c>
      <c r="K42" s="120" t="s">
        <v>91</v>
      </c>
      <c r="L42" s="118"/>
      <c r="M42" s="118"/>
      <c r="N42" s="118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0.777777777777778</v>
      </c>
      <c r="B43" s="91" t="s">
        <v>55</v>
      </c>
      <c r="C43" s="98" t="n">
        <f aca="false">SUM(D42)</f>
        <v>2446700</v>
      </c>
      <c r="D43" s="108" t="n">
        <v>2463820</v>
      </c>
      <c r="E43" s="92" t="n">
        <f aca="false">SUM(D43-C43)</f>
        <v>17120</v>
      </c>
      <c r="F43" s="129" t="n">
        <v>17019</v>
      </c>
      <c r="G43" s="41" t="n">
        <v>0.8224</v>
      </c>
      <c r="H43" s="94" t="n">
        <f aca="false">SUM(G43*F43)</f>
        <v>13996.4256</v>
      </c>
      <c r="I43" s="184" t="n">
        <v>251</v>
      </c>
      <c r="J43" s="29" t="n">
        <v>6495</v>
      </c>
      <c r="K43" s="119" t="s">
        <v>60</v>
      </c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0.857638888888889</v>
      </c>
      <c r="B44" s="91" t="s">
        <v>57</v>
      </c>
      <c r="C44" s="98" t="n">
        <f aca="false">SUM(D43)</f>
        <v>2463820</v>
      </c>
      <c r="D44" s="108" t="n">
        <v>2480930</v>
      </c>
      <c r="E44" s="92" t="n">
        <f aca="false">SUM(D44-C44)</f>
        <v>17110</v>
      </c>
      <c r="F44" s="129" t="n">
        <v>17019</v>
      </c>
      <c r="G44" s="41" t="n">
        <v>0.8242</v>
      </c>
      <c r="H44" s="94" t="n">
        <f aca="false">SUM(G44*F44)</f>
        <v>14027.0598</v>
      </c>
      <c r="I44" s="177" t="n">
        <v>251</v>
      </c>
      <c r="J44" s="182" t="n">
        <v>6497</v>
      </c>
      <c r="K44" s="120" t="s">
        <v>91</v>
      </c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0.885416666666667</v>
      </c>
      <c r="B45" s="91" t="s">
        <v>57</v>
      </c>
      <c r="C45" s="98" t="n">
        <f aca="false">SUM(D44)</f>
        <v>2480930</v>
      </c>
      <c r="D45" s="108" t="n">
        <v>2491020</v>
      </c>
      <c r="E45" s="92" t="n">
        <f aca="false">SUM(D45-C45)</f>
        <v>10090</v>
      </c>
      <c r="F45" s="109" t="n">
        <v>10030</v>
      </c>
      <c r="G45" s="41" t="n">
        <v>0.8242</v>
      </c>
      <c r="H45" s="94" t="n">
        <f aca="false">SUM(G45*F45)</f>
        <v>8266.726</v>
      </c>
      <c r="I45" s="177" t="n">
        <v>467</v>
      </c>
      <c r="J45" s="182" t="n">
        <v>6500</v>
      </c>
      <c r="K45" s="120" t="s">
        <v>91</v>
      </c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0.916666666666667</v>
      </c>
      <c r="B46" s="91" t="s">
        <v>55</v>
      </c>
      <c r="C46" s="98" t="n">
        <f aca="false">SUM(D45)</f>
        <v>2491020</v>
      </c>
      <c r="D46" s="108" t="n">
        <v>2499310</v>
      </c>
      <c r="E46" s="92" t="n">
        <f aca="false">SUM(D46-C46)</f>
        <v>8290</v>
      </c>
      <c r="F46" s="109" t="n">
        <v>8243</v>
      </c>
      <c r="G46" s="41" t="n">
        <v>0.8224</v>
      </c>
      <c r="H46" s="94" t="n">
        <f aca="false">SUM(G46*F46)</f>
        <v>6779.0432</v>
      </c>
      <c r="I46" s="184" t="n">
        <v>382</v>
      </c>
      <c r="J46" s="29" t="n">
        <v>6503</v>
      </c>
      <c r="K46" s="119" t="s">
        <v>60</v>
      </c>
      <c r="L46" s="118"/>
      <c r="M46" s="118"/>
      <c r="N46" s="118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0.927083333333333</v>
      </c>
      <c r="B47" s="91" t="s">
        <v>55</v>
      </c>
      <c r="C47" s="98" t="n">
        <f aca="false">SUM(D46)</f>
        <v>2499310</v>
      </c>
      <c r="D47" s="108" t="n">
        <v>2506320</v>
      </c>
      <c r="E47" s="92" t="n">
        <f aca="false">SUM(D47-C47)</f>
        <v>7010</v>
      </c>
      <c r="F47" s="109" t="n">
        <v>6969</v>
      </c>
      <c r="G47" s="41" t="n">
        <v>0.8224</v>
      </c>
      <c r="H47" s="94" t="n">
        <f aca="false">SUM(G47*F47)</f>
        <v>5731.3056</v>
      </c>
      <c r="I47" s="184" t="n">
        <v>81</v>
      </c>
      <c r="J47" s="29" t="n">
        <v>6504</v>
      </c>
      <c r="K47" s="119" t="s">
        <v>60</v>
      </c>
      <c r="L47" s="118"/>
      <c r="M47" s="118"/>
      <c r="N47" s="118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0.934027777777778</v>
      </c>
      <c r="B48" s="91" t="s">
        <v>55</v>
      </c>
      <c r="C48" s="98" t="n">
        <f aca="false">SUM(D47)</f>
        <v>2506320</v>
      </c>
      <c r="D48" s="108" t="n">
        <v>2511640</v>
      </c>
      <c r="E48" s="92" t="n">
        <f aca="false">SUM(D48-C48)</f>
        <v>5320</v>
      </c>
      <c r="F48" s="109" t="n">
        <v>5280</v>
      </c>
      <c r="G48" s="41" t="n">
        <v>0.8224</v>
      </c>
      <c r="H48" s="94" t="n">
        <f aca="false">SUM(G48*F48)</f>
        <v>4342.272</v>
      </c>
      <c r="I48" s="184" t="n">
        <v>57</v>
      </c>
      <c r="J48" s="29" t="n">
        <v>6505</v>
      </c>
      <c r="K48" s="119" t="s">
        <v>60</v>
      </c>
      <c r="L48" s="118"/>
      <c r="M48" s="118"/>
      <c r="N48" s="118"/>
      <c r="O48" s="118"/>
      <c r="P48" s="118"/>
      <c r="Q48" s="118"/>
      <c r="R48" s="118"/>
      <c r="S48" s="118"/>
    </row>
    <row r="49" customFormat="false" ht="15" hidden="false" customHeight="false" outlineLevel="0" collapsed="false">
      <c r="A49" s="90" t="n">
        <v>0.944444444444444</v>
      </c>
      <c r="B49" s="185" t="s">
        <v>89</v>
      </c>
      <c r="C49" s="98" t="n">
        <f aca="false">SUM(D48)</f>
        <v>2511640</v>
      </c>
      <c r="D49" s="108" t="n">
        <v>2528760</v>
      </c>
      <c r="E49" s="92" t="n">
        <f aca="false">SUM(D49-C49)</f>
        <v>17120</v>
      </c>
      <c r="F49" s="129" t="n">
        <v>17019</v>
      </c>
      <c r="G49" s="41" t="n">
        <v>0.8241</v>
      </c>
      <c r="H49" s="94" t="n">
        <f aca="false">SUM(G49*F49)</f>
        <v>14025.3579</v>
      </c>
      <c r="I49" s="186" t="n">
        <v>251</v>
      </c>
      <c r="J49" s="182" t="n">
        <v>6506</v>
      </c>
      <c r="K49" s="120" t="s">
        <v>91</v>
      </c>
      <c r="L49" s="118"/>
      <c r="M49" s="118"/>
      <c r="N49" s="118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0.0763888888888889</v>
      </c>
      <c r="B50" s="91" t="s">
        <v>55</v>
      </c>
      <c r="C50" s="98" t="n">
        <f aca="false">SUM(D49)</f>
        <v>2528760</v>
      </c>
      <c r="D50" s="108" t="n">
        <v>2534780</v>
      </c>
      <c r="E50" s="92" t="n">
        <f aca="false">SUM(D50-C50)</f>
        <v>6020</v>
      </c>
      <c r="F50" s="109" t="n">
        <v>5982</v>
      </c>
      <c r="G50" s="41" t="n">
        <v>0.8224</v>
      </c>
      <c r="H50" s="94" t="n">
        <f aca="false">SUM(G50*F50)</f>
        <v>4919.5968</v>
      </c>
      <c r="I50" s="184" t="n">
        <v>57</v>
      </c>
      <c r="J50" s="29" t="n">
        <v>6507</v>
      </c>
      <c r="K50" s="119" t="s">
        <v>60</v>
      </c>
      <c r="L50" s="118"/>
      <c r="M50" s="118"/>
      <c r="N50" s="118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 t="n">
        <v>0.111111111111111</v>
      </c>
      <c r="B51" s="139" t="s">
        <v>52</v>
      </c>
      <c r="C51" s="98" t="n">
        <f aca="false">SUM(D50)</f>
        <v>2534780</v>
      </c>
      <c r="D51" s="108" t="n">
        <v>2549920</v>
      </c>
      <c r="E51" s="92" t="n">
        <f aca="false">SUM(D51-C51)</f>
        <v>15140</v>
      </c>
      <c r="F51" s="109" t="n">
        <v>15040</v>
      </c>
      <c r="G51" s="41" t="n">
        <v>0.8379</v>
      </c>
      <c r="H51" s="94" t="n">
        <f aca="false">SUM(G51*F51)</f>
        <v>12602.016</v>
      </c>
      <c r="I51" s="165" t="n">
        <v>467</v>
      </c>
      <c r="J51" s="29" t="n">
        <v>6509</v>
      </c>
      <c r="K51" s="120" t="s">
        <v>82</v>
      </c>
      <c r="L51" s="118"/>
      <c r="M51" s="118"/>
      <c r="N51" s="118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 t="n">
        <v>0.260416666666667</v>
      </c>
      <c r="B52" s="91" t="s">
        <v>89</v>
      </c>
      <c r="C52" s="98" t="n">
        <f aca="false">SUM(D51)</f>
        <v>2549920</v>
      </c>
      <c r="D52" s="108" t="n">
        <v>2567030</v>
      </c>
      <c r="E52" s="92" t="n">
        <f aca="false">SUM(D52-C52)</f>
        <v>17110</v>
      </c>
      <c r="F52" s="129" t="n">
        <v>17019</v>
      </c>
      <c r="G52" s="41" t="n">
        <v>0.8241</v>
      </c>
      <c r="H52" s="94" t="n">
        <f aca="false">SUM(G52*F52)</f>
        <v>14025.3579</v>
      </c>
      <c r="I52" s="186" t="n">
        <v>251</v>
      </c>
      <c r="J52" s="182" t="n">
        <v>6513</v>
      </c>
      <c r="K52" s="120" t="s">
        <v>91</v>
      </c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 t="n">
        <v>0.336805555555556</v>
      </c>
      <c r="B53" s="91" t="s">
        <v>89</v>
      </c>
      <c r="C53" s="98" t="n">
        <f aca="false">SUM(D52)</f>
        <v>2567030</v>
      </c>
      <c r="D53" s="108" t="n">
        <v>2584150</v>
      </c>
      <c r="E53" s="92" t="n">
        <f aca="false">SUM(D53-C53)</f>
        <v>17120</v>
      </c>
      <c r="F53" s="129" t="n">
        <v>17019</v>
      </c>
      <c r="G53" s="41" t="n">
        <v>0.8241</v>
      </c>
      <c r="H53" s="94" t="n">
        <f aca="false">SUM(G53*F53)</f>
        <v>14025.3579</v>
      </c>
      <c r="I53" s="186" t="n">
        <v>251</v>
      </c>
      <c r="J53" s="182" t="n">
        <v>6516</v>
      </c>
      <c r="K53" s="120" t="s">
        <v>91</v>
      </c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/>
      <c r="B54" s="91"/>
      <c r="C54" s="98" t="n">
        <v>0</v>
      </c>
      <c r="D54" s="108"/>
      <c r="E54" s="92" t="n">
        <f aca="false">SUM(D54-C54)</f>
        <v>0</v>
      </c>
      <c r="F54" s="109" t="n">
        <f aca="false">SUM(D54-C54)</f>
        <v>0</v>
      </c>
      <c r="G54" s="41"/>
      <c r="H54" s="94" t="n">
        <f aca="false">SUM(G54*F54)</f>
        <v>0</v>
      </c>
      <c r="I54" s="1"/>
      <c r="J54" s="29"/>
      <c r="K54" s="111"/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/>
      <c r="B55" s="91"/>
      <c r="C55" s="98" t="n">
        <f aca="false">SUM(D54)</f>
        <v>0</v>
      </c>
      <c r="D55" s="108"/>
      <c r="E55" s="92" t="n">
        <f aca="false">SUM(D55-C55)</f>
        <v>0</v>
      </c>
      <c r="F55" s="109" t="n">
        <f aca="false">SUM(D55-C55)</f>
        <v>0</v>
      </c>
      <c r="G55" s="41"/>
      <c r="H55" s="94" t="n">
        <f aca="false">SUM(G55*F55)</f>
        <v>0</v>
      </c>
      <c r="I55" s="1"/>
      <c r="J55" s="29"/>
      <c r="K55" s="111"/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/>
      <c r="B56" s="91"/>
      <c r="C56" s="98" t="n">
        <f aca="false">SUM(D55)</f>
        <v>0</v>
      </c>
      <c r="D56" s="108"/>
      <c r="E56" s="92" t="n">
        <f aca="false">SUM(D56-C56)</f>
        <v>0</v>
      </c>
      <c r="F56" s="109" t="n">
        <f aca="false">SUM(D56-C56)</f>
        <v>0</v>
      </c>
      <c r="G56" s="41"/>
      <c r="H56" s="94" t="n">
        <f aca="false">SUM(G56*F56)</f>
        <v>0</v>
      </c>
      <c r="I56" s="1"/>
      <c r="J56" s="29"/>
      <c r="K56" s="111"/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A57" s="90"/>
      <c r="B57" s="91"/>
      <c r="C57" s="98" t="n">
        <f aca="false">SUM(D56)</f>
        <v>0</v>
      </c>
      <c r="D57" s="108"/>
      <c r="E57" s="92" t="n">
        <f aca="false">SUM(D57-C57)</f>
        <v>0</v>
      </c>
      <c r="F57" s="109" t="n">
        <f aca="false">SUM(D57-C57)</f>
        <v>0</v>
      </c>
      <c r="G57" s="41"/>
      <c r="H57" s="94" t="n">
        <f aca="false">SUM(G57*F57)</f>
        <v>0</v>
      </c>
      <c r="I57" s="1"/>
      <c r="J57" s="29"/>
      <c r="K57" s="118"/>
      <c r="L57" s="118"/>
      <c r="M57" s="118"/>
      <c r="N57" s="118"/>
      <c r="O57" s="118"/>
      <c r="P57" s="118"/>
      <c r="Q57" s="118"/>
      <c r="R57" s="118"/>
      <c r="S57" s="118"/>
    </row>
    <row r="58" customFormat="false" ht="15.75" hidden="false" customHeight="false" outlineLevel="0" collapsed="false">
      <c r="A58" s="90"/>
      <c r="B58" s="91"/>
      <c r="C58" s="98" t="n">
        <f aca="false">SUM(D57)</f>
        <v>0</v>
      </c>
      <c r="D58" s="76"/>
      <c r="E58" s="92" t="n">
        <f aca="false">SUM(D58-C58)</f>
        <v>0</v>
      </c>
      <c r="F58" s="131" t="n">
        <f aca="false">SUM(D58-C58)</f>
        <v>0</v>
      </c>
      <c r="G58" s="41"/>
      <c r="H58" s="132" t="n">
        <f aca="false">SUM(G58*F58)</f>
        <v>0</v>
      </c>
      <c r="I58" s="1"/>
      <c r="J58" s="29"/>
      <c r="K58" s="118"/>
      <c r="L58" s="118"/>
      <c r="M58" s="118"/>
      <c r="N58" s="118"/>
      <c r="O58" s="118"/>
      <c r="P58" s="118"/>
      <c r="Q58" s="118"/>
      <c r="R58" s="118"/>
      <c r="S58" s="118"/>
    </row>
    <row r="59" customFormat="false" ht="15.75" hidden="false" customHeight="false" outlineLevel="0" collapsed="false">
      <c r="A59" s="90"/>
      <c r="B59" s="91"/>
      <c r="C59" s="98" t="n">
        <f aca="false">SUM(D58)</f>
        <v>0</v>
      </c>
      <c r="D59" s="76"/>
      <c r="E59" s="110" t="n">
        <f aca="false">SUM(D59-C59)</f>
        <v>0</v>
      </c>
      <c r="F59" s="175" t="n">
        <v>278074</v>
      </c>
      <c r="G59" s="134"/>
      <c r="H59" s="176" t="n">
        <v>229232</v>
      </c>
      <c r="I59" s="136"/>
      <c r="J59" s="29"/>
      <c r="K59" s="121"/>
      <c r="L59" s="118"/>
      <c r="M59" s="118"/>
      <c r="N59" s="118"/>
      <c r="O59" s="118"/>
      <c r="P59" s="118"/>
      <c r="Q59" s="118"/>
      <c r="R59" s="118"/>
      <c r="S59" s="118"/>
    </row>
    <row r="60" customFormat="false" ht="15.75" hidden="false" customHeight="false" outlineLevel="0" collapsed="false">
      <c r="L60" s="118"/>
      <c r="M60" s="118"/>
      <c r="N60" s="118"/>
      <c r="O60" s="118"/>
      <c r="P60" s="118"/>
      <c r="Q60" s="118"/>
      <c r="R60" s="118"/>
      <c r="S60" s="118"/>
    </row>
    <row r="61" customFormat="false" ht="15.75" hidden="false" customHeight="false" outlineLevel="0" collapsed="false">
      <c r="F61" s="175" t="n">
        <f aca="false">F59+F26</f>
        <v>555051</v>
      </c>
      <c r="G61" s="134"/>
      <c r="H61" s="176" t="n">
        <f aca="false">H59+H26</f>
        <v>459319</v>
      </c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E62" s="118"/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E63" s="118"/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E64" s="118"/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E65" s="118"/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false" customHeight="false" outlineLevel="0" collapsed="false">
      <c r="E66" s="118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false" customHeight="false" outlineLevel="0" collapsed="false">
      <c r="E67" s="118"/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E68" s="118"/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false" customHeight="false" outlineLevel="0" collapsed="false">
      <c r="E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false" customHeight="false" outlineLevel="0" collapsed="false">
      <c r="E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false" customHeight="false" outlineLevel="0" collapsed="false">
      <c r="E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false" customHeight="false" outlineLevel="0" collapsed="false">
      <c r="E72" s="118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fals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fals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tru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tru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tru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tru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tru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fals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fals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fals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false" customHeight="false" outlineLevel="0" collapsed="false">
      <c r="E87" s="118"/>
    </row>
    <row r="88" customFormat="false" ht="15" hidden="false" customHeight="false" outlineLevel="0" collapsed="false">
      <c r="E88" s="118"/>
    </row>
    <row r="89" customFormat="false" ht="15" hidden="false" customHeight="false" outlineLevel="0" collapsed="false">
      <c r="E89" s="118"/>
    </row>
    <row r="90" customFormat="false" ht="15" hidden="false" customHeight="false" outlineLevel="0" collapsed="false">
      <c r="E90" s="118"/>
    </row>
    <row r="91" customFormat="false" ht="15" hidden="false" customHeight="false" outlineLevel="0" collapsed="false">
      <c r="E91" s="118"/>
    </row>
    <row r="92" customFormat="false" ht="15" hidden="false" customHeight="false" outlineLevel="0" collapsed="false">
      <c r="E92" s="118"/>
    </row>
    <row r="93" customFormat="false" ht="15" hidden="false" customHeight="false" outlineLevel="0" collapsed="false">
      <c r="E93" s="118"/>
    </row>
    <row r="94" customFormat="false" ht="15" hidden="false" customHeight="false" outlineLevel="0" collapsed="false">
      <c r="E94" s="118"/>
    </row>
    <row r="95" customFormat="false" ht="15" hidden="false" customHeight="false" outlineLevel="0" collapsed="false">
      <c r="E95" s="118"/>
    </row>
    <row r="96" customFormat="false" ht="15" hidden="false" customHeight="false" outlineLevel="0" collapsed="false">
      <c r="E96" s="118"/>
    </row>
    <row r="97" customFormat="false" ht="15" hidden="false" customHeight="false" outlineLevel="0" collapsed="false">
      <c r="E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  <row r="124" customFormat="false" ht="15" hidden="false" customHeight="false" outlineLevel="0" collapsed="false">
      <c r="E124" s="118"/>
    </row>
    <row r="125" customFormat="false" ht="15" hidden="false" customHeight="false" outlineLevel="0" collapsed="false">
      <c r="E125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32"/>
  <sheetViews>
    <sheetView showFormulas="false" showGridLines="true" showRowColHeaders="true" showZeros="true" rightToLeft="false" tabSelected="false" showOutlineSymbols="true" defaultGridColor="true" view="normal" topLeftCell="A28" colorId="64" zoomScale="60" zoomScaleNormal="60" zoomScalePageLayoutView="100" workbookViewId="0">
      <selection pane="topLeft" activeCell="H54" activeCellId="0" sqref="H54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0.43"/>
    <col collapsed="false" customWidth="true" hidden="false" outlineLevel="0" max="12" min="12" style="71" width="12.14"/>
    <col collapsed="false" customWidth="true" hidden="false" outlineLevel="0" max="13" min="13" style="71" width="10.85"/>
    <col collapsed="false" customWidth="true" hidden="false" outlineLevel="0" max="14" min="14" style="71" width="18.43"/>
    <col collapsed="false" customWidth="true" hidden="false" outlineLevel="0" max="15" min="15" style="71" width="17.85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45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.75" hidden="false" customHeight="false" outlineLevel="0" collapsed="false">
      <c r="A2" s="82" t="n">
        <v>45083</v>
      </c>
      <c r="B2" s="82" t="s">
        <v>36</v>
      </c>
      <c r="C2" s="83"/>
      <c r="D2" s="83"/>
      <c r="E2" s="83"/>
      <c r="F2" s="83"/>
      <c r="G2" s="84"/>
      <c r="H2" s="85"/>
      <c r="I2" s="86"/>
      <c r="J2" s="87"/>
      <c r="K2" s="88"/>
      <c r="L2" s="89"/>
      <c r="M2" s="82" t="s">
        <v>37</v>
      </c>
      <c r="N2" s="83"/>
      <c r="O2" s="83"/>
      <c r="P2" s="83"/>
      <c r="Q2" s="84"/>
      <c r="R2" s="85"/>
      <c r="S2" s="86"/>
    </row>
    <row r="3" customFormat="false" ht="15.75" hidden="false" customHeight="false" outlineLevel="0" collapsed="false">
      <c r="A3" s="90" t="n">
        <v>0.402777777777778</v>
      </c>
      <c r="B3" s="91" t="s">
        <v>54</v>
      </c>
      <c r="C3" s="76" t="n">
        <v>50027490</v>
      </c>
      <c r="D3" s="76" t="n">
        <v>50045740</v>
      </c>
      <c r="E3" s="92" t="n">
        <f aca="false">SUM(D3-C3)</f>
        <v>18250</v>
      </c>
      <c r="F3" s="190" t="n">
        <v>18241</v>
      </c>
      <c r="G3" s="41" t="n">
        <v>0.8307</v>
      </c>
      <c r="H3" s="94" t="n">
        <f aca="false">SUM(G3*F3)</f>
        <v>15152.7987</v>
      </c>
      <c r="I3" s="29" t="n">
        <v>787</v>
      </c>
      <c r="J3" s="29" t="n">
        <v>6517</v>
      </c>
      <c r="K3" s="95" t="s">
        <v>18</v>
      </c>
      <c r="L3" s="96" t="n">
        <v>0.402777777777778</v>
      </c>
      <c r="M3" s="97" t="s">
        <v>39</v>
      </c>
      <c r="N3" s="160" t="n">
        <v>7624030</v>
      </c>
      <c r="O3" s="99" t="n">
        <v>7624220</v>
      </c>
      <c r="P3" s="100" t="n">
        <f aca="false">SUM(O3-N3)</f>
        <v>190</v>
      </c>
      <c r="Q3" s="101" t="n">
        <v>0.8331</v>
      </c>
      <c r="R3" s="102" t="n">
        <f aca="false">SUM(Q3*P3)</f>
        <v>158.289</v>
      </c>
      <c r="S3" s="103" t="s">
        <v>42</v>
      </c>
      <c r="V3" s="0" t="s">
        <v>41</v>
      </c>
    </row>
    <row r="4" customFormat="false" ht="15" hidden="false" customHeight="false" outlineLevel="0" collapsed="false">
      <c r="A4" s="90" t="n">
        <v>0.46875</v>
      </c>
      <c r="B4" s="91" t="s">
        <v>54</v>
      </c>
      <c r="C4" s="98" t="n">
        <f aca="false">SUM(D3)</f>
        <v>50045740</v>
      </c>
      <c r="D4" s="76" t="n">
        <v>50064000</v>
      </c>
      <c r="E4" s="92" t="n">
        <f aca="false">SUM(D4-C4)</f>
        <v>18260</v>
      </c>
      <c r="F4" s="190" t="n">
        <v>18241</v>
      </c>
      <c r="G4" s="41" t="n">
        <v>0.8256</v>
      </c>
      <c r="H4" s="94" t="n">
        <f aca="false">SUM(G4*F4)</f>
        <v>15059.7696</v>
      </c>
      <c r="I4" s="29" t="n">
        <v>787</v>
      </c>
      <c r="J4" s="29" t="n">
        <v>6522</v>
      </c>
      <c r="K4" s="95" t="s">
        <v>18</v>
      </c>
      <c r="L4" s="96" t="n">
        <v>0.694444444444444</v>
      </c>
      <c r="M4" s="105" t="s">
        <v>54</v>
      </c>
      <c r="N4" s="100" t="n">
        <f aca="false">SUM(O3)</f>
        <v>7624220</v>
      </c>
      <c r="O4" s="99" t="n">
        <v>7624490</v>
      </c>
      <c r="P4" s="100" t="n">
        <f aca="false">SUM(O4-N4)</f>
        <v>270</v>
      </c>
      <c r="Q4" s="106" t="n">
        <v>0.8256</v>
      </c>
      <c r="R4" s="102" t="n">
        <f aca="false">SUM(Q4*P4)</f>
        <v>222.912</v>
      </c>
      <c r="S4" s="103" t="s">
        <v>43</v>
      </c>
    </row>
    <row r="5" customFormat="false" ht="15" hidden="false" customHeight="false" outlineLevel="0" collapsed="false">
      <c r="A5" s="90" t="n">
        <v>0.493055555555556</v>
      </c>
      <c r="B5" s="91" t="s">
        <v>46</v>
      </c>
      <c r="C5" s="98" t="n">
        <f aca="false">SUM(D4)</f>
        <v>50064000</v>
      </c>
      <c r="D5" s="76" t="n">
        <v>50075970</v>
      </c>
      <c r="E5" s="92" t="n">
        <f aca="false">SUM(D5-C5)</f>
        <v>11970</v>
      </c>
      <c r="F5" s="109" t="n">
        <v>11965</v>
      </c>
      <c r="G5" s="41" t="n">
        <v>0.8294</v>
      </c>
      <c r="H5" s="94" t="n">
        <f aca="false">SUM(G5*F5)</f>
        <v>9923.771</v>
      </c>
      <c r="I5" s="29" t="n">
        <v>147</v>
      </c>
      <c r="J5" s="29" t="n">
        <v>6524</v>
      </c>
      <c r="K5" s="95" t="s">
        <v>18</v>
      </c>
      <c r="L5" s="96" t="n">
        <v>0.8125</v>
      </c>
      <c r="M5" s="105" t="s">
        <v>44</v>
      </c>
      <c r="N5" s="100" t="n">
        <f aca="false">SUM(O4)</f>
        <v>7624490</v>
      </c>
      <c r="O5" s="99" t="n">
        <v>7624590</v>
      </c>
      <c r="P5" s="100" t="n">
        <f aca="false">SUM(O5-N5)</f>
        <v>100</v>
      </c>
      <c r="Q5" s="101" t="n">
        <v>0.833</v>
      </c>
      <c r="R5" s="102" t="n">
        <f aca="false">SUM(Q5*P5)</f>
        <v>83.3</v>
      </c>
      <c r="S5" s="103" t="s">
        <v>67</v>
      </c>
    </row>
    <row r="6" customFormat="false" ht="15" hidden="false" customHeight="false" outlineLevel="0" collapsed="false">
      <c r="A6" s="90" t="n">
        <v>0.506944444444444</v>
      </c>
      <c r="B6" s="91" t="s">
        <v>46</v>
      </c>
      <c r="C6" s="98" t="n">
        <f aca="false">SUM(D5)</f>
        <v>50075970</v>
      </c>
      <c r="D6" s="76" t="n">
        <v>50089020</v>
      </c>
      <c r="E6" s="92" t="n">
        <f aca="false">SUM(D6-C6)</f>
        <v>13050</v>
      </c>
      <c r="F6" s="109" t="n">
        <v>13049</v>
      </c>
      <c r="G6" s="41" t="n">
        <v>0.8294</v>
      </c>
      <c r="H6" s="94" t="n">
        <f aca="false">SUM(G6*F6)</f>
        <v>10822.8406</v>
      </c>
      <c r="I6" s="29" t="n">
        <v>248</v>
      </c>
      <c r="J6" s="29" t="n">
        <v>6527</v>
      </c>
      <c r="K6" s="95" t="s">
        <v>18</v>
      </c>
      <c r="L6" s="96" t="n">
        <v>0.993055555555555</v>
      </c>
      <c r="M6" s="105" t="s">
        <v>39</v>
      </c>
      <c r="N6" s="100" t="n">
        <f aca="false">SUM(O5)</f>
        <v>7624590</v>
      </c>
      <c r="O6" s="99" t="n">
        <v>7624830</v>
      </c>
      <c r="P6" s="100" t="n">
        <f aca="false">SUM(O6-N6)</f>
        <v>240</v>
      </c>
      <c r="Q6" s="41" t="n">
        <v>0.8338</v>
      </c>
      <c r="R6" s="102" t="n">
        <f aca="false">SUM(Q6*P6)</f>
        <v>200.112</v>
      </c>
      <c r="S6" s="103" t="s">
        <v>45</v>
      </c>
    </row>
    <row r="7" customFormat="false" ht="15" hidden="false" customHeight="false" outlineLevel="0" collapsed="false">
      <c r="A7" s="90" t="n">
        <v>0.711805555555555</v>
      </c>
      <c r="B7" s="91" t="s">
        <v>46</v>
      </c>
      <c r="C7" s="98" t="n">
        <f aca="false">SUM(D6)</f>
        <v>50089020</v>
      </c>
      <c r="D7" s="76" t="n">
        <v>50107260</v>
      </c>
      <c r="E7" s="92" t="n">
        <f aca="false">SUM(D7-C7)</f>
        <v>18240</v>
      </c>
      <c r="F7" s="190" t="n">
        <v>18241</v>
      </c>
      <c r="G7" s="41" t="n">
        <v>0.8294</v>
      </c>
      <c r="H7" s="94" t="n">
        <f aca="false">SUM(G7*F7)</f>
        <v>15129.0854</v>
      </c>
      <c r="I7" s="29" t="n">
        <v>787</v>
      </c>
      <c r="J7" s="29" t="n">
        <v>6533</v>
      </c>
      <c r="K7" s="95" t="s">
        <v>18</v>
      </c>
      <c r="L7" s="96" t="n">
        <v>0.0347222222222222</v>
      </c>
      <c r="M7" s="105" t="s">
        <v>44</v>
      </c>
      <c r="N7" s="100" t="n">
        <f aca="false">SUM(O6)</f>
        <v>7624830</v>
      </c>
      <c r="O7" s="99" t="n">
        <v>7625040</v>
      </c>
      <c r="P7" s="100" t="n">
        <f aca="false">SUM(O7-N7)</f>
        <v>210</v>
      </c>
      <c r="Q7" s="41" t="n">
        <v>0.8316</v>
      </c>
      <c r="R7" s="102" t="n">
        <f aca="false">SUM(Q7*P7)</f>
        <v>174.636</v>
      </c>
      <c r="S7" s="103" t="s">
        <v>65</v>
      </c>
    </row>
    <row r="8" customFormat="false" ht="15" hidden="false" customHeight="false" outlineLevel="0" collapsed="false">
      <c r="A8" s="90" t="n">
        <v>0.770833333333333</v>
      </c>
      <c r="B8" s="91" t="s">
        <v>54</v>
      </c>
      <c r="C8" s="98" t="n">
        <f aca="false">SUM(D7)</f>
        <v>50107260</v>
      </c>
      <c r="D8" s="76" t="n">
        <v>50125500</v>
      </c>
      <c r="E8" s="92" t="n">
        <f aca="false">SUM(D8-C8)</f>
        <v>18240</v>
      </c>
      <c r="F8" s="190" t="n">
        <v>18241</v>
      </c>
      <c r="G8" s="41" t="n">
        <v>0.8302</v>
      </c>
      <c r="H8" s="94" t="n">
        <f aca="false">SUM(G8*F8)</f>
        <v>15143.6782</v>
      </c>
      <c r="I8" s="29" t="n">
        <v>787</v>
      </c>
      <c r="J8" s="29" t="n">
        <v>6535</v>
      </c>
      <c r="K8" s="95" t="s">
        <v>18</v>
      </c>
      <c r="L8" s="96" t="n">
        <v>0.0555555555555556</v>
      </c>
      <c r="M8" s="97" t="s">
        <v>54</v>
      </c>
      <c r="N8" s="100" t="n">
        <f aca="false">SUM(O7)</f>
        <v>7625040</v>
      </c>
      <c r="O8" s="99" t="n">
        <v>7625310</v>
      </c>
      <c r="P8" s="100" t="n">
        <f aca="false">SUM(O8-N8)</f>
        <v>270</v>
      </c>
      <c r="Q8" s="101" t="n">
        <v>0.8297</v>
      </c>
      <c r="R8" s="102" t="n">
        <f aca="false">SUM(Q8*P8)</f>
        <v>224.019</v>
      </c>
      <c r="S8" s="1" t="s">
        <v>47</v>
      </c>
    </row>
    <row r="9" customFormat="false" ht="15" hidden="false" customHeight="false" outlineLevel="0" collapsed="false">
      <c r="A9" s="90" t="n">
        <v>0.881944444444444</v>
      </c>
      <c r="B9" s="91" t="s">
        <v>54</v>
      </c>
      <c r="C9" s="98" t="n">
        <f aca="false">SUM(D8)</f>
        <v>50125500</v>
      </c>
      <c r="D9" s="76" t="n">
        <v>50147930</v>
      </c>
      <c r="E9" s="92" t="n">
        <f aca="false">SUM(D9-C9)</f>
        <v>22430</v>
      </c>
      <c r="F9" s="190" t="n">
        <v>22430</v>
      </c>
      <c r="G9" s="41" t="n">
        <v>0.8297</v>
      </c>
      <c r="H9" s="94" t="n">
        <f aca="false">SUM(G9*F9)</f>
        <v>18610.171</v>
      </c>
      <c r="I9" s="29" t="n">
        <v>388</v>
      </c>
      <c r="J9" s="29" t="n">
        <v>6539</v>
      </c>
      <c r="K9" s="95" t="s">
        <v>18</v>
      </c>
      <c r="L9" s="96" t="n">
        <v>0.125</v>
      </c>
      <c r="M9" s="97" t="s">
        <v>54</v>
      </c>
      <c r="N9" s="100" t="n">
        <f aca="false">SUM(O8)</f>
        <v>7625310</v>
      </c>
      <c r="O9" s="99" t="n">
        <v>7625560</v>
      </c>
      <c r="P9" s="100" t="n">
        <f aca="false">SUM(O9-N9)</f>
        <v>250</v>
      </c>
      <c r="Q9" s="101" t="n">
        <v>0.8297</v>
      </c>
      <c r="R9" s="102" t="n">
        <f aca="false">SUM(Q9*P9)</f>
        <v>207.425</v>
      </c>
      <c r="S9" s="1" t="s">
        <v>53</v>
      </c>
    </row>
    <row r="10" customFormat="false" ht="15" hidden="false" customHeight="false" outlineLevel="0" collapsed="false">
      <c r="A10" s="90" t="n">
        <v>0.923611111111111</v>
      </c>
      <c r="B10" s="91" t="s">
        <v>44</v>
      </c>
      <c r="C10" s="98" t="n">
        <f aca="false">SUM(D9)</f>
        <v>50147930</v>
      </c>
      <c r="D10" s="76" t="n">
        <v>50154960</v>
      </c>
      <c r="E10" s="92" t="n">
        <f aca="false">SUM(D10-C10)</f>
        <v>7030</v>
      </c>
      <c r="F10" s="107" t="n">
        <v>7033</v>
      </c>
      <c r="G10" s="41" t="n">
        <v>0.8316</v>
      </c>
      <c r="H10" s="94" t="n">
        <f aca="false">SUM(G10*F10)</f>
        <v>5848.6428</v>
      </c>
      <c r="I10" s="29" t="n">
        <v>251</v>
      </c>
      <c r="J10" s="29" t="n">
        <v>6542</v>
      </c>
      <c r="K10" s="95" t="s">
        <v>18</v>
      </c>
      <c r="L10" s="96"/>
      <c r="M10" s="97"/>
      <c r="N10" s="100" t="n">
        <f aca="false">SUM(O9)</f>
        <v>7625560</v>
      </c>
      <c r="O10" s="99"/>
      <c r="P10" s="100" t="n">
        <f aca="false">SUM(O10-N10)</f>
        <v>-7625560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0.944444444444444</v>
      </c>
      <c r="B11" s="91" t="s">
        <v>46</v>
      </c>
      <c r="C11" s="98" t="n">
        <f aca="false">SUM(D10)</f>
        <v>50154960</v>
      </c>
      <c r="D11" s="76" t="n">
        <v>50163540</v>
      </c>
      <c r="E11" s="92" t="n">
        <f aca="false">SUM(D11-C11)</f>
        <v>8580</v>
      </c>
      <c r="F11" s="109" t="n">
        <v>8589</v>
      </c>
      <c r="G11" s="41" t="n">
        <v>0.8299</v>
      </c>
      <c r="H11" s="94" t="n">
        <f aca="false">SUM(G11*F11)</f>
        <v>7128.0111</v>
      </c>
      <c r="I11" s="29" t="n">
        <v>147</v>
      </c>
      <c r="J11" s="29" t="n">
        <v>6545</v>
      </c>
      <c r="K11" s="95" t="s">
        <v>18</v>
      </c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0.951388888888889</v>
      </c>
      <c r="B12" s="91" t="s">
        <v>54</v>
      </c>
      <c r="C12" s="98" t="n">
        <f aca="false">SUM(D11)</f>
        <v>50163540</v>
      </c>
      <c r="D12" s="76" t="n">
        <v>50185960</v>
      </c>
      <c r="E12" s="92" t="n">
        <f aca="false">SUM(D12-C12)</f>
        <v>22420</v>
      </c>
      <c r="F12" s="190" t="n">
        <v>22430</v>
      </c>
      <c r="G12" s="41" t="n">
        <v>0.8297</v>
      </c>
      <c r="H12" s="94" t="n">
        <f aca="false">SUM(G12*F12)</f>
        <v>18610.171</v>
      </c>
      <c r="I12" s="29" t="n">
        <v>388</v>
      </c>
      <c r="J12" s="29" t="n">
        <v>6546</v>
      </c>
      <c r="K12" s="95" t="s">
        <v>18</v>
      </c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0.159722222222222</v>
      </c>
      <c r="B13" s="91" t="s">
        <v>46</v>
      </c>
      <c r="C13" s="98" t="n">
        <f aca="false">SUM(D12)</f>
        <v>50185960</v>
      </c>
      <c r="D13" s="76" t="n">
        <v>50208390</v>
      </c>
      <c r="E13" s="92" t="n">
        <f aca="false">SUM(D13-C13)</f>
        <v>22430</v>
      </c>
      <c r="F13" s="190" t="n">
        <v>22430</v>
      </c>
      <c r="G13" s="41" t="n">
        <v>0.8332</v>
      </c>
      <c r="H13" s="94" t="n">
        <f aca="false">SUM(G13*F13)</f>
        <v>18688.676</v>
      </c>
      <c r="I13" s="29" t="n">
        <v>388</v>
      </c>
      <c r="J13" s="29" t="n">
        <v>6551</v>
      </c>
      <c r="K13" s="95" t="s">
        <v>18</v>
      </c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0.180555555555556</v>
      </c>
      <c r="B14" s="91" t="s">
        <v>46</v>
      </c>
      <c r="C14" s="98" t="n">
        <f aca="false">SUM(D13)</f>
        <v>50208390</v>
      </c>
      <c r="D14" s="76" t="n">
        <v>50225420</v>
      </c>
      <c r="E14" s="92" t="n">
        <f aca="false">SUM(D14-C14)</f>
        <v>17030</v>
      </c>
      <c r="F14" s="107" t="n">
        <v>17019</v>
      </c>
      <c r="G14" s="41" t="n">
        <v>0.8332</v>
      </c>
      <c r="H14" s="94" t="n">
        <f aca="false">SUM(G14*F14)</f>
        <v>14180.2308</v>
      </c>
      <c r="I14" s="29" t="n">
        <v>251</v>
      </c>
      <c r="J14" s="29" t="n">
        <v>6552</v>
      </c>
      <c r="K14" s="95" t="s">
        <v>18</v>
      </c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0.225694444444444</v>
      </c>
      <c r="B15" s="91" t="s">
        <v>54</v>
      </c>
      <c r="C15" s="98" t="n">
        <f aca="false">SUM(D14)</f>
        <v>50225420</v>
      </c>
      <c r="D15" s="76" t="n">
        <v>50247850</v>
      </c>
      <c r="E15" s="92" t="n">
        <f aca="false">SUM(D15-C15)</f>
        <v>22430</v>
      </c>
      <c r="F15" s="190" t="n">
        <v>22430</v>
      </c>
      <c r="G15" s="41" t="n">
        <v>0.8326</v>
      </c>
      <c r="H15" s="94" t="n">
        <f aca="false">SUM(G15*F15)</f>
        <v>18675.218</v>
      </c>
      <c r="I15" s="29" t="n">
        <v>388</v>
      </c>
      <c r="J15" s="29" t="n">
        <v>6553</v>
      </c>
      <c r="K15" s="95" t="s">
        <v>18</v>
      </c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0.270833333333333</v>
      </c>
      <c r="B16" s="91" t="s">
        <v>39</v>
      </c>
      <c r="C16" s="98" t="n">
        <f aca="false">SUM(D15)</f>
        <v>50247850</v>
      </c>
      <c r="D16" s="76" t="n">
        <v>50264870</v>
      </c>
      <c r="E16" s="92" t="n">
        <f aca="false">SUM(D16-C16)</f>
        <v>17020</v>
      </c>
      <c r="F16" s="107" t="n">
        <v>17019</v>
      </c>
      <c r="G16" s="41" t="n">
        <v>0.8359</v>
      </c>
      <c r="H16" s="94" t="n">
        <f aca="false">SUM(G16*F16)</f>
        <v>14226.1821</v>
      </c>
      <c r="I16" s="29" t="n">
        <v>251</v>
      </c>
      <c r="J16" s="29" t="n">
        <v>6555</v>
      </c>
      <c r="K16" s="95" t="s">
        <v>18</v>
      </c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0.291666666666667</v>
      </c>
      <c r="B17" s="91" t="s">
        <v>39</v>
      </c>
      <c r="C17" s="98" t="n">
        <f aca="false">SUM(D16)</f>
        <v>50264870</v>
      </c>
      <c r="D17" s="76" t="n">
        <v>50287300</v>
      </c>
      <c r="E17" s="92" t="n">
        <f aca="false">SUM(D17-C17)</f>
        <v>22430</v>
      </c>
      <c r="F17" s="190" t="n">
        <v>22430</v>
      </c>
      <c r="G17" s="41" t="n">
        <v>0.8359</v>
      </c>
      <c r="H17" s="94" t="n">
        <f aca="false">SUM(G17*F17)</f>
        <v>18749.237</v>
      </c>
      <c r="I17" s="29" t="n">
        <v>388</v>
      </c>
      <c r="J17" s="29" t="n">
        <v>6556</v>
      </c>
      <c r="K17" s="95" t="s">
        <v>18</v>
      </c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0.354166666666667</v>
      </c>
      <c r="B18" s="91" t="s">
        <v>39</v>
      </c>
      <c r="C18" s="98" t="n">
        <f aca="false">SUM(D17)</f>
        <v>50287300</v>
      </c>
      <c r="D18" s="76" t="n">
        <v>50298780</v>
      </c>
      <c r="E18" s="92" t="n">
        <f aca="false">SUM(D18-C18)</f>
        <v>11480</v>
      </c>
      <c r="F18" s="190" t="n">
        <v>11480</v>
      </c>
      <c r="G18" s="41" t="n">
        <v>0.8359</v>
      </c>
      <c r="H18" s="94" t="n">
        <f aca="false">SUM(G18*F18)</f>
        <v>9596.132</v>
      </c>
      <c r="I18" s="29" t="n">
        <v>388</v>
      </c>
      <c r="J18" s="29" t="n">
        <v>6558</v>
      </c>
      <c r="K18" s="95" t="s">
        <v>18</v>
      </c>
      <c r="L18" s="96"/>
      <c r="M18" s="105"/>
      <c r="N18" s="130"/>
      <c r="O18" s="99"/>
      <c r="P18" s="109" t="n">
        <f aca="false">SUM(O18-N18)</f>
        <v>0</v>
      </c>
      <c r="Q18" s="41"/>
      <c r="R18" s="94" t="n">
        <f aca="false">SUM(Q18*P18)</f>
        <v>0</v>
      </c>
      <c r="S18" s="103"/>
      <c r="T18" s="0" t="s">
        <v>41</v>
      </c>
    </row>
    <row r="19" customFormat="false" ht="15" hidden="false" customHeight="false" outlineLevel="0" collapsed="false">
      <c r="A19" s="90" t="n">
        <v>0.354166666666667</v>
      </c>
      <c r="B19" s="91" t="s">
        <v>39</v>
      </c>
      <c r="C19" s="98" t="n">
        <f aca="false">SUM(D18)</f>
        <v>50298780</v>
      </c>
      <c r="D19" s="76" t="n">
        <v>50309730</v>
      </c>
      <c r="E19" s="92" t="n">
        <f aca="false">SUM(D19-C19)</f>
        <v>10950</v>
      </c>
      <c r="F19" s="190" t="n">
        <v>10950</v>
      </c>
      <c r="G19" s="41" t="n">
        <v>0.8359</v>
      </c>
      <c r="H19" s="94" t="n">
        <f aca="false">SUM(G19*F19)</f>
        <v>9153.105</v>
      </c>
      <c r="I19" s="29" t="n">
        <v>388</v>
      </c>
      <c r="J19" s="29" t="n">
        <v>6559</v>
      </c>
      <c r="K19" s="95" t="s">
        <v>18</v>
      </c>
      <c r="L19" s="96"/>
      <c r="M19" s="105"/>
      <c r="N19" s="98" t="n">
        <f aca="false">SUM(O18)</f>
        <v>0</v>
      </c>
      <c r="O19" s="99"/>
      <c r="P19" s="109" t="n">
        <f aca="false">SUM(O19-N19)</f>
        <v>0</v>
      </c>
      <c r="Q19" s="41"/>
      <c r="R19" s="94" t="n">
        <f aca="false">SUM(Q19*P19)</f>
        <v>0</v>
      </c>
      <c r="S19" s="103"/>
    </row>
    <row r="20" customFormat="false" ht="15" hidden="false" customHeight="false" outlineLevel="0" collapsed="false">
      <c r="A20" s="90"/>
      <c r="B20" s="91"/>
      <c r="C20" s="98"/>
      <c r="D20" s="76"/>
      <c r="E20" s="92" t="n">
        <f aca="false">SUM(D20-C20)</f>
        <v>0</v>
      </c>
      <c r="F20" s="109" t="n">
        <f aca="false">SUM(D20-C20)</f>
        <v>0</v>
      </c>
      <c r="G20" s="41"/>
      <c r="H20" s="94" t="n">
        <f aca="false">SUM(G20*F20)</f>
        <v>0</v>
      </c>
      <c r="I20" s="1"/>
      <c r="J20" s="29"/>
      <c r="K20" s="95" t="s">
        <v>18</v>
      </c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/>
      <c r="B21" s="91"/>
      <c r="C21" s="98" t="n">
        <f aca="false">SUM(D20)</f>
        <v>0</v>
      </c>
      <c r="D21" s="76"/>
      <c r="E21" s="92" t="n">
        <f aca="false">SUM(D21-C21)</f>
        <v>0</v>
      </c>
      <c r="F21" s="109" t="n">
        <f aca="false">SUM(D21-C21)</f>
        <v>0</v>
      </c>
      <c r="G21" s="41"/>
      <c r="H21" s="94" t="n">
        <f aca="false">SUM(G21*F21)</f>
        <v>0</v>
      </c>
      <c r="I21" s="1"/>
      <c r="J21" s="29"/>
      <c r="K21" s="95" t="s">
        <v>18</v>
      </c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/>
      <c r="B22" s="91"/>
      <c r="C22" s="98" t="n">
        <f aca="false">SUM(D21)</f>
        <v>0</v>
      </c>
      <c r="D22" s="76"/>
      <c r="E22" s="92" t="n">
        <f aca="false">SUM(D22-C22)</f>
        <v>0</v>
      </c>
      <c r="F22" s="109" t="n">
        <f aca="false">SUM(D22-C22)</f>
        <v>0</v>
      </c>
      <c r="G22" s="41"/>
      <c r="H22" s="94" t="n">
        <f aca="false">SUM(G22*F22)</f>
        <v>0</v>
      </c>
      <c r="I22" s="1"/>
      <c r="J22" s="29"/>
      <c r="K22" s="95" t="s">
        <v>18</v>
      </c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false" customHeight="false" outlineLevel="0" collapsed="false">
      <c r="A23" s="90"/>
      <c r="B23" s="91"/>
      <c r="C23" s="98" t="n">
        <f aca="false">SUM(D22)</f>
        <v>0</v>
      </c>
      <c r="D23" s="76"/>
      <c r="E23" s="92" t="n">
        <f aca="false">SUM(D23-C23)</f>
        <v>0</v>
      </c>
      <c r="F23" s="109" t="n">
        <f aca="false">SUM(D23-C23)</f>
        <v>0</v>
      </c>
      <c r="G23" s="41"/>
      <c r="H23" s="94" t="n">
        <f aca="false">SUM(G23*F23)</f>
        <v>0</v>
      </c>
      <c r="I23" s="1"/>
      <c r="J23" s="29"/>
      <c r="K23" s="95" t="s">
        <v>18</v>
      </c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" hidden="false" customHeight="false" outlineLevel="0" collapsed="false">
      <c r="A24" s="90"/>
      <c r="B24" s="91"/>
      <c r="C24" s="98" t="n">
        <f aca="false">SUM(D23)</f>
        <v>0</v>
      </c>
      <c r="D24" s="76"/>
      <c r="E24" s="92" t="n">
        <f aca="false">SUM(D24-C24)</f>
        <v>0</v>
      </c>
      <c r="F24" s="109" t="n">
        <f aca="false">SUM(D24-C24)</f>
        <v>0</v>
      </c>
      <c r="G24" s="41"/>
      <c r="H24" s="94" t="n">
        <f aca="false">SUM(G24*F24)</f>
        <v>0</v>
      </c>
      <c r="I24" s="1"/>
      <c r="J24" s="29"/>
      <c r="K24" s="95" t="s">
        <v>18</v>
      </c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" hidden="false" customHeight="false" outlineLevel="0" collapsed="false">
      <c r="A25" s="90"/>
      <c r="B25" s="91"/>
      <c r="C25" s="98" t="n">
        <f aca="false">SUM(D24)</f>
        <v>0</v>
      </c>
      <c r="D25" s="76"/>
      <c r="E25" s="92" t="n">
        <f aca="false">SUM(D25-C25)</f>
        <v>0</v>
      </c>
      <c r="F25" s="109" t="n">
        <f aca="false">SUM(D25-C25)</f>
        <v>0</v>
      </c>
      <c r="G25" s="41"/>
      <c r="H25" s="94" t="n">
        <f aca="false">SUM(G25*F25)</f>
        <v>0</v>
      </c>
      <c r="I25" s="1"/>
      <c r="J25" s="29"/>
      <c r="K25" s="95" t="s">
        <v>18</v>
      </c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" hidden="false" customHeight="false" outlineLevel="0" collapsed="false">
      <c r="A26" s="90"/>
      <c r="B26" s="91"/>
      <c r="C26" s="98" t="n">
        <f aca="false">SUM(D25)</f>
        <v>0</v>
      </c>
      <c r="D26" s="76"/>
      <c r="E26" s="92" t="n">
        <f aca="false">SUM(D26-C26)</f>
        <v>0</v>
      </c>
      <c r="F26" s="109" t="n">
        <f aca="false">SUM(D26-C26)</f>
        <v>0</v>
      </c>
      <c r="G26" s="41"/>
      <c r="H26" s="94" t="n">
        <f aca="false">SUM(G26*F26)</f>
        <v>0</v>
      </c>
      <c r="I26" s="1"/>
      <c r="J26" s="29"/>
      <c r="K26" s="95" t="s">
        <v>18</v>
      </c>
      <c r="L26" s="96"/>
      <c r="M26" s="97"/>
      <c r="N26" s="98" t="n">
        <f aca="false">SUM(O25)</f>
        <v>0</v>
      </c>
      <c r="O26" s="99"/>
      <c r="P26" s="109" t="n">
        <f aca="false">SUM(O26-N26)</f>
        <v>0</v>
      </c>
      <c r="Q26" s="101"/>
      <c r="R26" s="94" t="n">
        <f aca="false">SUM(Q26*P26)</f>
        <v>0</v>
      </c>
      <c r="S26" s="103"/>
    </row>
    <row r="27" customFormat="false" ht="15" hidden="false" customHeight="false" outlineLevel="0" collapsed="false">
      <c r="A27" s="90"/>
      <c r="B27" s="91"/>
      <c r="C27" s="98" t="n">
        <f aca="false">SUM(D26)</f>
        <v>0</v>
      </c>
      <c r="D27" s="76"/>
      <c r="E27" s="92" t="n">
        <f aca="false">SUM(D27-C27)</f>
        <v>0</v>
      </c>
      <c r="F27" s="109" t="n">
        <f aca="false">SUM(D27-C27)</f>
        <v>0</v>
      </c>
      <c r="G27" s="41"/>
      <c r="H27" s="94" t="n">
        <f aca="false">SUM(G27*F27)</f>
        <v>0</v>
      </c>
      <c r="I27" s="1"/>
      <c r="J27" s="29"/>
      <c r="K27" s="95"/>
      <c r="L27" s="118"/>
      <c r="M27" s="118"/>
      <c r="N27" s="118"/>
      <c r="O27" s="118"/>
      <c r="P27" s="118"/>
      <c r="Q27" s="118"/>
      <c r="R27" s="118"/>
      <c r="S27" s="118"/>
    </row>
    <row r="28" customFormat="false" ht="15" hidden="false" customHeight="false" outlineLevel="0" collapsed="false">
      <c r="A28" s="90"/>
      <c r="B28" s="91"/>
      <c r="C28" s="98" t="n">
        <f aca="false">SUM(D27)</f>
        <v>0</v>
      </c>
      <c r="D28" s="76"/>
      <c r="E28" s="92" t="n">
        <f aca="false">SUM(D28-C28)</f>
        <v>0</v>
      </c>
      <c r="F28" s="109" t="n">
        <f aca="false">SUM(D28-C28)</f>
        <v>0</v>
      </c>
      <c r="G28" s="41"/>
      <c r="H28" s="94" t="n">
        <f aca="false">SUM(G28*F28)</f>
        <v>0</v>
      </c>
      <c r="I28" s="1"/>
      <c r="J28" s="29"/>
      <c r="K28" s="95"/>
      <c r="L28" s="118"/>
      <c r="M28" s="118"/>
      <c r="N28" s="118"/>
      <c r="O28" s="118"/>
      <c r="P28" s="118"/>
      <c r="Q28" s="118"/>
      <c r="R28" s="118"/>
      <c r="S28" s="118"/>
    </row>
    <row r="29" customFormat="false" ht="15" hidden="false" customHeight="false" outlineLevel="0" collapsed="false">
      <c r="A29" s="90"/>
      <c r="B29" s="91"/>
      <c r="C29" s="98" t="n">
        <f aca="false">SUM(D28)</f>
        <v>0</v>
      </c>
      <c r="D29" s="76"/>
      <c r="E29" s="92" t="n">
        <f aca="false">SUM(D29-C29)</f>
        <v>0</v>
      </c>
      <c r="F29" s="109" t="n">
        <f aca="false">SUM(D29-C29)</f>
        <v>0</v>
      </c>
      <c r="G29" s="41"/>
      <c r="H29" s="94" t="n">
        <f aca="false">SUM(G29*F29)</f>
        <v>0</v>
      </c>
      <c r="I29" s="1"/>
      <c r="J29" s="29"/>
      <c r="K29" s="95"/>
      <c r="L29" s="118"/>
      <c r="M29" s="118"/>
      <c r="N29" s="118"/>
      <c r="O29" s="118"/>
      <c r="P29" s="118"/>
      <c r="Q29" s="118"/>
      <c r="R29" s="118"/>
      <c r="S29" s="118"/>
    </row>
    <row r="30" customFormat="false" ht="15" hidden="false" customHeight="false" outlineLevel="0" collapsed="false">
      <c r="A30" s="90"/>
      <c r="B30" s="91"/>
      <c r="C30" s="98" t="n">
        <f aca="false">SUM(D29)</f>
        <v>0</v>
      </c>
      <c r="D30" s="76"/>
      <c r="E30" s="92" t="n">
        <f aca="false">SUM(D30-C30)</f>
        <v>0</v>
      </c>
      <c r="F30" s="109" t="n">
        <f aca="false">SUM(D30-C30)</f>
        <v>0</v>
      </c>
      <c r="G30" s="41"/>
      <c r="H30" s="94" t="n">
        <f aca="false">SUM(G30*F30)</f>
        <v>0</v>
      </c>
      <c r="I30" s="1"/>
      <c r="J30" s="1"/>
      <c r="K30" s="95"/>
      <c r="L30" s="118"/>
      <c r="M30" s="118"/>
      <c r="N30" s="118"/>
      <c r="O30" s="118"/>
      <c r="P30" s="118"/>
      <c r="Q30" s="118"/>
      <c r="R30" s="118"/>
      <c r="S30" s="118"/>
    </row>
    <row r="31" customFormat="false" ht="15" hidden="false" customHeight="false" outlineLevel="0" collapsed="false">
      <c r="A31" s="90"/>
      <c r="B31" s="91"/>
      <c r="C31" s="98" t="n">
        <f aca="false">SUM(D30)</f>
        <v>0</v>
      </c>
      <c r="D31" s="76"/>
      <c r="E31" s="110"/>
      <c r="F31" s="109" t="n">
        <f aca="false">SUM(F3:F30)</f>
        <v>282218</v>
      </c>
      <c r="G31" s="41"/>
      <c r="H31" s="94" t="n">
        <f aca="false">SUM(H3:H30)</f>
        <v>234697.7203</v>
      </c>
      <c r="I31" s="1"/>
      <c r="J31" s="1"/>
      <c r="L31" s="118"/>
      <c r="M31" s="118"/>
      <c r="N31" s="118"/>
      <c r="O31" s="118"/>
      <c r="P31" s="118"/>
      <c r="Q31" s="118"/>
      <c r="R31" s="118"/>
      <c r="S31" s="118"/>
    </row>
    <row r="32" customFormat="false" ht="15" hidden="false" customHeight="false" outlineLevel="0" collapsed="false">
      <c r="A32" s="89"/>
      <c r="B32" s="82" t="s">
        <v>49</v>
      </c>
      <c r="C32" s="83"/>
      <c r="D32" s="83"/>
      <c r="E32" s="83"/>
      <c r="F32" s="83"/>
      <c r="G32" s="84"/>
      <c r="H32" s="85"/>
      <c r="I32" s="86"/>
      <c r="J32" s="86"/>
      <c r="L32" s="118"/>
      <c r="M32" s="118"/>
      <c r="N32" s="118"/>
      <c r="O32" s="118"/>
      <c r="P32" s="118"/>
      <c r="Q32" s="118"/>
      <c r="R32" s="118"/>
      <c r="S32" s="118"/>
    </row>
    <row r="33" customFormat="false" ht="15" hidden="false" customHeight="false" outlineLevel="0" collapsed="false">
      <c r="A33" s="90" t="n">
        <v>0.402777777777778</v>
      </c>
      <c r="B33" s="91" t="s">
        <v>55</v>
      </c>
      <c r="C33" s="108" t="n">
        <v>2584150</v>
      </c>
      <c r="D33" s="108" t="n">
        <v>2592610</v>
      </c>
      <c r="E33" s="92" t="n">
        <f aca="false">SUM(D33-C33)</f>
        <v>8460</v>
      </c>
      <c r="F33" s="109" t="n">
        <v>8416</v>
      </c>
      <c r="G33" s="41" t="n">
        <v>0.8236</v>
      </c>
      <c r="H33" s="94" t="n">
        <f aca="false">SUM(G33*F33)</f>
        <v>6931.4176</v>
      </c>
      <c r="I33" s="29" t="n">
        <v>382</v>
      </c>
      <c r="J33" s="1" t="n">
        <v>6518</v>
      </c>
      <c r="K33" s="119" t="s">
        <v>60</v>
      </c>
      <c r="L33" s="118"/>
      <c r="M33" s="118"/>
      <c r="N33" s="118"/>
      <c r="O33" s="118"/>
      <c r="P33" s="118"/>
      <c r="Q33" s="118"/>
      <c r="R33" s="118"/>
      <c r="S33" s="118"/>
    </row>
    <row r="34" customFormat="false" ht="14.25" hidden="false" customHeight="true" outlineLevel="0" collapsed="false">
      <c r="A34" s="90" t="n">
        <v>0.4375</v>
      </c>
      <c r="B34" s="91" t="s">
        <v>61</v>
      </c>
      <c r="C34" s="98" t="n">
        <f aca="false">SUM(D33)</f>
        <v>2592610</v>
      </c>
      <c r="D34" s="108" t="n">
        <v>2603230</v>
      </c>
      <c r="E34" s="92" t="n">
        <f aca="false">SUM(D34-C34)</f>
        <v>10620</v>
      </c>
      <c r="F34" s="109" t="n">
        <v>10560</v>
      </c>
      <c r="G34" s="41" t="n">
        <v>0.8223</v>
      </c>
      <c r="H34" s="94" t="n">
        <f aca="false">SUM(G34*F34)</f>
        <v>8683.488</v>
      </c>
      <c r="I34" s="29" t="n">
        <v>81</v>
      </c>
      <c r="J34" s="1" t="n">
        <v>6519</v>
      </c>
      <c r="K34" s="119" t="s">
        <v>60</v>
      </c>
      <c r="L34" s="118"/>
      <c r="M34" s="118"/>
      <c r="N34" s="118"/>
      <c r="O34" s="118"/>
      <c r="P34" s="118"/>
      <c r="Q34" s="118"/>
      <c r="R34" s="118"/>
      <c r="S34" s="118"/>
    </row>
    <row r="35" customFormat="false" ht="15" hidden="false" customHeight="true" outlineLevel="0" collapsed="false">
      <c r="A35" s="90" t="n">
        <v>0.444444444444444</v>
      </c>
      <c r="B35" s="91" t="s">
        <v>61</v>
      </c>
      <c r="C35" s="98" t="n">
        <f aca="false">SUM(D34)</f>
        <v>2603230</v>
      </c>
      <c r="D35" s="108" t="n">
        <v>2620260</v>
      </c>
      <c r="E35" s="92" t="n">
        <f aca="false">SUM(D35-C35)</f>
        <v>17030</v>
      </c>
      <c r="F35" s="107" t="n">
        <v>17019</v>
      </c>
      <c r="G35" s="41" t="n">
        <v>0.8223</v>
      </c>
      <c r="H35" s="94" t="n">
        <f aca="false">SUM(G35*F35)</f>
        <v>13994.7237</v>
      </c>
      <c r="I35" s="29" t="n">
        <v>251</v>
      </c>
      <c r="J35" s="1" t="n">
        <v>6520</v>
      </c>
      <c r="K35" s="119" t="s">
        <v>60</v>
      </c>
      <c r="L35" s="118"/>
      <c r="M35" s="118"/>
      <c r="N35" s="118"/>
      <c r="O35" s="118"/>
      <c r="P35" s="118"/>
      <c r="Q35" s="118"/>
      <c r="R35" s="118"/>
      <c r="S35" s="118"/>
    </row>
    <row r="36" customFormat="false" ht="15" hidden="false" customHeight="false" outlineLevel="0" collapsed="false">
      <c r="A36" s="90" t="n">
        <v>0.465277777777778</v>
      </c>
      <c r="B36" s="91" t="s">
        <v>61</v>
      </c>
      <c r="C36" s="98" t="n">
        <f aca="false">SUM(D35)</f>
        <v>2620260</v>
      </c>
      <c r="D36" s="108" t="n">
        <v>2625510</v>
      </c>
      <c r="E36" s="92" t="n">
        <f aca="false">SUM(D36-C36)</f>
        <v>5250</v>
      </c>
      <c r="F36" s="109" t="n">
        <v>5128</v>
      </c>
      <c r="G36" s="41" t="n">
        <v>0.8223</v>
      </c>
      <c r="H36" s="94" t="n">
        <f aca="false">SUM(G36*F36)</f>
        <v>4216.7544</v>
      </c>
      <c r="I36" s="29" t="n">
        <v>57</v>
      </c>
      <c r="J36" s="1" t="n">
        <v>6521</v>
      </c>
      <c r="K36" s="119" t="s">
        <v>60</v>
      </c>
      <c r="L36" s="118"/>
      <c r="M36" s="118"/>
      <c r="N36" s="118"/>
      <c r="O36" s="118"/>
      <c r="P36" s="118"/>
      <c r="Q36" s="118"/>
      <c r="R36" s="118"/>
      <c r="S36" s="118"/>
    </row>
    <row r="37" customFormat="false" ht="15" hidden="false" customHeight="false" outlineLevel="0" collapsed="false">
      <c r="A37" s="90" t="n">
        <v>0.472222222222222</v>
      </c>
      <c r="B37" s="91" t="s">
        <v>89</v>
      </c>
      <c r="C37" s="98" t="n">
        <f aca="false">SUM(D36)</f>
        <v>2625510</v>
      </c>
      <c r="D37" s="108" t="n">
        <v>2635110</v>
      </c>
      <c r="E37" s="92" t="n">
        <f aca="false">SUM(D37-C37)</f>
        <v>9600</v>
      </c>
      <c r="F37" s="109" t="n">
        <v>9540</v>
      </c>
      <c r="G37" s="41" t="n">
        <v>0.8252</v>
      </c>
      <c r="H37" s="94" t="n">
        <f aca="false">SUM(G37*F37)</f>
        <v>7872.408</v>
      </c>
      <c r="I37" s="29" t="n">
        <v>467</v>
      </c>
      <c r="J37" s="1" t="n">
        <v>6523</v>
      </c>
      <c r="K37" s="112" t="s">
        <v>91</v>
      </c>
      <c r="L37" s="118"/>
      <c r="M37" s="204"/>
      <c r="N37" s="118"/>
      <c r="O37" s="118"/>
      <c r="P37" s="118"/>
      <c r="Q37" s="118"/>
      <c r="R37" s="118"/>
      <c r="S37" s="118"/>
    </row>
    <row r="38" customFormat="false" ht="15" hidden="false" customHeight="false" outlineLevel="0" collapsed="false">
      <c r="A38" s="90" t="n">
        <v>0.506944444444444</v>
      </c>
      <c r="B38" s="91" t="s">
        <v>61</v>
      </c>
      <c r="C38" s="98" t="n">
        <f aca="false">SUM(D37)</f>
        <v>2635110</v>
      </c>
      <c r="D38" s="108" t="n">
        <v>2645090</v>
      </c>
      <c r="E38" s="92" t="n">
        <f aca="false">SUM(D38-C38)</f>
        <v>9980</v>
      </c>
      <c r="F38" s="107" t="n">
        <v>9986</v>
      </c>
      <c r="G38" s="41" t="n">
        <v>0.8223</v>
      </c>
      <c r="H38" s="94" t="n">
        <f aca="false">SUM(G38*F38)</f>
        <v>8211.4878</v>
      </c>
      <c r="I38" s="29" t="n">
        <v>251</v>
      </c>
      <c r="J38" s="1" t="n">
        <v>6525</v>
      </c>
      <c r="K38" s="119" t="s">
        <v>60</v>
      </c>
      <c r="L38" s="118"/>
      <c r="M38" s="204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90" t="n">
        <v>0.506944444444444</v>
      </c>
      <c r="B39" s="91" t="s">
        <v>61</v>
      </c>
      <c r="C39" s="98" t="n">
        <f aca="false">SUM(D38)</f>
        <v>2645090</v>
      </c>
      <c r="D39" s="108" t="n">
        <v>2652230</v>
      </c>
      <c r="E39" s="92" t="n">
        <f aca="false">SUM(D39-C39)</f>
        <v>7140</v>
      </c>
      <c r="F39" s="107" t="n">
        <v>7033</v>
      </c>
      <c r="G39" s="41" t="n">
        <v>0.8223</v>
      </c>
      <c r="H39" s="94" t="n">
        <f aca="false">SUM(G39*F39)</f>
        <v>5783.2359</v>
      </c>
      <c r="I39" s="29" t="n">
        <v>251</v>
      </c>
      <c r="J39" s="1" t="n">
        <v>6526</v>
      </c>
      <c r="K39" s="119" t="s">
        <v>60</v>
      </c>
      <c r="L39" s="118"/>
      <c r="M39" s="204"/>
      <c r="N39" s="95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0.597222222222222</v>
      </c>
      <c r="B40" s="91" t="s">
        <v>61</v>
      </c>
      <c r="C40" s="98" t="n">
        <f aca="false">SUM(D39)</f>
        <v>2652230</v>
      </c>
      <c r="D40" s="108" t="n">
        <v>2658700</v>
      </c>
      <c r="E40" s="92" t="n">
        <f aca="false">SUM(D40-C40)</f>
        <v>6470</v>
      </c>
      <c r="F40" s="109" t="n">
        <v>6414</v>
      </c>
      <c r="G40" s="41" t="n">
        <v>0.8223</v>
      </c>
      <c r="H40" s="94" t="n">
        <f aca="false">SUM(G40*F40)</f>
        <v>5274.2322</v>
      </c>
      <c r="I40" s="29" t="n">
        <v>81</v>
      </c>
      <c r="J40" s="29" t="n">
        <v>6528</v>
      </c>
      <c r="K40" s="119" t="s">
        <v>60</v>
      </c>
      <c r="L40" s="118"/>
      <c r="M40" s="118"/>
      <c r="N40" s="95"/>
      <c r="O40" s="118"/>
      <c r="P40" s="118"/>
      <c r="Q40" s="118"/>
      <c r="R40" s="118"/>
      <c r="S40" s="118"/>
    </row>
    <row r="41" customFormat="false" ht="15" hidden="false" customHeight="false" outlineLevel="0" collapsed="false">
      <c r="A41" s="90" t="n">
        <v>0.607638888888889</v>
      </c>
      <c r="B41" s="91" t="s">
        <v>61</v>
      </c>
      <c r="C41" s="98" t="n">
        <f aca="false">SUM(D40)</f>
        <v>2658700</v>
      </c>
      <c r="D41" s="108" t="n">
        <v>2667030</v>
      </c>
      <c r="E41" s="92" t="n">
        <f aca="false">SUM(D41-C41)</f>
        <v>8330</v>
      </c>
      <c r="F41" s="109" t="n">
        <v>8289</v>
      </c>
      <c r="G41" s="41" t="n">
        <v>0.8223</v>
      </c>
      <c r="H41" s="94" t="n">
        <f aca="false">SUM(G41*F41)</f>
        <v>6816.0447</v>
      </c>
      <c r="I41" s="29" t="n">
        <v>57</v>
      </c>
      <c r="J41" s="29" t="n">
        <v>6529</v>
      </c>
      <c r="K41" s="119" t="s">
        <v>60</v>
      </c>
      <c r="L41" s="118"/>
      <c r="M41" s="118"/>
      <c r="N41" s="95"/>
      <c r="O41" s="118"/>
      <c r="P41" s="118"/>
      <c r="Q41" s="118"/>
      <c r="R41" s="118"/>
      <c r="S41" s="118"/>
    </row>
    <row r="42" customFormat="false" ht="15" hidden="false" customHeight="true" outlineLevel="0" collapsed="false">
      <c r="A42" s="90" t="n">
        <v>0.625</v>
      </c>
      <c r="B42" s="91" t="s">
        <v>90</v>
      </c>
      <c r="C42" s="98" t="n">
        <f aca="false">SUM(D41)</f>
        <v>2667030</v>
      </c>
      <c r="D42" s="108" t="n">
        <v>2673750</v>
      </c>
      <c r="E42" s="92" t="n">
        <f aca="false">SUM(D42-C42)</f>
        <v>6720</v>
      </c>
      <c r="F42" s="109" t="n">
        <v>6667</v>
      </c>
      <c r="G42" s="41" t="n">
        <v>0.8229</v>
      </c>
      <c r="H42" s="94" t="n">
        <f aca="false">SUM(G42*F42)</f>
        <v>5486.2743</v>
      </c>
      <c r="I42" s="29" t="n">
        <v>382</v>
      </c>
      <c r="J42" s="29" t="n">
        <v>6530</v>
      </c>
      <c r="K42" s="120" t="s">
        <v>56</v>
      </c>
      <c r="L42" s="118"/>
      <c r="M42" s="118"/>
      <c r="N42" s="95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0.638888888888889</v>
      </c>
      <c r="B43" s="91" t="s">
        <v>52</v>
      </c>
      <c r="C43" s="98" t="n">
        <f aca="false">SUM(D42)</f>
        <v>2673750</v>
      </c>
      <c r="D43" s="108" t="n">
        <v>2683360</v>
      </c>
      <c r="E43" s="92" t="n">
        <f aca="false">SUM(D43-C43)</f>
        <v>9610</v>
      </c>
      <c r="F43" s="205" t="n">
        <v>9540</v>
      </c>
      <c r="G43" s="41" t="n">
        <v>0.8375</v>
      </c>
      <c r="H43" s="94" t="n">
        <f aca="false">SUM(G43*F43)</f>
        <v>7989.75</v>
      </c>
      <c r="I43" s="29" t="n">
        <v>467</v>
      </c>
      <c r="J43" s="29" t="n">
        <v>6531</v>
      </c>
      <c r="K43" s="206" t="s">
        <v>83</v>
      </c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0.638888888888889</v>
      </c>
      <c r="B44" s="91" t="s">
        <v>59</v>
      </c>
      <c r="C44" s="98" t="n">
        <f aca="false">SUM(D43)</f>
        <v>2683360</v>
      </c>
      <c r="D44" s="108" t="n">
        <v>2688880</v>
      </c>
      <c r="E44" s="92" t="n">
        <f aca="false">SUM(D44-C44)</f>
        <v>5520</v>
      </c>
      <c r="F44" s="205" t="n">
        <v>5500</v>
      </c>
      <c r="G44" s="41" t="n">
        <v>0.8375</v>
      </c>
      <c r="H44" s="94" t="n">
        <f aca="false">SUM(G44*F44)</f>
        <v>4606.25</v>
      </c>
      <c r="I44" s="29" t="n">
        <v>467</v>
      </c>
      <c r="J44" s="29" t="n">
        <v>6531</v>
      </c>
      <c r="K44" s="206" t="s">
        <v>83</v>
      </c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0.659722222222222</v>
      </c>
      <c r="B45" s="91" t="s">
        <v>59</v>
      </c>
      <c r="C45" s="98" t="n">
        <f aca="false">SUM(D44)</f>
        <v>2688880</v>
      </c>
      <c r="D45" s="108" t="n">
        <v>2695980</v>
      </c>
      <c r="E45" s="92" t="n">
        <f aca="false">SUM(D45-C45)</f>
        <v>7100</v>
      </c>
      <c r="F45" s="107" t="n">
        <v>7033</v>
      </c>
      <c r="G45" s="41" t="n">
        <v>0.8315</v>
      </c>
      <c r="H45" s="94" t="n">
        <f aca="false">SUM(G45*F45)</f>
        <v>5847.9395</v>
      </c>
      <c r="I45" s="29" t="n">
        <v>251</v>
      </c>
      <c r="J45" s="29" t="n">
        <v>6532</v>
      </c>
      <c r="K45" s="206" t="s">
        <v>83</v>
      </c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0.659722222222222</v>
      </c>
      <c r="B46" s="91" t="s">
        <v>62</v>
      </c>
      <c r="C46" s="98" t="n">
        <f aca="false">SUM(D45)</f>
        <v>2695980</v>
      </c>
      <c r="D46" s="108" t="n">
        <v>2706020</v>
      </c>
      <c r="E46" s="92" t="n">
        <f aca="false">SUM(D46-C46)</f>
        <v>10040</v>
      </c>
      <c r="F46" s="107" t="n">
        <v>9986</v>
      </c>
      <c r="G46" s="41" t="n">
        <v>0.8315</v>
      </c>
      <c r="H46" s="94" t="n">
        <f aca="false">SUM(G46*F46)</f>
        <v>8303.359</v>
      </c>
      <c r="I46" s="29" t="n">
        <v>251</v>
      </c>
      <c r="J46" s="29" t="n">
        <v>6532</v>
      </c>
      <c r="K46" s="112" t="s">
        <v>91</v>
      </c>
      <c r="L46" s="118"/>
      <c r="M46" s="118"/>
      <c r="N46" s="118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0.770833333333333</v>
      </c>
      <c r="B47" s="91" t="s">
        <v>90</v>
      </c>
      <c r="C47" s="98" t="n">
        <f aca="false">SUM(D46)</f>
        <v>2706020</v>
      </c>
      <c r="D47" s="108" t="n">
        <v>2723140</v>
      </c>
      <c r="E47" s="92" t="n">
        <f aca="false">SUM(D47-C47)</f>
        <v>17120</v>
      </c>
      <c r="F47" s="107" t="n">
        <v>17019</v>
      </c>
      <c r="G47" s="41" t="n">
        <v>0.8225</v>
      </c>
      <c r="H47" s="94" t="n">
        <f aca="false">SUM(G47*F47)</f>
        <v>13998.1275</v>
      </c>
      <c r="I47" s="1" t="n">
        <v>251</v>
      </c>
      <c r="J47" s="29" t="n">
        <v>6534</v>
      </c>
      <c r="K47" s="120" t="s">
        <v>56</v>
      </c>
      <c r="L47" s="118"/>
      <c r="M47" s="118"/>
      <c r="N47" s="118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0.784722222222222</v>
      </c>
      <c r="B48" s="91" t="s">
        <v>62</v>
      </c>
      <c r="C48" s="98" t="n">
        <f aca="false">SUM(D47)</f>
        <v>2723140</v>
      </c>
      <c r="D48" s="108" t="n">
        <v>2735290</v>
      </c>
      <c r="E48" s="92" t="n">
        <f aca="false">SUM(D48-C48)</f>
        <v>12150</v>
      </c>
      <c r="F48" s="109" t="n">
        <v>12093</v>
      </c>
      <c r="G48" s="41" t="n">
        <v>0.8245</v>
      </c>
      <c r="H48" s="94" t="n">
        <f aca="false">SUM(G48*F48)</f>
        <v>9970.6785</v>
      </c>
      <c r="I48" s="1" t="n">
        <v>119</v>
      </c>
      <c r="J48" s="29" t="n">
        <v>6536</v>
      </c>
      <c r="K48" s="112" t="s">
        <v>91</v>
      </c>
      <c r="L48" s="118"/>
      <c r="M48" s="118"/>
      <c r="N48" s="118"/>
      <c r="O48" s="118"/>
      <c r="P48" s="118"/>
      <c r="Q48" s="118"/>
      <c r="R48" s="118"/>
      <c r="S48" s="118"/>
    </row>
    <row r="49" customFormat="false" ht="15" hidden="false" customHeight="false" outlineLevel="0" collapsed="false">
      <c r="A49" s="90" t="n">
        <v>0.798611111111111</v>
      </c>
      <c r="B49" s="91" t="s">
        <v>90</v>
      </c>
      <c r="C49" s="98" t="n">
        <f aca="false">SUM(D48)</f>
        <v>2735290</v>
      </c>
      <c r="D49" s="108" t="n">
        <v>2740580</v>
      </c>
      <c r="E49" s="92" t="n">
        <f aca="false">SUM(D49-C49)</f>
        <v>5290</v>
      </c>
      <c r="F49" s="109" t="n">
        <v>5276</v>
      </c>
      <c r="G49" s="41" t="n">
        <v>0.8225</v>
      </c>
      <c r="H49" s="94" t="n">
        <f aca="false">SUM(G49*F49)</f>
        <v>4339.51</v>
      </c>
      <c r="I49" s="1" t="n">
        <v>81</v>
      </c>
      <c r="J49" s="29" t="n">
        <v>6537</v>
      </c>
      <c r="K49" s="120" t="s">
        <v>56</v>
      </c>
      <c r="L49" s="118"/>
      <c r="M49" s="118"/>
      <c r="N49" s="118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0.8125</v>
      </c>
      <c r="B50" s="91" t="s">
        <v>62</v>
      </c>
      <c r="C50" s="98" t="n">
        <f aca="false">SUM(D49)</f>
        <v>2740580</v>
      </c>
      <c r="D50" s="108" t="n">
        <v>2757710</v>
      </c>
      <c r="E50" s="92" t="n">
        <f aca="false">SUM(D50-C50)</f>
        <v>17130</v>
      </c>
      <c r="F50" s="107" t="n">
        <v>17019</v>
      </c>
      <c r="G50" s="41" t="n">
        <v>0.8245</v>
      </c>
      <c r="H50" s="94" t="n">
        <f aca="false">SUM(G50*F50)</f>
        <v>14032.1655</v>
      </c>
      <c r="I50" s="1" t="n">
        <v>251</v>
      </c>
      <c r="J50" s="29" t="n">
        <v>6538</v>
      </c>
      <c r="K50" s="112" t="s">
        <v>91</v>
      </c>
      <c r="L50" s="118"/>
      <c r="M50" s="118"/>
      <c r="N50" s="118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 t="n">
        <v>0.902777777777778</v>
      </c>
      <c r="B51" s="91" t="s">
        <v>90</v>
      </c>
      <c r="C51" s="98" t="n">
        <f aca="false">SUM(D50)</f>
        <v>2757710</v>
      </c>
      <c r="D51" s="108" t="n">
        <v>2763830</v>
      </c>
      <c r="E51" s="92" t="n">
        <f aca="false">SUM(D51-C51)</f>
        <v>6120</v>
      </c>
      <c r="F51" s="109" t="n">
        <v>6070</v>
      </c>
      <c r="G51" s="41" t="n">
        <v>0.8225</v>
      </c>
      <c r="H51" s="94" t="n">
        <f aca="false">SUM(G51*F51)</f>
        <v>4992.575</v>
      </c>
      <c r="I51" s="1" t="n">
        <v>57</v>
      </c>
      <c r="J51" s="29" t="n">
        <v>6540</v>
      </c>
      <c r="K51" s="120" t="s">
        <v>56</v>
      </c>
      <c r="L51" s="118"/>
      <c r="M51" s="118"/>
      <c r="N51" s="118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 t="n">
        <v>0.916666666666667</v>
      </c>
      <c r="B52" s="91" t="s">
        <v>62</v>
      </c>
      <c r="C52" s="98" t="n">
        <f aca="false">SUM(D51)</f>
        <v>2763830</v>
      </c>
      <c r="D52" s="108" t="n">
        <v>2773860</v>
      </c>
      <c r="E52" s="92" t="n">
        <f aca="false">SUM(D52-C52)</f>
        <v>10030</v>
      </c>
      <c r="F52" s="107" t="n">
        <v>9986</v>
      </c>
      <c r="G52" s="41" t="n">
        <v>0.8255</v>
      </c>
      <c r="H52" s="94" t="n">
        <f aca="false">SUM(G52*F52)</f>
        <v>8243.443</v>
      </c>
      <c r="I52" s="1" t="n">
        <v>251</v>
      </c>
      <c r="J52" s="29" t="n">
        <v>6541</v>
      </c>
      <c r="K52" s="112" t="s">
        <v>91</v>
      </c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 t="n">
        <v>0.927083333333333</v>
      </c>
      <c r="B53" s="91" t="s">
        <v>62</v>
      </c>
      <c r="C53" s="98" t="n">
        <f aca="false">SUM(D52)</f>
        <v>2773860</v>
      </c>
      <c r="D53" s="108" t="n">
        <v>2779980</v>
      </c>
      <c r="E53" s="92" t="n">
        <f aca="false">SUM(D53-C53)</f>
        <v>6120</v>
      </c>
      <c r="F53" s="109" t="n">
        <v>6089</v>
      </c>
      <c r="G53" s="41" t="n">
        <v>0.8255</v>
      </c>
      <c r="H53" s="94" t="n">
        <f aca="false">SUM(G53*F53)</f>
        <v>5026.4695</v>
      </c>
      <c r="I53" s="1" t="n">
        <v>119</v>
      </c>
      <c r="J53" s="29" t="n">
        <v>6543</v>
      </c>
      <c r="K53" s="112" t="s">
        <v>91</v>
      </c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 t="n">
        <v>0.9375</v>
      </c>
      <c r="B54" s="91" t="s">
        <v>59</v>
      </c>
      <c r="C54" s="98" t="n">
        <f aca="false">SUM(D53)</f>
        <v>2779980</v>
      </c>
      <c r="D54" s="108" t="n">
        <v>2795140</v>
      </c>
      <c r="E54" s="92" t="n">
        <f aca="false">SUM(D54-C54)</f>
        <v>15160</v>
      </c>
      <c r="F54" s="205" t="n">
        <v>15040</v>
      </c>
      <c r="G54" s="41" t="n">
        <v>0.8387</v>
      </c>
      <c r="H54" s="94" t="n">
        <f aca="false">SUM(G54*F54)</f>
        <v>12614.048</v>
      </c>
      <c r="I54" s="1" t="n">
        <v>467</v>
      </c>
      <c r="J54" s="29" t="n">
        <v>6544</v>
      </c>
      <c r="K54" s="206" t="s">
        <v>83</v>
      </c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 t="n">
        <v>0.951388888888889</v>
      </c>
      <c r="B55" s="91" t="s">
        <v>90</v>
      </c>
      <c r="C55" s="98" t="n">
        <f aca="false">SUM(D54)</f>
        <v>2795140</v>
      </c>
      <c r="D55" s="108" t="n">
        <v>2804630</v>
      </c>
      <c r="E55" s="92" t="n">
        <f aca="false">SUM(D55-C55)</f>
        <v>9490</v>
      </c>
      <c r="F55" s="109" t="n">
        <v>9437</v>
      </c>
      <c r="G55" s="41" t="n">
        <v>0.8228</v>
      </c>
      <c r="H55" s="94" t="n">
        <f aca="false">SUM(G55*F55)</f>
        <v>7764.7636</v>
      </c>
      <c r="I55" s="1" t="n">
        <v>382</v>
      </c>
      <c r="J55" s="29" t="n">
        <v>6547</v>
      </c>
      <c r="K55" s="120" t="s">
        <v>56</v>
      </c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 t="n">
        <v>0.0833333333333333</v>
      </c>
      <c r="B56" s="91" t="s">
        <v>90</v>
      </c>
      <c r="C56" s="98" t="n">
        <f aca="false">SUM(D55)</f>
        <v>2804630</v>
      </c>
      <c r="D56" s="108" t="n">
        <v>2812580</v>
      </c>
      <c r="E56" s="92" t="n">
        <f aca="false">SUM(D56-C56)</f>
        <v>7950</v>
      </c>
      <c r="F56" s="109" t="n">
        <v>7898</v>
      </c>
      <c r="G56" s="41" t="n">
        <v>0.8241</v>
      </c>
      <c r="H56" s="94" t="n">
        <f aca="false">SUM(G56*F56)</f>
        <v>6508.7418</v>
      </c>
      <c r="I56" s="1" t="n">
        <v>81</v>
      </c>
      <c r="J56" s="29" t="n">
        <v>6548</v>
      </c>
      <c r="K56" s="120" t="s">
        <v>56</v>
      </c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A57" s="90" t="n">
        <v>0.0902777777777778</v>
      </c>
      <c r="B57" s="91" t="s">
        <v>90</v>
      </c>
      <c r="C57" s="98" t="n">
        <f aca="false">SUM(D56)</f>
        <v>2812580</v>
      </c>
      <c r="D57" s="108" t="n">
        <v>2818580</v>
      </c>
      <c r="E57" s="92" t="n">
        <f aca="false">SUM(D57-C57)</f>
        <v>6000</v>
      </c>
      <c r="F57" s="109" t="n">
        <v>5972</v>
      </c>
      <c r="G57" s="41" t="n">
        <v>0.8241</v>
      </c>
      <c r="H57" s="94" t="n">
        <f aca="false">SUM(G57*F57)</f>
        <v>4921.5252</v>
      </c>
      <c r="I57" s="1" t="n">
        <v>57</v>
      </c>
      <c r="J57" s="29" t="n">
        <v>6549</v>
      </c>
      <c r="K57" s="120" t="s">
        <v>56</v>
      </c>
      <c r="L57" s="118"/>
      <c r="M57" s="118"/>
      <c r="N57" s="118"/>
      <c r="O57" s="118"/>
      <c r="P57" s="118"/>
      <c r="Q57" s="118"/>
      <c r="R57" s="118"/>
      <c r="S57" s="118"/>
    </row>
    <row r="58" customFormat="false" ht="15" hidden="false" customHeight="false" outlineLevel="0" collapsed="false">
      <c r="A58" s="90" t="n">
        <v>0.135416666666667</v>
      </c>
      <c r="B58" s="91" t="s">
        <v>89</v>
      </c>
      <c r="C58" s="98" t="n">
        <f aca="false">SUM(D57)</f>
        <v>2818580</v>
      </c>
      <c r="D58" s="108" t="n">
        <v>2835700</v>
      </c>
      <c r="E58" s="92" t="n">
        <f aca="false">SUM(D58-C58)</f>
        <v>17120</v>
      </c>
      <c r="F58" s="107" t="n">
        <v>17019</v>
      </c>
      <c r="G58" s="41" t="n">
        <v>0.8259</v>
      </c>
      <c r="H58" s="94" t="n">
        <f aca="false">SUM(G58*F58)</f>
        <v>14055.9921</v>
      </c>
      <c r="I58" s="1" t="n">
        <v>251</v>
      </c>
      <c r="J58" s="29" t="n">
        <v>6550</v>
      </c>
      <c r="K58" s="112" t="s">
        <v>91</v>
      </c>
      <c r="L58" s="118"/>
      <c r="M58" s="118"/>
      <c r="N58" s="118"/>
      <c r="O58" s="118"/>
      <c r="P58" s="118"/>
      <c r="Q58" s="118"/>
      <c r="R58" s="118"/>
      <c r="S58" s="118"/>
    </row>
    <row r="59" customFormat="false" ht="15" hidden="false" customHeight="false" outlineLevel="0" collapsed="false">
      <c r="A59" s="90" t="n">
        <v>0.229166666666667</v>
      </c>
      <c r="B59" s="91" t="s">
        <v>89</v>
      </c>
      <c r="C59" s="98" t="n">
        <f aca="false">SUM(D58)</f>
        <v>2835700</v>
      </c>
      <c r="D59" s="108" t="n">
        <v>2852820</v>
      </c>
      <c r="E59" s="92" t="n">
        <f aca="false">SUM(D59-C59)</f>
        <v>17120</v>
      </c>
      <c r="F59" s="107" t="n">
        <v>17019</v>
      </c>
      <c r="G59" s="41" t="n">
        <v>0.8263</v>
      </c>
      <c r="H59" s="94" t="n">
        <f aca="false">SUM(G59*F59)</f>
        <v>14062.7997</v>
      </c>
      <c r="I59" s="1" t="n">
        <v>251</v>
      </c>
      <c r="J59" s="29" t="n">
        <v>6554</v>
      </c>
      <c r="K59" s="112" t="s">
        <v>91</v>
      </c>
      <c r="L59" s="118"/>
      <c r="M59" s="118"/>
      <c r="N59" s="118"/>
      <c r="O59" s="118"/>
      <c r="P59" s="118"/>
      <c r="Q59" s="118"/>
      <c r="R59" s="118"/>
      <c r="S59" s="118"/>
    </row>
    <row r="60" customFormat="false" ht="15" hidden="false" customHeight="false" outlineLevel="0" collapsed="false">
      <c r="A60" s="90" t="n">
        <v>0.3125</v>
      </c>
      <c r="B60" s="91" t="s">
        <v>72</v>
      </c>
      <c r="C60" s="98" t="n">
        <f aca="false">SUM(D59)</f>
        <v>2852820</v>
      </c>
      <c r="D60" s="108" t="n">
        <v>2869940</v>
      </c>
      <c r="E60" s="92" t="n">
        <f aca="false">SUM(D60-C60)</f>
        <v>17120</v>
      </c>
      <c r="F60" s="107" t="n">
        <v>17019</v>
      </c>
      <c r="G60" s="41" t="n">
        <v>0.8275</v>
      </c>
      <c r="H60" s="94" t="n">
        <f aca="false">SUM(G60*F60)</f>
        <v>14083.2225</v>
      </c>
      <c r="I60" s="1" t="n">
        <v>251</v>
      </c>
      <c r="J60" s="29" t="n">
        <v>6557</v>
      </c>
      <c r="K60" s="119" t="s">
        <v>60</v>
      </c>
      <c r="L60" s="118"/>
      <c r="M60" s="118"/>
      <c r="N60" s="118"/>
      <c r="O60" s="118"/>
      <c r="P60" s="118"/>
      <c r="Q60" s="118"/>
      <c r="R60" s="118"/>
      <c r="S60" s="118"/>
    </row>
    <row r="61" customFormat="false" ht="15" hidden="false" customHeight="false" outlineLevel="0" collapsed="false">
      <c r="A61" s="90"/>
      <c r="B61" s="91"/>
      <c r="C61" s="98"/>
      <c r="D61" s="108"/>
      <c r="E61" s="92" t="n">
        <f aca="false">SUM(D61-C61)</f>
        <v>0</v>
      </c>
      <c r="F61" s="109" t="n">
        <f aca="false">SUM(D61-C61)</f>
        <v>0</v>
      </c>
      <c r="G61" s="41"/>
      <c r="H61" s="94" t="n">
        <f aca="false">SUM(G61*F61)</f>
        <v>0</v>
      </c>
      <c r="I61" s="1"/>
      <c r="J61" s="29"/>
      <c r="K61" s="118"/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A62" s="90"/>
      <c r="B62" s="91"/>
      <c r="C62" s="98" t="n">
        <f aca="false">SUM(D61)</f>
        <v>0</v>
      </c>
      <c r="D62" s="108"/>
      <c r="E62" s="92" t="n">
        <f aca="false">SUM(D62-C62)</f>
        <v>0</v>
      </c>
      <c r="F62" s="109" t="n">
        <f aca="false">SUM(D62-C62)</f>
        <v>0</v>
      </c>
      <c r="G62" s="41"/>
      <c r="H62" s="94" t="n">
        <f aca="false">SUM(G62*F62)</f>
        <v>0</v>
      </c>
      <c r="I62" s="1"/>
      <c r="J62" s="29"/>
      <c r="K62" s="121"/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A63" s="90"/>
      <c r="B63" s="91"/>
      <c r="C63" s="98" t="n">
        <f aca="false">SUM(D62)</f>
        <v>0</v>
      </c>
      <c r="D63" s="108"/>
      <c r="E63" s="92" t="n">
        <f aca="false">SUM(D63-C63)</f>
        <v>0</v>
      </c>
      <c r="F63" s="109" t="n">
        <f aca="false">SUM(D63-C63)</f>
        <v>0</v>
      </c>
      <c r="G63" s="41"/>
      <c r="H63" s="94" t="n">
        <f aca="false">SUM(G63*F63)</f>
        <v>0</v>
      </c>
      <c r="I63" s="1"/>
      <c r="J63" s="29"/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A64" s="90"/>
      <c r="B64" s="91"/>
      <c r="C64" s="98" t="n">
        <f aca="false">SUM(D63)</f>
        <v>0</v>
      </c>
      <c r="D64" s="108"/>
      <c r="E64" s="92" t="n">
        <f aca="false">SUM(D64-C64)</f>
        <v>0</v>
      </c>
      <c r="F64" s="109" t="n">
        <f aca="false">SUM(D64-C64)</f>
        <v>0</v>
      </c>
      <c r="G64" s="41"/>
      <c r="H64" s="94" t="n">
        <f aca="false">SUM(G64*F64)</f>
        <v>0</v>
      </c>
      <c r="I64" s="1"/>
      <c r="J64" s="29"/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A65" s="90"/>
      <c r="B65" s="91"/>
      <c r="C65" s="98" t="n">
        <f aca="false">SUM(D64)</f>
        <v>0</v>
      </c>
      <c r="D65" s="76"/>
      <c r="E65" s="92" t="n">
        <f aca="false">SUM(D65-C65)</f>
        <v>0</v>
      </c>
      <c r="F65" s="109" t="n">
        <f aca="false">SUM(D65-C65)</f>
        <v>0</v>
      </c>
      <c r="G65" s="41"/>
      <c r="H65" s="94" t="n">
        <f aca="false">SUM(G65*F65)</f>
        <v>0</v>
      </c>
      <c r="I65" s="1"/>
      <c r="J65" s="29"/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false" customHeight="false" outlineLevel="0" collapsed="false">
      <c r="A66" s="90"/>
      <c r="B66" s="91"/>
      <c r="C66" s="98" t="n">
        <f aca="false">SUM(D65)</f>
        <v>0</v>
      </c>
      <c r="D66" s="76"/>
      <c r="E66" s="92" t="n">
        <f aca="false">SUM(D66-C66)</f>
        <v>0</v>
      </c>
      <c r="F66" s="109" t="n">
        <f aca="false">SUM(F33:F65)</f>
        <v>284067</v>
      </c>
      <c r="G66" s="41"/>
      <c r="H66" s="94" t="n">
        <f aca="false">SUM(H33:H65)</f>
        <v>234631.427</v>
      </c>
      <c r="I66" s="1"/>
      <c r="J66" s="29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false" customHeight="false" outlineLevel="0" collapsed="false"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F68" s="98" t="n">
        <f aca="false">SUM(F31+F66)</f>
        <v>566285</v>
      </c>
      <c r="G68" s="41"/>
      <c r="H68" s="94" t="n">
        <f aca="false">SUM(H3:H66)</f>
        <v>938658.2946</v>
      </c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false" customHeight="false" outlineLevel="0" collapsed="false">
      <c r="E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false" customHeight="false" outlineLevel="0" collapsed="false">
      <c r="E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false" customHeight="false" outlineLevel="0" collapsed="false">
      <c r="E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false" customHeight="false" outlineLevel="0" collapsed="false">
      <c r="E72" s="118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fals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fals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fals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fals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tru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tru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tru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tru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tru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false" customHeight="false" outlineLevel="0" collapsed="false">
      <c r="E87" s="118"/>
      <c r="L87" s="118"/>
      <c r="M87" s="118"/>
      <c r="N87" s="118"/>
      <c r="O87" s="118"/>
      <c r="P87" s="118"/>
      <c r="Q87" s="118"/>
      <c r="R87" s="118"/>
      <c r="S87" s="118"/>
    </row>
    <row r="88" customFormat="false" ht="15" hidden="false" customHeight="false" outlineLevel="0" collapsed="false">
      <c r="E88" s="118"/>
      <c r="L88" s="118"/>
      <c r="M88" s="118"/>
      <c r="N88" s="118"/>
      <c r="O88" s="118"/>
      <c r="P88" s="118"/>
      <c r="Q88" s="118"/>
      <c r="R88" s="118"/>
      <c r="S88" s="118"/>
    </row>
    <row r="89" customFormat="false" ht="15" hidden="false" customHeight="false" outlineLevel="0" collapsed="false">
      <c r="E89" s="118"/>
      <c r="L89" s="118"/>
      <c r="M89" s="118"/>
      <c r="N89" s="118"/>
      <c r="O89" s="118"/>
      <c r="P89" s="118"/>
      <c r="Q89" s="118"/>
      <c r="R89" s="118"/>
      <c r="S89" s="118"/>
    </row>
    <row r="90" customFormat="false" ht="15" hidden="false" customHeight="false" outlineLevel="0" collapsed="false">
      <c r="E90" s="118"/>
    </row>
    <row r="91" customFormat="false" ht="15" hidden="false" customHeight="false" outlineLevel="0" collapsed="false">
      <c r="E91" s="118"/>
    </row>
    <row r="92" customFormat="false" ht="15" hidden="false" customHeight="false" outlineLevel="0" collapsed="false">
      <c r="E92" s="118"/>
    </row>
    <row r="93" customFormat="false" ht="15" hidden="false" customHeight="false" outlineLevel="0" collapsed="false">
      <c r="E93" s="118"/>
    </row>
    <row r="94" customFormat="false" ht="15" hidden="false" customHeight="false" outlineLevel="0" collapsed="false">
      <c r="E94" s="118"/>
    </row>
    <row r="95" customFormat="false" ht="15" hidden="false" customHeight="false" outlineLevel="0" collapsed="false">
      <c r="E95" s="118"/>
    </row>
    <row r="96" customFormat="false" ht="15" hidden="false" customHeight="false" outlineLevel="0" collapsed="false">
      <c r="E96" s="118"/>
    </row>
    <row r="97" customFormat="false" ht="15" hidden="false" customHeight="false" outlineLevel="0" collapsed="false">
      <c r="E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  <row r="124" customFormat="false" ht="15" hidden="false" customHeight="false" outlineLevel="0" collapsed="false">
      <c r="E124" s="118"/>
    </row>
    <row r="125" customFormat="false" ht="15" hidden="false" customHeight="false" outlineLevel="0" collapsed="false">
      <c r="E125" s="118"/>
    </row>
    <row r="126" customFormat="false" ht="15" hidden="false" customHeight="false" outlineLevel="0" collapsed="false">
      <c r="E126" s="118"/>
    </row>
    <row r="127" customFormat="false" ht="15" hidden="false" customHeight="false" outlineLevel="0" collapsed="false">
      <c r="E127" s="118"/>
    </row>
    <row r="128" customFormat="false" ht="15" hidden="false" customHeight="false" outlineLevel="0" collapsed="false">
      <c r="E128" s="118"/>
    </row>
    <row r="129" customFormat="false" ht="15" hidden="false" customHeight="false" outlineLevel="0" collapsed="false">
      <c r="E129" s="118"/>
    </row>
    <row r="130" customFormat="false" ht="15" hidden="false" customHeight="false" outlineLevel="0" collapsed="false">
      <c r="E130" s="118"/>
    </row>
    <row r="131" customFormat="false" ht="15" hidden="false" customHeight="false" outlineLevel="0" collapsed="false">
      <c r="E131" s="118"/>
    </row>
    <row r="132" customFormat="false" ht="15" hidden="false" customHeight="false" outlineLevel="0" collapsed="false">
      <c r="E132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36"/>
  <sheetViews>
    <sheetView showFormulas="false" showGridLines="true" showRowColHeaders="true" showZeros="true" rightToLeft="false" tabSelected="false" showOutlineSymbols="true" defaultGridColor="true" view="normal" topLeftCell="A25" colorId="64" zoomScale="60" zoomScaleNormal="60" zoomScalePageLayoutView="100" workbookViewId="0">
      <selection pane="topLeft" activeCell="K48" activeCellId="0" sqref="K48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9.7"/>
    <col collapsed="false" customWidth="true" hidden="false" outlineLevel="0" max="12" min="12" style="71" width="12.14"/>
    <col collapsed="false" customWidth="true" hidden="false" outlineLevel="0" max="13" min="13" style="71" width="12.43"/>
    <col collapsed="false" customWidth="true" hidden="false" outlineLevel="0" max="14" min="14" style="71" width="18.43"/>
    <col collapsed="false" customWidth="true" hidden="false" outlineLevel="0" max="15" min="15" style="71" width="17.85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45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" hidden="false" customHeight="false" outlineLevel="0" collapsed="false">
      <c r="A2" s="82"/>
      <c r="B2" s="82" t="s">
        <v>36</v>
      </c>
      <c r="C2" s="83"/>
      <c r="D2" s="83"/>
      <c r="E2" s="83"/>
      <c r="F2" s="83"/>
      <c r="G2" s="84"/>
      <c r="H2" s="85"/>
      <c r="I2" s="86"/>
      <c r="J2" s="87" t="s">
        <v>18</v>
      </c>
      <c r="K2" s="88"/>
      <c r="L2" s="89"/>
      <c r="M2" s="82" t="s">
        <v>37</v>
      </c>
      <c r="N2" s="83"/>
      <c r="O2" s="83"/>
      <c r="P2" s="83"/>
      <c r="Q2" s="84"/>
      <c r="R2" s="85"/>
      <c r="S2" s="86"/>
    </row>
    <row r="3" customFormat="false" ht="15" hidden="false" customHeight="false" outlineLevel="0" collapsed="false">
      <c r="A3" s="90" t="n">
        <v>0.447916666666667</v>
      </c>
      <c r="B3" s="139" t="s">
        <v>48</v>
      </c>
      <c r="C3" s="76" t="n">
        <v>50309730</v>
      </c>
      <c r="D3" s="76" t="n">
        <v>50320120</v>
      </c>
      <c r="E3" s="92" t="n">
        <f aca="false">SUM(D3-C3)</f>
        <v>10390</v>
      </c>
      <c r="F3" s="109" t="n">
        <f aca="false">SUM(D3-C3)</f>
        <v>10390</v>
      </c>
      <c r="G3" s="41" t="n">
        <v>0.8385</v>
      </c>
      <c r="H3" s="140" t="n">
        <f aca="false">SUM(G3*F3)</f>
        <v>8712.015</v>
      </c>
      <c r="I3" s="29" t="n">
        <v>147</v>
      </c>
      <c r="J3" s="29" t="n">
        <v>6563</v>
      </c>
      <c r="K3" s="95"/>
      <c r="L3" s="96" t="n">
        <v>0.524305555555556</v>
      </c>
      <c r="M3" s="97" t="s">
        <v>54</v>
      </c>
      <c r="N3" s="99" t="n">
        <v>7625560</v>
      </c>
      <c r="O3" s="99" t="n">
        <v>7625850</v>
      </c>
      <c r="P3" s="100" t="n">
        <f aca="false">SUM(O3-N3)</f>
        <v>290</v>
      </c>
      <c r="Q3" s="101" t="n">
        <v>0.8323</v>
      </c>
      <c r="R3" s="102" t="n">
        <f aca="false">SUM(Q3*P3)</f>
        <v>241.367</v>
      </c>
      <c r="S3" s="103" t="s">
        <v>63</v>
      </c>
      <c r="V3" s="0" t="s">
        <v>41</v>
      </c>
    </row>
    <row r="4" customFormat="false" ht="15" hidden="false" customHeight="false" outlineLevel="0" collapsed="false">
      <c r="A4" s="90" t="n">
        <v>0.458333333333333</v>
      </c>
      <c r="B4" s="91" t="s">
        <v>48</v>
      </c>
      <c r="C4" s="98" t="n">
        <f aca="false">SUM(D3)</f>
        <v>50320120</v>
      </c>
      <c r="D4" s="76" t="n">
        <v>50328090</v>
      </c>
      <c r="E4" s="92" t="n">
        <f aca="false">SUM(D4-C4)</f>
        <v>7970</v>
      </c>
      <c r="F4" s="109" t="n">
        <f aca="false">SUM(D4-C4)</f>
        <v>7970</v>
      </c>
      <c r="G4" s="41" t="n">
        <v>0.8385</v>
      </c>
      <c r="H4" s="140" t="n">
        <f aca="false">SUM(G4*F4)</f>
        <v>6682.845</v>
      </c>
      <c r="I4" s="29" t="n">
        <v>248</v>
      </c>
      <c r="J4" s="29" t="n">
        <v>6564</v>
      </c>
      <c r="K4" s="95"/>
      <c r="L4" s="96" t="n">
        <v>0.611111111111111</v>
      </c>
      <c r="M4" s="105" t="s">
        <v>48</v>
      </c>
      <c r="N4" s="100" t="n">
        <f aca="false">SUM(O3)</f>
        <v>7625850</v>
      </c>
      <c r="O4" s="99" t="n">
        <v>7625990</v>
      </c>
      <c r="P4" s="100" t="n">
        <f aca="false">SUM(O4-N4)</f>
        <v>140</v>
      </c>
      <c r="Q4" s="106" t="n">
        <v>0.8348</v>
      </c>
      <c r="R4" s="102" t="n">
        <f aca="false">SUM(Q4*P4)</f>
        <v>116.872</v>
      </c>
      <c r="S4" s="103" t="s">
        <v>42</v>
      </c>
    </row>
    <row r="5" customFormat="false" ht="15" hidden="false" customHeight="false" outlineLevel="0" collapsed="false">
      <c r="A5" s="90" t="n">
        <v>0.46875</v>
      </c>
      <c r="B5" s="91" t="s">
        <v>48</v>
      </c>
      <c r="C5" s="98" t="n">
        <f aca="false">SUM(D4)</f>
        <v>50328090</v>
      </c>
      <c r="D5" s="76" t="n">
        <v>50350510</v>
      </c>
      <c r="E5" s="92" t="n">
        <f aca="false">SUM(D5-C5)</f>
        <v>22420</v>
      </c>
      <c r="F5" s="123" t="n">
        <v>22430</v>
      </c>
      <c r="G5" s="41" t="n">
        <v>0.8385</v>
      </c>
      <c r="H5" s="140" t="n">
        <f aca="false">SUM(G5*F5)</f>
        <v>18807.555</v>
      </c>
      <c r="I5" s="29" t="n">
        <v>388</v>
      </c>
      <c r="J5" s="29" t="n">
        <v>6566</v>
      </c>
      <c r="K5" s="95"/>
      <c r="L5" s="96" t="n">
        <v>0.743055555555555</v>
      </c>
      <c r="M5" s="105" t="s">
        <v>38</v>
      </c>
      <c r="N5" s="100" t="n">
        <f aca="false">SUM(O4)</f>
        <v>7625990</v>
      </c>
      <c r="O5" s="99" t="n">
        <v>7626190</v>
      </c>
      <c r="P5" s="100" t="n">
        <f aca="false">SUM(O5-N5)</f>
        <v>200</v>
      </c>
      <c r="Q5" s="101" t="n">
        <v>0.8369</v>
      </c>
      <c r="R5" s="102" t="n">
        <f aca="false">SUM(Q5*P5)</f>
        <v>167.38</v>
      </c>
      <c r="S5" s="103" t="s">
        <v>97</v>
      </c>
    </row>
    <row r="6" customFormat="false" ht="15" hidden="false" customHeight="false" outlineLevel="0" collapsed="false">
      <c r="A6" s="90" t="n">
        <v>0.690972222222222</v>
      </c>
      <c r="B6" s="91" t="s">
        <v>48</v>
      </c>
      <c r="C6" s="98" t="n">
        <f aca="false">SUM(D5)</f>
        <v>50350510</v>
      </c>
      <c r="D6" s="76" t="n">
        <v>50372930</v>
      </c>
      <c r="E6" s="92" t="n">
        <f aca="false">SUM(D6-C6)</f>
        <v>22420</v>
      </c>
      <c r="F6" s="123" t="n">
        <v>22430</v>
      </c>
      <c r="G6" s="41" t="n">
        <v>0.841</v>
      </c>
      <c r="H6" s="140" t="n">
        <f aca="false">SUM(G6*F6)</f>
        <v>18863.63</v>
      </c>
      <c r="I6" s="29" t="n">
        <v>388</v>
      </c>
      <c r="J6" s="29" t="n">
        <v>6573</v>
      </c>
      <c r="K6" s="95"/>
      <c r="L6" s="96" t="n">
        <v>0.756944444444444</v>
      </c>
      <c r="M6" s="105" t="s">
        <v>39</v>
      </c>
      <c r="N6" s="100" t="n">
        <f aca="false">SUM(O5)</f>
        <v>7626190</v>
      </c>
      <c r="O6" s="99" t="n">
        <v>7626450</v>
      </c>
      <c r="P6" s="100" t="n">
        <f aca="false">SUM(O6-N6)</f>
        <v>260</v>
      </c>
      <c r="Q6" s="41" t="n">
        <v>0.8436</v>
      </c>
      <c r="R6" s="102" t="n">
        <f aca="false">SUM(Q6*P6)</f>
        <v>219.336</v>
      </c>
      <c r="S6" s="103" t="s">
        <v>43</v>
      </c>
    </row>
    <row r="7" customFormat="false" ht="15" hidden="false" customHeight="false" outlineLevel="0" collapsed="false">
      <c r="A7" s="90" t="n">
        <v>0.746527777777778</v>
      </c>
      <c r="B7" s="91" t="s">
        <v>48</v>
      </c>
      <c r="C7" s="98" t="n">
        <f aca="false">SUM(D6)</f>
        <v>50372930</v>
      </c>
      <c r="D7" s="76" t="n">
        <v>50384410</v>
      </c>
      <c r="E7" s="92" t="n">
        <f aca="false">SUM(D7-C7)</f>
        <v>11480</v>
      </c>
      <c r="F7" s="123" t="n">
        <v>11480</v>
      </c>
      <c r="G7" s="41" t="n">
        <v>0.841</v>
      </c>
      <c r="H7" s="140" t="n">
        <f aca="false">SUM(G7*F7)</f>
        <v>9654.68</v>
      </c>
      <c r="I7" s="29" t="n">
        <v>388</v>
      </c>
      <c r="J7" s="29" t="n">
        <v>6575</v>
      </c>
      <c r="K7" s="95"/>
      <c r="L7" s="96" t="n">
        <v>0.854166666666667</v>
      </c>
      <c r="M7" s="105" t="s">
        <v>54</v>
      </c>
      <c r="N7" s="100" t="n">
        <f aca="false">SUM(O6)</f>
        <v>7626450</v>
      </c>
      <c r="O7" s="99" t="n">
        <v>7626630</v>
      </c>
      <c r="P7" s="100" t="n">
        <f aca="false">SUM(O7-N7)</f>
        <v>180</v>
      </c>
      <c r="Q7" s="41" t="n">
        <v>0.8353</v>
      </c>
      <c r="R7" s="102" t="n">
        <f aca="false">SUM(Q7*P7)</f>
        <v>150.354</v>
      </c>
      <c r="S7" s="103" t="s">
        <v>98</v>
      </c>
    </row>
    <row r="8" customFormat="false" ht="15" hidden="false" customHeight="false" outlineLevel="0" collapsed="false">
      <c r="A8" s="90" t="n">
        <v>0.746527777777778</v>
      </c>
      <c r="B8" s="91" t="s">
        <v>54</v>
      </c>
      <c r="C8" s="98" t="n">
        <f aca="false">SUM(D7)</f>
        <v>50384410</v>
      </c>
      <c r="D8" s="76" t="n">
        <v>50395360</v>
      </c>
      <c r="E8" s="92" t="n">
        <f aca="false">SUM(D8-C8)</f>
        <v>10950</v>
      </c>
      <c r="F8" s="123" t="n">
        <v>10950</v>
      </c>
      <c r="G8" s="41" t="n">
        <v>0.8358</v>
      </c>
      <c r="H8" s="94" t="n">
        <f aca="false">SUM(G8*F8)</f>
        <v>9152.01</v>
      </c>
      <c r="I8" s="29" t="n">
        <v>388</v>
      </c>
      <c r="J8" s="29" t="n">
        <v>6575</v>
      </c>
      <c r="K8" s="95"/>
      <c r="L8" s="96" t="n">
        <v>0.895833333333333</v>
      </c>
      <c r="M8" s="97" t="s">
        <v>48</v>
      </c>
      <c r="N8" s="100" t="n">
        <f aca="false">SUM(O7)</f>
        <v>7626630</v>
      </c>
      <c r="O8" s="99" t="n">
        <v>7626840</v>
      </c>
      <c r="P8" s="100" t="n">
        <f aca="false">SUM(O8-N8)</f>
        <v>210</v>
      </c>
      <c r="Q8" s="101" t="n">
        <v>0.8385</v>
      </c>
      <c r="R8" s="102" t="n">
        <f aca="false">SUM(Q8*P8)</f>
        <v>176.085</v>
      </c>
      <c r="S8" s="1" t="s">
        <v>67</v>
      </c>
    </row>
    <row r="9" customFormat="false" ht="15" hidden="false" customHeight="false" outlineLevel="0" collapsed="false">
      <c r="A9" s="90" t="n">
        <v>0.8125</v>
      </c>
      <c r="B9" s="91" t="s">
        <v>54</v>
      </c>
      <c r="C9" s="98" t="n">
        <f aca="false">SUM(D8)</f>
        <v>50395360</v>
      </c>
      <c r="D9" s="76" t="n">
        <v>50417790</v>
      </c>
      <c r="E9" s="92" t="n">
        <f aca="false">SUM(D9-C9)</f>
        <v>22430</v>
      </c>
      <c r="F9" s="123" t="n">
        <v>22430</v>
      </c>
      <c r="G9" s="41" t="n">
        <v>0.8375</v>
      </c>
      <c r="H9" s="94" t="n">
        <f aca="false">SUM(G9*F9)</f>
        <v>18785.125</v>
      </c>
      <c r="I9" s="29" t="n">
        <v>388</v>
      </c>
      <c r="J9" s="29" t="n">
        <v>6579</v>
      </c>
      <c r="K9" s="95"/>
      <c r="L9" s="96" t="n">
        <v>0.944444444444444</v>
      </c>
      <c r="M9" s="97" t="s">
        <v>48</v>
      </c>
      <c r="N9" s="100" t="n">
        <f aca="false">SUM(O8)</f>
        <v>7626840</v>
      </c>
      <c r="O9" s="99" t="n">
        <v>7627030</v>
      </c>
      <c r="P9" s="100" t="n">
        <f aca="false">SUM(O9-N9)</f>
        <v>190</v>
      </c>
      <c r="Q9" s="101" t="n">
        <v>0.8358</v>
      </c>
      <c r="R9" s="102" t="n">
        <f aca="false">SUM(Q9*P9)</f>
        <v>158.802</v>
      </c>
      <c r="S9" s="1" t="s">
        <v>64</v>
      </c>
    </row>
    <row r="10" customFormat="false" ht="15" hidden="false" customHeight="false" outlineLevel="0" collapsed="false">
      <c r="A10" s="90" t="n">
        <v>0.909722222222222</v>
      </c>
      <c r="B10" s="122" t="s">
        <v>39</v>
      </c>
      <c r="C10" s="98" t="n">
        <f aca="false">SUM(D9)</f>
        <v>50417790</v>
      </c>
      <c r="D10" s="76" t="n">
        <v>50426710</v>
      </c>
      <c r="E10" s="92" t="n">
        <f aca="false">SUM(D10-C10)</f>
        <v>8920</v>
      </c>
      <c r="F10" s="109" t="n">
        <f aca="false">SUM(D10-C10)</f>
        <v>8920</v>
      </c>
      <c r="G10" s="41" t="n">
        <v>0.8398</v>
      </c>
      <c r="H10" s="94" t="n">
        <f aca="false">SUM(G10*F10)</f>
        <v>7491.016</v>
      </c>
      <c r="I10" s="29" t="n">
        <v>147</v>
      </c>
      <c r="J10" s="29" t="n">
        <v>6581</v>
      </c>
      <c r="K10" s="95"/>
      <c r="L10" s="96"/>
      <c r="M10" s="97"/>
      <c r="N10" s="100" t="n">
        <v>0</v>
      </c>
      <c r="O10" s="99"/>
      <c r="P10" s="100" t="n">
        <f aca="false">SUM(O10-N10)</f>
        <v>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0.954861111111111</v>
      </c>
      <c r="B11" s="91" t="s">
        <v>39</v>
      </c>
      <c r="C11" s="98" t="n">
        <f aca="false">SUM(D10)</f>
        <v>50426710</v>
      </c>
      <c r="D11" s="76" t="n">
        <v>50449140</v>
      </c>
      <c r="E11" s="92" t="n">
        <f aca="false">SUM(D11-C11)</f>
        <v>22430</v>
      </c>
      <c r="F11" s="123" t="n">
        <v>22430</v>
      </c>
      <c r="G11" s="41" t="n">
        <v>0.8398</v>
      </c>
      <c r="H11" s="94" t="n">
        <f aca="false">SUM(G11*F11)</f>
        <v>18836.714</v>
      </c>
      <c r="I11" s="29" t="n">
        <v>388</v>
      </c>
      <c r="J11" s="29" t="n">
        <v>6586</v>
      </c>
      <c r="K11" s="95"/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0.996527777777778</v>
      </c>
      <c r="B12" s="91" t="s">
        <v>39</v>
      </c>
      <c r="C12" s="98" t="n">
        <f aca="false">SUM(D11)</f>
        <v>50449140</v>
      </c>
      <c r="D12" s="76" t="n">
        <v>50466170</v>
      </c>
      <c r="E12" s="92" t="n">
        <f aca="false">SUM(D12-C12)</f>
        <v>17030</v>
      </c>
      <c r="F12" s="129" t="n">
        <v>17019</v>
      </c>
      <c r="G12" s="41" t="n">
        <v>0.8398</v>
      </c>
      <c r="H12" s="94" t="n">
        <f aca="false">SUM(G12*F12)</f>
        <v>14292.5562</v>
      </c>
      <c r="I12" s="29" t="n">
        <v>251</v>
      </c>
      <c r="J12" s="29" t="n">
        <v>6587</v>
      </c>
      <c r="K12" s="95"/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0.0416666666666667</v>
      </c>
      <c r="B13" s="91" t="s">
        <v>46</v>
      </c>
      <c r="C13" s="98" t="n">
        <f aca="false">SUM(D12)</f>
        <v>50466170</v>
      </c>
      <c r="D13" s="76" t="n">
        <v>50477630</v>
      </c>
      <c r="E13" s="92" t="n">
        <f aca="false">SUM(D13-C13)</f>
        <v>11460</v>
      </c>
      <c r="F13" s="123" t="n">
        <v>11480</v>
      </c>
      <c r="G13" s="41" t="n">
        <v>0.8405</v>
      </c>
      <c r="H13" s="94" t="n">
        <f aca="false">SUM(G13*F13)</f>
        <v>9648.94</v>
      </c>
      <c r="I13" s="29" t="n">
        <v>388</v>
      </c>
      <c r="J13" s="29" t="n">
        <v>6588</v>
      </c>
      <c r="K13" s="95"/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0.0763888888888889</v>
      </c>
      <c r="B14" s="91" t="s">
        <v>46</v>
      </c>
      <c r="C14" s="98" t="n">
        <f aca="false">SUM(D13)</f>
        <v>50477630</v>
      </c>
      <c r="D14" s="76" t="n">
        <v>50500050</v>
      </c>
      <c r="E14" s="92" t="n">
        <f aca="false">SUM(D14-C14)</f>
        <v>22420</v>
      </c>
      <c r="F14" s="123" t="n">
        <v>22430</v>
      </c>
      <c r="G14" s="41" t="n">
        <v>0.8405</v>
      </c>
      <c r="H14" s="94" t="n">
        <f aca="false">SUM(G14*F14)</f>
        <v>18852.415</v>
      </c>
      <c r="I14" s="29" t="n">
        <v>388</v>
      </c>
      <c r="J14" s="29" t="n">
        <v>6591</v>
      </c>
      <c r="K14" s="95"/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0.246527777777778</v>
      </c>
      <c r="B15" s="183" t="s">
        <v>38</v>
      </c>
      <c r="C15" s="98" t="n">
        <f aca="false">SUM(D14)</f>
        <v>50500050</v>
      </c>
      <c r="D15" s="76" t="n">
        <v>50522470</v>
      </c>
      <c r="E15" s="92" t="n">
        <f aca="false">SUM(D15-C15)</f>
        <v>22420</v>
      </c>
      <c r="F15" s="123" t="n">
        <v>22430</v>
      </c>
      <c r="G15" s="41" t="n">
        <v>0.8425</v>
      </c>
      <c r="H15" s="207" t="n">
        <f aca="false">SUM(G15*F15)</f>
        <v>18897.275</v>
      </c>
      <c r="I15" s="29" t="n">
        <v>388</v>
      </c>
      <c r="J15" s="29" t="n">
        <v>6594</v>
      </c>
      <c r="K15" s="95"/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0.260416666666667</v>
      </c>
      <c r="B16" s="91" t="s">
        <v>38</v>
      </c>
      <c r="C16" s="98" t="n">
        <f aca="false">SUM(D15)</f>
        <v>50522470</v>
      </c>
      <c r="D16" s="76" t="n">
        <v>50539500</v>
      </c>
      <c r="E16" s="92" t="n">
        <f aca="false">SUM(D16-C16)</f>
        <v>17030</v>
      </c>
      <c r="F16" s="129" t="n">
        <v>17019</v>
      </c>
      <c r="G16" s="41" t="n">
        <v>0.8425</v>
      </c>
      <c r="H16" s="207" t="n">
        <f aca="false">SUM(G16*F16)</f>
        <v>14338.5075</v>
      </c>
      <c r="I16" s="29" t="n">
        <v>251</v>
      </c>
      <c r="J16" s="29" t="n">
        <v>6595</v>
      </c>
      <c r="K16" s="95"/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0.309027777777778</v>
      </c>
      <c r="B17" s="91" t="s">
        <v>38</v>
      </c>
      <c r="C17" s="98" t="n">
        <f aca="false">SUM(D16)</f>
        <v>50539500</v>
      </c>
      <c r="D17" s="76" t="n">
        <v>50550980</v>
      </c>
      <c r="E17" s="92" t="n">
        <f aca="false">SUM(D17-C17)</f>
        <v>11480</v>
      </c>
      <c r="F17" s="123" t="n">
        <v>11480</v>
      </c>
      <c r="G17" s="41" t="n">
        <v>0.8425</v>
      </c>
      <c r="H17" s="207" t="n">
        <f aca="false">SUM(G17*F17)</f>
        <v>9671.9</v>
      </c>
      <c r="I17" s="29" t="n">
        <v>388</v>
      </c>
      <c r="J17" s="29" t="n">
        <v>6597</v>
      </c>
      <c r="K17" s="95"/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0.309027777777778</v>
      </c>
      <c r="B18" s="91" t="s">
        <v>48</v>
      </c>
      <c r="C18" s="98" t="n">
        <f aca="false">SUM(D17)</f>
        <v>50550980</v>
      </c>
      <c r="D18" s="76" t="n">
        <v>50561920</v>
      </c>
      <c r="E18" s="92" t="n">
        <f aca="false">SUM(D18-C18)</f>
        <v>10940</v>
      </c>
      <c r="F18" s="123" t="n">
        <v>10950</v>
      </c>
      <c r="G18" s="41" t="n">
        <v>0.84</v>
      </c>
      <c r="H18" s="140" t="n">
        <f aca="false">SUM(G18*F18)</f>
        <v>9198</v>
      </c>
      <c r="I18" s="29" t="n">
        <v>388</v>
      </c>
      <c r="J18" s="29" t="n">
        <v>6597</v>
      </c>
      <c r="K18" s="95"/>
      <c r="L18" s="96" t="n">
        <v>0.496527777777778</v>
      </c>
      <c r="M18" s="105" t="s">
        <v>62</v>
      </c>
      <c r="N18" s="130" t="n">
        <f aca="false">D44</f>
        <v>2913660</v>
      </c>
      <c r="O18" s="99" t="n">
        <v>2913730</v>
      </c>
      <c r="P18" s="109" t="n">
        <f aca="false">SUM(O18-N18)</f>
        <v>70</v>
      </c>
      <c r="Q18" s="41" t="n">
        <v>0.8291</v>
      </c>
      <c r="R18" s="94" t="n">
        <f aca="false">SUM(Q18*P18)</f>
        <v>58.037</v>
      </c>
      <c r="S18" s="103" t="s">
        <v>69</v>
      </c>
      <c r="T18" s="0" t="s">
        <v>41</v>
      </c>
    </row>
    <row r="19" customFormat="false" ht="15" hidden="false" customHeight="false" outlineLevel="0" collapsed="false">
      <c r="A19" s="90"/>
      <c r="B19" s="91"/>
      <c r="C19" s="98" t="n">
        <v>0</v>
      </c>
      <c r="D19" s="76"/>
      <c r="E19" s="92"/>
      <c r="F19" s="129"/>
      <c r="G19" s="41"/>
      <c r="H19" s="140"/>
      <c r="I19" s="29"/>
      <c r="J19" s="29"/>
      <c r="K19" s="95"/>
      <c r="L19" s="96"/>
      <c r="M19" s="105"/>
      <c r="N19" s="98" t="n">
        <v>0</v>
      </c>
      <c r="O19" s="99"/>
      <c r="P19" s="109" t="n">
        <f aca="false">SUM(O19-N19)</f>
        <v>0</v>
      </c>
      <c r="Q19" s="41"/>
      <c r="R19" s="94" t="n">
        <f aca="false">SUM(Q19*P19)</f>
        <v>0</v>
      </c>
      <c r="S19" s="103"/>
    </row>
    <row r="20" customFormat="false" ht="15" hidden="false" customHeight="false" outlineLevel="0" collapsed="false">
      <c r="A20" s="90"/>
      <c r="B20" s="91"/>
      <c r="C20" s="98" t="n">
        <v>0</v>
      </c>
      <c r="D20" s="76"/>
      <c r="E20" s="92" t="n">
        <f aca="false">SUM(D20-C20)</f>
        <v>0</v>
      </c>
      <c r="F20" s="109" t="n">
        <f aca="false">SUM(D20-C20)</f>
        <v>0</v>
      </c>
      <c r="G20" s="41"/>
      <c r="H20" s="94"/>
      <c r="I20" s="1"/>
      <c r="J20" s="29"/>
      <c r="K20" s="95"/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/>
      <c r="B21" s="91"/>
      <c r="C21" s="98" t="n">
        <v>0</v>
      </c>
      <c r="D21" s="76"/>
      <c r="E21" s="92" t="n">
        <f aca="false">SUM(D21-C21)</f>
        <v>0</v>
      </c>
      <c r="F21" s="109" t="n">
        <f aca="false">SUM(D21-C21)</f>
        <v>0</v>
      </c>
      <c r="G21" s="41"/>
      <c r="H21" s="94"/>
      <c r="I21" s="1"/>
      <c r="J21" s="29"/>
      <c r="K21" s="95"/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/>
      <c r="B22" s="91"/>
      <c r="C22" s="98" t="n">
        <f aca="false">SUM(D21)</f>
        <v>0</v>
      </c>
      <c r="D22" s="76"/>
      <c r="E22" s="92" t="n">
        <f aca="false">SUM(D22-C22)</f>
        <v>0</v>
      </c>
      <c r="F22" s="109" t="n">
        <f aca="false">SUM(D22-C22)</f>
        <v>0</v>
      </c>
      <c r="G22" s="41"/>
      <c r="H22" s="94" t="n">
        <f aca="false">SUM(G22*F22)</f>
        <v>0</v>
      </c>
      <c r="I22" s="1"/>
      <c r="J22" s="29"/>
      <c r="K22" s="95"/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false" customHeight="false" outlineLevel="0" collapsed="false">
      <c r="A23" s="90"/>
      <c r="B23" s="91"/>
      <c r="C23" s="98" t="n">
        <f aca="false">SUM(D22)</f>
        <v>0</v>
      </c>
      <c r="D23" s="76"/>
      <c r="E23" s="92" t="n">
        <f aca="false">SUM(D23-C23)</f>
        <v>0</v>
      </c>
      <c r="F23" s="109" t="n">
        <f aca="false">SUM(D23-C23)</f>
        <v>0</v>
      </c>
      <c r="G23" s="41"/>
      <c r="H23" s="94" t="n">
        <f aca="false">SUM(G23*F23)</f>
        <v>0</v>
      </c>
      <c r="I23" s="1"/>
      <c r="J23" s="29"/>
      <c r="K23" s="95"/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" hidden="false" customHeight="false" outlineLevel="0" collapsed="false">
      <c r="A24" s="90"/>
      <c r="B24" s="91"/>
      <c r="C24" s="98" t="n">
        <f aca="false">SUM(D23)</f>
        <v>0</v>
      </c>
      <c r="D24" s="76"/>
      <c r="E24" s="92" t="n">
        <f aca="false">SUM(D24-C24)</f>
        <v>0</v>
      </c>
      <c r="F24" s="109" t="n">
        <f aca="false">SUM(D24-C24)</f>
        <v>0</v>
      </c>
      <c r="G24" s="41"/>
      <c r="H24" s="94" t="n">
        <f aca="false">SUM(G24*F24)</f>
        <v>0</v>
      </c>
      <c r="I24" s="1"/>
      <c r="J24" s="29"/>
      <c r="K24" s="95"/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4.25" hidden="false" customHeight="true" outlineLevel="0" collapsed="false">
      <c r="A25" s="90"/>
      <c r="B25" s="91"/>
      <c r="C25" s="98" t="n">
        <f aca="false">SUM(D24)</f>
        <v>0</v>
      </c>
      <c r="D25" s="76"/>
      <c r="E25" s="92" t="n">
        <f aca="false">SUM(D25-C25)</f>
        <v>0</v>
      </c>
      <c r="F25" s="109" t="n">
        <f aca="false">SUM(D25-C25)</f>
        <v>0</v>
      </c>
      <c r="G25" s="41"/>
      <c r="H25" s="94" t="n">
        <f aca="false">SUM(G25*F25)</f>
        <v>0</v>
      </c>
      <c r="I25" s="1"/>
      <c r="J25" s="29"/>
      <c r="K25" s="95"/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" hidden="true" customHeight="false" outlineLevel="0" collapsed="false">
      <c r="A26" s="90"/>
      <c r="B26" s="91"/>
      <c r="C26" s="98" t="n">
        <f aca="false">SUM(D25)</f>
        <v>0</v>
      </c>
      <c r="D26" s="76"/>
      <c r="E26" s="92" t="n">
        <f aca="false">SUM(D26-C26)</f>
        <v>0</v>
      </c>
      <c r="F26" s="109" t="n">
        <f aca="false">SUM(D26-C26)</f>
        <v>0</v>
      </c>
      <c r="G26" s="41"/>
      <c r="H26" s="94" t="n">
        <f aca="false">SUM(G26*F26)</f>
        <v>0</v>
      </c>
      <c r="I26" s="1"/>
      <c r="J26" s="29"/>
      <c r="K26" s="95"/>
      <c r="L26" s="96"/>
      <c r="M26" s="97"/>
      <c r="N26" s="98" t="n">
        <f aca="false">SUM(O25)</f>
        <v>0</v>
      </c>
      <c r="O26" s="99"/>
      <c r="P26" s="109" t="n">
        <f aca="false">SUM(O26-N26)</f>
        <v>0</v>
      </c>
      <c r="Q26" s="101"/>
      <c r="R26" s="94" t="n">
        <f aca="false">SUM(Q26*P26)</f>
        <v>0</v>
      </c>
      <c r="S26" s="103"/>
    </row>
    <row r="27" customFormat="false" ht="15" hidden="true" customHeight="false" outlineLevel="0" collapsed="false">
      <c r="A27" s="90"/>
      <c r="B27" s="91"/>
      <c r="C27" s="98" t="n">
        <f aca="false">SUM(D26)</f>
        <v>0</v>
      </c>
      <c r="D27" s="76"/>
      <c r="E27" s="92" t="n">
        <f aca="false">SUM(D27-C27)</f>
        <v>0</v>
      </c>
      <c r="F27" s="109" t="n">
        <f aca="false">SUM(D27-C27)</f>
        <v>0</v>
      </c>
      <c r="G27" s="41"/>
      <c r="H27" s="94" t="n">
        <f aca="false">SUM(G27*F27)</f>
        <v>0</v>
      </c>
      <c r="I27" s="1"/>
      <c r="J27" s="29"/>
      <c r="K27" s="95"/>
      <c r="L27" s="96"/>
      <c r="M27" s="97"/>
      <c r="N27" s="98" t="n">
        <f aca="false">SUM(O26)</f>
        <v>0</v>
      </c>
      <c r="O27" s="99"/>
      <c r="P27" s="109" t="n">
        <f aca="false">SUM(O27-N27)</f>
        <v>0</v>
      </c>
      <c r="Q27" s="101"/>
      <c r="R27" s="94" t="n">
        <f aca="false">SUM(Q27*P27)</f>
        <v>0</v>
      </c>
      <c r="S27" s="1"/>
    </row>
    <row r="28" customFormat="false" ht="15" hidden="true" customHeight="false" outlineLevel="0" collapsed="false">
      <c r="A28" s="90"/>
      <c r="B28" s="91"/>
      <c r="C28" s="98" t="n">
        <f aca="false">SUM(D27)</f>
        <v>0</v>
      </c>
      <c r="D28" s="76"/>
      <c r="E28" s="92" t="n">
        <f aca="false">SUM(D28-C28)</f>
        <v>0</v>
      </c>
      <c r="F28" s="109" t="n">
        <f aca="false">SUM(D28-C28)</f>
        <v>0</v>
      </c>
      <c r="G28" s="41"/>
      <c r="H28" s="94" t="n">
        <f aca="false">SUM(G28*F28)</f>
        <v>0</v>
      </c>
      <c r="I28" s="1"/>
      <c r="J28" s="29"/>
      <c r="K28" s="95"/>
      <c r="L28" s="96"/>
      <c r="M28" s="97"/>
      <c r="N28" s="98" t="n">
        <f aca="false">SUM(O27)</f>
        <v>0</v>
      </c>
      <c r="O28" s="99"/>
      <c r="P28" s="109" t="n">
        <f aca="false">SUM(O28-N28)</f>
        <v>0</v>
      </c>
      <c r="Q28" s="101"/>
      <c r="R28" s="94" t="n">
        <f aca="false">SUM(Q28*P28)</f>
        <v>0</v>
      </c>
      <c r="S28" s="1"/>
    </row>
    <row r="29" customFormat="false" ht="15" hidden="true" customHeight="false" outlineLevel="0" collapsed="false">
      <c r="A29" s="90"/>
      <c r="B29" s="91"/>
      <c r="C29" s="98" t="n">
        <f aca="false">SUM(D28)</f>
        <v>0</v>
      </c>
      <c r="D29" s="76"/>
      <c r="E29" s="92" t="n">
        <f aca="false">SUM(D29-C29)</f>
        <v>0</v>
      </c>
      <c r="F29" s="109" t="n">
        <f aca="false">SUM(D29-C29)</f>
        <v>0</v>
      </c>
      <c r="G29" s="41"/>
      <c r="H29" s="94" t="n">
        <f aca="false">SUM(G29*F29)</f>
        <v>0</v>
      </c>
      <c r="I29" s="1"/>
      <c r="J29" s="29"/>
      <c r="K29" s="95"/>
      <c r="L29" s="96"/>
      <c r="M29" s="97"/>
      <c r="N29" s="98" t="n">
        <f aca="false">SUM(O28)</f>
        <v>0</v>
      </c>
      <c r="O29" s="99"/>
      <c r="P29" s="109" t="n">
        <f aca="false">SUM(O29-N29)</f>
        <v>0</v>
      </c>
      <c r="Q29" s="101"/>
      <c r="R29" s="94" t="n">
        <f aca="false">SUM(Q29*P29)</f>
        <v>0</v>
      </c>
      <c r="S29" s="1"/>
    </row>
    <row r="30" customFormat="false" ht="15" hidden="true" customHeight="false" outlineLevel="0" collapsed="false">
      <c r="A30" s="90"/>
      <c r="B30" s="91"/>
      <c r="C30" s="98" t="n">
        <f aca="false">SUM(D29)</f>
        <v>0</v>
      </c>
      <c r="D30" s="76"/>
      <c r="E30" s="92" t="n">
        <f aca="false">SUM(D30-C30)</f>
        <v>0</v>
      </c>
      <c r="F30" s="109" t="n">
        <f aca="false">SUM(D30-C30)</f>
        <v>0</v>
      </c>
      <c r="G30" s="41"/>
      <c r="H30" s="94" t="n">
        <f aca="false">SUM(G30*F30)</f>
        <v>0</v>
      </c>
      <c r="I30" s="1"/>
      <c r="J30" s="29"/>
      <c r="K30" s="111"/>
      <c r="L30" s="96"/>
      <c r="M30" s="97"/>
      <c r="N30" s="98" t="n">
        <f aca="false">SUM(O29)</f>
        <v>0</v>
      </c>
      <c r="O30" s="99"/>
      <c r="P30" s="109" t="n">
        <f aca="false">SUM(O30-N30)</f>
        <v>0</v>
      </c>
      <c r="Q30" s="101"/>
      <c r="R30" s="94" t="n">
        <f aca="false">SUM(Q30*P30)</f>
        <v>0</v>
      </c>
      <c r="S30" s="1"/>
    </row>
    <row r="31" customFormat="false" ht="15" hidden="true" customHeight="false" outlineLevel="0" collapsed="false">
      <c r="A31" s="90"/>
      <c r="B31" s="91"/>
      <c r="C31" s="98" t="n">
        <f aca="false">SUM(D30)</f>
        <v>0</v>
      </c>
      <c r="D31" s="76"/>
      <c r="E31" s="92" t="n">
        <f aca="false">SUM(D31-C31)</f>
        <v>0</v>
      </c>
      <c r="F31" s="109" t="n">
        <f aca="false">SUM(D31-C31)</f>
        <v>0</v>
      </c>
      <c r="G31" s="41"/>
      <c r="H31" s="94" t="n">
        <f aca="false">SUM(G31*F31)</f>
        <v>0</v>
      </c>
      <c r="I31" s="1"/>
      <c r="J31" s="29"/>
      <c r="K31" s="95"/>
      <c r="L31" s="96"/>
      <c r="M31" s="97"/>
      <c r="N31" s="98" t="n">
        <f aca="false">SUM(O30)</f>
        <v>0</v>
      </c>
      <c r="O31" s="99"/>
      <c r="P31" s="109" t="n">
        <f aca="false">SUM(O31-N31)</f>
        <v>0</v>
      </c>
      <c r="Q31" s="101"/>
      <c r="R31" s="94" t="n">
        <f aca="false">SUM(Q31*P31)</f>
        <v>0</v>
      </c>
      <c r="S31" s="1"/>
    </row>
    <row r="32" customFormat="false" ht="15" hidden="true" customHeight="false" outlineLevel="0" collapsed="false">
      <c r="A32" s="90"/>
      <c r="B32" s="91"/>
      <c r="C32" s="98" t="n">
        <f aca="false">SUM(D31)</f>
        <v>0</v>
      </c>
      <c r="D32" s="76"/>
      <c r="E32" s="92" t="n">
        <f aca="false">SUM(D32-C32)</f>
        <v>0</v>
      </c>
      <c r="F32" s="109" t="n">
        <f aca="false">SUM(D32-C32)</f>
        <v>0</v>
      </c>
      <c r="G32" s="41"/>
      <c r="H32" s="94" t="n">
        <f aca="false">SUM(G32*F32)</f>
        <v>0</v>
      </c>
      <c r="I32" s="1"/>
      <c r="J32" s="29"/>
      <c r="K32" s="95"/>
      <c r="L32" s="113"/>
      <c r="M32" s="114"/>
      <c r="N32" s="114"/>
      <c r="O32" s="115"/>
      <c r="P32" s="116"/>
      <c r="Q32" s="117"/>
      <c r="R32" s="62"/>
      <c r="S32" s="62"/>
    </row>
    <row r="33" customFormat="false" ht="15" hidden="true" customHeight="false" outlineLevel="0" collapsed="false">
      <c r="A33" s="90"/>
      <c r="B33" s="91"/>
      <c r="C33" s="98" t="n">
        <f aca="false">SUM(D32)</f>
        <v>0</v>
      </c>
      <c r="D33" s="76"/>
      <c r="E33" s="92" t="n">
        <f aca="false">SUM(D33-C33)</f>
        <v>0</v>
      </c>
      <c r="F33" s="109" t="n">
        <f aca="false">SUM(D33-C33)</f>
        <v>0</v>
      </c>
      <c r="G33" s="41"/>
      <c r="H33" s="94" t="n">
        <f aca="false">SUM(G33*F33)</f>
        <v>0</v>
      </c>
      <c r="I33" s="1"/>
      <c r="J33" s="29"/>
      <c r="K33" s="95"/>
      <c r="L33" s="118"/>
      <c r="M33" s="118"/>
      <c r="N33" s="118"/>
      <c r="O33" s="118"/>
      <c r="P33" s="118"/>
      <c r="Q33" s="118"/>
      <c r="R33" s="118"/>
      <c r="S33" s="118"/>
    </row>
    <row r="34" customFormat="false" ht="15" hidden="true" customHeight="false" outlineLevel="0" collapsed="false">
      <c r="A34" s="90"/>
      <c r="B34" s="91"/>
      <c r="C34" s="98" t="n">
        <f aca="false">SUM(D33)</f>
        <v>0</v>
      </c>
      <c r="D34" s="76"/>
      <c r="E34" s="92" t="n">
        <f aca="false">SUM(D34-C34)</f>
        <v>0</v>
      </c>
      <c r="F34" s="109" t="n">
        <f aca="false">SUM(D34-C34)</f>
        <v>0</v>
      </c>
      <c r="G34" s="41"/>
      <c r="H34" s="94" t="n">
        <f aca="false">SUM(G34*F34)</f>
        <v>0</v>
      </c>
      <c r="I34" s="1"/>
      <c r="J34" s="29"/>
      <c r="K34" s="95"/>
      <c r="L34" s="118"/>
      <c r="M34" s="118"/>
      <c r="N34" s="118"/>
      <c r="O34" s="118"/>
      <c r="P34" s="118"/>
      <c r="Q34" s="118"/>
      <c r="R34" s="118"/>
      <c r="S34" s="118"/>
    </row>
    <row r="35" customFormat="false" ht="15" hidden="true" customHeight="false" outlineLevel="0" collapsed="false">
      <c r="A35" s="90"/>
      <c r="B35" s="91"/>
      <c r="C35" s="98" t="n">
        <f aca="false">SUM(D34)</f>
        <v>0</v>
      </c>
      <c r="D35" s="76"/>
      <c r="E35" s="92" t="n">
        <f aca="false">SUM(D35-C35)</f>
        <v>0</v>
      </c>
      <c r="F35" s="109" t="n">
        <f aca="false">SUM(D35-C35)</f>
        <v>0</v>
      </c>
      <c r="G35" s="41"/>
      <c r="H35" s="94" t="n">
        <f aca="false">SUM(G35*F35)</f>
        <v>0</v>
      </c>
      <c r="I35" s="1"/>
      <c r="J35" s="29"/>
      <c r="K35" s="95"/>
      <c r="L35" s="118"/>
      <c r="M35" s="118"/>
      <c r="N35" s="118"/>
      <c r="O35" s="118"/>
      <c r="P35" s="118"/>
      <c r="Q35" s="118"/>
      <c r="R35" s="118"/>
      <c r="S35" s="118"/>
    </row>
    <row r="36" customFormat="false" ht="15" hidden="true" customHeight="false" outlineLevel="0" collapsed="false">
      <c r="A36" s="90"/>
      <c r="B36" s="91"/>
      <c r="C36" s="98" t="n">
        <f aca="false">SUM(D35)</f>
        <v>0</v>
      </c>
      <c r="D36" s="76"/>
      <c r="E36" s="92" t="n">
        <f aca="false">SUM(D36-C36)</f>
        <v>0</v>
      </c>
      <c r="F36" s="109" t="n">
        <f aca="false">SUM(D36-C36)</f>
        <v>0</v>
      </c>
      <c r="G36" s="41"/>
      <c r="H36" s="94" t="n">
        <f aca="false">SUM(G36*F36)</f>
        <v>0</v>
      </c>
      <c r="I36" s="1"/>
      <c r="J36" s="29"/>
      <c r="K36" s="95"/>
      <c r="L36" s="118"/>
      <c r="M36" s="118"/>
      <c r="N36" s="118"/>
      <c r="O36" s="118"/>
      <c r="P36" s="118"/>
      <c r="Q36" s="118"/>
      <c r="R36" s="118"/>
      <c r="S36" s="118"/>
    </row>
    <row r="37" customFormat="false" ht="15.75" hidden="false" customHeight="false" outlineLevel="0" collapsed="false">
      <c r="A37" s="90"/>
      <c r="B37" s="91"/>
      <c r="C37" s="98" t="n">
        <f aca="false">SUM(D36)</f>
        <v>0</v>
      </c>
      <c r="D37" s="76"/>
      <c r="E37" s="92" t="n">
        <f aca="false">SUM(D37-C37)</f>
        <v>0</v>
      </c>
      <c r="F37" s="131" t="n">
        <f aca="false">SUM(D37-C37)</f>
        <v>0</v>
      </c>
      <c r="G37" s="41"/>
      <c r="H37" s="132" t="n">
        <f aca="false">SUM(G37*F37)</f>
        <v>0</v>
      </c>
      <c r="I37" s="1"/>
      <c r="J37" s="1"/>
      <c r="K37" s="95"/>
      <c r="L37" s="118"/>
      <c r="M37" s="118"/>
      <c r="N37" s="118"/>
      <c r="O37" s="118"/>
      <c r="P37" s="118"/>
      <c r="Q37" s="118"/>
      <c r="R37" s="118"/>
      <c r="S37" s="118"/>
    </row>
    <row r="38" customFormat="false" ht="15.75" hidden="false" customHeight="false" outlineLevel="0" collapsed="false">
      <c r="A38" s="90"/>
      <c r="B38" s="91"/>
      <c r="C38" s="98" t="n">
        <f aca="false">SUM(D37)</f>
        <v>0</v>
      </c>
      <c r="D38" s="76"/>
      <c r="E38" s="110"/>
      <c r="F38" s="133" t="n">
        <f aca="false">SUM(F3:F37)</f>
        <v>252238</v>
      </c>
      <c r="G38" s="134"/>
      <c r="H38" s="135" t="n">
        <f aca="false">SUM(H3:H37)</f>
        <v>211885.1837</v>
      </c>
      <c r="I38" s="136"/>
      <c r="J38" s="1"/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89"/>
      <c r="B39" s="82" t="s">
        <v>49</v>
      </c>
      <c r="C39" s="83"/>
      <c r="D39" s="83"/>
      <c r="E39" s="83"/>
      <c r="F39" s="137"/>
      <c r="G39" s="84"/>
      <c r="H39" s="138"/>
      <c r="I39" s="86"/>
      <c r="J39" s="86"/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0.434027777777778</v>
      </c>
      <c r="B40" s="122" t="s">
        <v>72</v>
      </c>
      <c r="C40" s="108" t="n">
        <v>2869940</v>
      </c>
      <c r="D40" s="108" t="n">
        <v>2878370</v>
      </c>
      <c r="E40" s="92" t="n">
        <f aca="false">SUM(D40-C40)</f>
        <v>8430</v>
      </c>
      <c r="F40" s="109" t="n">
        <v>8390</v>
      </c>
      <c r="G40" s="41" t="n">
        <v>0.833</v>
      </c>
      <c r="H40" s="124" t="n">
        <f aca="false">SUM(G40*F40)</f>
        <v>6988.87</v>
      </c>
      <c r="I40" s="29" t="n">
        <v>382</v>
      </c>
      <c r="J40" s="29" t="n">
        <v>6560</v>
      </c>
      <c r="K40" s="119" t="s">
        <v>60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4.25" hidden="false" customHeight="true" outlineLevel="0" collapsed="false">
      <c r="A41" s="90" t="n">
        <v>0.440972222222222</v>
      </c>
      <c r="B41" s="91" t="s">
        <v>72</v>
      </c>
      <c r="C41" s="98" t="n">
        <f aca="false">SUM(D40)</f>
        <v>2878370</v>
      </c>
      <c r="D41" s="108" t="n">
        <v>2884450</v>
      </c>
      <c r="E41" s="92" t="n">
        <f aca="false">SUM(D41-C41)</f>
        <v>6080</v>
      </c>
      <c r="F41" s="109" t="n">
        <v>6034</v>
      </c>
      <c r="G41" s="41" t="n">
        <v>0.833</v>
      </c>
      <c r="H41" s="124" t="n">
        <f aca="false">SUM(G41*F41)</f>
        <v>5026.322</v>
      </c>
      <c r="I41" s="29" t="n">
        <v>81</v>
      </c>
      <c r="J41" s="29" t="n">
        <v>6561</v>
      </c>
      <c r="K41" s="119" t="s">
        <v>60</v>
      </c>
      <c r="L41" s="118"/>
      <c r="M41" s="118"/>
      <c r="N41" s="118"/>
      <c r="O41" s="118"/>
      <c r="P41" s="118"/>
      <c r="Q41" s="118"/>
      <c r="R41" s="118"/>
      <c r="S41" s="118"/>
    </row>
    <row r="42" customFormat="false" ht="15" hidden="false" customHeight="true" outlineLevel="0" collapsed="false">
      <c r="A42" s="90" t="n">
        <v>0.451388888888889</v>
      </c>
      <c r="B42" s="91" t="s">
        <v>72</v>
      </c>
      <c r="C42" s="98" t="n">
        <f aca="false">SUM(D41)</f>
        <v>2884450</v>
      </c>
      <c r="D42" s="108" t="n">
        <v>2890350</v>
      </c>
      <c r="E42" s="92" t="n">
        <f aca="false">SUM(D42-C42)</f>
        <v>5900</v>
      </c>
      <c r="F42" s="109" t="n">
        <v>5855</v>
      </c>
      <c r="G42" s="41" t="n">
        <v>0.833</v>
      </c>
      <c r="H42" s="124" t="n">
        <f aca="false">SUM(G42*F42)</f>
        <v>4877.215</v>
      </c>
      <c r="I42" s="29" t="n">
        <v>57</v>
      </c>
      <c r="J42" s="29" t="n">
        <v>6562</v>
      </c>
      <c r="K42" s="119" t="s">
        <v>60</v>
      </c>
      <c r="L42" s="118"/>
      <c r="M42" s="118"/>
      <c r="N42" s="118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0.461805555555556</v>
      </c>
      <c r="B43" s="139" t="s">
        <v>62</v>
      </c>
      <c r="C43" s="98" t="n">
        <f aca="false">SUM(D42)</f>
        <v>2890350</v>
      </c>
      <c r="D43" s="108" t="n">
        <v>2907450</v>
      </c>
      <c r="E43" s="92" t="n">
        <f aca="false">SUM(D43-C43)</f>
        <v>17100</v>
      </c>
      <c r="F43" s="129" t="n">
        <v>17019</v>
      </c>
      <c r="G43" s="41" t="n">
        <v>0.8325</v>
      </c>
      <c r="H43" s="140" t="n">
        <f aca="false">SUM(G43*F43)</f>
        <v>14168.3175</v>
      </c>
      <c r="I43" s="29" t="n">
        <v>251</v>
      </c>
      <c r="J43" s="29" t="n">
        <v>6565</v>
      </c>
      <c r="K43" s="112" t="s">
        <v>91</v>
      </c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0.475694444444444</v>
      </c>
      <c r="B44" s="91" t="s">
        <v>62</v>
      </c>
      <c r="C44" s="98" t="n">
        <f aca="false">SUM(D43)</f>
        <v>2907450</v>
      </c>
      <c r="D44" s="108" t="n">
        <v>2913660</v>
      </c>
      <c r="E44" s="92" t="n">
        <f aca="false">SUM(D44-C44)</f>
        <v>6210</v>
      </c>
      <c r="F44" s="109" t="n">
        <v>6168</v>
      </c>
      <c r="G44" s="41" t="n">
        <v>0.8325</v>
      </c>
      <c r="H44" s="140" t="n">
        <f aca="false">SUM(G44*F44)</f>
        <v>5134.86</v>
      </c>
      <c r="I44" s="29" t="n">
        <v>119</v>
      </c>
      <c r="J44" s="29" t="n">
        <v>6567</v>
      </c>
      <c r="K44" s="112" t="s">
        <v>91</v>
      </c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0.590277777777778</v>
      </c>
      <c r="B45" s="91" t="s">
        <v>72</v>
      </c>
      <c r="C45" s="98" t="n">
        <f aca="false">O18</f>
        <v>2913730</v>
      </c>
      <c r="D45" s="108" t="n">
        <v>2917990</v>
      </c>
      <c r="E45" s="92" t="n">
        <f aca="false">SUM(D45-C45)</f>
        <v>4260</v>
      </c>
      <c r="F45" s="109" t="n">
        <v>4229</v>
      </c>
      <c r="G45" s="41" t="n">
        <v>0.8323</v>
      </c>
      <c r="H45" s="124" t="n">
        <f aca="false">SUM(G45*F45)</f>
        <v>3519.7967</v>
      </c>
      <c r="I45" s="29" t="n">
        <v>382</v>
      </c>
      <c r="J45" s="29" t="n">
        <v>6568</v>
      </c>
      <c r="K45" s="119" t="s">
        <v>60</v>
      </c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0.597222222222222</v>
      </c>
      <c r="B46" s="91" t="s">
        <v>72</v>
      </c>
      <c r="C46" s="98" t="n">
        <f aca="false">SUM(D45)</f>
        <v>2917990</v>
      </c>
      <c r="D46" s="108" t="n">
        <v>2927690</v>
      </c>
      <c r="E46" s="92" t="n">
        <f aca="false">SUM(D46-C46)</f>
        <v>9700</v>
      </c>
      <c r="F46" s="109" t="n">
        <v>9651</v>
      </c>
      <c r="G46" s="41" t="n">
        <v>0.8323</v>
      </c>
      <c r="H46" s="124" t="n">
        <f aca="false">SUM(G46*F46)</f>
        <v>8032.5273</v>
      </c>
      <c r="I46" s="29" t="n">
        <v>81</v>
      </c>
      <c r="J46" s="29" t="n">
        <v>6569</v>
      </c>
      <c r="K46" s="119" t="s">
        <v>60</v>
      </c>
      <c r="L46" s="118"/>
      <c r="M46" s="118"/>
      <c r="N46" s="95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0.604166666666667</v>
      </c>
      <c r="B47" s="91" t="s">
        <v>72</v>
      </c>
      <c r="C47" s="98" t="n">
        <f aca="false">SUM(D46)</f>
        <v>2927690</v>
      </c>
      <c r="D47" s="108" t="n">
        <v>2933640</v>
      </c>
      <c r="E47" s="92" t="n">
        <f aca="false">SUM(D47-C47)</f>
        <v>5950</v>
      </c>
      <c r="F47" s="109" t="n">
        <v>5908</v>
      </c>
      <c r="G47" s="41" t="n">
        <v>0.8323</v>
      </c>
      <c r="H47" s="124" t="n">
        <f aca="false">SUM(G47*F47)</f>
        <v>4917.2284</v>
      </c>
      <c r="I47" s="29" t="n">
        <v>57</v>
      </c>
      <c r="J47" s="29" t="n">
        <v>6570</v>
      </c>
      <c r="K47" s="119" t="s">
        <v>60</v>
      </c>
      <c r="L47" s="118"/>
      <c r="M47" s="118"/>
      <c r="N47" s="95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0.659722222222222</v>
      </c>
      <c r="B48" s="91" t="s">
        <v>59</v>
      </c>
      <c r="C48" s="98" t="n">
        <f aca="false">SUM(D47)</f>
        <v>2933640</v>
      </c>
      <c r="D48" s="108" t="n">
        <v>2948810</v>
      </c>
      <c r="E48" s="92" t="n">
        <f aca="false">SUM(D48-C48)</f>
        <v>15170</v>
      </c>
      <c r="F48" s="142" t="n">
        <v>15040</v>
      </c>
      <c r="G48" s="41" t="n">
        <v>0.8425</v>
      </c>
      <c r="H48" s="94" t="n">
        <f aca="false">SUM(G48*F48)</f>
        <v>12671.2</v>
      </c>
      <c r="I48" s="29" t="n">
        <v>467</v>
      </c>
      <c r="J48" s="29" t="n">
        <v>6571</v>
      </c>
      <c r="K48" s="120" t="s">
        <v>99</v>
      </c>
      <c r="L48" s="118" t="s">
        <v>100</v>
      </c>
      <c r="M48" s="118"/>
      <c r="N48" s="95"/>
      <c r="O48" s="118"/>
      <c r="P48" s="118"/>
      <c r="Q48" s="118"/>
      <c r="R48" s="118"/>
      <c r="S48" s="118"/>
    </row>
    <row r="49" customFormat="false" ht="15" hidden="false" customHeight="true" outlineLevel="0" collapsed="false">
      <c r="A49" s="90" t="n">
        <v>0.680555555555555</v>
      </c>
      <c r="B49" s="91" t="s">
        <v>59</v>
      </c>
      <c r="C49" s="98" t="n">
        <f aca="false">SUM(D48)</f>
        <v>2948810</v>
      </c>
      <c r="D49" s="108" t="n">
        <v>2955880</v>
      </c>
      <c r="E49" s="92" t="n">
        <f aca="false">SUM(D49-C49)</f>
        <v>7070</v>
      </c>
      <c r="F49" s="129" t="n">
        <v>7033</v>
      </c>
      <c r="G49" s="41" t="n">
        <v>0.8425</v>
      </c>
      <c r="H49" s="94" t="n">
        <f aca="false">SUM(G49*F49)</f>
        <v>5925.3025</v>
      </c>
      <c r="I49" s="29" t="n">
        <v>251</v>
      </c>
      <c r="J49" s="29" t="n">
        <v>6572</v>
      </c>
      <c r="K49" s="120" t="s">
        <v>99</v>
      </c>
      <c r="L49" s="118"/>
      <c r="M49" s="118"/>
      <c r="N49" s="95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0.680555555555555</v>
      </c>
      <c r="B50" s="91" t="s">
        <v>62</v>
      </c>
      <c r="C50" s="98" t="n">
        <f aca="false">SUM(D49)</f>
        <v>2955880</v>
      </c>
      <c r="D50" s="108" t="n">
        <v>2965920</v>
      </c>
      <c r="E50" s="92" t="n">
        <f aca="false">SUM(D50-C50)</f>
        <v>10040</v>
      </c>
      <c r="F50" s="129" t="n">
        <v>9986</v>
      </c>
      <c r="G50" s="41" t="n">
        <v>0.8333</v>
      </c>
      <c r="H50" s="140" t="n">
        <f aca="false">SUM(G50*F50)</f>
        <v>8321.3338</v>
      </c>
      <c r="I50" s="29" t="n">
        <v>251</v>
      </c>
      <c r="J50" s="29" t="n">
        <v>6572</v>
      </c>
      <c r="K50" s="112" t="s">
        <v>91</v>
      </c>
      <c r="L50" s="118"/>
      <c r="M50" s="118"/>
      <c r="N50" s="118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 t="n">
        <v>0.722222222222222</v>
      </c>
      <c r="B51" s="91" t="s">
        <v>61</v>
      </c>
      <c r="C51" s="98" t="n">
        <f aca="false">SUM(D50)</f>
        <v>2965920</v>
      </c>
      <c r="D51" s="108" t="n">
        <v>2975950</v>
      </c>
      <c r="E51" s="92" t="n">
        <f aca="false">SUM(D51-C51)</f>
        <v>10030</v>
      </c>
      <c r="F51" s="129" t="n">
        <v>9986</v>
      </c>
      <c r="G51" s="41" t="n">
        <v>0.8336</v>
      </c>
      <c r="H51" s="94" t="n">
        <f aca="false">SUM(G51*F51)</f>
        <v>8324.3296</v>
      </c>
      <c r="I51" s="29" t="n">
        <v>251</v>
      </c>
      <c r="J51" s="29" t="n">
        <v>6574</v>
      </c>
      <c r="K51" s="119" t="s">
        <v>60</v>
      </c>
      <c r="L51" s="118"/>
      <c r="M51" s="118"/>
      <c r="N51" s="118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 t="n">
        <v>0.756944444444444</v>
      </c>
      <c r="B52" s="91" t="s">
        <v>61</v>
      </c>
      <c r="C52" s="98" t="n">
        <f aca="false">SUM(D51)</f>
        <v>2975950</v>
      </c>
      <c r="D52" s="108" t="n">
        <v>2985990</v>
      </c>
      <c r="E52" s="92" t="n">
        <f aca="false">SUM(D52-C52)</f>
        <v>10040</v>
      </c>
      <c r="F52" s="129" t="n">
        <v>9986</v>
      </c>
      <c r="G52" s="41" t="n">
        <v>0.8336</v>
      </c>
      <c r="H52" s="94" t="n">
        <f aca="false">SUM(G52*F52)</f>
        <v>8324.3296</v>
      </c>
      <c r="I52" s="29" t="n">
        <v>251</v>
      </c>
      <c r="J52" s="29" t="n">
        <v>6576</v>
      </c>
      <c r="K52" s="119" t="s">
        <v>60</v>
      </c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 t="n">
        <v>0.756944444444444</v>
      </c>
      <c r="B53" s="183" t="s">
        <v>90</v>
      </c>
      <c r="C53" s="98" t="n">
        <f aca="false">SUM(D52)</f>
        <v>2985990</v>
      </c>
      <c r="D53" s="108" t="n">
        <v>2993070</v>
      </c>
      <c r="E53" s="92" t="n">
        <f aca="false">SUM(D53-C53)</f>
        <v>7080</v>
      </c>
      <c r="F53" s="129" t="n">
        <v>7033</v>
      </c>
      <c r="G53" s="41" t="n">
        <v>0.8336</v>
      </c>
      <c r="H53" s="94" t="n">
        <f aca="false">SUM(G53*F53)</f>
        <v>5862.7088</v>
      </c>
      <c r="I53" s="29" t="n">
        <v>251</v>
      </c>
      <c r="J53" s="29" t="n">
        <v>6576</v>
      </c>
      <c r="K53" s="119" t="s">
        <v>60</v>
      </c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 t="n">
        <v>0.791666666666667</v>
      </c>
      <c r="B54" s="91" t="s">
        <v>90</v>
      </c>
      <c r="C54" s="98" t="n">
        <f aca="false">SUM(D53)</f>
        <v>2993070</v>
      </c>
      <c r="D54" s="108" t="n">
        <v>3000190</v>
      </c>
      <c r="E54" s="92" t="n">
        <f aca="false">SUM(D54-C54)</f>
        <v>7120</v>
      </c>
      <c r="F54" s="109" t="n">
        <v>7070</v>
      </c>
      <c r="G54" s="41" t="n">
        <v>0.8336</v>
      </c>
      <c r="H54" s="94" t="n">
        <f aca="false">SUM(G54*F54)</f>
        <v>5893.552</v>
      </c>
      <c r="I54" s="1" t="n">
        <v>81</v>
      </c>
      <c r="J54" s="29" t="n">
        <v>6577</v>
      </c>
      <c r="K54" s="119" t="s">
        <v>60</v>
      </c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 t="n">
        <v>0.809027777777778</v>
      </c>
      <c r="B55" s="125" t="s">
        <v>89</v>
      </c>
      <c r="C55" s="98" t="n">
        <f aca="false">SUM(D54)</f>
        <v>3000190</v>
      </c>
      <c r="D55" s="108" t="n">
        <v>3017310</v>
      </c>
      <c r="E55" s="92" t="n">
        <f aca="false">SUM(D55-C55)</f>
        <v>17120</v>
      </c>
      <c r="F55" s="129" t="n">
        <v>17019</v>
      </c>
      <c r="G55" s="41" t="n">
        <v>0.8346</v>
      </c>
      <c r="H55" s="126" t="n">
        <f aca="false">SUM(G55*F55)</f>
        <v>14204.0574</v>
      </c>
      <c r="I55" s="1" t="n">
        <v>251</v>
      </c>
      <c r="J55" s="29" t="n">
        <v>6578</v>
      </c>
      <c r="K55" s="112" t="s">
        <v>91</v>
      </c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 t="n">
        <v>0.902777777777778</v>
      </c>
      <c r="B56" s="91" t="s">
        <v>90</v>
      </c>
      <c r="C56" s="98" t="n">
        <f aca="false">SUM(D55)</f>
        <v>3017310</v>
      </c>
      <c r="D56" s="108" t="n">
        <v>3023420</v>
      </c>
      <c r="E56" s="92" t="n">
        <f aca="false">SUM(D56-C56)</f>
        <v>6110</v>
      </c>
      <c r="F56" s="109" t="n">
        <v>6078</v>
      </c>
      <c r="G56" s="41" t="n">
        <v>0.8336</v>
      </c>
      <c r="H56" s="94" t="n">
        <f aca="false">SUM(G56*F56)</f>
        <v>5066.6208</v>
      </c>
      <c r="I56" s="1" t="n">
        <v>57</v>
      </c>
      <c r="J56" s="29" t="n">
        <v>6580</v>
      </c>
      <c r="K56" s="119" t="s">
        <v>60</v>
      </c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A57" s="90" t="n">
        <v>0.913194444444444</v>
      </c>
      <c r="B57" s="91" t="s">
        <v>89</v>
      </c>
      <c r="C57" s="98" t="n">
        <f aca="false">SUM(D56)</f>
        <v>3023420</v>
      </c>
      <c r="D57" s="108" t="n">
        <v>3034980</v>
      </c>
      <c r="E57" s="92" t="n">
        <f aca="false">SUM(D57-C57)</f>
        <v>11560</v>
      </c>
      <c r="F57" s="109" t="n">
        <v>11502</v>
      </c>
      <c r="G57" s="41" t="n">
        <v>0.834</v>
      </c>
      <c r="H57" s="126" t="n">
        <f aca="false">SUM(G57*F57)</f>
        <v>9592.668</v>
      </c>
      <c r="I57" s="1" t="n">
        <v>119</v>
      </c>
      <c r="J57" s="29" t="n">
        <v>6582</v>
      </c>
      <c r="K57" s="112" t="s">
        <v>91</v>
      </c>
      <c r="L57" s="118"/>
      <c r="M57" s="118"/>
      <c r="N57" s="118"/>
      <c r="O57" s="118"/>
      <c r="P57" s="118"/>
      <c r="Q57" s="118"/>
      <c r="R57" s="118"/>
      <c r="S57" s="118"/>
    </row>
    <row r="58" customFormat="false" ht="15" hidden="false" customHeight="false" outlineLevel="0" collapsed="false">
      <c r="A58" s="90" t="n">
        <v>0.927083333333333</v>
      </c>
      <c r="B58" s="91" t="s">
        <v>90</v>
      </c>
      <c r="C58" s="98" t="n">
        <f aca="false">SUM(D57)</f>
        <v>3034980</v>
      </c>
      <c r="D58" s="108" t="n">
        <v>3043450</v>
      </c>
      <c r="E58" s="92" t="n">
        <f aca="false">SUM(D58-C58)</f>
        <v>8470</v>
      </c>
      <c r="F58" s="109" t="n">
        <v>8419</v>
      </c>
      <c r="G58" s="41" t="n">
        <v>0.8336</v>
      </c>
      <c r="H58" s="94" t="n">
        <f aca="false">SUM(G58*F58)</f>
        <v>7018.0784</v>
      </c>
      <c r="I58" s="1" t="n">
        <v>382</v>
      </c>
      <c r="J58" s="29" t="n">
        <v>6583</v>
      </c>
      <c r="K58" s="119" t="s">
        <v>60</v>
      </c>
      <c r="L58" s="118"/>
      <c r="M58" s="118"/>
      <c r="N58" s="118"/>
      <c r="O58" s="118"/>
      <c r="P58" s="118"/>
      <c r="Q58" s="118"/>
      <c r="R58" s="118"/>
      <c r="S58" s="118"/>
    </row>
    <row r="59" customFormat="false" ht="15" hidden="false" customHeight="false" outlineLevel="0" collapsed="false">
      <c r="A59" s="90" t="n">
        <v>0.940972222222222</v>
      </c>
      <c r="B59" s="91" t="s">
        <v>72</v>
      </c>
      <c r="C59" s="98" t="n">
        <f aca="false">SUM(D58)</f>
        <v>3043450</v>
      </c>
      <c r="D59" s="108" t="n">
        <v>3053500</v>
      </c>
      <c r="E59" s="92" t="n">
        <f aca="false">SUM(D59-C59)</f>
        <v>10050</v>
      </c>
      <c r="F59" s="129" t="n">
        <v>9986</v>
      </c>
      <c r="G59" s="41" t="n">
        <v>0.8328</v>
      </c>
      <c r="H59" s="124" t="n">
        <f aca="false">SUM(G59*F59)</f>
        <v>8316.3408</v>
      </c>
      <c r="I59" s="1" t="n">
        <v>251</v>
      </c>
      <c r="J59" s="29" t="n">
        <v>6584</v>
      </c>
      <c r="K59" s="119" t="s">
        <v>60</v>
      </c>
      <c r="L59" s="118"/>
      <c r="M59" s="118"/>
      <c r="N59" s="118"/>
      <c r="O59" s="118"/>
      <c r="P59" s="118"/>
      <c r="Q59" s="118"/>
      <c r="R59" s="118"/>
      <c r="S59" s="118"/>
    </row>
    <row r="60" customFormat="false" ht="15" hidden="false" customHeight="false" outlineLevel="0" collapsed="false">
      <c r="A60" s="90" t="n">
        <v>0.940972222222222</v>
      </c>
      <c r="B60" s="91" t="s">
        <v>72</v>
      </c>
      <c r="C60" s="98" t="n">
        <f aca="false">SUM(D59)</f>
        <v>3053500</v>
      </c>
      <c r="D60" s="108" t="n">
        <v>3060570</v>
      </c>
      <c r="E60" s="92" t="n">
        <f aca="false">SUM(D60-C60)</f>
        <v>7070</v>
      </c>
      <c r="F60" s="129" t="n">
        <v>7033</v>
      </c>
      <c r="G60" s="41" t="n">
        <v>0.8328</v>
      </c>
      <c r="H60" s="124" t="n">
        <f aca="false">SUM(G60*F60)</f>
        <v>5857.0824</v>
      </c>
      <c r="I60" s="1" t="n">
        <v>251</v>
      </c>
      <c r="J60" s="29" t="n">
        <v>6585</v>
      </c>
      <c r="K60" s="119" t="s">
        <v>60</v>
      </c>
      <c r="L60" s="118"/>
      <c r="M60" s="118"/>
      <c r="N60" s="118"/>
      <c r="O60" s="118"/>
      <c r="P60" s="118"/>
      <c r="Q60" s="118"/>
      <c r="R60" s="118"/>
      <c r="S60" s="118"/>
    </row>
    <row r="61" customFormat="false" ht="15" hidden="false" customHeight="false" outlineLevel="0" collapsed="false">
      <c r="A61" s="90" t="n">
        <v>0.0520833333333333</v>
      </c>
      <c r="B61" s="91" t="s">
        <v>89</v>
      </c>
      <c r="C61" s="98" t="n">
        <f aca="false">SUM(D60)</f>
        <v>3060570</v>
      </c>
      <c r="D61" s="108" t="n">
        <v>3077570</v>
      </c>
      <c r="E61" s="92" t="n">
        <f aca="false">SUM(D61-C61)</f>
        <v>17000</v>
      </c>
      <c r="F61" s="129" t="n">
        <v>17019</v>
      </c>
      <c r="G61" s="41" t="n">
        <v>0.834</v>
      </c>
      <c r="H61" s="126" t="n">
        <f aca="false">SUM(G61*F61)</f>
        <v>14193.846</v>
      </c>
      <c r="I61" s="1" t="n">
        <v>251</v>
      </c>
      <c r="J61" s="29" t="n">
        <v>6589</v>
      </c>
      <c r="K61" s="112" t="s">
        <v>91</v>
      </c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A62" s="90" t="n">
        <v>0.0729166666666667</v>
      </c>
      <c r="B62" s="91" t="s">
        <v>72</v>
      </c>
      <c r="C62" s="98" t="n">
        <f aca="false">SUM(D61)</f>
        <v>3077570</v>
      </c>
      <c r="D62" s="108" t="n">
        <v>3083460</v>
      </c>
      <c r="E62" s="92" t="n">
        <f aca="false">SUM(D62-C62)</f>
        <v>5890</v>
      </c>
      <c r="F62" s="109" t="n">
        <v>5738</v>
      </c>
      <c r="G62" s="41" t="n">
        <v>0.833</v>
      </c>
      <c r="H62" s="124" t="n">
        <f aca="false">SUM(G62*F62)</f>
        <v>4779.754</v>
      </c>
      <c r="I62" s="1" t="n">
        <v>57</v>
      </c>
      <c r="J62" s="29" t="n">
        <v>6590</v>
      </c>
      <c r="K62" s="119" t="s">
        <v>60</v>
      </c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A63" s="90" t="n">
        <v>0.0798611111111111</v>
      </c>
      <c r="B63" s="91" t="s">
        <v>72</v>
      </c>
      <c r="C63" s="98" t="n">
        <f aca="false">SUM(D62)</f>
        <v>3083460</v>
      </c>
      <c r="D63" s="108" t="n">
        <v>3091760</v>
      </c>
      <c r="E63" s="92" t="n">
        <f aca="false">SUM(D63-C63)</f>
        <v>8300</v>
      </c>
      <c r="F63" s="109" t="n">
        <v>8354</v>
      </c>
      <c r="G63" s="41" t="n">
        <v>0.833</v>
      </c>
      <c r="H63" s="124" t="n">
        <f aca="false">SUM(G63*F63)</f>
        <v>6958.882</v>
      </c>
      <c r="I63" s="1" t="n">
        <v>81</v>
      </c>
      <c r="J63" s="29" t="n">
        <v>6592</v>
      </c>
      <c r="K63" s="119" t="s">
        <v>60</v>
      </c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A64" s="90" t="n">
        <v>0.201388888888889</v>
      </c>
      <c r="B64" s="91" t="s">
        <v>89</v>
      </c>
      <c r="C64" s="98" t="n">
        <f aca="false">SUM(D63)</f>
        <v>3091760</v>
      </c>
      <c r="D64" s="108" t="n">
        <v>3101850</v>
      </c>
      <c r="E64" s="92" t="n">
        <f aca="false">SUM(D64-C64)</f>
        <v>10090</v>
      </c>
      <c r="F64" s="129" t="n">
        <v>9986</v>
      </c>
      <c r="G64" s="41" t="n">
        <v>0.8355</v>
      </c>
      <c r="H64" s="126" t="n">
        <f aca="false">SUM(G64*F64)</f>
        <v>8343.303</v>
      </c>
      <c r="I64" s="1" t="n">
        <v>251</v>
      </c>
      <c r="J64" s="29" t="n">
        <v>6593</v>
      </c>
      <c r="K64" s="112" t="s">
        <v>91</v>
      </c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A65" s="90" t="n">
        <v>0.201388888888889</v>
      </c>
      <c r="B65" s="91" t="s">
        <v>62</v>
      </c>
      <c r="C65" s="98" t="n">
        <f aca="false">SUM(D64)</f>
        <v>3101850</v>
      </c>
      <c r="D65" s="108" t="n">
        <v>3108970</v>
      </c>
      <c r="E65" s="92" t="n">
        <f aca="false">SUM(D65-C65)</f>
        <v>7120</v>
      </c>
      <c r="F65" s="129" t="n">
        <v>7033</v>
      </c>
      <c r="G65" s="41" t="n">
        <v>0.8335</v>
      </c>
      <c r="H65" s="140" t="n">
        <f aca="false">SUM(G65*F65)</f>
        <v>5862.0055</v>
      </c>
      <c r="I65" s="1" t="n">
        <v>251</v>
      </c>
      <c r="J65" s="29" t="n">
        <v>6593</v>
      </c>
      <c r="K65" s="112" t="s">
        <v>91</v>
      </c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false" customHeight="false" outlineLevel="0" collapsed="false">
      <c r="A66" s="90" t="n">
        <v>0.305555555555555</v>
      </c>
      <c r="B66" s="91" t="s">
        <v>62</v>
      </c>
      <c r="C66" s="98" t="n">
        <f aca="false">SUM(D65)</f>
        <v>3108970</v>
      </c>
      <c r="D66" s="108" t="n">
        <v>3126080</v>
      </c>
      <c r="E66" s="92" t="n">
        <f aca="false">SUM(D66-C66)</f>
        <v>17110</v>
      </c>
      <c r="F66" s="129" t="n">
        <v>17019</v>
      </c>
      <c r="G66" s="41" t="n">
        <v>0.8342</v>
      </c>
      <c r="H66" s="140" t="n">
        <f aca="false">SUM(G66*F66)</f>
        <v>14197.2498</v>
      </c>
      <c r="I66" s="1" t="n">
        <v>251</v>
      </c>
      <c r="J66" s="29" t="n">
        <v>6596</v>
      </c>
      <c r="K66" s="112" t="s">
        <v>91</v>
      </c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false" customHeight="false" outlineLevel="0" collapsed="false">
      <c r="A67" s="90"/>
      <c r="B67" s="91"/>
      <c r="C67" s="98" t="n">
        <v>0</v>
      </c>
      <c r="D67" s="108"/>
      <c r="E67" s="92" t="n">
        <f aca="false">SUM(D67-C67)</f>
        <v>0</v>
      </c>
      <c r="F67" s="131" t="n">
        <f aca="false">SUM(D67-C67)</f>
        <v>0</v>
      </c>
      <c r="G67" s="41"/>
      <c r="H67" s="132" t="n">
        <f aca="false">SUM(G67*F67)</f>
        <v>0</v>
      </c>
      <c r="I67" s="1"/>
      <c r="J67" s="29"/>
      <c r="K67" s="112"/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A68" s="90"/>
      <c r="B68" s="91"/>
      <c r="C68" s="98" t="n">
        <f aca="false">SUM(D67)</f>
        <v>0</v>
      </c>
      <c r="D68" s="108"/>
      <c r="E68" s="92" t="n">
        <f aca="false">SUM(D68-C68)</f>
        <v>0</v>
      </c>
      <c r="F68" s="131" t="n">
        <f aca="false">SUM(D68-C68)</f>
        <v>0</v>
      </c>
      <c r="G68" s="41"/>
      <c r="H68" s="132" t="n">
        <f aca="false">SUM(G68*F68)</f>
        <v>0</v>
      </c>
      <c r="I68" s="1"/>
      <c r="J68" s="29"/>
      <c r="K68" s="112"/>
      <c r="L68" s="118"/>
      <c r="M68" s="118"/>
      <c r="N68" s="118"/>
      <c r="O68" s="118"/>
      <c r="P68" s="118"/>
      <c r="Q68" s="118"/>
      <c r="R68" s="118"/>
      <c r="S68" s="118"/>
    </row>
    <row r="69" customFormat="false" ht="15.75" hidden="false" customHeight="false" outlineLevel="0" collapsed="false">
      <c r="A69" s="90"/>
      <c r="B69" s="91"/>
      <c r="C69" s="98" t="n">
        <f aca="false">SUM(D68)</f>
        <v>0</v>
      </c>
      <c r="D69" s="108"/>
      <c r="E69" s="92" t="n">
        <f aca="false">SUM(D69-C69)</f>
        <v>0</v>
      </c>
      <c r="F69" s="131" t="n">
        <f aca="false">SUM(D69-C69)</f>
        <v>0</v>
      </c>
      <c r="G69" s="41"/>
      <c r="H69" s="132" t="n">
        <f aca="false">SUM(G69*F69)</f>
        <v>0</v>
      </c>
      <c r="I69" s="1"/>
      <c r="J69" s="29"/>
      <c r="K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.75" hidden="false" customHeight="false" outlineLevel="0" collapsed="false">
      <c r="A70" s="90"/>
      <c r="B70" s="91"/>
      <c r="C70" s="98" t="n">
        <f aca="false">SUM(D69)</f>
        <v>0</v>
      </c>
      <c r="D70" s="76"/>
      <c r="E70" s="110" t="n">
        <f aca="false">SUM(D70-C70)</f>
        <v>0</v>
      </c>
      <c r="F70" s="133" t="n">
        <f aca="false">SUM(F40:F69)</f>
        <v>254574</v>
      </c>
      <c r="G70" s="134"/>
      <c r="H70" s="135" t="n">
        <f aca="false">SUM(H40:H69)</f>
        <v>212377.7813</v>
      </c>
      <c r="I70" s="136"/>
      <c r="J70" s="29"/>
      <c r="K70" s="121"/>
      <c r="L70" s="118"/>
      <c r="M70" s="118"/>
      <c r="N70" s="118"/>
      <c r="O70" s="118"/>
      <c r="P70" s="118"/>
      <c r="Q70" s="118"/>
      <c r="R70" s="118"/>
      <c r="S70" s="118"/>
    </row>
    <row r="71" customFormat="false" ht="15.75" hidden="false" customHeight="false" outlineLevel="0" collapsed="false">
      <c r="L71" s="118"/>
      <c r="M71" s="118"/>
      <c r="N71" s="118"/>
      <c r="O71" s="118"/>
      <c r="P71" s="118"/>
      <c r="Q71" s="118"/>
      <c r="R71" s="118"/>
      <c r="S71" s="118"/>
    </row>
    <row r="72" customFormat="false" ht="15.75" hidden="false" customHeight="false" outlineLevel="0" collapsed="false">
      <c r="F72" s="146" t="n">
        <f aca="false">F70+F38</f>
        <v>506812</v>
      </c>
      <c r="G72" s="134"/>
      <c r="H72" s="135" t="n">
        <f aca="false">H70+H38</f>
        <v>424262.965</v>
      </c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fals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fals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fals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fals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fals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fals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fals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fals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fals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false" customHeight="false" outlineLevel="0" collapsed="false">
      <c r="E87" s="118"/>
      <c r="L87" s="118"/>
      <c r="M87" s="118"/>
      <c r="N87" s="118"/>
      <c r="O87" s="118"/>
      <c r="P87" s="118"/>
      <c r="Q87" s="118"/>
      <c r="R87" s="118"/>
      <c r="S87" s="118"/>
    </row>
    <row r="88" customFormat="false" ht="15" hidden="false" customHeight="false" outlineLevel="0" collapsed="false">
      <c r="E88" s="118"/>
      <c r="L88" s="118"/>
      <c r="M88" s="118"/>
      <c r="N88" s="118"/>
      <c r="O88" s="118"/>
      <c r="P88" s="118"/>
      <c r="Q88" s="118"/>
      <c r="R88" s="118"/>
      <c r="S88" s="118"/>
    </row>
    <row r="89" customFormat="false" ht="15" hidden="false" customHeight="false" outlineLevel="0" collapsed="false">
      <c r="E89" s="118"/>
      <c r="L89" s="118"/>
      <c r="M89" s="118"/>
      <c r="N89" s="118"/>
      <c r="O89" s="118"/>
      <c r="P89" s="118"/>
      <c r="Q89" s="118"/>
      <c r="R89" s="118"/>
      <c r="S89" s="118"/>
    </row>
    <row r="90" customFormat="false" ht="15" hidden="true" customHeight="false" outlineLevel="0" collapsed="false">
      <c r="E90" s="118"/>
      <c r="L90" s="118"/>
      <c r="M90" s="118"/>
      <c r="N90" s="118"/>
      <c r="O90" s="118"/>
      <c r="P90" s="118"/>
      <c r="Q90" s="118"/>
      <c r="R90" s="118"/>
      <c r="S90" s="118"/>
    </row>
    <row r="91" customFormat="false" ht="15" hidden="true" customHeight="false" outlineLevel="0" collapsed="false">
      <c r="E91" s="118"/>
      <c r="L91" s="118"/>
      <c r="M91" s="118"/>
      <c r="N91" s="118"/>
      <c r="O91" s="118"/>
      <c r="P91" s="118"/>
      <c r="Q91" s="118"/>
      <c r="R91" s="118"/>
      <c r="S91" s="118"/>
    </row>
    <row r="92" customFormat="false" ht="15" hidden="true" customHeight="false" outlineLevel="0" collapsed="false">
      <c r="E92" s="118"/>
      <c r="L92" s="118"/>
      <c r="M92" s="118"/>
      <c r="N92" s="118"/>
      <c r="O92" s="118"/>
      <c r="P92" s="118"/>
      <c r="Q92" s="118"/>
      <c r="R92" s="118"/>
      <c r="S92" s="118"/>
    </row>
    <row r="93" customFormat="false" ht="15" hidden="true" customHeight="false" outlineLevel="0" collapsed="false">
      <c r="E93" s="118"/>
      <c r="L93" s="118"/>
      <c r="M93" s="118"/>
      <c r="N93" s="118"/>
      <c r="O93" s="118"/>
      <c r="P93" s="118"/>
      <c r="Q93" s="118"/>
      <c r="R93" s="118"/>
      <c r="S93" s="118"/>
    </row>
    <row r="94" customFormat="false" ht="15" hidden="true" customHeight="false" outlineLevel="0" collapsed="false">
      <c r="E94" s="118"/>
      <c r="L94" s="118"/>
      <c r="M94" s="118"/>
      <c r="N94" s="118"/>
      <c r="O94" s="118"/>
      <c r="P94" s="118"/>
      <c r="Q94" s="118"/>
      <c r="R94" s="118"/>
      <c r="S94" s="118"/>
    </row>
    <row r="95" customFormat="false" ht="15" hidden="false" customHeight="false" outlineLevel="0" collapsed="false">
      <c r="E95" s="118"/>
      <c r="L95" s="118"/>
      <c r="M95" s="118"/>
      <c r="N95" s="118"/>
      <c r="O95" s="118"/>
      <c r="P95" s="118"/>
      <c r="Q95" s="118"/>
      <c r="R95" s="118"/>
      <c r="S95" s="118"/>
    </row>
    <row r="96" customFormat="false" ht="15" hidden="false" customHeight="false" outlineLevel="0" collapsed="false">
      <c r="E96" s="118"/>
      <c r="L96" s="118"/>
      <c r="M96" s="118"/>
      <c r="N96" s="118"/>
      <c r="O96" s="118"/>
      <c r="P96" s="118"/>
      <c r="Q96" s="118"/>
      <c r="R96" s="118"/>
      <c r="S96" s="118"/>
    </row>
    <row r="97" customFormat="false" ht="15" hidden="false" customHeight="false" outlineLevel="0" collapsed="false">
      <c r="E97" s="118"/>
      <c r="L97" s="118"/>
      <c r="M97" s="118"/>
      <c r="N97" s="118"/>
      <c r="O97" s="118"/>
      <c r="P97" s="118"/>
      <c r="Q97" s="118"/>
      <c r="R97" s="118"/>
      <c r="S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  <row r="124" customFormat="false" ht="15" hidden="false" customHeight="false" outlineLevel="0" collapsed="false">
      <c r="E124" s="118"/>
    </row>
    <row r="125" customFormat="false" ht="15" hidden="false" customHeight="false" outlineLevel="0" collapsed="false">
      <c r="E125" s="118"/>
    </row>
    <row r="126" customFormat="false" ht="15" hidden="false" customHeight="false" outlineLevel="0" collapsed="false">
      <c r="E126" s="118"/>
    </row>
    <row r="127" customFormat="false" ht="15" hidden="false" customHeight="false" outlineLevel="0" collapsed="false">
      <c r="E127" s="118"/>
    </row>
    <row r="128" customFormat="false" ht="15" hidden="false" customHeight="false" outlineLevel="0" collapsed="false">
      <c r="E128" s="118"/>
    </row>
    <row r="129" customFormat="false" ht="15" hidden="false" customHeight="false" outlineLevel="0" collapsed="false">
      <c r="E129" s="118"/>
    </row>
    <row r="130" customFormat="false" ht="15" hidden="false" customHeight="false" outlineLevel="0" collapsed="false">
      <c r="E130" s="118"/>
    </row>
    <row r="131" customFormat="false" ht="15" hidden="false" customHeight="false" outlineLevel="0" collapsed="false">
      <c r="E131" s="118"/>
    </row>
    <row r="132" customFormat="false" ht="15" hidden="false" customHeight="false" outlineLevel="0" collapsed="false">
      <c r="E132" s="118"/>
    </row>
    <row r="133" customFormat="false" ht="15" hidden="false" customHeight="false" outlineLevel="0" collapsed="false">
      <c r="E133" s="118"/>
    </row>
    <row r="134" customFormat="false" ht="15" hidden="false" customHeight="false" outlineLevel="0" collapsed="false">
      <c r="E134" s="118"/>
    </row>
    <row r="135" customFormat="false" ht="15" hidden="false" customHeight="false" outlineLevel="0" collapsed="false">
      <c r="E135" s="118"/>
    </row>
    <row r="136" customFormat="false" ht="15" hidden="false" customHeight="false" outlineLevel="0" collapsed="false">
      <c r="E136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38"/>
  <sheetViews>
    <sheetView showFormulas="false" showGridLines="true" showRowColHeaders="true" showZeros="true" rightToLeft="false" tabSelected="false" showOutlineSymbols="true" defaultGridColor="true" view="normal" topLeftCell="A19" colorId="64" zoomScale="60" zoomScaleNormal="60" zoomScalePageLayoutView="100" workbookViewId="0">
      <selection pane="topLeft" activeCell="K62" activeCellId="0" sqref="K62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1.43"/>
    <col collapsed="false" customWidth="true" hidden="false" outlineLevel="0" max="12" min="12" style="71" width="12.14"/>
    <col collapsed="false" customWidth="true" hidden="false" outlineLevel="0" max="13" min="13" style="71" width="10.28"/>
    <col collapsed="false" customWidth="true" hidden="false" outlineLevel="0" max="15" min="14" style="71" width="15.28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60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" hidden="false" customHeight="false" outlineLevel="0" collapsed="false">
      <c r="A2" s="89" t="n">
        <v>45088</v>
      </c>
      <c r="B2" s="89" t="s">
        <v>36</v>
      </c>
      <c r="C2" s="83"/>
      <c r="D2" s="83"/>
      <c r="E2" s="83"/>
      <c r="F2" s="83"/>
      <c r="G2" s="84"/>
      <c r="H2" s="85"/>
      <c r="I2" s="86"/>
      <c r="J2" s="87" t="s">
        <v>18</v>
      </c>
      <c r="K2" s="88"/>
      <c r="L2" s="89"/>
      <c r="M2" s="89" t="s">
        <v>37</v>
      </c>
      <c r="N2" s="83"/>
      <c r="O2" s="83"/>
      <c r="P2" s="83"/>
      <c r="Q2" s="84"/>
      <c r="R2" s="85"/>
      <c r="S2" s="86"/>
    </row>
    <row r="3" customFormat="false" ht="15" hidden="false" customHeight="false" outlineLevel="0" collapsed="false">
      <c r="A3" s="90" t="n">
        <v>0.399305555555556</v>
      </c>
      <c r="B3" s="91" t="s">
        <v>48</v>
      </c>
      <c r="C3" s="98" t="n">
        <v>50561920</v>
      </c>
      <c r="D3" s="76" t="n">
        <v>50578950</v>
      </c>
      <c r="E3" s="92" t="n">
        <f aca="false">SUM(D3-C3)</f>
        <v>17030</v>
      </c>
      <c r="F3" s="129" t="n">
        <v>17019</v>
      </c>
      <c r="G3" s="41" t="n">
        <v>0.84</v>
      </c>
      <c r="H3" s="94" t="n">
        <f aca="false">SUM(G3*F3)</f>
        <v>14295.96</v>
      </c>
      <c r="I3" s="29" t="s">
        <v>77</v>
      </c>
      <c r="J3" s="1" t="n">
        <v>6598</v>
      </c>
      <c r="K3" s="95"/>
      <c r="L3" s="96" t="n">
        <v>0.413194444444444</v>
      </c>
      <c r="M3" s="97" t="s">
        <v>46</v>
      </c>
      <c r="N3" s="98" t="n">
        <v>7627030</v>
      </c>
      <c r="O3" s="99" t="n">
        <v>7627380</v>
      </c>
      <c r="P3" s="100" t="n">
        <f aca="false">SUM(O3-N3)</f>
        <v>350</v>
      </c>
      <c r="Q3" s="101" t="n">
        <v>0.841</v>
      </c>
      <c r="R3" s="102" t="n">
        <f aca="false">SUM(Q3*P3)</f>
        <v>294.35</v>
      </c>
      <c r="S3" s="103" t="s">
        <v>53</v>
      </c>
      <c r="V3" s="0" t="s">
        <v>41</v>
      </c>
    </row>
    <row r="4" customFormat="false" ht="15" hidden="false" customHeight="false" outlineLevel="0" collapsed="false">
      <c r="A4" s="90" t="n">
        <v>0.440972222222222</v>
      </c>
      <c r="B4" s="91" t="s">
        <v>48</v>
      </c>
      <c r="C4" s="98" t="n">
        <f aca="false">SUM(D3)</f>
        <v>50578950</v>
      </c>
      <c r="D4" s="76" t="n">
        <v>50589350</v>
      </c>
      <c r="E4" s="92" t="n">
        <f aca="false">SUM(D4-C4)</f>
        <v>10400</v>
      </c>
      <c r="F4" s="93" t="n">
        <f aca="false">SUM(D4-C4)</f>
        <v>10400</v>
      </c>
      <c r="G4" s="41" t="n">
        <v>0.84</v>
      </c>
      <c r="H4" s="94" t="n">
        <f aca="false">SUM(G4*F4)</f>
        <v>8736</v>
      </c>
      <c r="I4" s="29" t="s">
        <v>101</v>
      </c>
      <c r="J4" s="1" t="n">
        <v>6602</v>
      </c>
      <c r="K4" s="95"/>
      <c r="L4" s="96" t="n">
        <v>0.472222222222222</v>
      </c>
      <c r="M4" s="105" t="s">
        <v>46</v>
      </c>
      <c r="N4" s="100" t="n">
        <f aca="false">SUM(O3)</f>
        <v>7627380</v>
      </c>
      <c r="O4" s="99" t="n">
        <v>7627540</v>
      </c>
      <c r="P4" s="100" t="n">
        <f aca="false">SUM(O4-N4)</f>
        <v>160</v>
      </c>
      <c r="Q4" s="101" t="n">
        <v>0.841</v>
      </c>
      <c r="R4" s="102" t="n">
        <f aca="false">SUM(Q4*P4)</f>
        <v>134.56</v>
      </c>
      <c r="S4" s="103" t="s">
        <v>40</v>
      </c>
    </row>
    <row r="5" customFormat="false" ht="15" hidden="false" customHeight="false" outlineLevel="0" collapsed="false">
      <c r="A5" s="90" t="n">
        <v>0.447916666666667</v>
      </c>
      <c r="B5" s="91" t="s">
        <v>48</v>
      </c>
      <c r="C5" s="98" t="n">
        <f aca="false">SUM(D4)</f>
        <v>50589350</v>
      </c>
      <c r="D5" s="76" t="n">
        <v>50597530</v>
      </c>
      <c r="E5" s="92" t="n">
        <f aca="false">SUM(D5-C5)</f>
        <v>8180</v>
      </c>
      <c r="F5" s="93" t="n">
        <f aca="false">SUM(D5-C5)</f>
        <v>8180</v>
      </c>
      <c r="G5" s="41" t="n">
        <v>0.84</v>
      </c>
      <c r="H5" s="94" t="n">
        <f aca="false">SUM(G5*F5)</f>
        <v>6871.2</v>
      </c>
      <c r="I5" s="29" t="s">
        <v>73</v>
      </c>
      <c r="J5" s="1" t="n">
        <v>6603</v>
      </c>
      <c r="K5" s="95"/>
      <c r="L5" s="96" t="n">
        <v>0.506944444444444</v>
      </c>
      <c r="M5" s="105" t="s">
        <v>48</v>
      </c>
      <c r="N5" s="100" t="n">
        <f aca="false">SUM(O4)</f>
        <v>7627540</v>
      </c>
      <c r="O5" s="99" t="n">
        <v>7627850</v>
      </c>
      <c r="P5" s="100" t="n">
        <f aca="false">SUM(O5-N5)</f>
        <v>310</v>
      </c>
      <c r="Q5" s="41" t="n">
        <v>0.84</v>
      </c>
      <c r="R5" s="102" t="n">
        <f aca="false">SUM(Q5*P5)</f>
        <v>260.4</v>
      </c>
      <c r="S5" s="103" t="s">
        <v>65</v>
      </c>
    </row>
    <row r="6" customFormat="false" ht="15" hidden="false" customHeight="false" outlineLevel="0" collapsed="false">
      <c r="A6" s="90" t="n">
        <v>0.493055555555556</v>
      </c>
      <c r="B6" s="91" t="s">
        <v>48</v>
      </c>
      <c r="C6" s="98" t="n">
        <f aca="false">SUM(D5)</f>
        <v>50597530</v>
      </c>
      <c r="D6" s="76" t="n">
        <v>50614550</v>
      </c>
      <c r="E6" s="92" t="n">
        <f aca="false">SUM(D6-C6)</f>
        <v>17020</v>
      </c>
      <c r="F6" s="129" t="n">
        <v>17019</v>
      </c>
      <c r="G6" s="41" t="n">
        <v>0.84</v>
      </c>
      <c r="H6" s="94" t="n">
        <f aca="false">SUM(G6*F6)</f>
        <v>14295.96</v>
      </c>
      <c r="I6" s="29" t="s">
        <v>77</v>
      </c>
      <c r="J6" s="1" t="n">
        <v>6607</v>
      </c>
      <c r="K6" s="95"/>
      <c r="L6" s="96" t="n">
        <v>0.538194444444444</v>
      </c>
      <c r="M6" s="105" t="s">
        <v>38</v>
      </c>
      <c r="N6" s="100" t="n">
        <f aca="false">SUM(O5)</f>
        <v>7627850</v>
      </c>
      <c r="O6" s="99" t="n">
        <v>7628080</v>
      </c>
      <c r="P6" s="100" t="n">
        <f aca="false">SUM(O6-N6)</f>
        <v>230</v>
      </c>
      <c r="Q6" s="41" t="n">
        <v>0.8398</v>
      </c>
      <c r="R6" s="94" t="n">
        <f aca="false">SUM(Q6*P6)</f>
        <v>193.154</v>
      </c>
      <c r="S6" s="103" t="s">
        <v>63</v>
      </c>
    </row>
    <row r="7" customFormat="false" ht="15" hidden="false" customHeight="false" outlineLevel="0" collapsed="false">
      <c r="A7" s="90" t="n">
        <v>0.520833333333333</v>
      </c>
      <c r="B7" s="91" t="s">
        <v>44</v>
      </c>
      <c r="C7" s="98" t="n">
        <f aca="false">SUM(D6)</f>
        <v>50614550</v>
      </c>
      <c r="D7" s="76" t="n">
        <v>50626030</v>
      </c>
      <c r="E7" s="92" t="n">
        <f aca="false">SUM(D7-C7)</f>
        <v>11480</v>
      </c>
      <c r="F7" s="190" t="n">
        <v>11480</v>
      </c>
      <c r="G7" s="41" t="n">
        <v>0.8416</v>
      </c>
      <c r="H7" s="85" t="n">
        <f aca="false">SUM(G7*F7)</f>
        <v>9661.568</v>
      </c>
      <c r="I7" s="29" t="s">
        <v>102</v>
      </c>
      <c r="J7" s="1" t="n">
        <v>6608</v>
      </c>
      <c r="K7" s="95"/>
      <c r="L7" s="96" t="n">
        <v>0.743055555555555</v>
      </c>
      <c r="M7" s="105" t="s">
        <v>44</v>
      </c>
      <c r="N7" s="100" t="n">
        <f aca="false">SUM(O6)</f>
        <v>7628080</v>
      </c>
      <c r="O7" s="99" t="n">
        <v>7628140</v>
      </c>
      <c r="P7" s="100" t="n">
        <f aca="false">SUM(O7-N7)</f>
        <v>60</v>
      </c>
      <c r="Q7" s="41" t="n">
        <v>0.8416</v>
      </c>
      <c r="R7" s="94" t="n">
        <f aca="false">SUM(Q7*P7)</f>
        <v>50.496</v>
      </c>
      <c r="S7" s="103" t="s">
        <v>42</v>
      </c>
    </row>
    <row r="8" customFormat="false" ht="15" hidden="false" customHeight="false" outlineLevel="0" collapsed="false">
      <c r="A8" s="90" t="n">
        <v>0.520833333333333</v>
      </c>
      <c r="B8" s="91" t="s">
        <v>44</v>
      </c>
      <c r="C8" s="98" t="n">
        <f aca="false">SUM(D7)</f>
        <v>50626030</v>
      </c>
      <c r="D8" s="76" t="n">
        <v>50636990</v>
      </c>
      <c r="E8" s="92" t="n">
        <f aca="false">SUM(D8-C8)</f>
        <v>10960</v>
      </c>
      <c r="F8" s="190" t="n">
        <v>10950</v>
      </c>
      <c r="G8" s="41" t="n">
        <v>0.8416</v>
      </c>
      <c r="H8" s="85" t="n">
        <f aca="false">SUM(G8*F8)</f>
        <v>9215.52</v>
      </c>
      <c r="I8" s="29" t="s">
        <v>102</v>
      </c>
      <c r="J8" s="1" t="n">
        <v>6609</v>
      </c>
      <c r="K8" s="95"/>
      <c r="L8" s="96" t="n">
        <v>0.788194444444444</v>
      </c>
      <c r="M8" s="97" t="s">
        <v>38</v>
      </c>
      <c r="N8" s="100" t="n">
        <f aca="false">SUM(O7)</f>
        <v>7628140</v>
      </c>
      <c r="O8" s="99" t="n">
        <v>7628290</v>
      </c>
      <c r="P8" s="100" t="n">
        <f aca="false">SUM(O8-N8)</f>
        <v>150</v>
      </c>
      <c r="Q8" s="41" t="n">
        <v>0.838</v>
      </c>
      <c r="R8" s="94" t="n">
        <f aca="false">SUM(Q8*P8)</f>
        <v>125.7</v>
      </c>
      <c r="S8" s="1" t="s">
        <v>103</v>
      </c>
    </row>
    <row r="9" customFormat="false" ht="15" hidden="false" customHeight="false" outlineLevel="0" collapsed="false">
      <c r="A9" s="90" t="n">
        <v>0.607638888888889</v>
      </c>
      <c r="B9" s="91" t="s">
        <v>44</v>
      </c>
      <c r="C9" s="98" t="n">
        <f aca="false">SUM(D8)</f>
        <v>50636990</v>
      </c>
      <c r="D9" s="76" t="n">
        <v>50659410</v>
      </c>
      <c r="E9" s="92" t="n">
        <f aca="false">SUM(D9-C9)</f>
        <v>22420</v>
      </c>
      <c r="F9" s="190" t="n">
        <v>22430</v>
      </c>
      <c r="G9" s="41" t="n">
        <v>0.8416</v>
      </c>
      <c r="H9" s="85" t="n">
        <f aca="false">SUM(G9*F9)</f>
        <v>18877.088</v>
      </c>
      <c r="I9" s="29" t="s">
        <v>102</v>
      </c>
      <c r="J9" s="1" t="n">
        <v>6613</v>
      </c>
      <c r="K9" s="95"/>
      <c r="L9" s="96" t="n">
        <v>0.875</v>
      </c>
      <c r="M9" s="97" t="s">
        <v>39</v>
      </c>
      <c r="N9" s="100" t="n">
        <f aca="false">SUM(O8)</f>
        <v>7628290</v>
      </c>
      <c r="O9" s="99" t="n">
        <v>7628520</v>
      </c>
      <c r="P9" s="100" t="n">
        <f aca="false">SUM(O9-N9)</f>
        <v>230</v>
      </c>
      <c r="Q9" s="101" t="n">
        <v>0.8335</v>
      </c>
      <c r="R9" s="102" t="n">
        <f aca="false">SUM(Q9*P9)</f>
        <v>191.705</v>
      </c>
      <c r="S9" s="1" t="s">
        <v>45</v>
      </c>
    </row>
    <row r="10" customFormat="false" ht="15" hidden="false" customHeight="false" outlineLevel="0" collapsed="false">
      <c r="A10" s="90" t="n">
        <v>0.708333333333333</v>
      </c>
      <c r="B10" s="91" t="s">
        <v>44</v>
      </c>
      <c r="C10" s="98" t="n">
        <f aca="false">SUM(D9)</f>
        <v>50659410</v>
      </c>
      <c r="D10" s="76" t="n">
        <v>50670880</v>
      </c>
      <c r="E10" s="92" t="n">
        <f aca="false">SUM(D10-C10)</f>
        <v>11470</v>
      </c>
      <c r="F10" s="190" t="n">
        <v>11480</v>
      </c>
      <c r="G10" s="41" t="n">
        <v>0.8416</v>
      </c>
      <c r="H10" s="85" t="n">
        <f aca="false">SUM(G10*F10)</f>
        <v>9661.568</v>
      </c>
      <c r="I10" s="29" t="s">
        <v>102</v>
      </c>
      <c r="J10" s="1" t="n">
        <v>6614</v>
      </c>
      <c r="K10" s="95"/>
      <c r="L10" s="96" t="n">
        <v>0.895833333333333</v>
      </c>
      <c r="M10" s="97" t="s">
        <v>44</v>
      </c>
      <c r="N10" s="100" t="n">
        <f aca="false">SUM(O9)</f>
        <v>7628520</v>
      </c>
      <c r="O10" s="99" t="n">
        <v>7628690</v>
      </c>
      <c r="P10" s="100" t="n">
        <f aca="false">SUM(O10-N10)</f>
        <v>170</v>
      </c>
      <c r="Q10" s="41" t="n">
        <v>0.8378</v>
      </c>
      <c r="R10" s="94" t="n">
        <f aca="false">SUM(Q10*P10)</f>
        <v>142.426</v>
      </c>
      <c r="S10" s="103" t="s">
        <v>97</v>
      </c>
    </row>
    <row r="11" customFormat="false" ht="15" hidden="false" customHeight="false" outlineLevel="0" collapsed="false">
      <c r="A11" s="90" t="n">
        <v>0.708333333333333</v>
      </c>
      <c r="B11" s="91" t="s">
        <v>38</v>
      </c>
      <c r="C11" s="98" t="n">
        <f aca="false">SUM(D10)</f>
        <v>50670880</v>
      </c>
      <c r="D11" s="76" t="n">
        <v>50681830</v>
      </c>
      <c r="E11" s="92" t="n">
        <f aca="false">SUM(D11-C11)</f>
        <v>10950</v>
      </c>
      <c r="F11" s="190" t="n">
        <v>10950</v>
      </c>
      <c r="G11" s="41" t="n">
        <v>0.838</v>
      </c>
      <c r="H11" s="126" t="n">
        <f aca="false">SUM(G11*F11)</f>
        <v>9176.1</v>
      </c>
      <c r="I11" s="29" t="s">
        <v>102</v>
      </c>
      <c r="J11" s="1" t="n">
        <v>6614</v>
      </c>
      <c r="K11" s="95"/>
      <c r="L11" s="96" t="n">
        <v>0.947916666666667</v>
      </c>
      <c r="M11" s="97" t="s">
        <v>38</v>
      </c>
      <c r="N11" s="100" t="n">
        <f aca="false">SUM(O10)</f>
        <v>7628690</v>
      </c>
      <c r="O11" s="99" t="n">
        <v>7628950</v>
      </c>
      <c r="P11" s="100" t="n">
        <f aca="false">SUM(O11-N11)</f>
        <v>260</v>
      </c>
      <c r="Q11" s="41" t="n">
        <v>0.835</v>
      </c>
      <c r="R11" s="94" t="n">
        <f aca="false">SUM(Q11*P11)</f>
        <v>217.1</v>
      </c>
      <c r="S11" s="1" t="s">
        <v>43</v>
      </c>
    </row>
    <row r="12" customFormat="false" ht="15" hidden="false" customHeight="false" outlineLevel="0" collapsed="false">
      <c r="A12" s="90" t="n">
        <v>0.774305555555555</v>
      </c>
      <c r="B12" s="91" t="s">
        <v>38</v>
      </c>
      <c r="C12" s="98" t="n">
        <f aca="false">SUM(D11)</f>
        <v>50681830</v>
      </c>
      <c r="D12" s="76" t="n">
        <v>50704250</v>
      </c>
      <c r="E12" s="92" t="n">
        <f aca="false">SUM(D12-C12)</f>
        <v>22420</v>
      </c>
      <c r="F12" s="190" t="n">
        <v>22430</v>
      </c>
      <c r="G12" s="41" t="n">
        <v>0.838</v>
      </c>
      <c r="H12" s="126" t="n">
        <f aca="false">SUM(G12*F12)</f>
        <v>18796.34</v>
      </c>
      <c r="I12" s="29" t="s">
        <v>102</v>
      </c>
      <c r="J12" s="1" t="n">
        <v>6616</v>
      </c>
      <c r="K12" s="95"/>
      <c r="L12" s="96" t="n">
        <v>0.1875</v>
      </c>
      <c r="M12" s="97" t="s">
        <v>44</v>
      </c>
      <c r="N12" s="100" t="n">
        <f aca="false">SUM(O11)</f>
        <v>7628950</v>
      </c>
      <c r="O12" s="99" t="n">
        <v>7629180</v>
      </c>
      <c r="P12" s="100" t="n">
        <f aca="false">SUM(O12-N12)</f>
        <v>230</v>
      </c>
      <c r="Q12" s="41" t="n">
        <v>0.8351</v>
      </c>
      <c r="R12" s="94" t="n">
        <f aca="false">SUM(Q12*P12)</f>
        <v>192.073</v>
      </c>
      <c r="S12" s="1" t="s">
        <v>64</v>
      </c>
    </row>
    <row r="13" customFormat="false" ht="15" hidden="false" customHeight="false" outlineLevel="0" collapsed="false">
      <c r="A13" s="90" t="n">
        <v>0.833333333333333</v>
      </c>
      <c r="B13" s="91" t="s">
        <v>44</v>
      </c>
      <c r="C13" s="98" t="n">
        <f aca="false">SUM(D12)</f>
        <v>50704250</v>
      </c>
      <c r="D13" s="76" t="n">
        <v>50726680</v>
      </c>
      <c r="E13" s="92" t="n">
        <f aca="false">SUM(D13-C13)</f>
        <v>22430</v>
      </c>
      <c r="F13" s="190" t="n">
        <v>22430</v>
      </c>
      <c r="G13" s="41" t="n">
        <v>0.8378</v>
      </c>
      <c r="H13" s="85" t="n">
        <f aca="false">SUM(G13*F13)</f>
        <v>18791.854</v>
      </c>
      <c r="I13" s="29" t="s">
        <v>102</v>
      </c>
      <c r="J13" s="1" t="n">
        <v>6620</v>
      </c>
      <c r="K13" s="95"/>
      <c r="L13" s="96"/>
      <c r="M13" s="97"/>
      <c r="N13" s="100" t="n">
        <f aca="false">SUM(O12)</f>
        <v>7629180</v>
      </c>
      <c r="O13" s="99"/>
      <c r="P13" s="100" t="n">
        <f aca="false">SUM(O13-N13)</f>
        <v>-7629180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0.927083333333333</v>
      </c>
      <c r="B14" s="91" t="s">
        <v>38</v>
      </c>
      <c r="C14" s="98" t="n">
        <f aca="false">SUM(D13)</f>
        <v>50726680</v>
      </c>
      <c r="D14" s="76" t="n">
        <v>50736720</v>
      </c>
      <c r="E14" s="92" t="n">
        <f aca="false">SUM(D14-C14)</f>
        <v>10040</v>
      </c>
      <c r="F14" s="93" t="n">
        <f aca="false">SUM(D14-C14)</f>
        <v>10040</v>
      </c>
      <c r="G14" s="41" t="n">
        <v>0.835</v>
      </c>
      <c r="H14" s="126" t="n">
        <f aca="false">SUM(G14*F14)</f>
        <v>8383.4</v>
      </c>
      <c r="I14" s="29" t="s">
        <v>101</v>
      </c>
      <c r="J14" s="1" t="n">
        <v>6623</v>
      </c>
      <c r="K14" s="95"/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0.9375</v>
      </c>
      <c r="B15" s="91" t="s">
        <v>38</v>
      </c>
      <c r="C15" s="98" t="n">
        <f aca="false">SUM(D14)</f>
        <v>50736720</v>
      </c>
      <c r="D15" s="76" t="n">
        <v>50753750</v>
      </c>
      <c r="E15" s="92" t="n">
        <f aca="false">SUM(D15-C15)</f>
        <v>17030</v>
      </c>
      <c r="F15" s="129" t="n">
        <v>17019</v>
      </c>
      <c r="G15" s="41" t="n">
        <v>0.835</v>
      </c>
      <c r="H15" s="126" t="n">
        <f aca="false">SUM(G15*F15)</f>
        <v>14210.865</v>
      </c>
      <c r="I15" s="29" t="s">
        <v>77</v>
      </c>
      <c r="J15" s="1" t="n">
        <v>6624</v>
      </c>
      <c r="K15" s="95"/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0.947916666666667</v>
      </c>
      <c r="B16" s="91" t="s">
        <v>38</v>
      </c>
      <c r="C16" s="98" t="n">
        <f aca="false">SUM(D15)</f>
        <v>50753750</v>
      </c>
      <c r="D16" s="76" t="n">
        <v>50776170</v>
      </c>
      <c r="E16" s="92" t="n">
        <f aca="false">SUM(D16-C16)</f>
        <v>22420</v>
      </c>
      <c r="F16" s="190" t="n">
        <v>22430</v>
      </c>
      <c r="G16" s="41" t="n">
        <v>0.835</v>
      </c>
      <c r="H16" s="126" t="n">
        <f aca="false">SUM(G16*F16)</f>
        <v>18729.05</v>
      </c>
      <c r="I16" s="29" t="s">
        <v>102</v>
      </c>
      <c r="J16" s="1" t="n">
        <v>6626</v>
      </c>
      <c r="K16" s="95"/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0.15625</v>
      </c>
      <c r="B17" s="91" t="s">
        <v>44</v>
      </c>
      <c r="C17" s="98" t="n">
        <f aca="false">SUM(D16)</f>
        <v>50776170</v>
      </c>
      <c r="D17" s="76" t="n">
        <v>50793200</v>
      </c>
      <c r="E17" s="92" t="n">
        <f aca="false">SUM(D17-C17)</f>
        <v>17030</v>
      </c>
      <c r="F17" s="129" t="n">
        <v>17019</v>
      </c>
      <c r="G17" s="41" t="n">
        <v>0.8351</v>
      </c>
      <c r="H17" s="85" t="n">
        <f aca="false">SUM(G17*F17)</f>
        <v>14212.5669</v>
      </c>
      <c r="I17" s="29" t="s">
        <v>77</v>
      </c>
      <c r="J17" s="1" t="n">
        <v>6631</v>
      </c>
      <c r="K17" s="95"/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0.180555555555556</v>
      </c>
      <c r="B18" s="91" t="s">
        <v>44</v>
      </c>
      <c r="C18" s="98" t="n">
        <f aca="false">SUM(D17)</f>
        <v>50793200</v>
      </c>
      <c r="D18" s="76" t="n">
        <v>50815620</v>
      </c>
      <c r="E18" s="92" t="n">
        <f aca="false">SUM(D18-C18)</f>
        <v>22420</v>
      </c>
      <c r="F18" s="190" t="n">
        <v>22430</v>
      </c>
      <c r="G18" s="41" t="n">
        <v>0.8351</v>
      </c>
      <c r="H18" s="85" t="n">
        <f aca="false">SUM(G18*F18)</f>
        <v>18731.293</v>
      </c>
      <c r="I18" s="29" t="s">
        <v>102</v>
      </c>
      <c r="J18" s="29" t="n">
        <v>6632</v>
      </c>
      <c r="K18" s="95"/>
      <c r="L18" s="96"/>
      <c r="M18" s="105"/>
      <c r="N18" s="130"/>
      <c r="O18" s="99"/>
      <c r="P18" s="109" t="n">
        <f aca="false">SUM(O18-N18)</f>
        <v>0</v>
      </c>
      <c r="Q18" s="41"/>
      <c r="R18" s="94" t="n">
        <f aca="false">SUM(Q18*P18)</f>
        <v>0</v>
      </c>
      <c r="S18" s="103"/>
      <c r="T18" s="0" t="s">
        <v>41</v>
      </c>
    </row>
    <row r="19" customFormat="false" ht="15" hidden="false" customHeight="false" outlineLevel="0" collapsed="false">
      <c r="A19" s="90" t="n">
        <v>0.246527777777778</v>
      </c>
      <c r="B19" s="91" t="s">
        <v>38</v>
      </c>
      <c r="C19" s="98" t="n">
        <f aca="false">SUM(D18)</f>
        <v>50815620</v>
      </c>
      <c r="D19" s="76" t="n">
        <v>50838040</v>
      </c>
      <c r="E19" s="92" t="n">
        <f aca="false">SUM(D19-C19)</f>
        <v>22420</v>
      </c>
      <c r="F19" s="190" t="n">
        <v>22430</v>
      </c>
      <c r="G19" s="41" t="n">
        <v>0.835</v>
      </c>
      <c r="H19" s="126" t="n">
        <f aca="false">SUM(G19*F19)</f>
        <v>18729.05</v>
      </c>
      <c r="I19" s="29" t="s">
        <v>102</v>
      </c>
      <c r="J19" s="1" t="n">
        <v>6634</v>
      </c>
      <c r="K19" s="95"/>
      <c r="L19" s="96"/>
      <c r="M19" s="105"/>
      <c r="N19" s="98" t="n">
        <f aca="false">SUM(O18)</f>
        <v>0</v>
      </c>
      <c r="O19" s="99"/>
      <c r="P19" s="109" t="n">
        <f aca="false">SUM(O19-N19)</f>
        <v>0</v>
      </c>
      <c r="Q19" s="41"/>
      <c r="R19" s="94" t="n">
        <f aca="false">SUM(Q19*P19)</f>
        <v>0</v>
      </c>
      <c r="S19" s="103"/>
    </row>
    <row r="20" customFormat="false" ht="15" hidden="false" customHeight="false" outlineLevel="0" collapsed="false">
      <c r="A20" s="90" t="n">
        <v>0.260416666666667</v>
      </c>
      <c r="B20" s="91" t="s">
        <v>38</v>
      </c>
      <c r="C20" s="98" t="n">
        <f aca="false">SUM(D19)</f>
        <v>50838040</v>
      </c>
      <c r="D20" s="76" t="n">
        <v>50855060</v>
      </c>
      <c r="E20" s="92" t="n">
        <f aca="false">SUM(D20-C20)</f>
        <v>17020</v>
      </c>
      <c r="F20" s="129" t="n">
        <v>17019</v>
      </c>
      <c r="G20" s="41" t="n">
        <v>0.835</v>
      </c>
      <c r="H20" s="126" t="n">
        <f aca="false">SUM(G20*F20)</f>
        <v>14210.865</v>
      </c>
      <c r="I20" s="29" t="s">
        <v>77</v>
      </c>
      <c r="J20" s="1" t="n">
        <v>6635</v>
      </c>
      <c r="K20" s="95"/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 t="n">
        <v>0.305555555555555</v>
      </c>
      <c r="B21" s="91" t="s">
        <v>48</v>
      </c>
      <c r="C21" s="98" t="n">
        <f aca="false">SUM(D20)</f>
        <v>50855060</v>
      </c>
      <c r="D21" s="76" t="n">
        <v>50877480</v>
      </c>
      <c r="E21" s="92" t="n">
        <f aca="false">SUM(D21-C21)</f>
        <v>22420</v>
      </c>
      <c r="F21" s="190" t="n">
        <v>22430</v>
      </c>
      <c r="G21" s="41" t="n">
        <v>0.837</v>
      </c>
      <c r="H21" s="94" t="n">
        <f aca="false">SUM(G21*F21)</f>
        <v>18773.91</v>
      </c>
      <c r="I21" s="29" t="s">
        <v>102</v>
      </c>
      <c r="J21" s="1" t="n">
        <v>6636</v>
      </c>
      <c r="K21" s="95"/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.75" hidden="false" customHeight="false" outlineLevel="0" collapsed="false">
      <c r="A22" s="90"/>
      <c r="B22" s="91"/>
      <c r="C22" s="98" t="n">
        <v>0</v>
      </c>
      <c r="D22" s="76"/>
      <c r="E22" s="92" t="n">
        <f aca="false">SUM(D22-C22)</f>
        <v>0</v>
      </c>
      <c r="F22" s="93" t="n">
        <f aca="false">SUM(D22-C22)</f>
        <v>0</v>
      </c>
      <c r="G22" s="41"/>
      <c r="H22" s="94" t="n">
        <f aca="false">SUM(G22*F22)</f>
        <v>0</v>
      </c>
      <c r="I22" s="1"/>
      <c r="J22" s="29"/>
      <c r="K22" s="95"/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true" customHeight="false" outlineLevel="0" collapsed="false">
      <c r="A23" s="90"/>
      <c r="B23" s="91"/>
      <c r="C23" s="98" t="n">
        <f aca="false">SUM(D22)</f>
        <v>0</v>
      </c>
      <c r="D23" s="76"/>
      <c r="E23" s="92" t="n">
        <f aca="false">SUM(D23-C23)</f>
        <v>0</v>
      </c>
      <c r="F23" s="93" t="n">
        <f aca="false">SUM(D23-C23)</f>
        <v>0</v>
      </c>
      <c r="G23" s="41"/>
      <c r="H23" s="94" t="n">
        <f aca="false">SUM(G23*F23)</f>
        <v>0</v>
      </c>
      <c r="I23" s="1"/>
      <c r="J23" s="29"/>
      <c r="K23" s="95"/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" hidden="true" customHeight="false" outlineLevel="0" collapsed="false">
      <c r="A24" s="90"/>
      <c r="B24" s="91"/>
      <c r="C24" s="98" t="n">
        <f aca="false">SUM(D23)</f>
        <v>0</v>
      </c>
      <c r="D24" s="76"/>
      <c r="E24" s="92" t="n">
        <f aca="false">SUM(D24-C24)</f>
        <v>0</v>
      </c>
      <c r="F24" s="93" t="n">
        <f aca="false">SUM(D24-C24)</f>
        <v>0</v>
      </c>
      <c r="G24" s="41"/>
      <c r="H24" s="94" t="n">
        <f aca="false">SUM(G24*F24)</f>
        <v>0</v>
      </c>
      <c r="I24" s="1"/>
      <c r="J24" s="29"/>
      <c r="K24" s="95"/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" hidden="true" customHeight="false" outlineLevel="0" collapsed="false">
      <c r="A25" s="90"/>
      <c r="B25" s="91"/>
      <c r="C25" s="98" t="n">
        <f aca="false">SUM(D24)</f>
        <v>0</v>
      </c>
      <c r="D25" s="76"/>
      <c r="E25" s="92" t="n">
        <f aca="false">SUM(D25-C25)</f>
        <v>0</v>
      </c>
      <c r="F25" s="109" t="n">
        <f aca="false">SUM(D25-C25)</f>
        <v>0</v>
      </c>
      <c r="G25" s="41"/>
      <c r="H25" s="94" t="n">
        <f aca="false">SUM(G25*F25)</f>
        <v>0</v>
      </c>
      <c r="I25" s="1"/>
      <c r="J25" s="29"/>
      <c r="K25" s="95"/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" hidden="true" customHeight="false" outlineLevel="0" collapsed="false">
      <c r="A26" s="90"/>
      <c r="B26" s="91"/>
      <c r="C26" s="98" t="n">
        <f aca="false">SUM(D25)</f>
        <v>0</v>
      </c>
      <c r="D26" s="76"/>
      <c r="E26" s="92" t="n">
        <f aca="false">SUM(D26-C26)</f>
        <v>0</v>
      </c>
      <c r="F26" s="109" t="n">
        <f aca="false">SUM(D26-C26)</f>
        <v>0</v>
      </c>
      <c r="G26" s="41"/>
      <c r="H26" s="94" t="n">
        <f aca="false">SUM(G26*F26)</f>
        <v>0</v>
      </c>
      <c r="I26" s="1"/>
      <c r="J26" s="29"/>
      <c r="K26" s="95"/>
      <c r="L26" s="96"/>
      <c r="M26" s="97"/>
      <c r="N26" s="98" t="n">
        <f aca="false">SUM(O25)</f>
        <v>0</v>
      </c>
      <c r="O26" s="99"/>
      <c r="P26" s="109" t="n">
        <f aca="false">SUM(O26-N26)</f>
        <v>0</v>
      </c>
      <c r="Q26" s="101"/>
      <c r="R26" s="94" t="n">
        <f aca="false">SUM(Q26*P26)</f>
        <v>0</v>
      </c>
      <c r="S26" s="103"/>
    </row>
    <row r="27" customFormat="false" ht="15" hidden="true" customHeight="false" outlineLevel="0" collapsed="false">
      <c r="A27" s="90"/>
      <c r="B27" s="91"/>
      <c r="C27" s="98" t="n">
        <f aca="false">SUM(D26)</f>
        <v>0</v>
      </c>
      <c r="D27" s="76"/>
      <c r="E27" s="92" t="n">
        <f aca="false">SUM(D27-C27)</f>
        <v>0</v>
      </c>
      <c r="F27" s="109" t="n">
        <f aca="false">SUM(D27-C27)</f>
        <v>0</v>
      </c>
      <c r="G27" s="41"/>
      <c r="H27" s="94" t="n">
        <f aca="false">SUM(G27*F27)</f>
        <v>0</v>
      </c>
      <c r="I27" s="1"/>
      <c r="J27" s="29"/>
      <c r="K27" s="95"/>
      <c r="L27" s="96"/>
      <c r="M27" s="97"/>
      <c r="N27" s="98" t="n">
        <f aca="false">SUM(O26)</f>
        <v>0</v>
      </c>
      <c r="O27" s="99"/>
      <c r="P27" s="109" t="n">
        <f aca="false">SUM(O27-N27)</f>
        <v>0</v>
      </c>
      <c r="Q27" s="101"/>
      <c r="R27" s="94" t="n">
        <f aca="false">SUM(Q27*P27)</f>
        <v>0</v>
      </c>
      <c r="S27" s="1"/>
    </row>
    <row r="28" customFormat="false" ht="15" hidden="true" customHeight="false" outlineLevel="0" collapsed="false">
      <c r="A28" s="90"/>
      <c r="B28" s="91"/>
      <c r="C28" s="98" t="n">
        <f aca="false">SUM(D27)</f>
        <v>0</v>
      </c>
      <c r="D28" s="76"/>
      <c r="E28" s="92" t="n">
        <f aca="false">SUM(D28-C28)</f>
        <v>0</v>
      </c>
      <c r="F28" s="109" t="n">
        <f aca="false">SUM(D28-C28)</f>
        <v>0</v>
      </c>
      <c r="G28" s="41"/>
      <c r="H28" s="94" t="n">
        <f aca="false">SUM(G28*F28)</f>
        <v>0</v>
      </c>
      <c r="I28" s="1"/>
      <c r="J28" s="29"/>
      <c r="K28" s="95"/>
      <c r="L28" s="96"/>
      <c r="M28" s="97"/>
      <c r="N28" s="98" t="n">
        <f aca="false">SUM(O27)</f>
        <v>0</v>
      </c>
      <c r="O28" s="99"/>
      <c r="P28" s="109" t="n">
        <f aca="false">SUM(O28-N28)</f>
        <v>0</v>
      </c>
      <c r="Q28" s="101"/>
      <c r="R28" s="94" t="n">
        <f aca="false">SUM(Q28*P28)</f>
        <v>0</v>
      </c>
      <c r="S28" s="1"/>
    </row>
    <row r="29" customFormat="false" ht="15" hidden="true" customHeight="false" outlineLevel="0" collapsed="false">
      <c r="A29" s="90"/>
      <c r="B29" s="91"/>
      <c r="C29" s="98" t="n">
        <f aca="false">SUM(D28)</f>
        <v>0</v>
      </c>
      <c r="D29" s="76"/>
      <c r="E29" s="92" t="n">
        <f aca="false">SUM(D29-C29)</f>
        <v>0</v>
      </c>
      <c r="F29" s="109" t="n">
        <f aca="false">SUM(D29-C29)</f>
        <v>0</v>
      </c>
      <c r="G29" s="41"/>
      <c r="H29" s="94" t="n">
        <f aca="false">SUM(G29*F29)</f>
        <v>0</v>
      </c>
      <c r="I29" s="1"/>
      <c r="J29" s="29"/>
      <c r="K29" s="95"/>
      <c r="L29" s="96"/>
      <c r="M29" s="97"/>
      <c r="N29" s="98" t="n">
        <f aca="false">SUM(O28)</f>
        <v>0</v>
      </c>
      <c r="O29" s="99"/>
      <c r="P29" s="109" t="n">
        <f aca="false">SUM(O29-N29)</f>
        <v>0</v>
      </c>
      <c r="Q29" s="101"/>
      <c r="R29" s="94" t="n">
        <f aca="false">SUM(Q29*P29)</f>
        <v>0</v>
      </c>
      <c r="S29" s="1"/>
    </row>
    <row r="30" customFormat="false" ht="15" hidden="true" customHeight="false" outlineLevel="0" collapsed="false">
      <c r="A30" s="90"/>
      <c r="B30" s="91"/>
      <c r="C30" s="98" t="n">
        <f aca="false">SUM(D29)</f>
        <v>0</v>
      </c>
      <c r="D30" s="76"/>
      <c r="E30" s="92" t="n">
        <f aca="false">SUM(D30-C30)</f>
        <v>0</v>
      </c>
      <c r="F30" s="109" t="n">
        <f aca="false">SUM(D30-C30)</f>
        <v>0</v>
      </c>
      <c r="G30" s="41"/>
      <c r="H30" s="94" t="n">
        <f aca="false">SUM(G30*F30)</f>
        <v>0</v>
      </c>
      <c r="I30" s="1"/>
      <c r="J30" s="29"/>
      <c r="K30" s="111"/>
      <c r="L30" s="96"/>
      <c r="M30" s="97"/>
      <c r="N30" s="98" t="n">
        <f aca="false">SUM(O29)</f>
        <v>0</v>
      </c>
      <c r="O30" s="99"/>
      <c r="P30" s="109" t="n">
        <f aca="false">SUM(O30-N30)</f>
        <v>0</v>
      </c>
      <c r="Q30" s="101"/>
      <c r="R30" s="94" t="n">
        <f aca="false">SUM(Q30*P30)</f>
        <v>0</v>
      </c>
      <c r="S30" s="1"/>
    </row>
    <row r="31" customFormat="false" ht="15" hidden="true" customHeight="false" outlineLevel="0" collapsed="false">
      <c r="A31" s="90"/>
      <c r="B31" s="91"/>
      <c r="C31" s="98" t="n">
        <f aca="false">SUM(D30)</f>
        <v>0</v>
      </c>
      <c r="D31" s="76"/>
      <c r="E31" s="92" t="n">
        <f aca="false">SUM(D31-C31)</f>
        <v>0</v>
      </c>
      <c r="F31" s="109" t="n">
        <f aca="false">SUM(D31-C31)</f>
        <v>0</v>
      </c>
      <c r="G31" s="41"/>
      <c r="H31" s="94" t="n">
        <f aca="false">SUM(G31*F31)</f>
        <v>0</v>
      </c>
      <c r="I31" s="1"/>
      <c r="J31" s="29"/>
      <c r="K31" s="95"/>
      <c r="L31" s="96"/>
      <c r="M31" s="97"/>
      <c r="N31" s="98" t="n">
        <f aca="false">SUM(O30)</f>
        <v>0</v>
      </c>
      <c r="O31" s="99"/>
      <c r="P31" s="109" t="n">
        <f aca="false">SUM(O31-N31)</f>
        <v>0</v>
      </c>
      <c r="Q31" s="101"/>
      <c r="R31" s="94" t="n">
        <f aca="false">SUM(Q31*P31)</f>
        <v>0</v>
      </c>
      <c r="S31" s="1"/>
    </row>
    <row r="32" customFormat="false" ht="15" hidden="true" customHeight="false" outlineLevel="0" collapsed="false">
      <c r="A32" s="90"/>
      <c r="B32" s="91"/>
      <c r="C32" s="98" t="n">
        <f aca="false">SUM(D31)</f>
        <v>0</v>
      </c>
      <c r="D32" s="76"/>
      <c r="E32" s="92" t="n">
        <f aca="false">SUM(D32-C32)</f>
        <v>0</v>
      </c>
      <c r="F32" s="109" t="n">
        <f aca="false">SUM(D32-C32)</f>
        <v>0</v>
      </c>
      <c r="G32" s="41"/>
      <c r="H32" s="94" t="n">
        <f aca="false">SUM(G32*F32)</f>
        <v>0</v>
      </c>
      <c r="I32" s="1"/>
      <c r="J32" s="29"/>
      <c r="K32" s="95"/>
      <c r="L32" s="113"/>
      <c r="M32" s="114"/>
      <c r="N32" s="114"/>
      <c r="O32" s="115"/>
      <c r="P32" s="116"/>
      <c r="Q32" s="117"/>
      <c r="R32" s="62"/>
      <c r="S32" s="62"/>
    </row>
    <row r="33" customFormat="false" ht="15" hidden="true" customHeight="false" outlineLevel="0" collapsed="false">
      <c r="A33" s="90"/>
      <c r="B33" s="91"/>
      <c r="C33" s="98" t="n">
        <f aca="false">SUM(D32)</f>
        <v>0</v>
      </c>
      <c r="D33" s="76"/>
      <c r="E33" s="92" t="n">
        <f aca="false">SUM(D33-C33)</f>
        <v>0</v>
      </c>
      <c r="F33" s="109" t="n">
        <f aca="false">SUM(D33-C33)</f>
        <v>0</v>
      </c>
      <c r="G33" s="41"/>
      <c r="H33" s="94" t="n">
        <f aca="false">SUM(G33*F33)</f>
        <v>0</v>
      </c>
      <c r="I33" s="1"/>
      <c r="J33" s="29"/>
      <c r="K33" s="95"/>
      <c r="L33" s="118"/>
      <c r="M33" s="118"/>
      <c r="N33" s="118"/>
      <c r="O33" s="118"/>
      <c r="P33" s="118"/>
      <c r="Q33" s="118"/>
      <c r="R33" s="118"/>
      <c r="S33" s="118"/>
    </row>
    <row r="34" customFormat="false" ht="15" hidden="true" customHeight="false" outlineLevel="0" collapsed="false">
      <c r="A34" s="90"/>
      <c r="B34" s="91"/>
      <c r="C34" s="98" t="n">
        <f aca="false">SUM(D33)</f>
        <v>0</v>
      </c>
      <c r="D34" s="76"/>
      <c r="E34" s="92" t="n">
        <f aca="false">SUM(D34-C34)</f>
        <v>0</v>
      </c>
      <c r="F34" s="109" t="n">
        <f aca="false">SUM(D34-C34)</f>
        <v>0</v>
      </c>
      <c r="G34" s="41"/>
      <c r="H34" s="94" t="n">
        <f aca="false">SUM(G34*F34)</f>
        <v>0</v>
      </c>
      <c r="I34" s="1"/>
      <c r="J34" s="29"/>
      <c r="K34" s="95"/>
      <c r="L34" s="118"/>
      <c r="M34" s="118"/>
      <c r="N34" s="118"/>
      <c r="O34" s="118"/>
      <c r="P34" s="118"/>
      <c r="Q34" s="118"/>
      <c r="R34" s="118"/>
      <c r="S34" s="118"/>
    </row>
    <row r="35" customFormat="false" ht="15" hidden="true" customHeight="false" outlineLevel="0" collapsed="false">
      <c r="A35" s="90"/>
      <c r="B35" s="91"/>
      <c r="C35" s="98" t="n">
        <f aca="false">SUM(D34)</f>
        <v>0</v>
      </c>
      <c r="D35" s="76"/>
      <c r="E35" s="92" t="n">
        <f aca="false">SUM(D35-C35)</f>
        <v>0</v>
      </c>
      <c r="F35" s="109" t="n">
        <f aca="false">SUM(D35-C35)</f>
        <v>0</v>
      </c>
      <c r="G35" s="41"/>
      <c r="H35" s="94" t="n">
        <f aca="false">SUM(G35*F35)</f>
        <v>0</v>
      </c>
      <c r="I35" s="1"/>
      <c r="J35" s="29"/>
      <c r="K35" s="95"/>
      <c r="L35" s="118"/>
      <c r="M35" s="118"/>
      <c r="N35" s="118"/>
      <c r="O35" s="118"/>
      <c r="P35" s="118"/>
      <c r="Q35" s="118"/>
      <c r="R35" s="118"/>
      <c r="S35" s="118"/>
    </row>
    <row r="36" customFormat="false" ht="15" hidden="true" customHeight="false" outlineLevel="0" collapsed="false">
      <c r="A36" s="90"/>
      <c r="B36" s="91"/>
      <c r="C36" s="98" t="n">
        <f aca="false">SUM(D35)</f>
        <v>0</v>
      </c>
      <c r="D36" s="76"/>
      <c r="E36" s="92" t="n">
        <f aca="false">SUM(D36-C36)</f>
        <v>0</v>
      </c>
      <c r="F36" s="109" t="n">
        <f aca="false">SUM(D36-C36)</f>
        <v>0</v>
      </c>
      <c r="G36" s="41"/>
      <c r="H36" s="94" t="n">
        <f aca="false">SUM(G36*F36)</f>
        <v>0</v>
      </c>
      <c r="I36" s="1"/>
      <c r="J36" s="29"/>
      <c r="K36" s="95"/>
      <c r="L36" s="118"/>
      <c r="M36" s="118"/>
      <c r="N36" s="118"/>
      <c r="O36" s="118"/>
      <c r="P36" s="118"/>
      <c r="Q36" s="118"/>
      <c r="R36" s="118"/>
      <c r="S36" s="118"/>
    </row>
    <row r="37" customFormat="false" ht="15.75" hidden="true" customHeight="false" outlineLevel="0" collapsed="false">
      <c r="A37" s="90"/>
      <c r="B37" s="91"/>
      <c r="C37" s="98" t="n">
        <f aca="false">SUM(D36)</f>
        <v>0</v>
      </c>
      <c r="D37" s="76"/>
      <c r="E37" s="92" t="n">
        <f aca="false">SUM(D37-C37)</f>
        <v>0</v>
      </c>
      <c r="F37" s="131" t="n">
        <f aca="false">SUM(D37-C37)</f>
        <v>0</v>
      </c>
      <c r="G37" s="41"/>
      <c r="H37" s="132" t="n">
        <f aca="false">SUM(G37*F37)</f>
        <v>0</v>
      </c>
      <c r="I37" s="1"/>
      <c r="J37" s="1"/>
      <c r="K37" s="95"/>
      <c r="L37" s="118"/>
      <c r="M37" s="118"/>
      <c r="N37" s="118"/>
      <c r="O37" s="118"/>
      <c r="P37" s="118"/>
      <c r="Q37" s="118"/>
      <c r="R37" s="118"/>
      <c r="S37" s="118"/>
    </row>
    <row r="38" customFormat="false" ht="15.75" hidden="false" customHeight="false" outlineLevel="0" collapsed="false">
      <c r="A38" s="90"/>
      <c r="B38" s="91"/>
      <c r="C38" s="98"/>
      <c r="D38" s="76"/>
      <c r="E38" s="110"/>
      <c r="F38" s="133" t="n">
        <f aca="false">SUM(F3:F37)</f>
        <v>315585</v>
      </c>
      <c r="G38" s="134"/>
      <c r="H38" s="135" t="n">
        <f aca="false">SUM(H3:H37)</f>
        <v>264360.1579</v>
      </c>
      <c r="I38" s="136"/>
      <c r="J38" s="1"/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89"/>
      <c r="B39" s="89" t="s">
        <v>49</v>
      </c>
      <c r="C39" s="83"/>
      <c r="D39" s="83"/>
      <c r="E39" s="83"/>
      <c r="F39" s="137"/>
      <c r="G39" s="84"/>
      <c r="H39" s="138"/>
      <c r="I39" s="86"/>
      <c r="J39" s="87" t="s">
        <v>79</v>
      </c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0.420138888888889</v>
      </c>
      <c r="B40" s="91" t="s">
        <v>62</v>
      </c>
      <c r="C40" s="98" t="n">
        <v>3126080</v>
      </c>
      <c r="D40" s="108" t="n">
        <v>3133930</v>
      </c>
      <c r="E40" s="92" t="n">
        <f aca="false">SUM(D40-C40)</f>
        <v>7850</v>
      </c>
      <c r="F40" s="109" t="n">
        <v>7807</v>
      </c>
      <c r="G40" s="41" t="n">
        <v>0.8325</v>
      </c>
      <c r="H40" s="94" t="n">
        <f aca="false">SUM(G40*F40)</f>
        <v>6499.3275</v>
      </c>
      <c r="I40" s="29" t="s">
        <v>85</v>
      </c>
      <c r="J40" s="1" t="n">
        <v>6599</v>
      </c>
      <c r="K40" s="120" t="s">
        <v>84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4.25" hidden="false" customHeight="true" outlineLevel="0" collapsed="false">
      <c r="A41" s="90" t="n">
        <v>0.430555555555556</v>
      </c>
      <c r="B41" s="91" t="s">
        <v>72</v>
      </c>
      <c r="C41" s="98" t="n">
        <f aca="false">SUM(D40)</f>
        <v>3133930</v>
      </c>
      <c r="D41" s="108" t="n">
        <v>3141730</v>
      </c>
      <c r="E41" s="92" t="n">
        <f aca="false">SUM(D41-C41)</f>
        <v>7800</v>
      </c>
      <c r="F41" s="109" t="n">
        <v>7761</v>
      </c>
      <c r="G41" s="41" t="n">
        <v>0.8323</v>
      </c>
      <c r="H41" s="85" t="n">
        <f aca="false">SUM(G41*F41)</f>
        <v>6459.4803</v>
      </c>
      <c r="I41" s="29" t="s">
        <v>86</v>
      </c>
      <c r="J41" s="1" t="n">
        <v>6600</v>
      </c>
      <c r="K41" s="120"/>
      <c r="L41" s="118"/>
      <c r="M41" s="118"/>
      <c r="N41" s="118"/>
      <c r="O41" s="118"/>
      <c r="P41" s="118"/>
      <c r="Q41" s="118"/>
      <c r="R41" s="118"/>
      <c r="S41" s="118"/>
    </row>
    <row r="42" customFormat="false" ht="15" hidden="false" customHeight="true" outlineLevel="0" collapsed="false">
      <c r="A42" s="90" t="n">
        <v>0.440972222222222</v>
      </c>
      <c r="B42" s="91" t="s">
        <v>72</v>
      </c>
      <c r="C42" s="98" t="n">
        <f aca="false">SUM(D41)</f>
        <v>3141730</v>
      </c>
      <c r="D42" s="108" t="n">
        <v>3147540</v>
      </c>
      <c r="E42" s="92" t="n">
        <f aca="false">SUM(D42-C42)</f>
        <v>5810</v>
      </c>
      <c r="F42" s="109" t="n">
        <v>5763</v>
      </c>
      <c r="G42" s="41" t="n">
        <v>0.8323</v>
      </c>
      <c r="H42" s="85" t="n">
        <f aca="false">SUM(G42*F42)</f>
        <v>4796.5449</v>
      </c>
      <c r="I42" s="29" t="s">
        <v>87</v>
      </c>
      <c r="J42" s="1" t="n">
        <v>6601</v>
      </c>
      <c r="K42" s="119"/>
      <c r="L42" s="118"/>
      <c r="M42" s="118"/>
      <c r="N42" s="118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0.451388888888889</v>
      </c>
      <c r="B43" s="91" t="s">
        <v>62</v>
      </c>
      <c r="C43" s="98" t="n">
        <f aca="false">SUM(D42)</f>
        <v>3147540</v>
      </c>
      <c r="D43" s="108" t="n">
        <v>3164640</v>
      </c>
      <c r="E43" s="92" t="n">
        <f aca="false">SUM(D43-C43)</f>
        <v>17100</v>
      </c>
      <c r="F43" s="129" t="n">
        <v>17019</v>
      </c>
      <c r="G43" s="41" t="n">
        <v>0.8325</v>
      </c>
      <c r="H43" s="94" t="n">
        <f aca="false">SUM(G43*F43)</f>
        <v>14168.3175</v>
      </c>
      <c r="I43" s="29" t="s">
        <v>77</v>
      </c>
      <c r="J43" s="1" t="n">
        <v>6604</v>
      </c>
      <c r="K43" s="120" t="s">
        <v>84</v>
      </c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0.465277777777778</v>
      </c>
      <c r="B44" s="91" t="s">
        <v>72</v>
      </c>
      <c r="C44" s="98" t="n">
        <f aca="false">SUM(D43)</f>
        <v>3164640</v>
      </c>
      <c r="D44" s="108" t="n">
        <v>3187170</v>
      </c>
      <c r="E44" s="92" t="n">
        <f aca="false">SUM(D44-C44)</f>
        <v>22530</v>
      </c>
      <c r="F44" s="190" t="n">
        <v>22430</v>
      </c>
      <c r="G44" s="41" t="n">
        <v>0.8323</v>
      </c>
      <c r="H44" s="85" t="n">
        <f aca="false">SUM(G44*F44)</f>
        <v>18668.489</v>
      </c>
      <c r="I44" s="29" t="s">
        <v>102</v>
      </c>
      <c r="J44" s="1" t="n">
        <v>6605</v>
      </c>
      <c r="K44" s="119"/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0.482638888888889</v>
      </c>
      <c r="B45" s="91" t="s">
        <v>90</v>
      </c>
      <c r="C45" s="98" t="n">
        <f aca="false">SUM(D44)</f>
        <v>3187170</v>
      </c>
      <c r="D45" s="108" t="n">
        <v>3193910</v>
      </c>
      <c r="E45" s="92" t="n">
        <f aca="false">SUM(D45-C45)</f>
        <v>6740</v>
      </c>
      <c r="F45" s="109" t="n">
        <v>6673</v>
      </c>
      <c r="G45" s="41" t="n">
        <v>0.8331</v>
      </c>
      <c r="H45" s="126" t="n">
        <f aca="false">SUM(G45*F45)</f>
        <v>5559.2763</v>
      </c>
      <c r="I45" s="29" t="s">
        <v>88</v>
      </c>
      <c r="J45" s="1" t="n">
        <v>6606</v>
      </c>
      <c r="K45" s="120"/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0.548611111111111</v>
      </c>
      <c r="B46" s="91" t="s">
        <v>89</v>
      </c>
      <c r="C46" s="98" t="n">
        <f aca="false">SUM(D45)</f>
        <v>3193910</v>
      </c>
      <c r="D46" s="108" t="n">
        <v>3211020</v>
      </c>
      <c r="E46" s="92" t="n">
        <f aca="false">SUM(D46-C46)</f>
        <v>17110</v>
      </c>
      <c r="F46" s="129" t="n">
        <v>17019</v>
      </c>
      <c r="G46" s="41" t="n">
        <v>0.8312</v>
      </c>
      <c r="H46" s="197" t="n">
        <f aca="false">SUM(G46*F46)</f>
        <v>14146.1928</v>
      </c>
      <c r="I46" s="29" t="s">
        <v>77</v>
      </c>
      <c r="J46" s="1" t="n">
        <v>6610</v>
      </c>
      <c r="K46" s="120" t="s">
        <v>84</v>
      </c>
      <c r="L46" s="118"/>
      <c r="M46" s="118"/>
      <c r="N46" s="95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0.597222222222222</v>
      </c>
      <c r="B47" s="91" t="s">
        <v>61</v>
      </c>
      <c r="C47" s="98" t="n">
        <f aca="false">SUM(D46)</f>
        <v>3211020</v>
      </c>
      <c r="D47" s="108" t="n">
        <v>3216690</v>
      </c>
      <c r="E47" s="92" t="n">
        <f aca="false">SUM(D47-C47)</f>
        <v>5670</v>
      </c>
      <c r="F47" s="109" t="n">
        <v>5625</v>
      </c>
      <c r="G47" s="41" t="n">
        <v>0.8314</v>
      </c>
      <c r="H47" s="124" t="n">
        <f aca="false">SUM(G47*F47)</f>
        <v>4676.625</v>
      </c>
      <c r="I47" s="29" t="s">
        <v>88</v>
      </c>
      <c r="J47" s="1" t="n">
        <v>6611</v>
      </c>
      <c r="K47" s="120"/>
      <c r="L47" s="118"/>
      <c r="M47" s="118"/>
      <c r="N47" s="95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0.604166666666667</v>
      </c>
      <c r="B48" s="91" t="s">
        <v>61</v>
      </c>
      <c r="C48" s="98" t="n">
        <f aca="false">SUM(D47)</f>
        <v>3216690</v>
      </c>
      <c r="D48" s="108" t="n">
        <v>3227860</v>
      </c>
      <c r="E48" s="92" t="n">
        <f aca="false">SUM(D48-C48)</f>
        <v>11170</v>
      </c>
      <c r="F48" s="109" t="n">
        <v>11116</v>
      </c>
      <c r="G48" s="41" t="n">
        <v>0.8314</v>
      </c>
      <c r="H48" s="124" t="n">
        <f aca="false">SUM(G48*F48)</f>
        <v>9241.8424</v>
      </c>
      <c r="I48" s="29" t="s">
        <v>87</v>
      </c>
      <c r="J48" s="1" t="n">
        <v>6612</v>
      </c>
      <c r="K48" s="119"/>
      <c r="L48" s="118"/>
      <c r="M48" s="118"/>
      <c r="N48" s="95"/>
      <c r="O48" s="118"/>
      <c r="P48" s="118"/>
      <c r="Q48" s="118"/>
      <c r="R48" s="118"/>
      <c r="S48" s="118"/>
    </row>
    <row r="49" customFormat="false" ht="15" hidden="false" customHeight="true" outlineLevel="0" collapsed="false">
      <c r="A49" s="90" t="n">
        <v>0.75</v>
      </c>
      <c r="B49" s="91" t="s">
        <v>61</v>
      </c>
      <c r="C49" s="98" t="n">
        <f aca="false">SUM(D48)</f>
        <v>3227860</v>
      </c>
      <c r="D49" s="108" t="n">
        <v>3237900</v>
      </c>
      <c r="E49" s="92" t="n">
        <f aca="false">SUM(D49-C49)</f>
        <v>10040</v>
      </c>
      <c r="F49" s="129" t="n">
        <v>9986</v>
      </c>
      <c r="G49" s="41" t="n">
        <v>0.8314</v>
      </c>
      <c r="H49" s="124" t="n">
        <f aca="false">SUM(G49*F49)</f>
        <v>8302.3604</v>
      </c>
      <c r="I49" s="29" t="s">
        <v>77</v>
      </c>
      <c r="J49" s="1" t="n">
        <v>6615</v>
      </c>
      <c r="K49" s="119"/>
      <c r="L49" s="118"/>
      <c r="M49" s="118"/>
      <c r="N49" s="95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0.78125</v>
      </c>
      <c r="B50" s="91" t="s">
        <v>61</v>
      </c>
      <c r="C50" s="98" t="n">
        <f aca="false">SUM(D49)</f>
        <v>3237900</v>
      </c>
      <c r="D50" s="108" t="n">
        <v>3255010</v>
      </c>
      <c r="E50" s="92" t="n">
        <f aca="false">SUM(D50-C50)</f>
        <v>17110</v>
      </c>
      <c r="F50" s="129" t="n">
        <v>17019</v>
      </c>
      <c r="G50" s="41" t="n">
        <v>0.8314</v>
      </c>
      <c r="H50" s="124" t="n">
        <f aca="false">SUM(G50*F50)</f>
        <v>14149.5966</v>
      </c>
      <c r="I50" s="29" t="s">
        <v>77</v>
      </c>
      <c r="J50" s="1" t="n">
        <v>6617</v>
      </c>
      <c r="K50" s="120"/>
      <c r="L50" s="118"/>
      <c r="M50" s="118"/>
      <c r="N50" s="118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 t="n">
        <v>0.802083333333333</v>
      </c>
      <c r="B51" s="91" t="s">
        <v>61</v>
      </c>
      <c r="C51" s="98" t="n">
        <f aca="false">SUM(D50)</f>
        <v>3255010</v>
      </c>
      <c r="D51" s="108" t="n">
        <v>3264900</v>
      </c>
      <c r="E51" s="92" t="n">
        <f aca="false">SUM(D51-C51)</f>
        <v>9890</v>
      </c>
      <c r="F51" s="109" t="n">
        <v>9841</v>
      </c>
      <c r="G51" s="41" t="n">
        <v>0.8314</v>
      </c>
      <c r="H51" s="124" t="n">
        <f aca="false">SUM(G51*F51)</f>
        <v>8181.8074</v>
      </c>
      <c r="I51" s="29" t="s">
        <v>86</v>
      </c>
      <c r="J51" s="1" t="n">
        <v>6618</v>
      </c>
      <c r="K51" s="120"/>
      <c r="L51" s="118"/>
      <c r="M51" s="118"/>
      <c r="N51" s="118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 t="n">
        <v>0.822916666666667</v>
      </c>
      <c r="B52" s="91" t="s">
        <v>89</v>
      </c>
      <c r="C52" s="98" t="n">
        <f aca="false">SUM(D51)</f>
        <v>3264900</v>
      </c>
      <c r="D52" s="108" t="n">
        <v>3282020</v>
      </c>
      <c r="E52" s="92" t="n">
        <f aca="false">SUM(D52-C52)</f>
        <v>17120</v>
      </c>
      <c r="F52" s="129" t="n">
        <v>17019</v>
      </c>
      <c r="G52" s="41" t="n">
        <v>0.829</v>
      </c>
      <c r="H52" s="197" t="n">
        <f aca="false">SUM(G52*F52)</f>
        <v>14108.751</v>
      </c>
      <c r="I52" s="29" t="s">
        <v>77</v>
      </c>
      <c r="J52" s="1" t="n">
        <v>6619</v>
      </c>
      <c r="K52" s="120" t="s">
        <v>84</v>
      </c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 t="n">
        <v>0.902777777777778</v>
      </c>
      <c r="B53" s="91" t="s">
        <v>72</v>
      </c>
      <c r="C53" s="98" t="n">
        <f aca="false">SUM(D52)</f>
        <v>3282020</v>
      </c>
      <c r="D53" s="108" t="n">
        <v>3284550</v>
      </c>
      <c r="E53" s="92" t="n">
        <f aca="false">SUM(D53-C53)</f>
        <v>2530</v>
      </c>
      <c r="F53" s="109" t="n">
        <v>2492</v>
      </c>
      <c r="G53" s="41" t="n">
        <v>0.83</v>
      </c>
      <c r="H53" s="85" t="n">
        <f aca="false">SUM(G53*F53)</f>
        <v>2068.36</v>
      </c>
      <c r="I53" s="29" t="s">
        <v>86</v>
      </c>
      <c r="J53" s="1" t="n">
        <v>6621</v>
      </c>
      <c r="K53" s="119"/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 t="n">
        <v>0.913194444444444</v>
      </c>
      <c r="B54" s="91" t="s">
        <v>72</v>
      </c>
      <c r="C54" s="98" t="n">
        <f aca="false">SUM(D53)</f>
        <v>3284550</v>
      </c>
      <c r="D54" s="108" t="n">
        <v>3290870</v>
      </c>
      <c r="E54" s="92" t="n">
        <f aca="false">SUM(D54-C54)</f>
        <v>6320</v>
      </c>
      <c r="F54" s="109" t="n">
        <v>6285</v>
      </c>
      <c r="G54" s="41" t="n">
        <v>0.83</v>
      </c>
      <c r="H54" s="85" t="n">
        <f aca="false">SUM(G54*F54)</f>
        <v>5216.55</v>
      </c>
      <c r="I54" s="1" t="s">
        <v>88</v>
      </c>
      <c r="J54" s="1" t="n">
        <v>6622</v>
      </c>
      <c r="K54" s="111"/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 t="n">
        <v>0.940972222222222</v>
      </c>
      <c r="B55" s="91" t="s">
        <v>72</v>
      </c>
      <c r="C55" s="98" t="n">
        <f aca="false">SUM(D54)</f>
        <v>3290870</v>
      </c>
      <c r="D55" s="108" t="n">
        <v>3297840</v>
      </c>
      <c r="E55" s="92" t="n">
        <f aca="false">SUM(D55-C55)</f>
        <v>6970</v>
      </c>
      <c r="F55" s="109" t="n">
        <v>6920</v>
      </c>
      <c r="G55" s="41" t="n">
        <v>0.83</v>
      </c>
      <c r="H55" s="85" t="n">
        <f aca="false">SUM(G55*F55)</f>
        <v>5743.6</v>
      </c>
      <c r="I55" s="1" t="s">
        <v>87</v>
      </c>
      <c r="J55" s="1" t="n">
        <v>6625</v>
      </c>
      <c r="K55" s="111"/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 t="n">
        <v>0.954861111111111</v>
      </c>
      <c r="B56" s="91" t="s">
        <v>89</v>
      </c>
      <c r="C56" s="98" t="n">
        <f aca="false">SUM(D55)</f>
        <v>3297840</v>
      </c>
      <c r="D56" s="108" t="n">
        <v>3308740</v>
      </c>
      <c r="E56" s="92" t="n">
        <f aca="false">SUM(D56-C56)</f>
        <v>10900</v>
      </c>
      <c r="F56" s="109" t="n">
        <v>10850</v>
      </c>
      <c r="G56" s="41" t="n">
        <v>0.829</v>
      </c>
      <c r="H56" s="197" t="n">
        <f aca="false">SUM(G56*F56)</f>
        <v>8994.65</v>
      </c>
      <c r="I56" s="29" t="s">
        <v>85</v>
      </c>
      <c r="J56" s="1" t="n">
        <v>6627</v>
      </c>
      <c r="K56" s="120" t="s">
        <v>84</v>
      </c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A57" s="90" t="n">
        <v>0.09375</v>
      </c>
      <c r="B57" s="91" t="s">
        <v>72</v>
      </c>
      <c r="C57" s="98" t="n">
        <f aca="false">SUM(D56)</f>
        <v>3308740</v>
      </c>
      <c r="D57" s="108" t="n">
        <v>3317030</v>
      </c>
      <c r="E57" s="92" t="n">
        <f aca="false">SUM(D57-C57)</f>
        <v>8290</v>
      </c>
      <c r="F57" s="109" t="n">
        <v>8244</v>
      </c>
      <c r="G57" s="41" t="n">
        <v>0.83</v>
      </c>
      <c r="H57" s="85" t="n">
        <f aca="false">SUM(G57*F57)</f>
        <v>6842.52</v>
      </c>
      <c r="I57" s="1" t="s">
        <v>87</v>
      </c>
      <c r="J57" s="1" t="n">
        <v>6628</v>
      </c>
      <c r="K57" s="111"/>
      <c r="L57" s="118"/>
      <c r="M57" s="118"/>
      <c r="N57" s="118"/>
      <c r="O57" s="118"/>
      <c r="P57" s="118"/>
      <c r="Q57" s="118"/>
      <c r="R57" s="118"/>
      <c r="S57" s="118"/>
    </row>
    <row r="58" customFormat="false" ht="15" hidden="false" customHeight="false" outlineLevel="0" collapsed="false">
      <c r="A58" s="90" t="n">
        <v>0.104166666666667</v>
      </c>
      <c r="B58" s="91" t="s">
        <v>72</v>
      </c>
      <c r="C58" s="98" t="n">
        <f aca="false">SUM(D57)</f>
        <v>3317030</v>
      </c>
      <c r="D58" s="108" t="n">
        <v>3323700</v>
      </c>
      <c r="E58" s="92" t="n">
        <f aca="false">SUM(D58-C58)</f>
        <v>6670</v>
      </c>
      <c r="F58" s="109" t="n">
        <v>6639</v>
      </c>
      <c r="G58" s="41" t="n">
        <v>0.83</v>
      </c>
      <c r="H58" s="85" t="n">
        <f aca="false">SUM(G58*F58)</f>
        <v>5510.37</v>
      </c>
      <c r="I58" s="1" t="s">
        <v>88</v>
      </c>
      <c r="J58" s="1" t="n">
        <v>6629</v>
      </c>
      <c r="K58" s="120"/>
      <c r="L58" s="118"/>
      <c r="M58" s="118"/>
      <c r="N58" s="95"/>
      <c r="O58" s="118"/>
      <c r="P58" s="118"/>
      <c r="Q58" s="118"/>
      <c r="R58" s="118"/>
      <c r="S58" s="118"/>
    </row>
    <row r="59" customFormat="false" ht="15" hidden="false" customHeight="false" outlineLevel="0" collapsed="false">
      <c r="A59" s="90" t="n">
        <v>0.111111111111111</v>
      </c>
      <c r="B59" s="91" t="s">
        <v>89</v>
      </c>
      <c r="C59" s="98" t="n">
        <f aca="false">SUM(D58)</f>
        <v>3323700</v>
      </c>
      <c r="D59" s="108" t="n">
        <v>3340810</v>
      </c>
      <c r="E59" s="92" t="n">
        <f aca="false">SUM(D59-C59)</f>
        <v>17110</v>
      </c>
      <c r="F59" s="129" t="n">
        <v>17019</v>
      </c>
      <c r="G59" s="41" t="n">
        <v>0.829</v>
      </c>
      <c r="H59" s="197" t="n">
        <f aca="false">SUM(G59*F59)</f>
        <v>14108.751</v>
      </c>
      <c r="I59" s="29" t="s">
        <v>77</v>
      </c>
      <c r="J59" s="1" t="n">
        <v>6630</v>
      </c>
      <c r="K59" s="120" t="s">
        <v>84</v>
      </c>
      <c r="L59" s="118"/>
      <c r="M59" s="118"/>
      <c r="N59" s="95"/>
      <c r="O59" s="118"/>
      <c r="P59" s="118"/>
      <c r="Q59" s="118"/>
      <c r="R59" s="118"/>
      <c r="S59" s="118"/>
    </row>
    <row r="60" customFormat="false" ht="15" hidden="false" customHeight="true" outlineLevel="0" collapsed="false">
      <c r="A60" s="90" t="n">
        <v>0.201388888888889</v>
      </c>
      <c r="B60" s="91" t="s">
        <v>62</v>
      </c>
      <c r="C60" s="98" t="n">
        <f aca="false">SUM(D59)</f>
        <v>3340810</v>
      </c>
      <c r="D60" s="108" t="n">
        <v>3357920</v>
      </c>
      <c r="E60" s="92" t="n">
        <f aca="false">SUM(D60-C60)</f>
        <v>17110</v>
      </c>
      <c r="F60" s="129" t="n">
        <v>17019</v>
      </c>
      <c r="G60" s="41" t="n">
        <v>0.8302</v>
      </c>
      <c r="H60" s="94" t="n">
        <f aca="false">SUM(G60*F60)</f>
        <v>14129.1738</v>
      </c>
      <c r="I60" s="29" t="s">
        <v>77</v>
      </c>
      <c r="J60" s="1" t="n">
        <v>6633</v>
      </c>
      <c r="K60" s="120" t="s">
        <v>84</v>
      </c>
      <c r="L60" s="118"/>
      <c r="M60" s="118"/>
      <c r="N60" s="95"/>
      <c r="O60" s="118"/>
      <c r="P60" s="118"/>
      <c r="Q60" s="118"/>
      <c r="R60" s="118"/>
      <c r="S60" s="118"/>
    </row>
    <row r="61" customFormat="false" ht="15" hidden="false" customHeight="false" outlineLevel="0" collapsed="false">
      <c r="A61" s="90" t="n">
        <v>0.305555555555555</v>
      </c>
      <c r="B61" s="91" t="s">
        <v>62</v>
      </c>
      <c r="C61" s="98" t="n">
        <f aca="false">SUM(D60)</f>
        <v>3357920</v>
      </c>
      <c r="D61" s="108" t="n">
        <v>3375030</v>
      </c>
      <c r="E61" s="92" t="n">
        <f aca="false">SUM(D61-C61)</f>
        <v>17110</v>
      </c>
      <c r="F61" s="129" t="n">
        <v>17019</v>
      </c>
      <c r="G61" s="41" t="n">
        <v>0.8302</v>
      </c>
      <c r="H61" s="94" t="n">
        <f aca="false">SUM(G61*F61)</f>
        <v>14129.1738</v>
      </c>
      <c r="I61" s="29" t="s">
        <v>77</v>
      </c>
      <c r="J61" s="1" t="n">
        <v>6637</v>
      </c>
      <c r="K61" s="120" t="s">
        <v>84</v>
      </c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A62" s="90" t="n">
        <v>0.350694444444444</v>
      </c>
      <c r="B62" s="91" t="s">
        <v>55</v>
      </c>
      <c r="C62" s="98" t="n">
        <f aca="false">SUM(D61)</f>
        <v>3375030</v>
      </c>
      <c r="D62" s="108" t="n">
        <v>3392140</v>
      </c>
      <c r="E62" s="92" t="n">
        <f aca="false">SUM(D62-C62)</f>
        <v>17110</v>
      </c>
      <c r="F62" s="129" t="n">
        <v>17019</v>
      </c>
      <c r="G62" s="41" t="n">
        <v>0.832</v>
      </c>
      <c r="H62" s="145" t="n">
        <f aca="false">SUM(G62*F62)</f>
        <v>14159.808</v>
      </c>
      <c r="I62" s="29" t="s">
        <v>77</v>
      </c>
      <c r="J62" s="1" t="n">
        <v>6638</v>
      </c>
      <c r="K62" s="119" t="s">
        <v>70</v>
      </c>
      <c r="L62" s="118"/>
      <c r="M62" s="118"/>
      <c r="N62" s="118"/>
      <c r="O62" s="118"/>
      <c r="P62" s="118"/>
      <c r="Q62" s="118"/>
      <c r="R62" s="118"/>
      <c r="S62" s="118"/>
    </row>
    <row r="63" customFormat="false" ht="15.75" hidden="false" customHeight="false" outlineLevel="0" collapsed="false">
      <c r="A63" s="90"/>
      <c r="B63" s="91"/>
      <c r="C63" s="98" t="n">
        <v>0</v>
      </c>
      <c r="D63" s="108"/>
      <c r="E63" s="92" t="n">
        <f aca="false">SUM(D63-C63)</f>
        <v>0</v>
      </c>
      <c r="F63" s="109" t="n">
        <f aca="false">SUM(D63-C63)</f>
        <v>0</v>
      </c>
      <c r="G63" s="41"/>
      <c r="H63" s="94" t="n">
        <f aca="false">SUM(G63*F63)</f>
        <v>0</v>
      </c>
      <c r="I63" s="29"/>
      <c r="J63" s="29"/>
      <c r="K63" s="120"/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true" customHeight="false" outlineLevel="0" collapsed="false">
      <c r="A64" s="90"/>
      <c r="B64" s="91"/>
      <c r="C64" s="98" t="n">
        <f aca="false">SUM(D63)</f>
        <v>0</v>
      </c>
      <c r="D64" s="108"/>
      <c r="E64" s="92" t="n">
        <f aca="false">SUM(D64-C64)</f>
        <v>0</v>
      </c>
      <c r="F64" s="109" t="n">
        <f aca="false">SUM(D64-C64)</f>
        <v>0</v>
      </c>
      <c r="G64" s="41"/>
      <c r="H64" s="94" t="n">
        <f aca="false">SUM(G64*F64)</f>
        <v>0</v>
      </c>
      <c r="I64" s="29"/>
      <c r="J64" s="29"/>
      <c r="K64" s="119"/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true" customHeight="false" outlineLevel="0" collapsed="false">
      <c r="A65" s="90"/>
      <c r="B65" s="91"/>
      <c r="C65" s="98" t="n">
        <f aca="false">SUM(D64)</f>
        <v>0</v>
      </c>
      <c r="D65" s="108"/>
      <c r="E65" s="92" t="n">
        <f aca="false">SUM(D65-C65)</f>
        <v>0</v>
      </c>
      <c r="F65" s="109" t="n">
        <f aca="false">SUM(D65-C65)</f>
        <v>0</v>
      </c>
      <c r="G65" s="41"/>
      <c r="H65" s="94" t="n">
        <f aca="false">SUM(G65*F65)</f>
        <v>0</v>
      </c>
      <c r="I65" s="1"/>
      <c r="J65" s="29"/>
      <c r="K65" s="111"/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true" customHeight="false" outlineLevel="0" collapsed="false">
      <c r="A66" s="90"/>
      <c r="B66" s="91"/>
      <c r="C66" s="98" t="n">
        <f aca="false">SUM(D65)</f>
        <v>0</v>
      </c>
      <c r="D66" s="108"/>
      <c r="E66" s="92" t="n">
        <f aca="false">SUM(D66-C66)</f>
        <v>0</v>
      </c>
      <c r="F66" s="109" t="n">
        <f aca="false">SUM(D66-C66)</f>
        <v>0</v>
      </c>
      <c r="G66" s="41"/>
      <c r="H66" s="94" t="n">
        <f aca="false">SUM(G66*F66)</f>
        <v>0</v>
      </c>
      <c r="I66" s="1"/>
      <c r="J66" s="29"/>
      <c r="K66" s="111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true" customHeight="false" outlineLevel="0" collapsed="false">
      <c r="A67" s="90"/>
      <c r="B67" s="91"/>
      <c r="C67" s="98" t="n">
        <f aca="false">SUM(D66)</f>
        <v>0</v>
      </c>
      <c r="D67" s="108"/>
      <c r="E67" s="92" t="n">
        <f aca="false">SUM(D67-C67)</f>
        <v>0</v>
      </c>
      <c r="F67" s="109" t="n">
        <f aca="false">SUM(D67-C67)</f>
        <v>0</v>
      </c>
      <c r="G67" s="41"/>
      <c r="H67" s="94" t="n">
        <f aca="false">SUM(G67*F67)</f>
        <v>0</v>
      </c>
      <c r="I67" s="1"/>
      <c r="J67" s="29"/>
      <c r="K67" s="111"/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true" customHeight="false" outlineLevel="0" collapsed="false">
      <c r="A68" s="90"/>
      <c r="B68" s="91"/>
      <c r="C68" s="98" t="n">
        <f aca="false">SUM(D67)</f>
        <v>0</v>
      </c>
      <c r="D68" s="108"/>
      <c r="E68" s="92" t="n">
        <f aca="false">SUM(D68-C68)</f>
        <v>0</v>
      </c>
      <c r="F68" s="109" t="n">
        <f aca="false">SUM(D68-C68)</f>
        <v>0</v>
      </c>
      <c r="G68" s="41"/>
      <c r="H68" s="94" t="n">
        <f aca="false">SUM(G68*F68)</f>
        <v>0</v>
      </c>
      <c r="I68" s="1"/>
      <c r="J68" s="29"/>
      <c r="K68" s="111"/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true" customHeight="false" outlineLevel="0" collapsed="false">
      <c r="A69" s="90"/>
      <c r="B69" s="91"/>
      <c r="C69" s="98" t="n">
        <f aca="false">SUM(D68)</f>
        <v>0</v>
      </c>
      <c r="D69" s="108"/>
      <c r="E69" s="92" t="n">
        <f aca="false">SUM(D69-C69)</f>
        <v>0</v>
      </c>
      <c r="F69" s="109" t="n">
        <f aca="false">SUM(D69-C69)</f>
        <v>0</v>
      </c>
      <c r="G69" s="41"/>
      <c r="H69" s="94" t="n">
        <f aca="false">SUM(G69*F69)</f>
        <v>0</v>
      </c>
      <c r="I69" s="1"/>
      <c r="J69" s="29"/>
      <c r="K69" s="111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true" customHeight="false" outlineLevel="0" collapsed="false">
      <c r="A70" s="90"/>
      <c r="B70" s="91"/>
      <c r="C70" s="98" t="n">
        <f aca="false">SUM(D69)</f>
        <v>0</v>
      </c>
      <c r="D70" s="108"/>
      <c r="E70" s="92" t="n">
        <f aca="false">SUM(D70-C70)</f>
        <v>0</v>
      </c>
      <c r="F70" s="109" t="n">
        <f aca="false">SUM(D70-C70)</f>
        <v>0</v>
      </c>
      <c r="G70" s="41"/>
      <c r="H70" s="94" t="n">
        <f aca="false">SUM(G70*F70)</f>
        <v>0</v>
      </c>
      <c r="I70" s="1"/>
      <c r="J70" s="29"/>
      <c r="K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.75" hidden="true" customHeight="false" outlineLevel="0" collapsed="false">
      <c r="A71" s="90"/>
      <c r="B71" s="91"/>
      <c r="C71" s="98" t="n">
        <f aca="false">SUM(D70)</f>
        <v>0</v>
      </c>
      <c r="D71" s="76"/>
      <c r="E71" s="92" t="n">
        <f aca="false">SUM(D71-C71)</f>
        <v>0</v>
      </c>
      <c r="F71" s="131" t="n">
        <f aca="false">SUM(D71-C71)</f>
        <v>0</v>
      </c>
      <c r="G71" s="41"/>
      <c r="H71" s="132" t="n">
        <f aca="false">SUM(G71*F71)</f>
        <v>0</v>
      </c>
      <c r="I71" s="1"/>
      <c r="J71" s="29"/>
      <c r="K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.75" hidden="false" customHeight="false" outlineLevel="0" collapsed="false">
      <c r="A72" s="90"/>
      <c r="B72" s="91"/>
      <c r="C72" s="98"/>
      <c r="D72" s="76"/>
      <c r="E72" s="110"/>
      <c r="F72" s="133" t="n">
        <f aca="false">SUM(F40:F71)</f>
        <v>264584</v>
      </c>
      <c r="G72" s="134"/>
      <c r="H72" s="135" t="n">
        <f aca="false">SUM(H40:H71)</f>
        <v>219861.5677</v>
      </c>
      <c r="I72" s="136"/>
      <c r="J72" s="29"/>
      <c r="K72" s="121"/>
      <c r="L72" s="118"/>
      <c r="M72" s="118"/>
      <c r="N72" s="118"/>
      <c r="O72" s="118"/>
      <c r="P72" s="118"/>
      <c r="Q72" s="118"/>
      <c r="R72" s="118"/>
      <c r="S72" s="118"/>
    </row>
    <row r="73" customFormat="false" ht="15.75" hidden="false" customHeight="false" outlineLevel="0" collapsed="false">
      <c r="L73" s="118"/>
      <c r="M73" s="118"/>
      <c r="N73" s="118"/>
      <c r="O73" s="118"/>
      <c r="P73" s="118"/>
      <c r="Q73" s="118"/>
      <c r="R73" s="118"/>
      <c r="S73" s="118"/>
    </row>
    <row r="74" customFormat="false" ht="15.75" hidden="false" customHeight="false" outlineLevel="0" collapsed="false">
      <c r="F74" s="146" t="n">
        <f aca="false">F72+F38</f>
        <v>580169</v>
      </c>
      <c r="H74" s="135" t="n">
        <f aca="false">H72+H38</f>
        <v>484221.7256</v>
      </c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fals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fals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fals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fals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fals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fals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fals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false" customHeight="false" outlineLevel="0" collapsed="false">
      <c r="E87" s="118"/>
      <c r="L87" s="118"/>
      <c r="M87" s="118"/>
      <c r="N87" s="118"/>
      <c r="O87" s="118"/>
      <c r="P87" s="118"/>
      <c r="Q87" s="118"/>
      <c r="R87" s="118"/>
      <c r="S87" s="118"/>
    </row>
    <row r="88" customFormat="false" ht="15" hidden="false" customHeight="false" outlineLevel="0" collapsed="false">
      <c r="E88" s="118"/>
      <c r="L88" s="118"/>
      <c r="M88" s="118"/>
      <c r="N88" s="118"/>
      <c r="O88" s="118"/>
      <c r="P88" s="118"/>
      <c r="Q88" s="118"/>
      <c r="R88" s="118"/>
      <c r="S88" s="118"/>
    </row>
    <row r="89" customFormat="false" ht="15" hidden="false" customHeight="false" outlineLevel="0" collapsed="false">
      <c r="E89" s="118"/>
      <c r="L89" s="118"/>
      <c r="M89" s="118"/>
      <c r="N89" s="118"/>
      <c r="O89" s="118"/>
      <c r="P89" s="118"/>
      <c r="Q89" s="118"/>
      <c r="R89" s="118"/>
      <c r="S89" s="118"/>
    </row>
    <row r="90" customFormat="false" ht="15" hidden="false" customHeight="false" outlineLevel="0" collapsed="false">
      <c r="E90" s="118"/>
      <c r="L90" s="118"/>
      <c r="M90" s="118"/>
      <c r="N90" s="118"/>
      <c r="O90" s="118"/>
      <c r="P90" s="118"/>
      <c r="Q90" s="118"/>
      <c r="R90" s="118"/>
      <c r="S90" s="118"/>
    </row>
    <row r="91" customFormat="false" ht="15" hidden="false" customHeight="false" outlineLevel="0" collapsed="false">
      <c r="E91" s="118"/>
      <c r="L91" s="118"/>
      <c r="M91" s="118"/>
      <c r="N91" s="118"/>
      <c r="O91" s="118"/>
      <c r="P91" s="118"/>
      <c r="Q91" s="118"/>
      <c r="R91" s="118"/>
      <c r="S91" s="118"/>
    </row>
    <row r="92" customFormat="false" ht="15" hidden="true" customHeight="false" outlineLevel="0" collapsed="false">
      <c r="E92" s="118"/>
      <c r="L92" s="118"/>
      <c r="M92" s="118"/>
      <c r="N92" s="118"/>
      <c r="O92" s="118"/>
      <c r="P92" s="118"/>
      <c r="Q92" s="118"/>
      <c r="R92" s="118"/>
      <c r="S92" s="118"/>
    </row>
    <row r="93" customFormat="false" ht="15" hidden="true" customHeight="false" outlineLevel="0" collapsed="false">
      <c r="E93" s="118"/>
      <c r="L93" s="118"/>
      <c r="M93" s="118"/>
      <c r="N93" s="118"/>
      <c r="O93" s="118"/>
      <c r="P93" s="118"/>
      <c r="Q93" s="118"/>
      <c r="R93" s="118"/>
      <c r="S93" s="118"/>
    </row>
    <row r="94" customFormat="false" ht="15" hidden="true" customHeight="false" outlineLevel="0" collapsed="false">
      <c r="E94" s="118"/>
      <c r="L94" s="118"/>
      <c r="M94" s="118"/>
      <c r="N94" s="118"/>
      <c r="O94" s="118"/>
      <c r="P94" s="118"/>
      <c r="Q94" s="118"/>
      <c r="R94" s="118"/>
      <c r="S94" s="118"/>
    </row>
    <row r="95" customFormat="false" ht="15" hidden="true" customHeight="false" outlineLevel="0" collapsed="false">
      <c r="E95" s="118"/>
      <c r="L95" s="118"/>
      <c r="M95" s="118"/>
      <c r="N95" s="118"/>
      <c r="O95" s="118"/>
      <c r="P95" s="118"/>
      <c r="Q95" s="118"/>
      <c r="R95" s="118"/>
      <c r="S95" s="118"/>
    </row>
    <row r="96" customFormat="false" ht="15" hidden="true" customHeight="false" outlineLevel="0" collapsed="false">
      <c r="E96" s="118"/>
      <c r="L96" s="118"/>
      <c r="M96" s="118"/>
      <c r="N96" s="118"/>
      <c r="O96" s="118"/>
      <c r="P96" s="118"/>
      <c r="Q96" s="118"/>
      <c r="R96" s="118"/>
      <c r="S96" s="118"/>
    </row>
    <row r="97" customFormat="false" ht="15" hidden="false" customHeight="false" outlineLevel="0" collapsed="false">
      <c r="E97" s="118"/>
      <c r="L97" s="118"/>
      <c r="M97" s="118"/>
      <c r="N97" s="118"/>
      <c r="O97" s="118"/>
      <c r="P97" s="118"/>
      <c r="Q97" s="118"/>
      <c r="R97" s="118"/>
      <c r="S97" s="118"/>
    </row>
    <row r="98" customFormat="false" ht="15" hidden="false" customHeight="false" outlineLevel="0" collapsed="false">
      <c r="E98" s="118"/>
      <c r="L98" s="118"/>
      <c r="M98" s="118"/>
      <c r="N98" s="118"/>
      <c r="O98" s="118"/>
      <c r="P98" s="118"/>
      <c r="Q98" s="118"/>
      <c r="R98" s="118"/>
      <c r="S98" s="118"/>
    </row>
    <row r="99" customFormat="false" ht="15" hidden="false" customHeight="false" outlineLevel="0" collapsed="false">
      <c r="E99" s="118"/>
      <c r="L99" s="118"/>
      <c r="M99" s="118"/>
      <c r="N99" s="118"/>
      <c r="O99" s="118"/>
      <c r="P99" s="118"/>
      <c r="Q99" s="118"/>
      <c r="R99" s="118"/>
      <c r="S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  <row r="124" customFormat="false" ht="15" hidden="false" customHeight="false" outlineLevel="0" collapsed="false">
      <c r="E124" s="118"/>
    </row>
    <row r="125" customFormat="false" ht="15" hidden="false" customHeight="false" outlineLevel="0" collapsed="false">
      <c r="E125" s="118"/>
    </row>
    <row r="126" customFormat="false" ht="15" hidden="false" customHeight="false" outlineLevel="0" collapsed="false">
      <c r="E126" s="118"/>
    </row>
    <row r="127" customFormat="false" ht="15" hidden="false" customHeight="false" outlineLevel="0" collapsed="false">
      <c r="E127" s="118"/>
    </row>
    <row r="128" customFormat="false" ht="15" hidden="false" customHeight="false" outlineLevel="0" collapsed="false">
      <c r="E128" s="118"/>
    </row>
    <row r="129" customFormat="false" ht="15" hidden="false" customHeight="false" outlineLevel="0" collapsed="false">
      <c r="E129" s="118"/>
    </row>
    <row r="130" customFormat="false" ht="15" hidden="false" customHeight="false" outlineLevel="0" collapsed="false">
      <c r="E130" s="118"/>
    </row>
    <row r="131" customFormat="false" ht="15" hidden="false" customHeight="false" outlineLevel="0" collapsed="false">
      <c r="E131" s="118"/>
    </row>
    <row r="132" customFormat="false" ht="15" hidden="false" customHeight="false" outlineLevel="0" collapsed="false">
      <c r="E132" s="118"/>
    </row>
    <row r="133" customFormat="false" ht="15" hidden="false" customHeight="false" outlineLevel="0" collapsed="false">
      <c r="E133" s="118"/>
    </row>
    <row r="134" customFormat="false" ht="15" hidden="false" customHeight="false" outlineLevel="0" collapsed="false">
      <c r="E134" s="118"/>
    </row>
    <row r="135" customFormat="false" ht="15" hidden="false" customHeight="false" outlineLevel="0" collapsed="false">
      <c r="E135" s="118"/>
    </row>
    <row r="136" customFormat="false" ht="15" hidden="false" customHeight="false" outlineLevel="0" collapsed="false">
      <c r="E136" s="118"/>
    </row>
    <row r="137" customFormat="false" ht="15" hidden="false" customHeight="false" outlineLevel="0" collapsed="false">
      <c r="E137" s="118"/>
    </row>
    <row r="138" customFormat="false" ht="15" hidden="false" customHeight="false" outlineLevel="0" collapsed="false">
      <c r="E138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77"/>
  <sheetViews>
    <sheetView showFormulas="false" showGridLines="true" showRowColHeaders="true" showZeros="true" rightToLeft="false" tabSelected="false" showOutlineSymbols="true" defaultGridColor="true" view="normal" topLeftCell="A16" colorId="64" zoomScale="60" zoomScaleNormal="60" zoomScalePageLayoutView="100" workbookViewId="0">
      <selection pane="topLeft" activeCell="K27" activeCellId="0" sqref="K27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6.57"/>
    <col collapsed="false" customWidth="true" hidden="false" outlineLevel="0" max="12" min="12" style="71" width="9.14"/>
    <col collapsed="false" customWidth="true" hidden="false" outlineLevel="0" max="13" min="13" style="71" width="9.28"/>
    <col collapsed="false" customWidth="true" hidden="false" outlineLevel="0" max="14" min="14" style="71" width="15.14"/>
    <col collapsed="false" customWidth="true" hidden="false" outlineLevel="0" max="15" min="15" style="71" width="15.71"/>
    <col collapsed="false" customWidth="true" hidden="false" outlineLevel="0" max="16" min="16" style="71" width="13.85"/>
    <col collapsed="false" customWidth="true" hidden="false" outlineLevel="0" max="17" min="17" style="71" width="11.57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60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.75" hidden="false" customHeight="false" outlineLevel="0" collapsed="false">
      <c r="A2" s="82" t="n">
        <v>45089</v>
      </c>
      <c r="B2" s="82" t="s">
        <v>36</v>
      </c>
      <c r="C2" s="83"/>
      <c r="D2" s="83"/>
      <c r="E2" s="83"/>
      <c r="F2" s="83"/>
      <c r="G2" s="84"/>
      <c r="H2" s="85"/>
      <c r="I2" s="86"/>
      <c r="J2" s="87" t="s">
        <v>18</v>
      </c>
      <c r="K2" s="88"/>
      <c r="L2" s="149"/>
      <c r="M2" s="150" t="s">
        <v>37</v>
      </c>
      <c r="N2" s="151"/>
      <c r="O2" s="151"/>
      <c r="P2" s="151"/>
      <c r="Q2" s="152"/>
      <c r="R2" s="153"/>
      <c r="S2" s="154"/>
    </row>
    <row r="3" customFormat="false" ht="15.75" hidden="false" customHeight="false" outlineLevel="0" collapsed="false">
      <c r="A3" s="90" t="n">
        <v>0.402777777777778</v>
      </c>
      <c r="B3" s="155" t="s">
        <v>48</v>
      </c>
      <c r="C3" s="98" t="n">
        <v>50877480</v>
      </c>
      <c r="D3" s="76" t="n">
        <v>50899910</v>
      </c>
      <c r="E3" s="92" t="n">
        <f aca="false">SUM(D3-C3)</f>
        <v>22430</v>
      </c>
      <c r="F3" s="164" t="n">
        <v>22430</v>
      </c>
      <c r="G3" s="41" t="n">
        <v>0.8382</v>
      </c>
      <c r="H3" s="94" t="n">
        <f aca="false">SUM(G3*F3)</f>
        <v>18800.826</v>
      </c>
      <c r="I3" s="156" t="n">
        <v>388</v>
      </c>
      <c r="J3" s="29" t="n">
        <v>6640</v>
      </c>
      <c r="K3" s="95"/>
      <c r="L3" s="157" t="n">
        <v>0.451388888888889</v>
      </c>
      <c r="M3" s="158" t="s">
        <v>44</v>
      </c>
      <c r="N3" s="159" t="n">
        <v>7629180</v>
      </c>
      <c r="O3" s="160" t="n">
        <v>7629470</v>
      </c>
      <c r="P3" s="159" t="n">
        <f aca="false">SUM(O3-N3)</f>
        <v>290</v>
      </c>
      <c r="Q3" s="161" t="n">
        <v>0.8376</v>
      </c>
      <c r="R3" s="162" t="n">
        <f aca="false">SUM(Q3*P3)</f>
        <v>242.904</v>
      </c>
      <c r="S3" s="163" t="s">
        <v>98</v>
      </c>
      <c r="V3" s="0" t="s">
        <v>41</v>
      </c>
    </row>
    <row r="4" customFormat="false" ht="15.75" hidden="false" customHeight="false" outlineLevel="0" collapsed="false">
      <c r="A4" s="90" t="n">
        <v>0.416666666666667</v>
      </c>
      <c r="B4" s="91" t="s">
        <v>48</v>
      </c>
      <c r="C4" s="98" t="n">
        <f aca="false">SUM(D3)</f>
        <v>50899910</v>
      </c>
      <c r="D4" s="76" t="n">
        <v>50908880</v>
      </c>
      <c r="E4" s="92" t="n">
        <f aca="false">SUM(D4-C4)</f>
        <v>8970</v>
      </c>
      <c r="F4" s="109" t="n">
        <v>8970</v>
      </c>
      <c r="G4" s="41" t="n">
        <v>0.8382</v>
      </c>
      <c r="H4" s="94" t="n">
        <f aca="false">SUM(G4*F4)</f>
        <v>7518.654</v>
      </c>
      <c r="I4" s="156" t="n">
        <v>147</v>
      </c>
      <c r="J4" s="29" t="n">
        <v>6641</v>
      </c>
      <c r="K4" s="95"/>
      <c r="L4" s="157" t="n">
        <v>0.663194444444444</v>
      </c>
      <c r="M4" s="158" t="s">
        <v>48</v>
      </c>
      <c r="N4" s="159" t="n">
        <f aca="false">SUM(O3)</f>
        <v>7629470</v>
      </c>
      <c r="O4" s="160" t="n">
        <v>7629600</v>
      </c>
      <c r="P4" s="159" t="n">
        <f aca="false">SUM(O4-N4)</f>
        <v>130</v>
      </c>
      <c r="Q4" s="161" t="n">
        <v>0.8344</v>
      </c>
      <c r="R4" s="162" t="n">
        <f aca="false">SUM(Q4*P4)</f>
        <v>108.472</v>
      </c>
      <c r="S4" s="163" t="s">
        <v>45</v>
      </c>
    </row>
    <row r="5" customFormat="false" ht="15.75" hidden="false" customHeight="false" outlineLevel="0" collapsed="false">
      <c r="A5" s="90" t="n">
        <v>0.444444444444444</v>
      </c>
      <c r="B5" s="91" t="s">
        <v>48</v>
      </c>
      <c r="C5" s="98" t="n">
        <f aca="false">SUM(D4)</f>
        <v>50908880</v>
      </c>
      <c r="D5" s="76" t="n">
        <v>50919240</v>
      </c>
      <c r="E5" s="92" t="n">
        <f aca="false">SUM(D5-C5)</f>
        <v>10360</v>
      </c>
      <c r="F5" s="109" t="n">
        <v>10360</v>
      </c>
      <c r="G5" s="41" t="n">
        <v>0.8382</v>
      </c>
      <c r="H5" s="94" t="n">
        <f aca="false">SUM(G5*F5)</f>
        <v>8683.752</v>
      </c>
      <c r="I5" s="156" t="n">
        <v>248</v>
      </c>
      <c r="J5" s="29" t="n">
        <v>6645</v>
      </c>
      <c r="K5" s="95"/>
      <c r="L5" s="157" t="n">
        <v>0.920138888888889</v>
      </c>
      <c r="M5" s="158" t="s">
        <v>39</v>
      </c>
      <c r="N5" s="159" t="n">
        <f aca="false">SUM(O4)</f>
        <v>7629600</v>
      </c>
      <c r="O5" s="160" t="n">
        <v>7629640</v>
      </c>
      <c r="P5" s="159" t="n">
        <f aca="false">SUM(O5-N5)</f>
        <v>40</v>
      </c>
      <c r="Q5" s="161" t="n">
        <v>0.8349</v>
      </c>
      <c r="R5" s="162" t="n">
        <f aca="false">SUM(Q5*P5)</f>
        <v>33.396</v>
      </c>
      <c r="S5" s="163" t="s">
        <v>47</v>
      </c>
    </row>
    <row r="6" customFormat="false" ht="15.75" hidden="false" customHeight="false" outlineLevel="0" collapsed="false">
      <c r="A6" s="90" t="n">
        <v>0.479166666666667</v>
      </c>
      <c r="B6" s="139" t="s">
        <v>66</v>
      </c>
      <c r="C6" s="98" t="n">
        <f aca="false">SUM(D5)</f>
        <v>50919240</v>
      </c>
      <c r="D6" s="76" t="n">
        <v>50930190</v>
      </c>
      <c r="E6" s="92" t="n">
        <f aca="false">SUM(D6-C6)</f>
        <v>10950</v>
      </c>
      <c r="F6" s="164" t="n">
        <v>10950</v>
      </c>
      <c r="G6" s="41" t="n">
        <v>0.8394</v>
      </c>
      <c r="H6" s="94" t="n">
        <f aca="false">SUM(G6*F6)</f>
        <v>9191.43</v>
      </c>
      <c r="I6" s="165" t="n">
        <v>388</v>
      </c>
      <c r="J6" s="29" t="n">
        <v>6648</v>
      </c>
      <c r="K6" s="95"/>
      <c r="L6" s="157" t="n">
        <v>0.930555555555555</v>
      </c>
      <c r="M6" s="158" t="s">
        <v>38</v>
      </c>
      <c r="N6" s="159" t="n">
        <f aca="false">SUM(O5)</f>
        <v>7629640</v>
      </c>
      <c r="O6" s="160" t="n">
        <v>7629680</v>
      </c>
      <c r="P6" s="159" t="n">
        <f aca="false">SUM(O6-N6)</f>
        <v>40</v>
      </c>
      <c r="Q6" s="168" t="n">
        <v>0.8352</v>
      </c>
      <c r="R6" s="162" t="n">
        <f aca="false">SUM(Q6*P6)</f>
        <v>33.408</v>
      </c>
      <c r="S6" s="163" t="s">
        <v>42</v>
      </c>
    </row>
    <row r="7" customFormat="false" ht="15" hidden="false" customHeight="false" outlineLevel="0" collapsed="false">
      <c r="A7" s="90" t="n">
        <v>0.545138888888889</v>
      </c>
      <c r="B7" s="91" t="s">
        <v>66</v>
      </c>
      <c r="C7" s="98" t="n">
        <f aca="false">SUM(D6)</f>
        <v>50930190</v>
      </c>
      <c r="D7" s="76" t="n">
        <v>50947220</v>
      </c>
      <c r="E7" s="92" t="n">
        <f aca="false">SUM(D7-C7)</f>
        <v>17030</v>
      </c>
      <c r="F7" s="129" t="n">
        <v>17019</v>
      </c>
      <c r="G7" s="41" t="n">
        <v>0.8394</v>
      </c>
      <c r="H7" s="94" t="n">
        <f aca="false">SUM(G7*F7)</f>
        <v>14285.7486</v>
      </c>
      <c r="I7" s="165" t="n">
        <v>251</v>
      </c>
      <c r="J7" s="29" t="n">
        <v>6650</v>
      </c>
      <c r="K7" s="95"/>
      <c r="L7" s="171"/>
      <c r="M7" s="105"/>
      <c r="N7" s="100" t="n">
        <f aca="false">SUM(O6)</f>
        <v>7629680</v>
      </c>
      <c r="O7" s="172"/>
      <c r="P7" s="100" t="n">
        <f aca="false">SUM(O7-N7)</f>
        <v>-7629680</v>
      </c>
      <c r="Q7" s="199"/>
      <c r="R7" s="102" t="n">
        <f aca="false">SUM(Q7*P7)</f>
        <v>0</v>
      </c>
      <c r="S7" s="103"/>
    </row>
    <row r="8" customFormat="false" ht="15" hidden="false" customHeight="false" outlineLevel="0" collapsed="false">
      <c r="A8" s="90" t="n">
        <v>0.559027777777778</v>
      </c>
      <c r="B8" s="91" t="s">
        <v>66</v>
      </c>
      <c r="C8" s="98" t="n">
        <f aca="false">SUM(D7)</f>
        <v>50947220</v>
      </c>
      <c r="D8" s="76" t="n">
        <v>50969640</v>
      </c>
      <c r="E8" s="92" t="n">
        <f aca="false">SUM(D8-C8)</f>
        <v>22420</v>
      </c>
      <c r="F8" s="164" t="n">
        <v>22430</v>
      </c>
      <c r="G8" s="41" t="n">
        <v>0.8394</v>
      </c>
      <c r="H8" s="94" t="n">
        <f aca="false">SUM(G8*F8)</f>
        <v>18827.742</v>
      </c>
      <c r="I8" s="165" t="n">
        <v>388</v>
      </c>
      <c r="J8" s="29" t="n">
        <v>6651</v>
      </c>
      <c r="K8" s="95"/>
      <c r="L8" s="96"/>
      <c r="M8" s="97"/>
      <c r="N8" s="100" t="n">
        <f aca="false">SUM(O7)</f>
        <v>0</v>
      </c>
      <c r="O8" s="99"/>
      <c r="P8" s="100" t="n">
        <f aca="false">SUM(O8-N8)</f>
        <v>0</v>
      </c>
      <c r="Q8" s="101"/>
      <c r="R8" s="102" t="n">
        <f aca="false">SUM(Q8*P8)</f>
        <v>0</v>
      </c>
      <c r="S8" s="1"/>
    </row>
    <row r="9" customFormat="false" ht="15" hidden="false" customHeight="false" outlineLevel="0" collapsed="false">
      <c r="A9" s="90" t="n">
        <v>0.711805555555555</v>
      </c>
      <c r="B9" s="91" t="s">
        <v>66</v>
      </c>
      <c r="C9" s="98" t="n">
        <f aca="false">SUM(D8)</f>
        <v>50969640</v>
      </c>
      <c r="D9" s="76" t="n">
        <v>50981110</v>
      </c>
      <c r="E9" s="92" t="n">
        <f aca="false">SUM(D9-C9)</f>
        <v>11470</v>
      </c>
      <c r="F9" s="164" t="n">
        <v>11480</v>
      </c>
      <c r="G9" s="41" t="n">
        <v>0.839</v>
      </c>
      <c r="H9" s="94" t="n">
        <f aca="false">SUM(G9*F9)</f>
        <v>9631.72</v>
      </c>
      <c r="I9" s="165" t="n">
        <v>388</v>
      </c>
      <c r="J9" s="29" t="n">
        <v>6655</v>
      </c>
      <c r="K9" s="95"/>
      <c r="L9" s="96"/>
      <c r="M9" s="97"/>
      <c r="N9" s="100" t="n">
        <f aca="false">SUM(O8)</f>
        <v>0</v>
      </c>
      <c r="O9" s="99"/>
      <c r="P9" s="100" t="n">
        <f aca="false">SUM(O9-N9)</f>
        <v>0</v>
      </c>
      <c r="Q9" s="101"/>
      <c r="R9" s="102" t="n">
        <f aca="false">SUM(Q9*P9)</f>
        <v>0</v>
      </c>
      <c r="S9" s="1"/>
    </row>
    <row r="10" customFormat="false" ht="15" hidden="false" customHeight="false" outlineLevel="0" collapsed="false">
      <c r="A10" s="90" t="n">
        <v>0.711805555555555</v>
      </c>
      <c r="B10" s="125" t="s">
        <v>39</v>
      </c>
      <c r="C10" s="98" t="n">
        <f aca="false">SUM(D9)</f>
        <v>50981110</v>
      </c>
      <c r="D10" s="76" t="n">
        <v>50992060</v>
      </c>
      <c r="E10" s="92" t="n">
        <f aca="false">SUM(D10-C10)</f>
        <v>10950</v>
      </c>
      <c r="F10" s="164" t="n">
        <v>10950</v>
      </c>
      <c r="G10" s="41" t="n">
        <v>0.8349</v>
      </c>
      <c r="H10" s="94" t="n">
        <f aca="false">SUM(G10*F10)</f>
        <v>9142.155</v>
      </c>
      <c r="I10" s="167" t="n">
        <v>388</v>
      </c>
      <c r="J10" s="29" t="n">
        <v>6655</v>
      </c>
      <c r="K10" s="95"/>
      <c r="L10" s="96"/>
      <c r="M10" s="97"/>
      <c r="N10" s="100" t="n">
        <f aca="false">SUM(O9)</f>
        <v>0</v>
      </c>
      <c r="O10" s="99"/>
      <c r="P10" s="100" t="n">
        <f aca="false">SUM(O10-N10)</f>
        <v>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0.774305555555555</v>
      </c>
      <c r="B11" s="91" t="s">
        <v>39</v>
      </c>
      <c r="C11" s="98" t="n">
        <f aca="false">SUM(D10)</f>
        <v>50992060</v>
      </c>
      <c r="D11" s="76" t="n">
        <v>51014480</v>
      </c>
      <c r="E11" s="92" t="n">
        <f aca="false">SUM(D11-C11)</f>
        <v>22420</v>
      </c>
      <c r="F11" s="164" t="n">
        <v>22430</v>
      </c>
      <c r="G11" s="41" t="n">
        <v>0.8349</v>
      </c>
      <c r="H11" s="94" t="n">
        <f aca="false">SUM(G11*F11)</f>
        <v>18726.807</v>
      </c>
      <c r="I11" s="167" t="n">
        <v>388</v>
      </c>
      <c r="J11" s="29" t="n">
        <v>6658</v>
      </c>
      <c r="K11" s="95"/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0.833333333333333</v>
      </c>
      <c r="B12" s="91" t="s">
        <v>39</v>
      </c>
      <c r="C12" s="98" t="n">
        <f aca="false">SUM(D11)</f>
        <v>51014480</v>
      </c>
      <c r="D12" s="76" t="n">
        <v>51036900</v>
      </c>
      <c r="E12" s="92" t="n">
        <f aca="false">SUM(D12-C12)</f>
        <v>22420</v>
      </c>
      <c r="F12" s="164" t="n">
        <v>22430</v>
      </c>
      <c r="G12" s="41" t="n">
        <v>0.8349</v>
      </c>
      <c r="H12" s="94" t="n">
        <f aca="false">SUM(G12*F12)</f>
        <v>18726.807</v>
      </c>
      <c r="I12" s="167" t="n">
        <v>388</v>
      </c>
      <c r="J12" s="29" t="n">
        <v>6660</v>
      </c>
      <c r="K12" s="95"/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0.895833333333333</v>
      </c>
      <c r="B13" s="91" t="s">
        <v>39</v>
      </c>
      <c r="C13" s="98" t="n">
        <f aca="false">SUM(D12)</f>
        <v>51036900</v>
      </c>
      <c r="D13" s="76" t="n">
        <v>51047040</v>
      </c>
      <c r="E13" s="92" t="n">
        <f aca="false">SUM(D13-C13)</f>
        <v>10140</v>
      </c>
      <c r="F13" s="109" t="n">
        <v>10159</v>
      </c>
      <c r="G13" s="41" t="n">
        <v>0.8349</v>
      </c>
      <c r="H13" s="94" t="n">
        <f aca="false">SUM(G13*F13)</f>
        <v>8481.7491</v>
      </c>
      <c r="I13" s="167" t="n">
        <v>147</v>
      </c>
      <c r="J13" s="29" t="n">
        <v>6663</v>
      </c>
      <c r="K13" s="95"/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0.930555555555555</v>
      </c>
      <c r="B14" s="122" t="s">
        <v>38</v>
      </c>
      <c r="C14" s="98" t="n">
        <f aca="false">SUM(D13)</f>
        <v>51047040</v>
      </c>
      <c r="D14" s="76" t="n">
        <v>51058520</v>
      </c>
      <c r="E14" s="92" t="n">
        <f aca="false">SUM(D14-C14)</f>
        <v>11480</v>
      </c>
      <c r="F14" s="164" t="n">
        <v>11480</v>
      </c>
      <c r="G14" s="41" t="n">
        <v>0.8349</v>
      </c>
      <c r="H14" s="94" t="n">
        <f aca="false">SUM(G14*F14)</f>
        <v>9584.652</v>
      </c>
      <c r="I14" s="174" t="n">
        <v>388</v>
      </c>
      <c r="J14" s="29" t="n">
        <v>6667</v>
      </c>
      <c r="K14" s="95"/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0.975694444444444</v>
      </c>
      <c r="B15" s="91" t="s">
        <v>38</v>
      </c>
      <c r="C15" s="98" t="n">
        <f aca="false">SUM(D14)</f>
        <v>51058520</v>
      </c>
      <c r="D15" s="76" t="n">
        <v>51080940</v>
      </c>
      <c r="E15" s="92" t="n">
        <f aca="false">SUM(D15-C15)</f>
        <v>22420</v>
      </c>
      <c r="F15" s="164" t="n">
        <v>22430</v>
      </c>
      <c r="G15" s="41" t="n">
        <v>0.8349</v>
      </c>
      <c r="H15" s="94" t="n">
        <f aca="false">SUM(G15*F15)</f>
        <v>18726.807</v>
      </c>
      <c r="I15" s="174" t="n">
        <v>388</v>
      </c>
      <c r="J15" s="29" t="n">
        <v>6669</v>
      </c>
      <c r="K15" s="95"/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0.0520833333333333</v>
      </c>
      <c r="B16" s="91" t="s">
        <v>38</v>
      </c>
      <c r="C16" s="98" t="n">
        <f aca="false">SUM(D15)</f>
        <v>51080940</v>
      </c>
      <c r="D16" s="76" t="n">
        <v>51097970</v>
      </c>
      <c r="E16" s="92" t="n">
        <f aca="false">SUM(D16-C16)</f>
        <v>17030</v>
      </c>
      <c r="F16" s="129" t="n">
        <v>17019</v>
      </c>
      <c r="G16" s="41" t="n">
        <v>0.8355</v>
      </c>
      <c r="H16" s="94" t="n">
        <f aca="false">SUM(G16*F16)</f>
        <v>14219.3745</v>
      </c>
      <c r="I16" s="174" t="n">
        <v>251</v>
      </c>
      <c r="J16" s="29" t="n">
        <v>6671</v>
      </c>
      <c r="K16" s="95"/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.75" hidden="false" customHeight="false" outlineLevel="0" collapsed="false">
      <c r="A17" s="90" t="n">
        <v>0.142361111111111</v>
      </c>
      <c r="B17" s="91" t="s">
        <v>38</v>
      </c>
      <c r="C17" s="98" t="n">
        <f aca="false">SUM(D16)</f>
        <v>51097970</v>
      </c>
      <c r="D17" s="76" t="n">
        <v>51114990</v>
      </c>
      <c r="E17" s="92" t="n">
        <f aca="false">SUM(D17-C17)</f>
        <v>17020</v>
      </c>
      <c r="F17" s="129" t="n">
        <v>17019</v>
      </c>
      <c r="G17" s="41" t="n">
        <v>0.8355</v>
      </c>
      <c r="H17" s="94" t="n">
        <f aca="false">SUM(G17*F17)</f>
        <v>14219.3745</v>
      </c>
      <c r="I17" s="174" t="n">
        <v>251</v>
      </c>
      <c r="J17" s="29" t="n">
        <v>6675</v>
      </c>
      <c r="K17" s="95"/>
      <c r="L17" s="149"/>
      <c r="M17" s="149" t="s">
        <v>49</v>
      </c>
      <c r="N17" s="151"/>
      <c r="O17" s="151"/>
      <c r="P17" s="151"/>
      <c r="Q17" s="152"/>
      <c r="R17" s="153"/>
      <c r="S17" s="154"/>
    </row>
    <row r="18" customFormat="false" ht="15.75" hidden="false" customHeight="false" outlineLevel="0" collapsed="false">
      <c r="A18" s="90" t="n">
        <v>0.190972222222222</v>
      </c>
      <c r="B18" s="91" t="s">
        <v>38</v>
      </c>
      <c r="C18" s="98" t="n">
        <f aca="false">SUM(D17)</f>
        <v>51114990</v>
      </c>
      <c r="D18" s="76" t="n">
        <v>51137410</v>
      </c>
      <c r="E18" s="92" t="n">
        <f aca="false">SUM(D18-C18)</f>
        <v>22420</v>
      </c>
      <c r="F18" s="164" t="n">
        <v>22430</v>
      </c>
      <c r="G18" s="41" t="n">
        <v>0.8355</v>
      </c>
      <c r="H18" s="94" t="n">
        <f aca="false">SUM(G18*F18)</f>
        <v>18740.265</v>
      </c>
      <c r="I18" s="174" t="n">
        <v>388</v>
      </c>
      <c r="J18" s="29" t="n">
        <v>6676</v>
      </c>
      <c r="K18" s="95"/>
      <c r="L18" s="157" t="n">
        <v>0.475694444444444</v>
      </c>
      <c r="M18" s="158" t="s">
        <v>55</v>
      </c>
      <c r="N18" s="208" t="n">
        <v>3440760</v>
      </c>
      <c r="O18" s="160" t="n">
        <v>3440790</v>
      </c>
      <c r="P18" s="209" t="n">
        <f aca="false">SUM(O18-N18)</f>
        <v>30</v>
      </c>
      <c r="Q18" s="168" t="n">
        <v>0.834</v>
      </c>
      <c r="R18" s="162" t="n">
        <f aca="false">SUM(Q18*P18)</f>
        <v>25.02</v>
      </c>
      <c r="S18" s="163" t="s">
        <v>69</v>
      </c>
      <c r="T18" s="0" t="s">
        <v>41</v>
      </c>
    </row>
    <row r="19" customFormat="false" ht="15" hidden="false" customHeight="false" outlineLevel="0" collapsed="false">
      <c r="A19" s="90" t="n">
        <v>0.25</v>
      </c>
      <c r="B19" s="91" t="s">
        <v>39</v>
      </c>
      <c r="C19" s="98" t="n">
        <f aca="false">SUM(D18)</f>
        <v>51137410</v>
      </c>
      <c r="D19" s="76" t="n">
        <v>51159850</v>
      </c>
      <c r="E19" s="92" t="n">
        <f aca="false">SUM(D19-C19)</f>
        <v>22440</v>
      </c>
      <c r="F19" s="164" t="n">
        <v>22430</v>
      </c>
      <c r="G19" s="41" t="n">
        <v>0.8367</v>
      </c>
      <c r="H19" s="94" t="n">
        <f aca="false">SUM(G19*F19)</f>
        <v>18767.181</v>
      </c>
      <c r="I19" s="167" t="n">
        <v>388</v>
      </c>
      <c r="J19" s="29" t="n">
        <v>6678</v>
      </c>
      <c r="K19" s="95"/>
      <c r="L19" s="171"/>
      <c r="M19" s="105"/>
      <c r="N19" s="100" t="n">
        <v>0</v>
      </c>
      <c r="O19" s="172"/>
      <c r="P19" s="210" t="n">
        <f aca="false">SUM(O19-N19)</f>
        <v>0</v>
      </c>
      <c r="Q19" s="199"/>
      <c r="R19" s="102" t="n">
        <f aca="false">SUM(Q19*P19)</f>
        <v>0</v>
      </c>
      <c r="S19" s="103"/>
    </row>
    <row r="20" customFormat="false" ht="15" hidden="false" customHeight="false" outlineLevel="0" collapsed="false">
      <c r="A20" s="90" t="n">
        <v>0.319444444444444</v>
      </c>
      <c r="B20" s="91" t="s">
        <v>39</v>
      </c>
      <c r="C20" s="98" t="n">
        <f aca="false">SUM(D19)</f>
        <v>51159850</v>
      </c>
      <c r="D20" s="76" t="n">
        <v>51182270</v>
      </c>
      <c r="E20" s="92" t="n">
        <f aca="false">SUM(D20-C20)</f>
        <v>22420</v>
      </c>
      <c r="F20" s="164" t="n">
        <v>22430</v>
      </c>
      <c r="G20" s="41" t="n">
        <v>0.8367</v>
      </c>
      <c r="H20" s="94" t="n">
        <f aca="false">SUM(G20*F20)</f>
        <v>18767.181</v>
      </c>
      <c r="I20" s="167" t="n">
        <v>388</v>
      </c>
      <c r="J20" s="29" t="n">
        <v>6681</v>
      </c>
      <c r="K20" s="95"/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/>
      <c r="B21" s="91"/>
      <c r="C21" s="98" t="n">
        <v>0</v>
      </c>
      <c r="D21" s="76"/>
      <c r="E21" s="92" t="n">
        <f aca="false">SUM(D21-C21)</f>
        <v>0</v>
      </c>
      <c r="F21" s="109" t="n">
        <f aca="false">SUM(D21-C21)</f>
        <v>0</v>
      </c>
      <c r="G21" s="41"/>
      <c r="H21" s="94" t="n">
        <f aca="false">SUM(G21*F21)</f>
        <v>0</v>
      </c>
      <c r="I21" s="1"/>
      <c r="J21" s="29"/>
      <c r="K21" s="95"/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/>
      <c r="B22" s="91"/>
      <c r="C22" s="98" t="n">
        <f aca="false">SUM(D21)</f>
        <v>0</v>
      </c>
      <c r="D22" s="76"/>
      <c r="E22" s="92" t="n">
        <f aca="false">SUM(D22-C22)</f>
        <v>0</v>
      </c>
      <c r="F22" s="109" t="n">
        <f aca="false">SUM(D22-C22)</f>
        <v>0</v>
      </c>
      <c r="G22" s="41"/>
      <c r="H22" s="94" t="n">
        <f aca="false">SUM(G22*F22)</f>
        <v>0</v>
      </c>
      <c r="I22" s="1"/>
      <c r="J22" s="29"/>
      <c r="K22" s="95"/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false" customHeight="false" outlineLevel="0" collapsed="false">
      <c r="A23" s="90"/>
      <c r="B23" s="91"/>
      <c r="C23" s="98" t="n">
        <f aca="false">SUM(D22)</f>
        <v>0</v>
      </c>
      <c r="D23" s="76"/>
      <c r="E23" s="92" t="n">
        <f aca="false">SUM(D23-C23)</f>
        <v>0</v>
      </c>
      <c r="F23" s="109" t="n">
        <f aca="false">SUM(D23-C23)</f>
        <v>0</v>
      </c>
      <c r="G23" s="41"/>
      <c r="H23" s="94" t="n">
        <f aca="false">SUM(G23*F23)</f>
        <v>0</v>
      </c>
      <c r="I23" s="1"/>
      <c r="J23" s="29"/>
      <c r="K23" s="95"/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.75" hidden="false" customHeight="false" outlineLevel="0" collapsed="false">
      <c r="A24" s="90"/>
      <c r="B24" s="91"/>
      <c r="C24" s="98" t="n">
        <f aca="false">SUM(D23)</f>
        <v>0</v>
      </c>
      <c r="D24" s="76"/>
      <c r="E24" s="92" t="n">
        <f aca="false">SUM(D24-C24)</f>
        <v>0</v>
      </c>
      <c r="F24" s="131" t="n">
        <f aca="false">SUM(D24-C24)</f>
        <v>0</v>
      </c>
      <c r="G24" s="41"/>
      <c r="H24" s="132" t="n">
        <f aca="false">SUM(G24*F24)</f>
        <v>0</v>
      </c>
      <c r="I24" s="1"/>
      <c r="J24" s="29"/>
      <c r="K24" s="95"/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.75" hidden="false" customHeight="false" outlineLevel="0" collapsed="false">
      <c r="A25" s="90"/>
      <c r="B25" s="91"/>
      <c r="C25" s="98" t="n">
        <f aca="false">SUM(D24)</f>
        <v>0</v>
      </c>
      <c r="D25" s="76"/>
      <c r="E25" s="110" t="n">
        <f aca="false">SUM(D25-C25)</f>
        <v>0</v>
      </c>
      <c r="F25" s="175" t="n">
        <v>304846</v>
      </c>
      <c r="G25" s="134"/>
      <c r="H25" s="176" t="n">
        <v>255042</v>
      </c>
      <c r="I25" s="136"/>
      <c r="J25" s="29"/>
      <c r="K25" s="95"/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" hidden="false" customHeight="false" outlineLevel="0" collapsed="false">
      <c r="A26" s="89"/>
      <c r="B26" s="82" t="s">
        <v>49</v>
      </c>
      <c r="C26" s="83"/>
      <c r="D26" s="83"/>
      <c r="E26" s="83"/>
      <c r="F26" s="137"/>
      <c r="G26" s="84"/>
      <c r="H26" s="138"/>
      <c r="I26" s="86"/>
      <c r="J26" s="86"/>
      <c r="L26" s="118"/>
      <c r="M26" s="118"/>
      <c r="N26" s="118"/>
      <c r="O26" s="118"/>
      <c r="P26" s="118"/>
      <c r="Q26" s="118"/>
      <c r="R26" s="118"/>
      <c r="S26" s="118"/>
    </row>
    <row r="27" customFormat="false" ht="15" hidden="false" customHeight="false" outlineLevel="0" collapsed="false">
      <c r="A27" s="90" t="n">
        <v>0.399305555555556</v>
      </c>
      <c r="B27" s="144" t="s">
        <v>55</v>
      </c>
      <c r="C27" s="98" t="n">
        <v>3392140</v>
      </c>
      <c r="D27" s="108" t="n">
        <v>3399570</v>
      </c>
      <c r="E27" s="92" t="n">
        <f aca="false">SUM(D27-C27)</f>
        <v>7430</v>
      </c>
      <c r="F27" s="109" t="n">
        <v>7386</v>
      </c>
      <c r="G27" s="41" t="n">
        <v>0.834</v>
      </c>
      <c r="H27" s="94" t="n">
        <f aca="false">SUM(G27*F27)</f>
        <v>6159.924</v>
      </c>
      <c r="I27" s="177" t="n">
        <v>382</v>
      </c>
      <c r="J27" s="1" t="n">
        <v>6639</v>
      </c>
      <c r="K27" s="119" t="s">
        <v>70</v>
      </c>
      <c r="L27" s="118"/>
      <c r="M27" s="118"/>
      <c r="N27" s="118"/>
      <c r="O27" s="118"/>
      <c r="P27" s="118"/>
      <c r="Q27" s="118"/>
      <c r="R27" s="118"/>
      <c r="S27" s="118"/>
    </row>
    <row r="28" customFormat="false" ht="14.25" hidden="false" customHeight="true" outlineLevel="0" collapsed="false">
      <c r="A28" s="90" t="n">
        <v>0.416666666666667</v>
      </c>
      <c r="B28" s="91" t="s">
        <v>55</v>
      </c>
      <c r="C28" s="98" t="n">
        <f aca="false">SUM(D27)</f>
        <v>3399570</v>
      </c>
      <c r="D28" s="108" t="n">
        <v>3404870</v>
      </c>
      <c r="E28" s="92" t="n">
        <f aca="false">SUM(D28-C28)</f>
        <v>5300</v>
      </c>
      <c r="F28" s="109" t="n">
        <v>5272</v>
      </c>
      <c r="G28" s="41" t="n">
        <v>0.834</v>
      </c>
      <c r="H28" s="94" t="n">
        <f aca="false">SUM(G28*F28)</f>
        <v>4396.848</v>
      </c>
      <c r="I28" s="177" t="n">
        <v>81</v>
      </c>
      <c r="J28" s="1" t="n">
        <v>6642</v>
      </c>
      <c r="K28" s="202" t="s">
        <v>60</v>
      </c>
      <c r="L28" s="118"/>
      <c r="M28" s="118"/>
      <c r="N28" s="118"/>
      <c r="O28" s="118"/>
      <c r="P28" s="118"/>
      <c r="Q28" s="118"/>
      <c r="R28" s="118"/>
      <c r="S28" s="118"/>
    </row>
    <row r="29" customFormat="false" ht="15" hidden="false" customHeight="true" outlineLevel="0" collapsed="false">
      <c r="A29" s="90" t="n">
        <v>0.427083333333333</v>
      </c>
      <c r="B29" s="178" t="s">
        <v>57</v>
      </c>
      <c r="C29" s="98" t="n">
        <f aca="false">SUM(D28)</f>
        <v>3404870</v>
      </c>
      <c r="D29" s="108" t="n">
        <v>3421990</v>
      </c>
      <c r="E29" s="92" t="n">
        <f aca="false">SUM(D29-C29)</f>
        <v>17120</v>
      </c>
      <c r="F29" s="129" t="n">
        <v>17019</v>
      </c>
      <c r="G29" s="41" t="n">
        <v>0.8326</v>
      </c>
      <c r="H29" s="94" t="n">
        <f aca="false">SUM(G29*F29)</f>
        <v>14170.0194</v>
      </c>
      <c r="I29" s="179" t="n">
        <v>251</v>
      </c>
      <c r="J29" s="182" t="n">
        <v>6643</v>
      </c>
      <c r="K29" s="120" t="s">
        <v>84</v>
      </c>
      <c r="L29" s="118"/>
      <c r="M29" s="118"/>
      <c r="N29" s="118"/>
      <c r="O29" s="118"/>
      <c r="P29" s="118"/>
      <c r="Q29" s="118"/>
      <c r="R29" s="118"/>
      <c r="S29" s="118"/>
    </row>
    <row r="30" customFormat="false" ht="15" hidden="false" customHeight="false" outlineLevel="0" collapsed="false">
      <c r="A30" s="90" t="n">
        <v>0.4375</v>
      </c>
      <c r="B30" s="91" t="s">
        <v>57</v>
      </c>
      <c r="C30" s="98" t="n">
        <f aca="false">SUM(D29)</f>
        <v>3421990</v>
      </c>
      <c r="D30" s="108" t="n">
        <v>3429220</v>
      </c>
      <c r="E30" s="92" t="n">
        <f aca="false">SUM(D30-C30)</f>
        <v>7230</v>
      </c>
      <c r="F30" s="109" t="n">
        <v>7191</v>
      </c>
      <c r="G30" s="41" t="n">
        <v>0.8326</v>
      </c>
      <c r="H30" s="94" t="n">
        <f aca="false">SUM(G30*F30)</f>
        <v>5987.2266</v>
      </c>
      <c r="I30" s="179" t="n">
        <v>119</v>
      </c>
      <c r="J30" s="182" t="n">
        <v>6644</v>
      </c>
      <c r="K30" s="120" t="s">
        <v>84</v>
      </c>
      <c r="L30" s="118"/>
      <c r="M30" s="118"/>
      <c r="N30" s="118"/>
      <c r="O30" s="118"/>
      <c r="P30" s="118"/>
      <c r="Q30" s="118"/>
      <c r="R30" s="118"/>
      <c r="S30" s="118"/>
    </row>
    <row r="31" customFormat="false" ht="15" hidden="false" customHeight="false" outlineLevel="0" collapsed="false">
      <c r="A31" s="90" t="n">
        <v>0.46875</v>
      </c>
      <c r="B31" s="180" t="s">
        <v>61</v>
      </c>
      <c r="C31" s="98" t="n">
        <f aca="false">SUM(D30)</f>
        <v>3429220</v>
      </c>
      <c r="D31" s="108" t="n">
        <v>3440760</v>
      </c>
      <c r="E31" s="92" t="n">
        <f aca="false">SUM(D31-C31)</f>
        <v>11540</v>
      </c>
      <c r="F31" s="164" t="n">
        <v>11480</v>
      </c>
      <c r="G31" s="41" t="n">
        <v>0.8293</v>
      </c>
      <c r="H31" s="94" t="n">
        <f aca="false">SUM(G31*F31)</f>
        <v>9520.364</v>
      </c>
      <c r="I31" s="181" t="n">
        <v>388</v>
      </c>
      <c r="J31" s="1" t="n">
        <v>6646</v>
      </c>
      <c r="K31" s="202" t="s">
        <v>60</v>
      </c>
      <c r="L31" s="118"/>
      <c r="M31" s="118"/>
      <c r="N31" s="118"/>
      <c r="O31" s="118"/>
      <c r="P31" s="118"/>
      <c r="Q31" s="118"/>
      <c r="R31" s="118"/>
      <c r="S31" s="118"/>
    </row>
    <row r="32" customFormat="false" ht="15" hidden="false" customHeight="false" outlineLevel="0" collapsed="false">
      <c r="A32" s="90" t="n">
        <v>0.475694444444444</v>
      </c>
      <c r="B32" s="91" t="s">
        <v>61</v>
      </c>
      <c r="C32" s="98" t="n">
        <v>3440790</v>
      </c>
      <c r="D32" s="108" t="n">
        <v>3446110</v>
      </c>
      <c r="E32" s="92" t="n">
        <f aca="false">SUM(D32-C32)</f>
        <v>5320</v>
      </c>
      <c r="F32" s="109" t="n">
        <v>5277</v>
      </c>
      <c r="G32" s="41" t="n">
        <v>0.8293</v>
      </c>
      <c r="H32" s="94" t="n">
        <f aca="false">SUM(G32*F32)</f>
        <v>4376.2161</v>
      </c>
      <c r="I32" s="181" t="n">
        <v>57</v>
      </c>
      <c r="J32" s="1" t="n">
        <v>6647</v>
      </c>
      <c r="K32" s="202" t="s">
        <v>60</v>
      </c>
      <c r="L32" s="118"/>
      <c r="M32" s="118"/>
      <c r="N32" s="118"/>
      <c r="O32" s="118"/>
      <c r="P32" s="118"/>
      <c r="Q32" s="118"/>
      <c r="R32" s="118"/>
      <c r="S32" s="118"/>
    </row>
    <row r="33" customFormat="false" ht="15" hidden="false" customHeight="false" outlineLevel="0" collapsed="false">
      <c r="A33" s="90" t="n">
        <v>0.489583333333333</v>
      </c>
      <c r="B33" s="91" t="s">
        <v>61</v>
      </c>
      <c r="C33" s="98" t="n">
        <f aca="false">SUM(D32)</f>
        <v>3446110</v>
      </c>
      <c r="D33" s="108" t="n">
        <v>3463220</v>
      </c>
      <c r="E33" s="92" t="n">
        <f aca="false">SUM(D33-C33)</f>
        <v>17110</v>
      </c>
      <c r="F33" s="129" t="n">
        <v>17019</v>
      </c>
      <c r="G33" s="41" t="n">
        <v>0.8293</v>
      </c>
      <c r="H33" s="94" t="n">
        <f aca="false">SUM(G33*F33)</f>
        <v>14113.8567</v>
      </c>
      <c r="I33" s="181" t="n">
        <v>251</v>
      </c>
      <c r="J33" s="1" t="n">
        <v>6649</v>
      </c>
      <c r="K33" s="202" t="s">
        <v>60</v>
      </c>
      <c r="L33" s="118"/>
      <c r="M33" s="118"/>
      <c r="N33" s="95"/>
      <c r="O33" s="118"/>
      <c r="P33" s="118"/>
      <c r="Q33" s="118"/>
      <c r="R33" s="118"/>
      <c r="S33" s="118"/>
    </row>
    <row r="34" customFormat="false" ht="15" hidden="false" customHeight="false" outlineLevel="0" collapsed="false">
      <c r="A34" s="90" t="n">
        <v>0.590277777777778</v>
      </c>
      <c r="B34" s="91" t="s">
        <v>61</v>
      </c>
      <c r="C34" s="98" t="n">
        <f aca="false">SUM(D33)</f>
        <v>3463220</v>
      </c>
      <c r="D34" s="108" t="n">
        <v>3472820</v>
      </c>
      <c r="E34" s="92" t="n">
        <f aca="false">SUM(D34-C34)</f>
        <v>9600</v>
      </c>
      <c r="F34" s="109" t="n">
        <v>9552</v>
      </c>
      <c r="G34" s="41" t="n">
        <v>0.8293</v>
      </c>
      <c r="H34" s="94" t="n">
        <f aca="false">SUM(G34*F34)</f>
        <v>7921.4736</v>
      </c>
      <c r="I34" s="181" t="n">
        <v>81</v>
      </c>
      <c r="J34" s="29" t="n">
        <v>6652</v>
      </c>
      <c r="K34" s="202" t="s">
        <v>60</v>
      </c>
      <c r="L34" s="118"/>
      <c r="M34" s="118"/>
      <c r="N34" s="95"/>
      <c r="O34" s="118"/>
      <c r="P34" s="118"/>
      <c r="Q34" s="118"/>
      <c r="R34" s="118"/>
      <c r="S34" s="118"/>
    </row>
    <row r="35" customFormat="false" ht="15" hidden="false" customHeight="false" outlineLevel="0" collapsed="false">
      <c r="A35" s="90" t="n">
        <v>0.600694444444444</v>
      </c>
      <c r="B35" s="91" t="s">
        <v>61</v>
      </c>
      <c r="C35" s="98" t="n">
        <f aca="false">SUM(D34)</f>
        <v>3472820</v>
      </c>
      <c r="D35" s="108" t="n">
        <v>3477380</v>
      </c>
      <c r="E35" s="92" t="n">
        <f aca="false">SUM(D35-C35)</f>
        <v>4560</v>
      </c>
      <c r="F35" s="109" t="n">
        <v>4524</v>
      </c>
      <c r="G35" s="41" t="n">
        <v>0.8293</v>
      </c>
      <c r="H35" s="94" t="n">
        <f aca="false">SUM(G35*F35)</f>
        <v>3751.7532</v>
      </c>
      <c r="I35" s="181" t="n">
        <v>382</v>
      </c>
      <c r="J35" s="29" t="n">
        <v>6653</v>
      </c>
      <c r="K35" s="202" t="s">
        <v>60</v>
      </c>
      <c r="L35" s="118"/>
      <c r="M35" s="118"/>
      <c r="N35" s="95"/>
      <c r="O35" s="118"/>
      <c r="P35" s="118"/>
      <c r="Q35" s="118"/>
      <c r="R35" s="118"/>
      <c r="S35" s="118"/>
    </row>
    <row r="36" customFormat="false" ht="15" hidden="false" customHeight="true" outlineLevel="0" collapsed="false">
      <c r="A36" s="90" t="n">
        <v>0.611111111111111</v>
      </c>
      <c r="B36" s="91" t="s">
        <v>61</v>
      </c>
      <c r="C36" s="98" t="n">
        <f aca="false">SUM(D35)</f>
        <v>3477380</v>
      </c>
      <c r="D36" s="108" t="n">
        <v>3483530</v>
      </c>
      <c r="E36" s="92" t="n">
        <f aca="false">SUM(D36-C36)</f>
        <v>6150</v>
      </c>
      <c r="F36" s="109" t="n">
        <v>6117</v>
      </c>
      <c r="G36" s="41" t="n">
        <v>0.8293</v>
      </c>
      <c r="H36" s="94" t="n">
        <f aca="false">SUM(G36*F36)</f>
        <v>5072.8281</v>
      </c>
      <c r="I36" s="181" t="n">
        <v>57</v>
      </c>
      <c r="J36" s="29" t="n">
        <v>6654</v>
      </c>
      <c r="K36" s="202" t="s">
        <v>60</v>
      </c>
      <c r="L36" s="118"/>
      <c r="M36" s="118"/>
      <c r="N36" s="95"/>
      <c r="O36" s="118"/>
      <c r="P36" s="118"/>
      <c r="Q36" s="118"/>
      <c r="R36" s="118"/>
      <c r="S36" s="118"/>
    </row>
    <row r="37" customFormat="false" ht="15" hidden="false" customHeight="false" outlineLevel="0" collapsed="false">
      <c r="A37" s="90" t="n">
        <v>0.71875</v>
      </c>
      <c r="B37" s="91" t="s">
        <v>57</v>
      </c>
      <c r="C37" s="98" t="n">
        <f aca="false">SUM(D36)</f>
        <v>3483530</v>
      </c>
      <c r="D37" s="108" t="n">
        <v>3500650</v>
      </c>
      <c r="E37" s="92" t="n">
        <f aca="false">SUM(D37-C37)</f>
        <v>17120</v>
      </c>
      <c r="F37" s="129" t="n">
        <v>17019</v>
      </c>
      <c r="G37" s="41" t="n">
        <v>0.8318</v>
      </c>
      <c r="H37" s="94" t="n">
        <f aca="false">SUM(G37*F37)</f>
        <v>14156.4042</v>
      </c>
      <c r="I37" s="179" t="n">
        <v>251</v>
      </c>
      <c r="J37" s="182" t="n">
        <v>6656</v>
      </c>
      <c r="K37" s="120" t="s">
        <v>84</v>
      </c>
      <c r="L37" s="118"/>
      <c r="M37" s="118"/>
      <c r="N37" s="118"/>
      <c r="O37" s="118"/>
      <c r="P37" s="118"/>
      <c r="Q37" s="118"/>
      <c r="R37" s="118"/>
      <c r="S37" s="118"/>
    </row>
    <row r="38" customFormat="false" ht="15" hidden="false" customHeight="false" outlineLevel="0" collapsed="false">
      <c r="A38" s="90" t="n">
        <v>0.763888888888889</v>
      </c>
      <c r="B38" s="91" t="s">
        <v>61</v>
      </c>
      <c r="C38" s="98" t="n">
        <f aca="false">SUM(D37)</f>
        <v>3500650</v>
      </c>
      <c r="D38" s="108" t="n">
        <v>3510680</v>
      </c>
      <c r="E38" s="92" t="n">
        <f aca="false">SUM(D38-C38)</f>
        <v>10030</v>
      </c>
      <c r="F38" s="129" t="n">
        <v>9986</v>
      </c>
      <c r="G38" s="41" t="n">
        <v>0.8293</v>
      </c>
      <c r="H38" s="94" t="n">
        <f aca="false">SUM(G38*F38)</f>
        <v>8281.3898</v>
      </c>
      <c r="I38" s="181" t="n">
        <v>251</v>
      </c>
      <c r="J38" s="29" t="n">
        <v>6657</v>
      </c>
      <c r="K38" s="202" t="s">
        <v>60</v>
      </c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90" t="n">
        <v>0.763888888888889</v>
      </c>
      <c r="B39" s="183" t="s">
        <v>90</v>
      </c>
      <c r="C39" s="98" t="n">
        <f aca="false">SUM(D38)</f>
        <v>3510680</v>
      </c>
      <c r="D39" s="108" t="n">
        <v>3517760</v>
      </c>
      <c r="E39" s="92" t="n">
        <f aca="false">SUM(D39-C39)</f>
        <v>7080</v>
      </c>
      <c r="F39" s="129" t="n">
        <v>7033</v>
      </c>
      <c r="G39" s="41" t="n">
        <v>0.8289</v>
      </c>
      <c r="H39" s="94" t="n">
        <f aca="false">SUM(G39*F39)</f>
        <v>5829.6537</v>
      </c>
      <c r="I39" s="184" t="n">
        <v>251</v>
      </c>
      <c r="J39" s="29" t="n">
        <v>6657</v>
      </c>
      <c r="K39" s="202" t="s">
        <v>60</v>
      </c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0.809027777777778</v>
      </c>
      <c r="B40" s="91" t="s">
        <v>57</v>
      </c>
      <c r="C40" s="98" t="n">
        <f aca="false">SUM(D39)</f>
        <v>3517760</v>
      </c>
      <c r="D40" s="108" t="n">
        <v>3534860</v>
      </c>
      <c r="E40" s="92" t="n">
        <f aca="false">SUM(D40-C40)</f>
        <v>17100</v>
      </c>
      <c r="F40" s="129" t="n">
        <v>17019</v>
      </c>
      <c r="G40" s="41" t="n">
        <v>0.8318</v>
      </c>
      <c r="H40" s="94" t="n">
        <f aca="false">SUM(G40*F40)</f>
        <v>14156.4042</v>
      </c>
      <c r="I40" s="179" t="n">
        <v>251</v>
      </c>
      <c r="J40" s="182" t="n">
        <v>6659</v>
      </c>
      <c r="K40" s="120" t="s">
        <v>84</v>
      </c>
      <c r="L40" s="118"/>
      <c r="M40" s="118"/>
      <c r="N40" s="118"/>
      <c r="O40" s="118"/>
      <c r="P40" s="118"/>
      <c r="Q40" s="118"/>
      <c r="R40" s="118"/>
      <c r="S40" s="118"/>
    </row>
    <row r="41" customFormat="false" ht="15" hidden="false" customHeight="false" outlineLevel="0" collapsed="false">
      <c r="A41" s="90" t="n">
        <v>0.888888888888889</v>
      </c>
      <c r="B41" s="91" t="s">
        <v>90</v>
      </c>
      <c r="C41" s="98" t="n">
        <f aca="false">SUM(D40)</f>
        <v>3534860</v>
      </c>
      <c r="D41" s="108" t="n">
        <v>3541370</v>
      </c>
      <c r="E41" s="92" t="n">
        <f aca="false">SUM(D41-C41)</f>
        <v>6510</v>
      </c>
      <c r="F41" s="109" t="n">
        <v>6453</v>
      </c>
      <c r="G41" s="41" t="n">
        <v>0.8289</v>
      </c>
      <c r="H41" s="94" t="n">
        <f aca="false">SUM(G41*F41)</f>
        <v>5348.8917</v>
      </c>
      <c r="I41" s="184" t="n">
        <v>57</v>
      </c>
      <c r="J41" s="29" t="n">
        <v>6661</v>
      </c>
      <c r="K41" s="202" t="s">
        <v>60</v>
      </c>
      <c r="L41" s="118"/>
      <c r="M41" s="118"/>
      <c r="N41" s="118"/>
      <c r="O41" s="118"/>
      <c r="P41" s="118"/>
      <c r="Q41" s="118"/>
      <c r="R41" s="118"/>
      <c r="S41" s="118"/>
    </row>
    <row r="42" customFormat="false" ht="15" hidden="false" customHeight="false" outlineLevel="0" collapsed="false">
      <c r="A42" s="90" t="n">
        <v>0.895833333333333</v>
      </c>
      <c r="B42" s="91" t="s">
        <v>90</v>
      </c>
      <c r="C42" s="98" t="n">
        <f aca="false">SUM(D41)</f>
        <v>3541370</v>
      </c>
      <c r="D42" s="108" t="n">
        <v>3548510</v>
      </c>
      <c r="E42" s="92" t="n">
        <f aca="false">SUM(D42-C42)</f>
        <v>7140</v>
      </c>
      <c r="F42" s="109" t="n">
        <v>7098</v>
      </c>
      <c r="G42" s="41" t="n">
        <v>0.8289</v>
      </c>
      <c r="H42" s="94" t="n">
        <f aca="false">SUM(G42*F42)</f>
        <v>5883.5322</v>
      </c>
      <c r="I42" s="184" t="n">
        <v>81</v>
      </c>
      <c r="J42" s="29" t="n">
        <v>6662</v>
      </c>
      <c r="K42" s="202" t="s">
        <v>60</v>
      </c>
      <c r="L42" s="118"/>
      <c r="M42" s="118"/>
      <c r="N42" s="118"/>
      <c r="O42" s="118"/>
      <c r="P42" s="118"/>
      <c r="Q42" s="118"/>
      <c r="R42" s="118"/>
      <c r="S42" s="118"/>
    </row>
    <row r="43" customFormat="false" ht="15" hidden="false" customHeight="false" outlineLevel="0" collapsed="false">
      <c r="A43" s="90" t="n">
        <v>0.902777777777778</v>
      </c>
      <c r="B43" s="91" t="s">
        <v>90</v>
      </c>
      <c r="C43" s="98" t="n">
        <f aca="false">SUM(D42)</f>
        <v>3548510</v>
      </c>
      <c r="D43" s="108" t="n">
        <v>3556480</v>
      </c>
      <c r="E43" s="92" t="n">
        <f aca="false">SUM(D43-C43)</f>
        <v>7970</v>
      </c>
      <c r="F43" s="109" t="n">
        <v>7924</v>
      </c>
      <c r="G43" s="41" t="n">
        <v>0.8289</v>
      </c>
      <c r="H43" s="94" t="n">
        <f aca="false">SUM(G43*F43)</f>
        <v>6568.2036</v>
      </c>
      <c r="I43" s="184" t="n">
        <v>382</v>
      </c>
      <c r="J43" s="29" t="n">
        <v>6664</v>
      </c>
      <c r="K43" s="202" t="s">
        <v>60</v>
      </c>
      <c r="L43" s="118"/>
      <c r="M43" s="118"/>
      <c r="N43" s="118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0.923611111111111</v>
      </c>
      <c r="B44" s="91" t="s">
        <v>90</v>
      </c>
      <c r="C44" s="98" t="n">
        <f aca="false">SUM(D43)</f>
        <v>3556480</v>
      </c>
      <c r="D44" s="108" t="n">
        <v>3566510</v>
      </c>
      <c r="E44" s="92" t="n">
        <f aca="false">SUM(D44-C44)</f>
        <v>10030</v>
      </c>
      <c r="F44" s="129" t="n">
        <v>9986</v>
      </c>
      <c r="G44" s="41" t="n">
        <v>0.8289</v>
      </c>
      <c r="H44" s="94" t="n">
        <f aca="false">SUM(G44*F44)</f>
        <v>8277.3954</v>
      </c>
      <c r="I44" s="184" t="n">
        <v>251</v>
      </c>
      <c r="J44" s="29" t="n">
        <v>6665</v>
      </c>
      <c r="K44" s="202" t="s">
        <v>60</v>
      </c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0.930555555555555</v>
      </c>
      <c r="B45" s="91" t="s">
        <v>90</v>
      </c>
      <c r="C45" s="98" t="n">
        <f aca="false">SUM(D44)</f>
        <v>3566510</v>
      </c>
      <c r="D45" s="108" t="n">
        <v>3573590</v>
      </c>
      <c r="E45" s="92" t="n">
        <f aca="false">SUM(D45-C45)</f>
        <v>7080</v>
      </c>
      <c r="F45" s="129" t="n">
        <v>7033</v>
      </c>
      <c r="G45" s="41" t="n">
        <v>0.8289</v>
      </c>
      <c r="H45" s="94" t="n">
        <f aca="false">SUM(G45*F45)</f>
        <v>5829.6537</v>
      </c>
      <c r="I45" s="184" t="n">
        <v>251</v>
      </c>
      <c r="J45" s="29" t="n">
        <v>6666</v>
      </c>
      <c r="K45" s="202" t="s">
        <v>60</v>
      </c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0.940972222222222</v>
      </c>
      <c r="B46" s="185" t="s">
        <v>62</v>
      </c>
      <c r="C46" s="98" t="n">
        <f aca="false">SUM(D45)</f>
        <v>3573590</v>
      </c>
      <c r="D46" s="108" t="n">
        <v>3584510</v>
      </c>
      <c r="E46" s="92" t="n">
        <f aca="false">SUM(D46-C46)</f>
        <v>10920</v>
      </c>
      <c r="F46" s="109" t="n">
        <v>10867</v>
      </c>
      <c r="G46" s="41" t="n">
        <v>0.8292</v>
      </c>
      <c r="H46" s="94" t="n">
        <f aca="false">SUM(G46*F46)</f>
        <v>9010.9164</v>
      </c>
      <c r="I46" s="186" t="n">
        <v>119</v>
      </c>
      <c r="J46" s="182" t="n">
        <v>6668</v>
      </c>
      <c r="K46" s="120" t="s">
        <v>84</v>
      </c>
      <c r="L46" s="118"/>
      <c r="M46" s="118"/>
      <c r="N46" s="118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0.986111111111111</v>
      </c>
      <c r="B47" s="91" t="s">
        <v>90</v>
      </c>
      <c r="C47" s="98" t="n">
        <f aca="false">SUM(D46)</f>
        <v>3584510</v>
      </c>
      <c r="D47" s="108" t="n">
        <v>3594550</v>
      </c>
      <c r="E47" s="92" t="n">
        <f aca="false">SUM(D47-C47)</f>
        <v>10040</v>
      </c>
      <c r="F47" s="129" t="n">
        <v>9986</v>
      </c>
      <c r="G47" s="41" t="n">
        <v>0.8289</v>
      </c>
      <c r="H47" s="94" t="n">
        <f aca="false">SUM(G47*F47)</f>
        <v>8277.3954</v>
      </c>
      <c r="I47" s="184" t="n">
        <v>251</v>
      </c>
      <c r="J47" s="29" t="n">
        <v>6670</v>
      </c>
      <c r="K47" s="202" t="s">
        <v>60</v>
      </c>
      <c r="L47" s="118"/>
      <c r="M47" s="118"/>
      <c r="N47" s="118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0.0729166666666667</v>
      </c>
      <c r="B48" s="91" t="s">
        <v>61</v>
      </c>
      <c r="C48" s="98" t="n">
        <f aca="false">SUM(D47)</f>
        <v>3594550</v>
      </c>
      <c r="D48" s="108" t="n">
        <v>3600610</v>
      </c>
      <c r="E48" s="92" t="n">
        <f aca="false">SUM(D48-C48)</f>
        <v>6060</v>
      </c>
      <c r="F48" s="109" t="n">
        <v>6021</v>
      </c>
      <c r="G48" s="41" t="n">
        <v>0.8268</v>
      </c>
      <c r="H48" s="94" t="n">
        <f aca="false">SUM(G48*F48)</f>
        <v>4978.1628</v>
      </c>
      <c r="I48" s="181" t="n">
        <v>57</v>
      </c>
      <c r="J48" s="29" t="n">
        <v>6672</v>
      </c>
      <c r="K48" s="202" t="s">
        <v>60</v>
      </c>
      <c r="L48" s="118"/>
      <c r="M48" s="118"/>
      <c r="N48" s="118"/>
      <c r="O48" s="118"/>
      <c r="P48" s="118"/>
      <c r="Q48" s="118"/>
      <c r="R48" s="118"/>
      <c r="S48" s="118"/>
    </row>
    <row r="49" customFormat="false" ht="15" hidden="false" customHeight="false" outlineLevel="0" collapsed="false">
      <c r="A49" s="90" t="n">
        <v>0.0798611111111111</v>
      </c>
      <c r="B49" s="91" t="s">
        <v>61</v>
      </c>
      <c r="C49" s="98" t="n">
        <f aca="false">D48</f>
        <v>3600610</v>
      </c>
      <c r="D49" s="108" t="n">
        <v>3608130</v>
      </c>
      <c r="E49" s="92" t="n">
        <f aca="false">SUM(D49-C49)</f>
        <v>7520</v>
      </c>
      <c r="F49" s="109" t="n">
        <v>7463</v>
      </c>
      <c r="G49" s="41" t="n">
        <v>0.8268</v>
      </c>
      <c r="H49" s="94" t="n">
        <f aca="false">SUM(G49*F49)</f>
        <v>6170.4084</v>
      </c>
      <c r="I49" s="181" t="n">
        <v>81</v>
      </c>
      <c r="J49" s="29" t="n">
        <v>6673</v>
      </c>
      <c r="K49" s="202" t="s">
        <v>60</v>
      </c>
      <c r="L49" s="118"/>
      <c r="M49" s="118"/>
      <c r="N49" s="118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0.100694444444444</v>
      </c>
      <c r="B50" s="91" t="s">
        <v>62</v>
      </c>
      <c r="C50" s="98" t="n">
        <f aca="false">SUM(D49)</f>
        <v>3608130</v>
      </c>
      <c r="D50" s="108" t="n">
        <v>3625230</v>
      </c>
      <c r="E50" s="92" t="n">
        <f aca="false">SUM(D50-C50)</f>
        <v>17100</v>
      </c>
      <c r="F50" s="129" t="n">
        <v>17019</v>
      </c>
      <c r="G50" s="41" t="n">
        <v>0.8292</v>
      </c>
      <c r="H50" s="94" t="n">
        <f aca="false">SUM(G50*F50)</f>
        <v>14112.1548</v>
      </c>
      <c r="I50" s="186" t="n">
        <v>251</v>
      </c>
      <c r="J50" s="182" t="n">
        <v>6674</v>
      </c>
      <c r="K50" s="120" t="s">
        <v>84</v>
      </c>
      <c r="L50" s="118"/>
      <c r="M50" s="118"/>
      <c r="N50" s="118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 t="n">
        <v>0.208333333333333</v>
      </c>
      <c r="B51" s="91" t="s">
        <v>62</v>
      </c>
      <c r="C51" s="98" t="n">
        <f aca="false">SUM(D50)</f>
        <v>3625230</v>
      </c>
      <c r="D51" s="108" t="n">
        <v>3642340</v>
      </c>
      <c r="E51" s="92" t="n">
        <f aca="false">SUM(D51-C51)</f>
        <v>17110</v>
      </c>
      <c r="F51" s="129" t="n">
        <v>17019</v>
      </c>
      <c r="G51" s="41" t="n">
        <v>0.8292</v>
      </c>
      <c r="H51" s="94" t="n">
        <f aca="false">SUM(G51*F51)</f>
        <v>14112.1548</v>
      </c>
      <c r="I51" s="186" t="n">
        <v>251</v>
      </c>
      <c r="J51" s="182" t="n">
        <v>6677</v>
      </c>
      <c r="K51" s="120" t="s">
        <v>84</v>
      </c>
      <c r="L51" s="118"/>
      <c r="M51" s="118"/>
      <c r="N51" s="118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 t="n">
        <v>0.284722222222222</v>
      </c>
      <c r="B52" s="139" t="s">
        <v>59</v>
      </c>
      <c r="C52" s="98" t="n">
        <f aca="false">SUM(D51)</f>
        <v>3642340</v>
      </c>
      <c r="D52" s="108" t="n">
        <v>3657510</v>
      </c>
      <c r="E52" s="92" t="n">
        <f aca="false">SUM(D52-C52)</f>
        <v>15170</v>
      </c>
      <c r="F52" s="109" t="n">
        <v>15040</v>
      </c>
      <c r="G52" s="41" t="n">
        <v>0.8452</v>
      </c>
      <c r="H52" s="94" t="n">
        <f aca="false">SUM(G52*F52)</f>
        <v>12711.808</v>
      </c>
      <c r="I52" s="165" t="n">
        <v>467</v>
      </c>
      <c r="J52" s="29" t="n">
        <v>6679</v>
      </c>
      <c r="K52" s="120" t="s">
        <v>104</v>
      </c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 t="n">
        <v>0.302083333333333</v>
      </c>
      <c r="B53" s="91" t="s">
        <v>62</v>
      </c>
      <c r="C53" s="98" t="n">
        <f aca="false">SUM(D52)</f>
        <v>3657510</v>
      </c>
      <c r="D53" s="108" t="n">
        <v>3674620</v>
      </c>
      <c r="E53" s="92" t="n">
        <f aca="false">SUM(D53-C53)</f>
        <v>17110</v>
      </c>
      <c r="F53" s="129" t="n">
        <v>17019</v>
      </c>
      <c r="G53" s="41" t="n">
        <v>0.8292</v>
      </c>
      <c r="H53" s="94" t="n">
        <f aca="false">SUM(G53*F53)</f>
        <v>14112.1548</v>
      </c>
      <c r="I53" s="186" t="n">
        <v>251</v>
      </c>
      <c r="J53" s="182" t="n">
        <v>6680</v>
      </c>
      <c r="K53" s="120" t="s">
        <v>84</v>
      </c>
      <c r="L53" s="118"/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 t="n">
        <v>0.34375</v>
      </c>
      <c r="B54" s="91" t="s">
        <v>61</v>
      </c>
      <c r="C54" s="98" t="n">
        <f aca="false">SUM(D53)</f>
        <v>3674620</v>
      </c>
      <c r="D54" s="108" t="n">
        <v>3691730</v>
      </c>
      <c r="E54" s="92" t="n">
        <f aca="false">SUM(D54-C54)</f>
        <v>17110</v>
      </c>
      <c r="F54" s="129" t="n">
        <v>17019</v>
      </c>
      <c r="G54" s="41" t="n">
        <v>0.8273</v>
      </c>
      <c r="H54" s="94" t="n">
        <f aca="false">SUM(G54*F54)</f>
        <v>14079.8187</v>
      </c>
      <c r="I54" s="181" t="n">
        <v>251</v>
      </c>
      <c r="J54" s="29" t="n">
        <v>6682</v>
      </c>
      <c r="K54" s="202" t="s">
        <v>60</v>
      </c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/>
      <c r="B55" s="91"/>
      <c r="C55" s="98" t="n">
        <v>0</v>
      </c>
      <c r="D55" s="108"/>
      <c r="E55" s="92" t="n">
        <f aca="false">SUM(D55-C55)</f>
        <v>0</v>
      </c>
      <c r="F55" s="109" t="n">
        <f aca="false">SUM(D55-C55)</f>
        <v>0</v>
      </c>
      <c r="G55" s="41"/>
      <c r="H55" s="94" t="n">
        <f aca="false">SUM(G55*F55)</f>
        <v>0</v>
      </c>
      <c r="I55" s="1"/>
      <c r="J55" s="29"/>
      <c r="K55" s="111"/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/>
      <c r="B56" s="91"/>
      <c r="C56" s="98" t="n">
        <f aca="false">SUM(D55)</f>
        <v>0</v>
      </c>
      <c r="D56" s="108"/>
      <c r="E56" s="92" t="n">
        <f aca="false">SUM(D56-C56)</f>
        <v>0</v>
      </c>
      <c r="F56" s="109" t="n">
        <f aca="false">SUM(D56-C56)</f>
        <v>0</v>
      </c>
      <c r="G56" s="41"/>
      <c r="H56" s="94" t="n">
        <f aca="false">SUM(G56*F56)</f>
        <v>0</v>
      </c>
      <c r="I56" s="1"/>
      <c r="J56" s="29"/>
      <c r="K56" s="118"/>
      <c r="L56" s="118"/>
      <c r="M56" s="118"/>
      <c r="N56" s="118"/>
      <c r="O56" s="118"/>
      <c r="P56" s="118"/>
      <c r="Q56" s="118"/>
      <c r="R56" s="118"/>
      <c r="S56" s="118"/>
    </row>
    <row r="57" customFormat="false" ht="15.75" hidden="false" customHeight="false" outlineLevel="0" collapsed="false">
      <c r="A57" s="90"/>
      <c r="B57" s="91"/>
      <c r="C57" s="98" t="n">
        <f aca="false">SUM(D56)</f>
        <v>0</v>
      </c>
      <c r="D57" s="76"/>
      <c r="E57" s="92" t="n">
        <f aca="false">SUM(D57-C57)</f>
        <v>0</v>
      </c>
      <c r="F57" s="131" t="n">
        <f aca="false">SUM(D57-C57)</f>
        <v>0</v>
      </c>
      <c r="G57" s="41"/>
      <c r="H57" s="132" t="n">
        <f aca="false">SUM(G57*F57)</f>
        <v>0</v>
      </c>
      <c r="I57" s="1"/>
      <c r="J57" s="29"/>
      <c r="K57" s="118"/>
      <c r="L57" s="118"/>
      <c r="M57" s="118"/>
      <c r="N57" s="118"/>
      <c r="O57" s="118"/>
      <c r="P57" s="118"/>
      <c r="Q57" s="118"/>
      <c r="R57" s="118"/>
      <c r="S57" s="118"/>
    </row>
    <row r="58" customFormat="false" ht="15.75" hidden="false" customHeight="false" outlineLevel="0" collapsed="false">
      <c r="A58" s="90"/>
      <c r="B58" s="91"/>
      <c r="C58" s="98" t="n">
        <f aca="false">SUM(D57)</f>
        <v>0</v>
      </c>
      <c r="D58" s="76"/>
      <c r="E58" s="110" t="n">
        <f aca="false">SUM(D58-C58)</f>
        <v>0</v>
      </c>
      <c r="F58" s="175" t="n">
        <v>297841</v>
      </c>
      <c r="G58" s="134"/>
      <c r="H58" s="176" t="n">
        <v>247394</v>
      </c>
      <c r="I58" s="136"/>
      <c r="J58" s="29"/>
      <c r="K58" s="121"/>
      <c r="L58" s="118"/>
      <c r="M58" s="118"/>
      <c r="N58" s="118"/>
      <c r="O58" s="118"/>
      <c r="P58" s="118"/>
      <c r="Q58" s="118"/>
      <c r="R58" s="118"/>
      <c r="S58" s="118"/>
    </row>
    <row r="59" customFormat="false" ht="15.75" hidden="false" customHeight="false" outlineLevel="0" collapsed="false">
      <c r="L59" s="118"/>
      <c r="M59" s="118"/>
      <c r="N59" s="118"/>
      <c r="O59" s="118"/>
      <c r="P59" s="118"/>
      <c r="Q59" s="118"/>
      <c r="R59" s="118"/>
      <c r="S59" s="118"/>
    </row>
    <row r="60" customFormat="false" ht="15.75" hidden="false" customHeight="false" outlineLevel="0" collapsed="false">
      <c r="F60" s="175" t="n">
        <f aca="false">F58+F25</f>
        <v>602687</v>
      </c>
      <c r="G60" s="134"/>
      <c r="H60" s="176" t="n">
        <f aca="false">H58+H25</f>
        <v>502436</v>
      </c>
      <c r="L60" s="118"/>
      <c r="M60" s="118"/>
      <c r="N60" s="118"/>
      <c r="O60" s="118"/>
      <c r="P60" s="118"/>
      <c r="Q60" s="118"/>
      <c r="R60" s="118"/>
      <c r="S60" s="118"/>
    </row>
    <row r="61" customFormat="false" ht="15" hidden="false" customHeight="false" outlineLevel="0" collapsed="false">
      <c r="E61" s="118"/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E62" s="118"/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E63" s="118"/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E64" s="118"/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E65" s="118"/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false" customHeight="false" outlineLevel="0" collapsed="false">
      <c r="E66" s="118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false" customHeight="false" outlineLevel="0" collapsed="false">
      <c r="E67" s="118"/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E68" s="118"/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false" customHeight="false" outlineLevel="0" collapsed="false">
      <c r="E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false" customHeight="false" outlineLevel="0" collapsed="false">
      <c r="E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false" customHeight="false" outlineLevel="0" collapsed="false">
      <c r="E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false" customHeight="false" outlineLevel="0" collapsed="false">
      <c r="E72" s="118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fals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fals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tru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tru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tru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tru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tru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fals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fals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fals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false" customHeight="false" outlineLevel="0" collapsed="false">
      <c r="E86" s="118"/>
    </row>
    <row r="87" customFormat="false" ht="15" hidden="false" customHeight="false" outlineLevel="0" collapsed="false">
      <c r="E87" s="118"/>
    </row>
    <row r="88" customFormat="false" ht="15" hidden="false" customHeight="false" outlineLevel="0" collapsed="false">
      <c r="E88" s="118"/>
    </row>
    <row r="89" customFormat="false" ht="15" hidden="false" customHeight="false" outlineLevel="0" collapsed="false">
      <c r="E89" s="118"/>
    </row>
    <row r="90" customFormat="false" ht="15" hidden="false" customHeight="false" outlineLevel="0" collapsed="false">
      <c r="E90" s="118"/>
    </row>
    <row r="91" customFormat="false" ht="15" hidden="false" customHeight="false" outlineLevel="0" collapsed="false">
      <c r="E91" s="118"/>
    </row>
    <row r="92" customFormat="false" ht="15" hidden="false" customHeight="false" outlineLevel="0" collapsed="false">
      <c r="E92" s="118"/>
    </row>
    <row r="93" customFormat="false" ht="15" hidden="false" customHeight="false" outlineLevel="0" collapsed="false">
      <c r="E93" s="118"/>
    </row>
    <row r="94" customFormat="false" ht="15" hidden="false" customHeight="false" outlineLevel="0" collapsed="false">
      <c r="E94" s="118"/>
    </row>
    <row r="95" customFormat="false" ht="15" hidden="false" customHeight="false" outlineLevel="0" collapsed="false">
      <c r="E95" s="118"/>
    </row>
    <row r="96" customFormat="false" ht="15" hidden="false" customHeight="false" outlineLevel="0" collapsed="false">
      <c r="E96" s="118"/>
    </row>
    <row r="97" customFormat="false" ht="15" hidden="false" customHeight="false" outlineLevel="0" collapsed="false">
      <c r="E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  <row r="124" customFormat="false" ht="15" hidden="false" customHeight="false" outlineLevel="0" collapsed="false">
      <c r="E124" s="118"/>
    </row>
    <row r="377" customFormat="false" ht="15" hidden="false" customHeight="false" outlineLevel="0" collapsed="false">
      <c r="N377" s="7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32"/>
  <sheetViews>
    <sheetView showFormulas="false" showGridLines="true" showRowColHeaders="true" showZeros="true" rightToLeft="false" tabSelected="false" showOutlineSymbols="true" defaultGridColor="true" view="normal" topLeftCell="A34" colorId="64" zoomScale="60" zoomScaleNormal="60" zoomScalePageLayoutView="100" workbookViewId="0">
      <selection pane="topLeft" activeCell="K53" activeCellId="0" sqref="K53"/>
    </sheetView>
  </sheetViews>
  <sheetFormatPr defaultColWidth="8.859375" defaultRowHeight="15" zeroHeight="false" outlineLevelRow="0" outlineLevelCol="0"/>
  <cols>
    <col collapsed="false" customWidth="true" hidden="false" outlineLevel="0" max="1" min="1" style="67" width="13.71"/>
    <col collapsed="false" customWidth="true" hidden="false" outlineLevel="0" max="2" min="2" style="68" width="10.28"/>
    <col collapsed="false" customWidth="true" hidden="false" outlineLevel="0" max="4" min="3" style="69" width="18.14"/>
    <col collapsed="false" customWidth="true" hidden="false" outlineLevel="0" max="6" min="5" style="69" width="14"/>
    <col collapsed="false" customWidth="true" hidden="false" outlineLevel="0" max="7" min="7" style="67" width="13.43"/>
    <col collapsed="false" customWidth="true" hidden="false" outlineLevel="0" max="8" min="8" style="70" width="13.85"/>
    <col collapsed="false" customWidth="true" hidden="false" outlineLevel="0" max="10" min="9" style="71" width="14.28"/>
    <col collapsed="false" customWidth="true" hidden="false" outlineLevel="0" max="11" min="11" style="72" width="12.57"/>
    <col collapsed="false" customWidth="true" hidden="false" outlineLevel="0" max="12" min="12" style="71" width="12.14"/>
    <col collapsed="false" customWidth="true" hidden="false" outlineLevel="0" max="13" min="13" style="71" width="9.85"/>
    <col collapsed="false" customWidth="true" hidden="false" outlineLevel="0" max="14" min="14" style="71" width="18.43"/>
    <col collapsed="false" customWidth="true" hidden="false" outlineLevel="0" max="15" min="15" style="71" width="17.85"/>
    <col collapsed="false" customWidth="true" hidden="false" outlineLevel="0" max="16" min="16" style="71" width="13.85"/>
    <col collapsed="false" customWidth="true" hidden="false" outlineLevel="0" max="17" min="17" style="71" width="12.71"/>
    <col collapsed="false" customWidth="true" hidden="false" outlineLevel="0" max="18" min="18" style="71" width="12.85"/>
    <col collapsed="false" customWidth="true" hidden="false" outlineLevel="0" max="19" min="19" style="71" width="12.14"/>
  </cols>
  <sheetData>
    <row r="1" customFormat="false" ht="45" hidden="false" customHeight="false" outlineLevel="0" collapsed="false">
      <c r="A1" s="41" t="s">
        <v>25</v>
      </c>
      <c r="B1" s="73" t="s">
        <v>26</v>
      </c>
      <c r="C1" s="74" t="s">
        <v>27</v>
      </c>
      <c r="D1" s="74" t="s">
        <v>28</v>
      </c>
      <c r="E1" s="74" t="s">
        <v>29</v>
      </c>
      <c r="F1" s="74" t="s">
        <v>29</v>
      </c>
      <c r="G1" s="74" t="s">
        <v>30</v>
      </c>
      <c r="H1" s="75" t="s">
        <v>31</v>
      </c>
      <c r="I1" s="76" t="s">
        <v>32</v>
      </c>
      <c r="J1" s="77" t="s">
        <v>3</v>
      </c>
      <c r="L1" s="78" t="s">
        <v>33</v>
      </c>
      <c r="M1" s="79" t="s">
        <v>34</v>
      </c>
      <c r="N1" s="80" t="s">
        <v>27</v>
      </c>
      <c r="O1" s="80" t="s">
        <v>28</v>
      </c>
      <c r="P1" s="80" t="s">
        <v>29</v>
      </c>
      <c r="Q1" s="80" t="s">
        <v>30</v>
      </c>
      <c r="R1" s="81" t="s">
        <v>31</v>
      </c>
      <c r="S1" s="80" t="s">
        <v>35</v>
      </c>
    </row>
    <row r="2" customFormat="false" ht="15.75" hidden="false" customHeight="false" outlineLevel="0" collapsed="false">
      <c r="A2" s="82" t="n">
        <v>45090</v>
      </c>
      <c r="B2" s="82" t="s">
        <v>36</v>
      </c>
      <c r="C2" s="83"/>
      <c r="D2" s="83"/>
      <c r="E2" s="83"/>
      <c r="F2" s="83"/>
      <c r="G2" s="84"/>
      <c r="H2" s="85"/>
      <c r="I2" s="86"/>
      <c r="J2" s="87"/>
      <c r="K2" s="88"/>
      <c r="L2" s="89"/>
      <c r="M2" s="82" t="s">
        <v>37</v>
      </c>
      <c r="N2" s="83"/>
      <c r="O2" s="83"/>
      <c r="P2" s="83"/>
      <c r="Q2" s="84"/>
      <c r="R2" s="85"/>
      <c r="S2" s="86"/>
    </row>
    <row r="3" customFormat="false" ht="15.75" hidden="false" customHeight="false" outlineLevel="0" collapsed="false">
      <c r="A3" s="90" t="n">
        <v>0.427083333333333</v>
      </c>
      <c r="B3" s="91" t="s">
        <v>39</v>
      </c>
      <c r="C3" s="76" t="n">
        <v>51182270</v>
      </c>
      <c r="D3" s="76" t="n">
        <v>51199290</v>
      </c>
      <c r="E3" s="92" t="n">
        <f aca="false">SUM(D3-C3)</f>
        <v>17020</v>
      </c>
      <c r="F3" s="107" t="n">
        <v>17019</v>
      </c>
      <c r="G3" s="41" t="n">
        <v>0.8364</v>
      </c>
      <c r="H3" s="94" t="n">
        <f aca="false">SUM(G3*F3)</f>
        <v>14234.6916</v>
      </c>
      <c r="I3" s="29" t="n">
        <v>251</v>
      </c>
      <c r="J3" s="29" t="n">
        <v>6685</v>
      </c>
      <c r="K3" s="95" t="s">
        <v>18</v>
      </c>
      <c r="L3" s="96" t="n">
        <v>0.666666666666667</v>
      </c>
      <c r="M3" s="97" t="s">
        <v>39</v>
      </c>
      <c r="N3" s="160" t="n">
        <v>7629690</v>
      </c>
      <c r="O3" s="99" t="n">
        <v>7629980</v>
      </c>
      <c r="P3" s="100" t="n">
        <f aca="false">SUM(O3-N3)</f>
        <v>290</v>
      </c>
      <c r="Q3" s="101" t="n">
        <v>0.8364</v>
      </c>
      <c r="R3" s="102" t="n">
        <f aca="false">SUM(Q3*P3)</f>
        <v>242.556</v>
      </c>
      <c r="S3" s="103" t="s">
        <v>65</v>
      </c>
      <c r="V3" s="0" t="s">
        <v>41</v>
      </c>
    </row>
    <row r="4" customFormat="false" ht="15" hidden="false" customHeight="false" outlineLevel="0" collapsed="false">
      <c r="A4" s="90" t="n">
        <v>0.4375</v>
      </c>
      <c r="B4" s="91" t="s">
        <v>48</v>
      </c>
      <c r="C4" s="98" t="n">
        <f aca="false">SUM(D3)</f>
        <v>51199290</v>
      </c>
      <c r="D4" s="76" t="n">
        <v>51207470</v>
      </c>
      <c r="E4" s="92" t="n">
        <f aca="false">SUM(D4-C4)</f>
        <v>8180</v>
      </c>
      <c r="F4" s="109" t="n">
        <f aca="false">SUM(D4-C4)</f>
        <v>8180</v>
      </c>
      <c r="G4" s="41" t="n">
        <v>0.8331</v>
      </c>
      <c r="H4" s="94" t="n">
        <f aca="false">SUM(G4*F4)</f>
        <v>6814.758</v>
      </c>
      <c r="I4" s="29" t="n">
        <v>248</v>
      </c>
      <c r="J4" s="29" t="n">
        <v>6687</v>
      </c>
      <c r="K4" s="95" t="s">
        <v>18</v>
      </c>
      <c r="L4" s="96" t="n">
        <v>0.708333333333333</v>
      </c>
      <c r="M4" s="105" t="s">
        <v>44</v>
      </c>
      <c r="N4" s="100" t="n">
        <f aca="false">SUM(O3)</f>
        <v>7629980</v>
      </c>
      <c r="O4" s="99" t="n">
        <v>7630110</v>
      </c>
      <c r="P4" s="100" t="n">
        <f aca="false">SUM(O4-N4)</f>
        <v>130</v>
      </c>
      <c r="Q4" s="106" t="n">
        <v>0.8365</v>
      </c>
      <c r="R4" s="102" t="n">
        <f aca="false">SUM(Q4*P4)</f>
        <v>108.745</v>
      </c>
      <c r="S4" s="103" t="s">
        <v>97</v>
      </c>
    </row>
    <row r="5" customFormat="false" ht="15" hidden="false" customHeight="false" outlineLevel="0" collapsed="false">
      <c r="A5" s="90" t="n">
        <v>0.451388888888889</v>
      </c>
      <c r="B5" s="91" t="s">
        <v>48</v>
      </c>
      <c r="C5" s="98" t="n">
        <f aca="false">SUM(D4)</f>
        <v>51207470</v>
      </c>
      <c r="D5" s="76" t="n">
        <v>51215980</v>
      </c>
      <c r="E5" s="92" t="n">
        <f aca="false">SUM(D5-C5)</f>
        <v>8510</v>
      </c>
      <c r="F5" s="109" t="n">
        <f aca="false">SUM(D5-C5)</f>
        <v>8510</v>
      </c>
      <c r="G5" s="41" t="n">
        <v>0.8331</v>
      </c>
      <c r="H5" s="94" t="n">
        <f aca="false">SUM(G5*F5)</f>
        <v>7089.681</v>
      </c>
      <c r="I5" s="29" t="n">
        <v>147</v>
      </c>
      <c r="J5" s="29" t="n">
        <v>6689</v>
      </c>
      <c r="K5" s="95" t="s">
        <v>18</v>
      </c>
      <c r="L5" s="96" t="n">
        <v>0.75</v>
      </c>
      <c r="M5" s="105" t="s">
        <v>44</v>
      </c>
      <c r="N5" s="100" t="n">
        <f aca="false">SUM(O4)</f>
        <v>7630110</v>
      </c>
      <c r="O5" s="99" t="n">
        <v>7630320</v>
      </c>
      <c r="P5" s="100" t="n">
        <f aca="false">SUM(O5-N5)</f>
        <v>210</v>
      </c>
      <c r="Q5" s="101" t="n">
        <v>0.8365</v>
      </c>
      <c r="R5" s="102" t="n">
        <f aca="false">SUM(Q5*P5)</f>
        <v>175.665</v>
      </c>
      <c r="S5" s="103" t="s">
        <v>43</v>
      </c>
    </row>
    <row r="6" customFormat="false" ht="15" hidden="false" customHeight="false" outlineLevel="0" collapsed="false">
      <c r="A6" s="90" t="n">
        <v>0.458333333333333</v>
      </c>
      <c r="B6" s="91" t="s">
        <v>48</v>
      </c>
      <c r="C6" s="98" t="n">
        <f aca="false">SUM(D5)</f>
        <v>51215980</v>
      </c>
      <c r="D6" s="76" t="n">
        <v>51227460</v>
      </c>
      <c r="E6" s="92" t="n">
        <f aca="false">SUM(D6-C6)</f>
        <v>11480</v>
      </c>
      <c r="F6" s="190" t="n">
        <v>11480</v>
      </c>
      <c r="G6" s="41" t="n">
        <v>0.8331</v>
      </c>
      <c r="H6" s="94" t="n">
        <f aca="false">SUM(G6*F6)</f>
        <v>9563.988</v>
      </c>
      <c r="I6" s="29" t="n">
        <v>388</v>
      </c>
      <c r="J6" s="29" t="n">
        <v>6690</v>
      </c>
      <c r="K6" s="95" t="s">
        <v>18</v>
      </c>
      <c r="L6" s="96" t="n">
        <v>0.944444444444444</v>
      </c>
      <c r="M6" s="105" t="s">
        <v>46</v>
      </c>
      <c r="N6" s="100" t="n">
        <f aca="false">SUM(O5)</f>
        <v>7630320</v>
      </c>
      <c r="O6" s="99" t="n">
        <v>7630370</v>
      </c>
      <c r="P6" s="100" t="n">
        <f aca="false">SUM(O6-N6)</f>
        <v>50</v>
      </c>
      <c r="Q6" s="41" t="n">
        <v>0.8365</v>
      </c>
      <c r="R6" s="102" t="n">
        <f aca="false">SUM(Q6*P6)</f>
        <v>41.825</v>
      </c>
      <c r="S6" s="103" t="s">
        <v>105</v>
      </c>
    </row>
    <row r="7" customFormat="false" ht="15" hidden="false" customHeight="false" outlineLevel="0" collapsed="false">
      <c r="A7" s="90" t="n">
        <v>0.458333333333333</v>
      </c>
      <c r="B7" s="91" t="s">
        <v>48</v>
      </c>
      <c r="C7" s="98" t="n">
        <f aca="false">SUM(D6)</f>
        <v>51227460</v>
      </c>
      <c r="D7" s="76" t="n">
        <v>51238410</v>
      </c>
      <c r="E7" s="92" t="n">
        <f aca="false">SUM(D7-C7)</f>
        <v>10950</v>
      </c>
      <c r="F7" s="190" t="n">
        <v>10950</v>
      </c>
      <c r="G7" s="41" t="n">
        <v>0.8331</v>
      </c>
      <c r="H7" s="94" t="n">
        <f aca="false">SUM(G7*F7)</f>
        <v>9122.445</v>
      </c>
      <c r="I7" s="29" t="n">
        <v>388</v>
      </c>
      <c r="J7" s="29" t="n">
        <v>6691</v>
      </c>
      <c r="K7" s="95" t="s">
        <v>18</v>
      </c>
      <c r="L7" s="96" t="n">
        <v>0.958333333333333</v>
      </c>
      <c r="M7" s="105" t="s">
        <v>48</v>
      </c>
      <c r="N7" s="100" t="n">
        <f aca="false">SUM(O6)</f>
        <v>7630370</v>
      </c>
      <c r="O7" s="99" t="n">
        <v>7630430</v>
      </c>
      <c r="P7" s="100" t="n">
        <f aca="false">SUM(O7-N7)</f>
        <v>60</v>
      </c>
      <c r="Q7" s="41" t="n">
        <v>0.8363</v>
      </c>
      <c r="R7" s="102" t="n">
        <f aca="false">SUM(Q7*P7)</f>
        <v>50.178</v>
      </c>
      <c r="S7" s="103" t="s">
        <v>63</v>
      </c>
    </row>
    <row r="8" customFormat="false" ht="15" hidden="false" customHeight="false" outlineLevel="0" collapsed="false">
      <c r="A8" s="90" t="n">
        <v>0.541666666666667</v>
      </c>
      <c r="B8" s="91" t="s">
        <v>48</v>
      </c>
      <c r="C8" s="98" t="n">
        <f aca="false">SUM(D7)</f>
        <v>51238410</v>
      </c>
      <c r="D8" s="76" t="n">
        <v>51260840</v>
      </c>
      <c r="E8" s="92" t="n">
        <f aca="false">SUM(D8-C8)</f>
        <v>22430</v>
      </c>
      <c r="F8" s="190" t="n">
        <v>22430</v>
      </c>
      <c r="G8" s="41" t="n">
        <v>0.8338</v>
      </c>
      <c r="H8" s="94" t="n">
        <f aca="false">SUM(G8*F8)</f>
        <v>18702.134</v>
      </c>
      <c r="I8" s="29" t="n">
        <v>388</v>
      </c>
      <c r="J8" s="29" t="n">
        <v>6696</v>
      </c>
      <c r="K8" s="95" t="s">
        <v>18</v>
      </c>
      <c r="L8" s="96" t="n">
        <v>0.993055555555555</v>
      </c>
      <c r="M8" s="97" t="s">
        <v>46</v>
      </c>
      <c r="N8" s="100" t="n">
        <f aca="false">SUM(O7)</f>
        <v>7630430</v>
      </c>
      <c r="O8" s="99" t="n">
        <v>7630700</v>
      </c>
      <c r="P8" s="100" t="n">
        <f aca="false">SUM(O8-N8)</f>
        <v>270</v>
      </c>
      <c r="Q8" s="101" t="n">
        <v>0.8365</v>
      </c>
      <c r="R8" s="102" t="n">
        <f aca="false">SUM(Q8*P8)</f>
        <v>225.855</v>
      </c>
      <c r="S8" s="1" t="s">
        <v>45</v>
      </c>
    </row>
    <row r="9" customFormat="false" ht="15" hidden="false" customHeight="false" outlineLevel="0" collapsed="false">
      <c r="A9" s="90" t="n">
        <v>0.708333333333333</v>
      </c>
      <c r="B9" s="91" t="s">
        <v>46</v>
      </c>
      <c r="C9" s="98" t="n">
        <f aca="false">SUM(D8)</f>
        <v>51260840</v>
      </c>
      <c r="D9" s="76" t="n">
        <v>51283250</v>
      </c>
      <c r="E9" s="92" t="n">
        <f aca="false">SUM(D9-C9)</f>
        <v>22410</v>
      </c>
      <c r="F9" s="190" t="n">
        <v>22430</v>
      </c>
      <c r="G9" s="41" t="n">
        <v>0.8363</v>
      </c>
      <c r="H9" s="94" t="n">
        <f aca="false">SUM(G9*F9)</f>
        <v>18758.209</v>
      </c>
      <c r="I9" s="29" t="n">
        <v>388</v>
      </c>
      <c r="J9" s="29" t="n">
        <v>6702</v>
      </c>
      <c r="K9" s="95" t="s">
        <v>18</v>
      </c>
      <c r="L9" s="96" t="n">
        <v>0.0555555555555556</v>
      </c>
      <c r="M9" s="97" t="s">
        <v>38</v>
      </c>
      <c r="N9" s="100" t="n">
        <f aca="false">SUM(O8)</f>
        <v>7630700</v>
      </c>
      <c r="O9" s="99" t="n">
        <v>7630760</v>
      </c>
      <c r="P9" s="100" t="n">
        <f aca="false">SUM(O9-N9)</f>
        <v>60</v>
      </c>
      <c r="Q9" s="101" t="n">
        <v>0.8395</v>
      </c>
      <c r="R9" s="102" t="n">
        <f aca="false">SUM(Q9*P9)</f>
        <v>50.37</v>
      </c>
      <c r="S9" s="1" t="s">
        <v>51</v>
      </c>
    </row>
    <row r="10" customFormat="false" ht="15" hidden="false" customHeight="false" outlineLevel="0" collapsed="false">
      <c r="A10" s="90" t="n">
        <v>0.770833333333333</v>
      </c>
      <c r="B10" s="91" t="s">
        <v>46</v>
      </c>
      <c r="C10" s="98" t="n">
        <f aca="false">SUM(D9)</f>
        <v>51283250</v>
      </c>
      <c r="D10" s="76" t="n">
        <v>51305680</v>
      </c>
      <c r="E10" s="92" t="n">
        <f aca="false">SUM(D10-C10)</f>
        <v>22430</v>
      </c>
      <c r="F10" s="190" t="n">
        <v>22430</v>
      </c>
      <c r="G10" s="41" t="n">
        <v>0.8363</v>
      </c>
      <c r="H10" s="94" t="n">
        <f aca="false">SUM(G10*F10)</f>
        <v>18758.209</v>
      </c>
      <c r="I10" s="29" t="n">
        <v>388</v>
      </c>
      <c r="J10" s="29" t="n">
        <v>6704</v>
      </c>
      <c r="K10" s="95" t="s">
        <v>18</v>
      </c>
      <c r="L10" s="96"/>
      <c r="M10" s="97"/>
      <c r="N10" s="100" t="n">
        <f aca="false">SUM(O9)</f>
        <v>7630760</v>
      </c>
      <c r="O10" s="99"/>
      <c r="P10" s="100" t="n">
        <f aca="false">SUM(O10-N10)</f>
        <v>-7630760</v>
      </c>
      <c r="Q10" s="101"/>
      <c r="R10" s="102" t="n">
        <f aca="false">SUM(Q10*P10)</f>
        <v>0</v>
      </c>
      <c r="S10" s="103"/>
    </row>
    <row r="11" customFormat="false" ht="15" hidden="false" customHeight="false" outlineLevel="0" collapsed="false">
      <c r="A11" s="90" t="n">
        <v>0.826388888888889</v>
      </c>
      <c r="B11" s="91" t="s">
        <v>48</v>
      </c>
      <c r="C11" s="98" t="n">
        <f aca="false">SUM(D10)</f>
        <v>51305680</v>
      </c>
      <c r="D11" s="76" t="n">
        <v>51328090</v>
      </c>
      <c r="E11" s="92" t="n">
        <f aca="false">SUM(D11-C11)</f>
        <v>22410</v>
      </c>
      <c r="F11" s="190" t="n">
        <v>22430</v>
      </c>
      <c r="G11" s="41" t="n">
        <v>0.8363</v>
      </c>
      <c r="H11" s="94" t="n">
        <f aca="false">SUM(G11*F11)</f>
        <v>18758.209</v>
      </c>
      <c r="I11" s="29" t="n">
        <v>388</v>
      </c>
      <c r="J11" s="29" t="n">
        <v>6707</v>
      </c>
      <c r="K11" s="95" t="s">
        <v>18</v>
      </c>
      <c r="L11" s="96"/>
      <c r="M11" s="97"/>
      <c r="N11" s="100" t="n">
        <f aca="false">SUM(O10)</f>
        <v>0</v>
      </c>
      <c r="O11" s="99"/>
      <c r="P11" s="100" t="n">
        <f aca="false">SUM(O11-N11)</f>
        <v>0</v>
      </c>
      <c r="Q11" s="101"/>
      <c r="R11" s="102" t="n">
        <f aca="false">SUM(Q11*P11)</f>
        <v>0</v>
      </c>
      <c r="S11" s="1"/>
    </row>
    <row r="12" customFormat="false" ht="15" hidden="false" customHeight="false" outlineLevel="0" collapsed="false">
      <c r="A12" s="90" t="n">
        <v>0.875</v>
      </c>
      <c r="B12" s="91" t="s">
        <v>48</v>
      </c>
      <c r="C12" s="98" t="n">
        <f aca="false">SUM(D11)</f>
        <v>51328090</v>
      </c>
      <c r="D12" s="76" t="n">
        <v>51337320</v>
      </c>
      <c r="E12" s="92" t="n">
        <f aca="false">SUM(D12-C12)</f>
        <v>9230</v>
      </c>
      <c r="F12" s="109" t="n">
        <v>9248</v>
      </c>
      <c r="G12" s="41" t="n">
        <v>0.8363</v>
      </c>
      <c r="H12" s="94" t="n">
        <f aca="false">SUM(G12*F12)</f>
        <v>7734.1024</v>
      </c>
      <c r="I12" s="29" t="n">
        <v>147</v>
      </c>
      <c r="J12" s="29" t="n">
        <v>6709</v>
      </c>
      <c r="K12" s="95" t="s">
        <v>18</v>
      </c>
      <c r="L12" s="96"/>
      <c r="M12" s="97"/>
      <c r="N12" s="100" t="n">
        <f aca="false">SUM(O11)</f>
        <v>0</v>
      </c>
      <c r="O12" s="99"/>
      <c r="P12" s="100" t="n">
        <f aca="false">SUM(O12-N12)</f>
        <v>0</v>
      </c>
      <c r="Q12" s="101"/>
      <c r="R12" s="102" t="n">
        <f aca="false">SUM(Q12*P12)</f>
        <v>0</v>
      </c>
      <c r="S12" s="1"/>
    </row>
    <row r="13" customFormat="false" ht="15" hidden="false" customHeight="false" outlineLevel="0" collapsed="false">
      <c r="A13" s="90" t="n">
        <v>0.885416666666667</v>
      </c>
      <c r="B13" s="91" t="s">
        <v>46</v>
      </c>
      <c r="C13" s="98" t="n">
        <f aca="false">SUM(D12)</f>
        <v>51337320</v>
      </c>
      <c r="D13" s="76" t="n">
        <v>51354340</v>
      </c>
      <c r="E13" s="92" t="n">
        <f aca="false">SUM(D13-C13)</f>
        <v>17020</v>
      </c>
      <c r="F13" s="107" t="n">
        <v>17019</v>
      </c>
      <c r="G13" s="41" t="n">
        <v>0.8365</v>
      </c>
      <c r="H13" s="94" t="n">
        <f aca="false">SUM(G13*F13)</f>
        <v>14236.3935</v>
      </c>
      <c r="I13" s="29" t="n">
        <v>251</v>
      </c>
      <c r="J13" s="29" t="n">
        <v>6711</v>
      </c>
      <c r="K13" s="95" t="s">
        <v>18</v>
      </c>
      <c r="L13" s="96"/>
      <c r="M13" s="97"/>
      <c r="N13" s="100" t="n">
        <f aca="false">SUM(O12)</f>
        <v>0</v>
      </c>
      <c r="O13" s="99"/>
      <c r="P13" s="100" t="n">
        <f aca="false">SUM(O13-N13)</f>
        <v>0</v>
      </c>
      <c r="Q13" s="101"/>
      <c r="R13" s="102" t="n">
        <f aca="false">SUM(Q13*P13)</f>
        <v>0</v>
      </c>
      <c r="S13" s="1"/>
    </row>
    <row r="14" customFormat="false" ht="15" hidden="false" customHeight="false" outlineLevel="0" collapsed="false">
      <c r="A14" s="90" t="n">
        <v>0.90625</v>
      </c>
      <c r="B14" s="91" t="s">
        <v>39</v>
      </c>
      <c r="C14" s="98" t="n">
        <f aca="false">SUM(D13)</f>
        <v>51354340</v>
      </c>
      <c r="D14" s="76" t="n">
        <v>51376760</v>
      </c>
      <c r="E14" s="92" t="n">
        <f aca="false">SUM(D14-C14)</f>
        <v>22420</v>
      </c>
      <c r="F14" s="190" t="n">
        <v>22430</v>
      </c>
      <c r="G14" s="41" t="n">
        <v>0.8395</v>
      </c>
      <c r="H14" s="94" t="n">
        <f aca="false">SUM(G14*F14)</f>
        <v>18829.985</v>
      </c>
      <c r="I14" s="29" t="n">
        <v>388</v>
      </c>
      <c r="J14" s="29" t="n">
        <v>6713</v>
      </c>
      <c r="K14" s="95" t="s">
        <v>18</v>
      </c>
      <c r="L14" s="96"/>
      <c r="M14" s="97"/>
      <c r="N14" s="100" t="n">
        <f aca="false">SUM(O13)</f>
        <v>0</v>
      </c>
      <c r="O14" s="99"/>
      <c r="P14" s="100" t="n">
        <f aca="false">SUM(O14-N14)</f>
        <v>0</v>
      </c>
      <c r="Q14" s="101"/>
      <c r="R14" s="102" t="n">
        <f aca="false">SUM(Q14*P14)</f>
        <v>0</v>
      </c>
      <c r="S14" s="1"/>
    </row>
    <row r="15" customFormat="false" ht="15" hidden="false" customHeight="false" outlineLevel="0" collapsed="false">
      <c r="A15" s="90" t="n">
        <v>0.96875</v>
      </c>
      <c r="B15" s="91" t="s">
        <v>38</v>
      </c>
      <c r="C15" s="98" t="n">
        <f aca="false">SUM(D14)</f>
        <v>51376760</v>
      </c>
      <c r="D15" s="76" t="n">
        <v>51399190</v>
      </c>
      <c r="E15" s="92" t="n">
        <f aca="false">SUM(D15-C15)</f>
        <v>22430</v>
      </c>
      <c r="F15" s="190" t="n">
        <v>22430</v>
      </c>
      <c r="G15" s="41" t="n">
        <v>0.8395</v>
      </c>
      <c r="H15" s="94" t="n">
        <f aca="false">SUM(G15*F15)</f>
        <v>18829.985</v>
      </c>
      <c r="I15" s="29" t="n">
        <v>388</v>
      </c>
      <c r="J15" s="29" t="n">
        <v>6717</v>
      </c>
      <c r="K15" s="95" t="s">
        <v>18</v>
      </c>
      <c r="L15" s="96"/>
      <c r="M15" s="97"/>
      <c r="N15" s="100" t="n">
        <f aca="false">SUM(O14)</f>
        <v>0</v>
      </c>
      <c r="O15" s="99"/>
      <c r="P15" s="100" t="n">
        <f aca="false">SUM(O15-N15)</f>
        <v>0</v>
      </c>
      <c r="Q15" s="101"/>
      <c r="R15" s="102" t="n">
        <f aca="false">SUM(Q15*P15)</f>
        <v>0</v>
      </c>
      <c r="S15" s="1"/>
    </row>
    <row r="16" customFormat="false" ht="15" hidden="false" customHeight="false" outlineLevel="0" collapsed="false">
      <c r="A16" s="90" t="n">
        <v>0.1875</v>
      </c>
      <c r="B16" s="91" t="s">
        <v>39</v>
      </c>
      <c r="C16" s="98" t="n">
        <f aca="false">SUM(D15)</f>
        <v>51399190</v>
      </c>
      <c r="D16" s="76" t="n">
        <v>51416210</v>
      </c>
      <c r="E16" s="92" t="n">
        <f aca="false">SUM(D16-C16)</f>
        <v>17020</v>
      </c>
      <c r="F16" s="107" t="n">
        <v>17019</v>
      </c>
      <c r="G16" s="41" t="n">
        <v>0.8399</v>
      </c>
      <c r="H16" s="94" t="n">
        <f aca="false">SUM(G16*F16)</f>
        <v>14294.2581</v>
      </c>
      <c r="I16" s="29" t="n">
        <v>251</v>
      </c>
      <c r="J16" s="29" t="n">
        <v>6721</v>
      </c>
      <c r="K16" s="95" t="s">
        <v>18</v>
      </c>
      <c r="L16" s="96"/>
      <c r="M16" s="105"/>
      <c r="N16" s="100" t="n">
        <f aca="false">SUM(O15)</f>
        <v>0</v>
      </c>
      <c r="O16" s="99"/>
      <c r="P16" s="100" t="n">
        <f aca="false">SUM(O16-N16)</f>
        <v>0</v>
      </c>
      <c r="Q16" s="41"/>
      <c r="R16" s="102" t="n">
        <f aca="false">SUM(Q16*P16)</f>
        <v>0</v>
      </c>
      <c r="S16" s="103"/>
    </row>
    <row r="17" customFormat="false" ht="15" hidden="false" customHeight="false" outlineLevel="0" collapsed="false">
      <c r="A17" s="90" t="n">
        <v>0.201388888888889</v>
      </c>
      <c r="B17" s="91" t="s">
        <v>54</v>
      </c>
      <c r="C17" s="98" t="n">
        <f aca="false">SUM(D16)</f>
        <v>51416210</v>
      </c>
      <c r="D17" s="76" t="n">
        <v>51438620</v>
      </c>
      <c r="E17" s="92" t="n">
        <f aca="false">SUM(D17-C17)</f>
        <v>22410</v>
      </c>
      <c r="F17" s="190" t="n">
        <v>22430</v>
      </c>
      <c r="G17" s="41" t="n">
        <v>0.8399</v>
      </c>
      <c r="H17" s="94" t="n">
        <f aca="false">SUM(G17*F17)</f>
        <v>18838.957</v>
      </c>
      <c r="I17" s="29" t="n">
        <v>388</v>
      </c>
      <c r="J17" s="29" t="n">
        <v>6722</v>
      </c>
      <c r="K17" s="95" t="s">
        <v>18</v>
      </c>
      <c r="L17" s="89"/>
      <c r="M17" s="89" t="s">
        <v>49</v>
      </c>
      <c r="N17" s="83"/>
      <c r="O17" s="83"/>
      <c r="P17" s="83"/>
      <c r="Q17" s="84"/>
      <c r="R17" s="85"/>
      <c r="S17" s="86"/>
    </row>
    <row r="18" customFormat="false" ht="15" hidden="false" customHeight="false" outlineLevel="0" collapsed="false">
      <c r="A18" s="90" t="n">
        <v>0.260416666666667</v>
      </c>
      <c r="B18" s="91" t="s">
        <v>54</v>
      </c>
      <c r="C18" s="98" t="n">
        <f aca="false">SUM(D17)</f>
        <v>51438620</v>
      </c>
      <c r="D18" s="76" t="n">
        <v>51461040</v>
      </c>
      <c r="E18" s="92" t="n">
        <f aca="false">SUM(D18-C18)</f>
        <v>22420</v>
      </c>
      <c r="F18" s="190" t="n">
        <v>22430</v>
      </c>
      <c r="G18" s="41" t="n">
        <v>0.8399</v>
      </c>
      <c r="H18" s="94" t="n">
        <f aca="false">SUM(G18*F18)</f>
        <v>18838.957</v>
      </c>
      <c r="I18" s="29" t="n">
        <v>388</v>
      </c>
      <c r="J18" s="29" t="n">
        <v>6724</v>
      </c>
      <c r="K18" s="95" t="s">
        <v>18</v>
      </c>
      <c r="L18" s="96"/>
      <c r="M18" s="105"/>
      <c r="N18" s="130"/>
      <c r="O18" s="99"/>
      <c r="P18" s="109" t="n">
        <f aca="false">SUM(O18-N18)</f>
        <v>0</v>
      </c>
      <c r="Q18" s="41"/>
      <c r="R18" s="94" t="n">
        <f aca="false">SUM(Q18*P18)</f>
        <v>0</v>
      </c>
      <c r="S18" s="103"/>
      <c r="T18" s="0" t="s">
        <v>41</v>
      </c>
    </row>
    <row r="19" customFormat="false" ht="15" hidden="false" customHeight="false" outlineLevel="0" collapsed="false">
      <c r="A19" s="90" t="n">
        <v>0.322916666666667</v>
      </c>
      <c r="B19" s="91" t="s">
        <v>54</v>
      </c>
      <c r="C19" s="98" t="n">
        <f aca="false">SUM(D18)</f>
        <v>51461040</v>
      </c>
      <c r="D19" s="76" t="n">
        <v>51472520</v>
      </c>
      <c r="E19" s="92" t="n">
        <f aca="false">SUM(D19-C19)</f>
        <v>11480</v>
      </c>
      <c r="F19" s="190" t="n">
        <v>11480</v>
      </c>
      <c r="G19" s="41" t="n">
        <v>0.8385</v>
      </c>
      <c r="H19" s="94" t="n">
        <f aca="false">SUM(G19*F19)</f>
        <v>9625.98</v>
      </c>
      <c r="I19" s="29" t="n">
        <v>388</v>
      </c>
      <c r="J19" s="29" t="n">
        <v>6727</v>
      </c>
      <c r="K19" s="95" t="s">
        <v>18</v>
      </c>
      <c r="L19" s="96"/>
      <c r="M19" s="105"/>
      <c r="N19" s="98" t="n">
        <f aca="false">SUM(O18)</f>
        <v>0</v>
      </c>
      <c r="O19" s="99"/>
      <c r="P19" s="109" t="n">
        <f aca="false">SUM(O19-N19)</f>
        <v>0</v>
      </c>
      <c r="Q19" s="41"/>
      <c r="R19" s="94" t="n">
        <f aca="false">SUM(Q19*P19)</f>
        <v>0</v>
      </c>
      <c r="S19" s="103"/>
    </row>
    <row r="20" customFormat="false" ht="15" hidden="false" customHeight="false" outlineLevel="0" collapsed="false">
      <c r="A20" s="90" t="n">
        <v>0.322916666666667</v>
      </c>
      <c r="B20" s="91" t="s">
        <v>54</v>
      </c>
      <c r="C20" s="98" t="n">
        <f aca="false">SUM(D19)</f>
        <v>51472520</v>
      </c>
      <c r="D20" s="76" t="n">
        <v>51483480</v>
      </c>
      <c r="E20" s="92" t="n">
        <f aca="false">SUM(D20-C20)</f>
        <v>10960</v>
      </c>
      <c r="F20" s="190" t="n">
        <v>10950</v>
      </c>
      <c r="G20" s="41" t="n">
        <v>0.8385</v>
      </c>
      <c r="H20" s="94" t="n">
        <f aca="false">SUM(G20*F20)</f>
        <v>9181.575</v>
      </c>
      <c r="I20" s="29" t="n">
        <v>388</v>
      </c>
      <c r="J20" s="29" t="n">
        <v>6728</v>
      </c>
      <c r="K20" s="95" t="s">
        <v>18</v>
      </c>
      <c r="L20" s="96"/>
      <c r="M20" s="105"/>
      <c r="N20" s="98" t="n">
        <f aca="false">SUM(O19)</f>
        <v>0</v>
      </c>
      <c r="O20" s="99"/>
      <c r="P20" s="109" t="n">
        <f aca="false">SUM(O20-N20)</f>
        <v>0</v>
      </c>
      <c r="Q20" s="41"/>
      <c r="R20" s="94" t="n">
        <f aca="false">SUM(Q20*P20)</f>
        <v>0</v>
      </c>
      <c r="S20" s="103"/>
    </row>
    <row r="21" customFormat="false" ht="15" hidden="false" customHeight="false" outlineLevel="0" collapsed="false">
      <c r="A21" s="90"/>
      <c r="B21" s="91"/>
      <c r="C21" s="98"/>
      <c r="D21" s="76"/>
      <c r="E21" s="92" t="n">
        <f aca="false">SUM(D21-C21)</f>
        <v>0</v>
      </c>
      <c r="F21" s="109" t="n">
        <f aca="false">SUM(D21-C21)</f>
        <v>0</v>
      </c>
      <c r="G21" s="41"/>
      <c r="H21" s="94" t="n">
        <f aca="false">SUM(G21*F21)</f>
        <v>0</v>
      </c>
      <c r="I21" s="1"/>
      <c r="J21" s="29"/>
      <c r="K21" s="95"/>
      <c r="L21" s="96"/>
      <c r="M21" s="105"/>
      <c r="N21" s="98" t="n">
        <f aca="false">SUM(O20)</f>
        <v>0</v>
      </c>
      <c r="O21" s="99"/>
      <c r="P21" s="109" t="n">
        <f aca="false">SUM(O21-N21)</f>
        <v>0</v>
      </c>
      <c r="Q21" s="41"/>
      <c r="R21" s="94" t="n">
        <f aca="false">SUM(Q21*P21)</f>
        <v>0</v>
      </c>
      <c r="S21" s="103"/>
    </row>
    <row r="22" customFormat="false" ht="15" hidden="false" customHeight="false" outlineLevel="0" collapsed="false">
      <c r="A22" s="90"/>
      <c r="B22" s="91"/>
      <c r="C22" s="98" t="n">
        <f aca="false">SUM(D21)</f>
        <v>0</v>
      </c>
      <c r="D22" s="76"/>
      <c r="E22" s="92" t="n">
        <f aca="false">SUM(D22-C22)</f>
        <v>0</v>
      </c>
      <c r="F22" s="109" t="n">
        <f aca="false">SUM(D22-C22)</f>
        <v>0</v>
      </c>
      <c r="G22" s="41"/>
      <c r="H22" s="94" t="n">
        <f aca="false">SUM(G22*F22)</f>
        <v>0</v>
      </c>
      <c r="I22" s="1"/>
      <c r="J22" s="29"/>
      <c r="K22" s="95"/>
      <c r="L22" s="96"/>
      <c r="M22" s="105"/>
      <c r="N22" s="98" t="n">
        <f aca="false">SUM(O21)</f>
        <v>0</v>
      </c>
      <c r="O22" s="99"/>
      <c r="P22" s="109" t="n">
        <f aca="false">SUM(O22-N22)</f>
        <v>0</v>
      </c>
      <c r="Q22" s="41"/>
      <c r="R22" s="94" t="n">
        <f aca="false">SUM(Q22*P22)</f>
        <v>0</v>
      </c>
      <c r="S22" s="103"/>
    </row>
    <row r="23" customFormat="false" ht="15" hidden="false" customHeight="false" outlineLevel="0" collapsed="false">
      <c r="A23" s="90"/>
      <c r="B23" s="91"/>
      <c r="C23" s="98" t="n">
        <f aca="false">SUM(D22)</f>
        <v>0</v>
      </c>
      <c r="D23" s="76"/>
      <c r="E23" s="92" t="n">
        <f aca="false">SUM(D23-C23)</f>
        <v>0</v>
      </c>
      <c r="F23" s="109" t="n">
        <f aca="false">SUM(D23-C23)</f>
        <v>0</v>
      </c>
      <c r="G23" s="41"/>
      <c r="H23" s="94" t="n">
        <f aca="false">SUM(G23*F23)</f>
        <v>0</v>
      </c>
      <c r="I23" s="1"/>
      <c r="J23" s="29"/>
      <c r="K23" s="95"/>
      <c r="L23" s="96"/>
      <c r="M23" s="105"/>
      <c r="N23" s="98" t="n">
        <f aca="false">SUM(O22)</f>
        <v>0</v>
      </c>
      <c r="O23" s="99"/>
      <c r="P23" s="109" t="n">
        <f aca="false">SUM(O23-N23)</f>
        <v>0</v>
      </c>
      <c r="Q23" s="41"/>
      <c r="R23" s="94" t="n">
        <f aca="false">SUM(Q23*P23)</f>
        <v>0</v>
      </c>
      <c r="S23" s="103"/>
    </row>
    <row r="24" customFormat="false" ht="15" hidden="false" customHeight="false" outlineLevel="0" collapsed="false">
      <c r="A24" s="90"/>
      <c r="B24" s="91"/>
      <c r="C24" s="98" t="n">
        <f aca="false">SUM(D23)</f>
        <v>0</v>
      </c>
      <c r="D24" s="76"/>
      <c r="E24" s="92" t="n">
        <f aca="false">SUM(D24-C24)</f>
        <v>0</v>
      </c>
      <c r="F24" s="109" t="n">
        <f aca="false">SUM(D24-C24)</f>
        <v>0</v>
      </c>
      <c r="G24" s="41"/>
      <c r="H24" s="94" t="n">
        <f aca="false">SUM(G24*F24)</f>
        <v>0</v>
      </c>
      <c r="I24" s="1"/>
      <c r="J24" s="29"/>
      <c r="K24" s="95"/>
      <c r="L24" s="96"/>
      <c r="M24" s="105"/>
      <c r="N24" s="98" t="n">
        <f aca="false">SUM(O23)</f>
        <v>0</v>
      </c>
      <c r="O24" s="99"/>
      <c r="P24" s="109" t="n">
        <f aca="false">SUM(O24-N24)</f>
        <v>0</v>
      </c>
      <c r="Q24" s="41"/>
      <c r="R24" s="94" t="n">
        <f aca="false">SUM(Q24*P24)</f>
        <v>0</v>
      </c>
      <c r="S24" s="103"/>
    </row>
    <row r="25" customFormat="false" ht="15" hidden="false" customHeight="false" outlineLevel="0" collapsed="false">
      <c r="A25" s="90"/>
      <c r="B25" s="91"/>
      <c r="C25" s="98" t="n">
        <f aca="false">SUM(D24)</f>
        <v>0</v>
      </c>
      <c r="D25" s="76"/>
      <c r="E25" s="92" t="n">
        <f aca="false">SUM(D25-C25)</f>
        <v>0</v>
      </c>
      <c r="F25" s="109" t="n">
        <f aca="false">SUM(D25-C25)</f>
        <v>0</v>
      </c>
      <c r="G25" s="41"/>
      <c r="H25" s="94" t="n">
        <f aca="false">SUM(G25*F25)</f>
        <v>0</v>
      </c>
      <c r="I25" s="1"/>
      <c r="J25" s="29"/>
      <c r="K25" s="95"/>
      <c r="L25" s="96"/>
      <c r="M25" s="97"/>
      <c r="N25" s="98" t="n">
        <f aca="false">SUM(O24)</f>
        <v>0</v>
      </c>
      <c r="O25" s="99"/>
      <c r="P25" s="109" t="n">
        <f aca="false">SUM(O25-N25)</f>
        <v>0</v>
      </c>
      <c r="Q25" s="101"/>
      <c r="R25" s="94" t="n">
        <f aca="false">SUM(Q25*P25)</f>
        <v>0</v>
      </c>
      <c r="S25" s="1"/>
    </row>
    <row r="26" customFormat="false" ht="15" hidden="false" customHeight="false" outlineLevel="0" collapsed="false">
      <c r="A26" s="90"/>
      <c r="B26" s="91"/>
      <c r="C26" s="98" t="n">
        <f aca="false">SUM(D25)</f>
        <v>0</v>
      </c>
      <c r="D26" s="76"/>
      <c r="E26" s="92" t="n">
        <f aca="false">SUM(D26-C26)</f>
        <v>0</v>
      </c>
      <c r="F26" s="109" t="n">
        <f aca="false">SUM(D26-C26)</f>
        <v>0</v>
      </c>
      <c r="G26" s="41"/>
      <c r="H26" s="94" t="n">
        <f aca="false">SUM(G26*F26)</f>
        <v>0</v>
      </c>
      <c r="I26" s="1"/>
      <c r="J26" s="29"/>
      <c r="K26" s="95"/>
      <c r="L26" s="96"/>
      <c r="M26" s="97"/>
      <c r="N26" s="98" t="n">
        <f aca="false">SUM(O25)</f>
        <v>0</v>
      </c>
      <c r="O26" s="99"/>
      <c r="P26" s="109" t="n">
        <f aca="false">SUM(O26-N26)</f>
        <v>0</v>
      </c>
      <c r="Q26" s="101"/>
      <c r="R26" s="94" t="n">
        <f aca="false">SUM(Q26*P26)</f>
        <v>0</v>
      </c>
      <c r="S26" s="103"/>
    </row>
    <row r="27" customFormat="false" ht="15" hidden="false" customHeight="false" outlineLevel="0" collapsed="false">
      <c r="A27" s="90"/>
      <c r="B27" s="91"/>
      <c r="C27" s="98" t="n">
        <f aca="false">SUM(D26)</f>
        <v>0</v>
      </c>
      <c r="D27" s="76"/>
      <c r="E27" s="92" t="n">
        <f aca="false">SUM(D27-C27)</f>
        <v>0</v>
      </c>
      <c r="F27" s="109" t="n">
        <f aca="false">SUM(D27-C27)</f>
        <v>0</v>
      </c>
      <c r="G27" s="41"/>
      <c r="H27" s="94" t="n">
        <f aca="false">SUM(G27*F27)</f>
        <v>0</v>
      </c>
      <c r="I27" s="1"/>
      <c r="J27" s="29"/>
      <c r="K27" s="95"/>
      <c r="L27" s="96"/>
      <c r="M27" s="97"/>
      <c r="N27" s="98" t="n">
        <f aca="false">SUM(O26)</f>
        <v>0</v>
      </c>
      <c r="O27" s="99"/>
      <c r="P27" s="109" t="n">
        <f aca="false">SUM(O27-N27)</f>
        <v>0</v>
      </c>
      <c r="Q27" s="101"/>
      <c r="R27" s="94" t="n">
        <f aca="false">SUM(Q27*P27)</f>
        <v>0</v>
      </c>
      <c r="S27" s="1"/>
    </row>
    <row r="28" customFormat="false" ht="15" hidden="false" customHeight="false" outlineLevel="0" collapsed="false">
      <c r="A28" s="90"/>
      <c r="B28" s="91"/>
      <c r="C28" s="98" t="n">
        <f aca="false">SUM(D27)</f>
        <v>0</v>
      </c>
      <c r="D28" s="76"/>
      <c r="E28" s="92" t="n">
        <f aca="false">SUM(D28-C28)</f>
        <v>0</v>
      </c>
      <c r="F28" s="109" t="n">
        <f aca="false">SUM(D28-C28)</f>
        <v>0</v>
      </c>
      <c r="G28" s="41"/>
      <c r="H28" s="94" t="n">
        <f aca="false">SUM(G28*F28)</f>
        <v>0</v>
      </c>
      <c r="I28" s="1"/>
      <c r="J28" s="29"/>
      <c r="K28" s="95"/>
      <c r="L28" s="96"/>
      <c r="M28" s="97"/>
      <c r="N28" s="98" t="n">
        <f aca="false">SUM(O27)</f>
        <v>0</v>
      </c>
      <c r="O28" s="99"/>
      <c r="P28" s="109" t="n">
        <f aca="false">SUM(O28-N28)</f>
        <v>0</v>
      </c>
      <c r="Q28" s="101"/>
      <c r="R28" s="94" t="n">
        <f aca="false">SUM(Q28*P28)</f>
        <v>0</v>
      </c>
      <c r="S28" s="1"/>
    </row>
    <row r="29" customFormat="false" ht="15" hidden="false" customHeight="false" outlineLevel="0" collapsed="false">
      <c r="A29" s="90"/>
      <c r="B29" s="91"/>
      <c r="C29" s="98" t="n">
        <f aca="false">SUM(D28)</f>
        <v>0</v>
      </c>
      <c r="D29" s="76"/>
      <c r="E29" s="92" t="n">
        <f aca="false">SUM(D29-C29)</f>
        <v>0</v>
      </c>
      <c r="F29" s="109" t="n">
        <f aca="false">SUM(D29-C29)</f>
        <v>0</v>
      </c>
      <c r="G29" s="41"/>
      <c r="H29" s="94" t="n">
        <f aca="false">SUM(G29*F29)</f>
        <v>0</v>
      </c>
      <c r="I29" s="1"/>
      <c r="J29" s="29"/>
      <c r="K29" s="95"/>
      <c r="L29" s="96"/>
      <c r="M29" s="97"/>
      <c r="N29" s="98" t="n">
        <f aca="false">SUM(O28)</f>
        <v>0</v>
      </c>
      <c r="O29" s="99"/>
      <c r="P29" s="109" t="n">
        <f aca="false">SUM(O29-N29)</f>
        <v>0</v>
      </c>
      <c r="Q29" s="101"/>
      <c r="R29" s="94" t="n">
        <f aca="false">SUM(Q29*P29)</f>
        <v>0</v>
      </c>
      <c r="S29" s="1"/>
    </row>
    <row r="30" customFormat="false" ht="15" hidden="false" customHeight="false" outlineLevel="0" collapsed="false">
      <c r="A30" s="90"/>
      <c r="B30" s="91"/>
      <c r="C30" s="98" t="n">
        <f aca="false">SUM(D29)</f>
        <v>0</v>
      </c>
      <c r="D30" s="76"/>
      <c r="E30" s="92" t="n">
        <f aca="false">SUM(D30-C30)</f>
        <v>0</v>
      </c>
      <c r="F30" s="109" t="n">
        <f aca="false">SUM(D30-C30)</f>
        <v>0</v>
      </c>
      <c r="G30" s="41"/>
      <c r="H30" s="94" t="n">
        <f aca="false">SUM(G30*F30)</f>
        <v>0</v>
      </c>
      <c r="I30" s="1"/>
      <c r="J30" s="29"/>
      <c r="K30" s="95"/>
      <c r="L30" s="96"/>
      <c r="M30" s="97"/>
      <c r="N30" s="98" t="n">
        <f aca="false">SUM(O29)</f>
        <v>0</v>
      </c>
      <c r="O30" s="99"/>
      <c r="P30" s="109" t="n">
        <f aca="false">SUM(O30-N30)</f>
        <v>0</v>
      </c>
      <c r="Q30" s="101"/>
      <c r="R30" s="94" t="n">
        <f aca="false">SUM(Q30*P30)</f>
        <v>0</v>
      </c>
      <c r="S30" s="1"/>
    </row>
    <row r="31" customFormat="false" ht="15" hidden="false" customHeight="false" outlineLevel="0" collapsed="false">
      <c r="A31" s="90"/>
      <c r="B31" s="91"/>
      <c r="C31" s="98" t="n">
        <f aca="false">SUM(D30)</f>
        <v>0</v>
      </c>
      <c r="D31" s="76"/>
      <c r="E31" s="92" t="n">
        <f aca="false">SUM(D31-C31)</f>
        <v>0</v>
      </c>
      <c r="F31" s="109" t="n">
        <f aca="false">SUM(D31-C31)</f>
        <v>0</v>
      </c>
      <c r="G31" s="41"/>
      <c r="H31" s="94" t="n">
        <f aca="false">SUM(G31*F31)</f>
        <v>0</v>
      </c>
      <c r="I31" s="1"/>
      <c r="J31" s="29"/>
      <c r="K31" s="95"/>
      <c r="L31" s="96"/>
      <c r="M31" s="97"/>
      <c r="N31" s="98" t="n">
        <f aca="false">SUM(O30)</f>
        <v>0</v>
      </c>
      <c r="O31" s="99"/>
      <c r="P31" s="109" t="n">
        <f aca="false">SUM(O31-N31)</f>
        <v>0</v>
      </c>
      <c r="Q31" s="101"/>
      <c r="R31" s="94" t="n">
        <f aca="false">SUM(Q31*P31)</f>
        <v>0</v>
      </c>
      <c r="S31" s="1"/>
    </row>
    <row r="32" customFormat="false" ht="15" hidden="false" customHeight="false" outlineLevel="0" collapsed="false">
      <c r="A32" s="90"/>
      <c r="B32" s="91"/>
      <c r="C32" s="98" t="n">
        <f aca="false">SUM(D31)</f>
        <v>0</v>
      </c>
      <c r="D32" s="76"/>
      <c r="E32" s="110"/>
      <c r="F32" s="109" t="n">
        <f aca="false">SUM(F3:F31)</f>
        <v>301295</v>
      </c>
      <c r="G32" s="41"/>
      <c r="H32" s="94" t="n">
        <f aca="false">SUM(H3:H31)</f>
        <v>252212.5176</v>
      </c>
      <c r="I32" s="1"/>
      <c r="J32" s="1"/>
      <c r="L32" s="118"/>
      <c r="M32" s="118"/>
      <c r="N32" s="118"/>
      <c r="O32" s="118"/>
      <c r="P32" s="118"/>
      <c r="Q32" s="118"/>
      <c r="R32" s="118"/>
      <c r="S32" s="118"/>
    </row>
    <row r="33" customFormat="false" ht="15" hidden="false" customHeight="false" outlineLevel="0" collapsed="false">
      <c r="A33" s="89"/>
      <c r="B33" s="82" t="s">
        <v>49</v>
      </c>
      <c r="C33" s="83"/>
      <c r="D33" s="83"/>
      <c r="E33" s="83"/>
      <c r="F33" s="83"/>
      <c r="G33" s="84"/>
      <c r="H33" s="85"/>
      <c r="I33" s="86"/>
      <c r="J33" s="86"/>
      <c r="L33" s="118"/>
      <c r="M33" s="118"/>
      <c r="N33" s="118"/>
      <c r="O33" s="118"/>
      <c r="P33" s="118"/>
      <c r="Q33" s="118"/>
      <c r="R33" s="118"/>
      <c r="S33" s="118"/>
    </row>
    <row r="34" customFormat="false" ht="15" hidden="false" customHeight="false" outlineLevel="0" collapsed="false">
      <c r="A34" s="90" t="n">
        <v>0.409722222222222</v>
      </c>
      <c r="B34" s="91" t="s">
        <v>61</v>
      </c>
      <c r="C34" s="108" t="n">
        <v>3691730</v>
      </c>
      <c r="D34" s="108" t="n">
        <v>3703880</v>
      </c>
      <c r="E34" s="92" t="n">
        <f aca="false">SUM(D34-C34)</f>
        <v>12150</v>
      </c>
      <c r="F34" s="109" t="n">
        <v>12093</v>
      </c>
      <c r="G34" s="41" t="n">
        <v>0.8276</v>
      </c>
      <c r="H34" s="94" t="n">
        <f aca="false">SUM(G34*F34)</f>
        <v>10008.1668</v>
      </c>
      <c r="I34" s="29" t="n">
        <v>119</v>
      </c>
      <c r="J34" s="1" t="n">
        <v>6683</v>
      </c>
      <c r="K34" s="211" t="s">
        <v>60</v>
      </c>
      <c r="L34" s="118" t="s">
        <v>106</v>
      </c>
      <c r="M34" s="118"/>
      <c r="N34" s="118"/>
      <c r="O34" s="118"/>
      <c r="P34" s="118"/>
      <c r="Q34" s="118"/>
      <c r="R34" s="118"/>
      <c r="S34" s="118"/>
    </row>
    <row r="35" customFormat="false" ht="14.25" hidden="false" customHeight="true" outlineLevel="0" collapsed="false">
      <c r="A35" s="90" t="n">
        <v>0.416666666666667</v>
      </c>
      <c r="B35" s="91" t="s">
        <v>50</v>
      </c>
      <c r="C35" s="98" t="n">
        <f aca="false">SUM(D34)</f>
        <v>3703880</v>
      </c>
      <c r="D35" s="108" t="n">
        <v>3719040</v>
      </c>
      <c r="E35" s="92" t="n">
        <f aca="false">SUM(D35-C35)</f>
        <v>15160</v>
      </c>
      <c r="F35" s="212" t="n">
        <v>15040</v>
      </c>
      <c r="G35" s="41" t="n">
        <v>0.8436</v>
      </c>
      <c r="H35" s="94" t="n">
        <f aca="false">SUM(G35*F35)</f>
        <v>12687.744</v>
      </c>
      <c r="I35" s="29" t="n">
        <v>467</v>
      </c>
      <c r="J35" s="1" t="n">
        <v>6684</v>
      </c>
      <c r="K35" s="120" t="s">
        <v>83</v>
      </c>
      <c r="L35" s="118" t="s">
        <v>107</v>
      </c>
      <c r="M35" s="118"/>
      <c r="N35" s="118"/>
      <c r="O35" s="118"/>
      <c r="P35" s="118"/>
      <c r="Q35" s="118"/>
      <c r="R35" s="118"/>
      <c r="S35" s="118"/>
    </row>
    <row r="36" customFormat="false" ht="15" hidden="false" customHeight="true" outlineLevel="0" collapsed="false">
      <c r="A36" s="90" t="n">
        <v>0.4375</v>
      </c>
      <c r="B36" s="91" t="s">
        <v>61</v>
      </c>
      <c r="C36" s="98" t="n">
        <f aca="false">SUM(D35)</f>
        <v>3719040</v>
      </c>
      <c r="D36" s="108" t="n">
        <v>3727140</v>
      </c>
      <c r="E36" s="92" t="n">
        <f aca="false">SUM(D36-C36)</f>
        <v>8100</v>
      </c>
      <c r="F36" s="109" t="n">
        <v>8046</v>
      </c>
      <c r="G36" s="41" t="n">
        <v>0.8264</v>
      </c>
      <c r="H36" s="94" t="n">
        <f aca="false">SUM(G36*F36)</f>
        <v>6649.2144</v>
      </c>
      <c r="I36" s="29" t="n">
        <v>382</v>
      </c>
      <c r="J36" s="1" t="n">
        <v>6686</v>
      </c>
      <c r="K36" s="211" t="s">
        <v>60</v>
      </c>
      <c r="L36" s="118"/>
      <c r="M36" s="118"/>
      <c r="N36" s="118"/>
      <c r="O36" s="118"/>
      <c r="P36" s="118"/>
      <c r="Q36" s="118"/>
      <c r="R36" s="118"/>
      <c r="S36" s="118"/>
    </row>
    <row r="37" customFormat="false" ht="15" hidden="false" customHeight="false" outlineLevel="0" collapsed="false">
      <c r="A37" s="90" t="n">
        <v>0.447916666666667</v>
      </c>
      <c r="B37" s="91" t="s">
        <v>89</v>
      </c>
      <c r="C37" s="98" t="n">
        <f aca="false">SUM(D36)</f>
        <v>3727140</v>
      </c>
      <c r="D37" s="108" t="n">
        <v>3738230</v>
      </c>
      <c r="E37" s="92" t="n">
        <f aca="false">SUM(D37-C37)</f>
        <v>11090</v>
      </c>
      <c r="F37" s="109" t="n">
        <v>11020</v>
      </c>
      <c r="G37" s="41" t="n">
        <v>0.8284</v>
      </c>
      <c r="H37" s="94" t="n">
        <f aca="false">SUM(G37*F37)</f>
        <v>9128.968</v>
      </c>
      <c r="I37" s="29" t="n">
        <v>237</v>
      </c>
      <c r="J37" s="1" t="n">
        <v>6688</v>
      </c>
      <c r="K37" s="120" t="s">
        <v>108</v>
      </c>
      <c r="L37" s="118"/>
      <c r="M37" s="118"/>
      <c r="N37" s="118"/>
      <c r="O37" s="118"/>
      <c r="P37" s="118"/>
      <c r="Q37" s="118"/>
      <c r="R37" s="118"/>
      <c r="S37" s="118"/>
    </row>
    <row r="38" customFormat="false" ht="15" hidden="false" customHeight="false" outlineLevel="0" collapsed="false">
      <c r="A38" s="90" t="n">
        <v>0.458333333333333</v>
      </c>
      <c r="B38" s="91" t="s">
        <v>55</v>
      </c>
      <c r="C38" s="98" t="n">
        <f aca="false">SUM(D37)</f>
        <v>3738230</v>
      </c>
      <c r="D38" s="108" t="n">
        <v>3743420</v>
      </c>
      <c r="E38" s="92" t="n">
        <f aca="false">SUM(D38-C38)</f>
        <v>5190</v>
      </c>
      <c r="F38" s="109" t="n">
        <v>5141</v>
      </c>
      <c r="G38" s="41" t="n">
        <v>0.8294</v>
      </c>
      <c r="H38" s="94" t="n">
        <f aca="false">SUM(G38*F38)</f>
        <v>4263.9454</v>
      </c>
      <c r="I38" s="29" t="n">
        <v>81</v>
      </c>
      <c r="J38" s="1" t="n">
        <v>6692</v>
      </c>
      <c r="K38" s="211" t="s">
        <v>60</v>
      </c>
      <c r="L38" s="118"/>
      <c r="M38" s="118"/>
      <c r="N38" s="118"/>
      <c r="O38" s="118"/>
      <c r="P38" s="118"/>
      <c r="Q38" s="118"/>
      <c r="R38" s="118"/>
      <c r="S38" s="118"/>
    </row>
    <row r="39" customFormat="false" ht="15" hidden="false" customHeight="false" outlineLevel="0" collapsed="false">
      <c r="A39" s="90" t="n">
        <v>0.465277777777778</v>
      </c>
      <c r="B39" s="91" t="s">
        <v>55</v>
      </c>
      <c r="C39" s="98" t="n">
        <f aca="false">SUM(D38)</f>
        <v>3743420</v>
      </c>
      <c r="D39" s="108" t="n">
        <v>3750130</v>
      </c>
      <c r="E39" s="92" t="n">
        <f aca="false">SUM(D39-C39)</f>
        <v>6710</v>
      </c>
      <c r="F39" s="109" t="n">
        <v>6663</v>
      </c>
      <c r="G39" s="41" t="n">
        <v>0.8294</v>
      </c>
      <c r="H39" s="94" t="n">
        <f aca="false">SUM(G39*F39)</f>
        <v>5526.2922</v>
      </c>
      <c r="I39" s="29" t="n">
        <v>57</v>
      </c>
      <c r="J39" s="1" t="n">
        <v>6693</v>
      </c>
      <c r="K39" s="211" t="s">
        <v>60</v>
      </c>
      <c r="L39" s="118"/>
      <c r="M39" s="118"/>
      <c r="N39" s="118"/>
      <c r="O39" s="118"/>
      <c r="P39" s="118"/>
      <c r="Q39" s="118"/>
      <c r="R39" s="118"/>
      <c r="S39" s="118"/>
    </row>
    <row r="40" customFormat="false" ht="15" hidden="false" customHeight="false" outlineLevel="0" collapsed="false">
      <c r="A40" s="90" t="n">
        <v>0.472222222222222</v>
      </c>
      <c r="B40" s="91" t="s">
        <v>55</v>
      </c>
      <c r="C40" s="98" t="n">
        <f aca="false">SUM(D39)</f>
        <v>3750130</v>
      </c>
      <c r="D40" s="108" t="n">
        <v>3752680</v>
      </c>
      <c r="E40" s="92" t="n">
        <f aca="false">SUM(D40-C40)</f>
        <v>2550</v>
      </c>
      <c r="F40" s="109" t="n">
        <v>2524</v>
      </c>
      <c r="G40" s="41" t="n">
        <v>0.8294</v>
      </c>
      <c r="H40" s="94" t="n">
        <f aca="false">SUM(G40*F40)</f>
        <v>2093.4056</v>
      </c>
      <c r="I40" s="29" t="n">
        <v>119</v>
      </c>
      <c r="J40" s="1" t="n">
        <v>6694</v>
      </c>
      <c r="K40" s="211" t="s">
        <v>60</v>
      </c>
      <c r="L40" s="118" t="s">
        <v>106</v>
      </c>
      <c r="M40" s="118"/>
      <c r="N40" s="95"/>
      <c r="O40" s="118"/>
      <c r="P40" s="118"/>
      <c r="Q40" s="118"/>
      <c r="R40" s="118"/>
      <c r="S40" s="118"/>
    </row>
    <row r="41" customFormat="false" ht="15" hidden="false" customHeight="false" outlineLevel="0" collapsed="false">
      <c r="A41" s="90" t="n">
        <v>0.482638888888889</v>
      </c>
      <c r="B41" s="91" t="s">
        <v>55</v>
      </c>
      <c r="C41" s="98" t="n">
        <f aca="false">SUM(D40)</f>
        <v>3752680</v>
      </c>
      <c r="D41" s="108" t="n">
        <v>3769800</v>
      </c>
      <c r="E41" s="92" t="n">
        <f aca="false">SUM(D41-C41)</f>
        <v>17120</v>
      </c>
      <c r="F41" s="107" t="n">
        <v>17019</v>
      </c>
      <c r="G41" s="41" t="n">
        <v>0.8309</v>
      </c>
      <c r="H41" s="94" t="n">
        <f aca="false">SUM(G41*F41)</f>
        <v>14141.0871</v>
      </c>
      <c r="I41" s="29" t="n">
        <v>251</v>
      </c>
      <c r="J41" s="29" t="n">
        <v>6695</v>
      </c>
      <c r="K41" s="211" t="s">
        <v>60</v>
      </c>
      <c r="L41" s="118"/>
      <c r="M41" s="118"/>
      <c r="N41" s="95"/>
      <c r="O41" s="118"/>
      <c r="P41" s="118"/>
      <c r="Q41" s="118"/>
      <c r="R41" s="118"/>
      <c r="S41" s="118"/>
    </row>
    <row r="42" customFormat="false" ht="15" hidden="false" customHeight="false" outlineLevel="0" collapsed="false">
      <c r="A42" s="90" t="n">
        <v>0.569444444444444</v>
      </c>
      <c r="B42" s="91" t="s">
        <v>55</v>
      </c>
      <c r="C42" s="98" t="n">
        <f aca="false">SUM(D41)</f>
        <v>3769800</v>
      </c>
      <c r="D42" s="108" t="n">
        <v>3774120</v>
      </c>
      <c r="E42" s="92" t="n">
        <f aca="false">SUM(D42-C42)</f>
        <v>4320</v>
      </c>
      <c r="F42" s="109" t="n">
        <v>4289</v>
      </c>
      <c r="G42" s="41" t="n">
        <v>0.8293</v>
      </c>
      <c r="H42" s="94" t="n">
        <f aca="false">SUM(G42*F42)</f>
        <v>3556.8677</v>
      </c>
      <c r="I42" s="29" t="n">
        <v>382</v>
      </c>
      <c r="J42" s="29" t="n">
        <v>6697</v>
      </c>
      <c r="K42" s="211" t="s">
        <v>60</v>
      </c>
      <c r="L42" s="118"/>
      <c r="M42" s="118"/>
      <c r="N42" s="95"/>
      <c r="O42" s="118"/>
      <c r="P42" s="118"/>
      <c r="Q42" s="118"/>
      <c r="R42" s="118"/>
      <c r="S42" s="118"/>
    </row>
    <row r="43" customFormat="false" ht="15" hidden="false" customHeight="true" outlineLevel="0" collapsed="false">
      <c r="A43" s="90" t="n">
        <v>0.579861111111111</v>
      </c>
      <c r="B43" s="91" t="s">
        <v>89</v>
      </c>
      <c r="C43" s="98" t="n">
        <f aca="false">SUM(D42)</f>
        <v>3774120</v>
      </c>
      <c r="D43" s="108" t="n">
        <v>3781250</v>
      </c>
      <c r="E43" s="92" t="n">
        <f aca="false">SUM(D43-C43)</f>
        <v>7130</v>
      </c>
      <c r="F43" s="109" t="n">
        <v>7060</v>
      </c>
      <c r="G43" s="41" t="n">
        <v>0.8282</v>
      </c>
      <c r="H43" s="94" t="n">
        <f aca="false">SUM(G43*F43)</f>
        <v>5847.092</v>
      </c>
      <c r="I43" s="29" t="n">
        <v>237</v>
      </c>
      <c r="J43" s="29" t="n">
        <v>6698</v>
      </c>
      <c r="K43" s="120" t="s">
        <v>108</v>
      </c>
      <c r="L43" s="118"/>
      <c r="M43" s="118"/>
      <c r="N43" s="95"/>
      <c r="O43" s="118"/>
      <c r="P43" s="118"/>
      <c r="Q43" s="118"/>
      <c r="R43" s="118"/>
      <c r="S43" s="118"/>
    </row>
    <row r="44" customFormat="false" ht="15" hidden="false" customHeight="false" outlineLevel="0" collapsed="false">
      <c r="A44" s="90" t="n">
        <v>0.590277777777778</v>
      </c>
      <c r="B44" s="91" t="s">
        <v>61</v>
      </c>
      <c r="C44" s="98" t="n">
        <f aca="false">SUM(D43)</f>
        <v>3781250</v>
      </c>
      <c r="D44" s="108" t="n">
        <v>3789080</v>
      </c>
      <c r="E44" s="92" t="n">
        <f aca="false">SUM(D44-C44)</f>
        <v>7830</v>
      </c>
      <c r="F44" s="109" t="n">
        <v>7787</v>
      </c>
      <c r="G44" s="41" t="n">
        <v>0.8282</v>
      </c>
      <c r="H44" s="94" t="n">
        <f aca="false">SUM(G44*F44)</f>
        <v>6449.1934</v>
      </c>
      <c r="I44" s="29" t="n">
        <v>81</v>
      </c>
      <c r="J44" s="29" t="n">
        <v>6699</v>
      </c>
      <c r="K44" s="211" t="s">
        <v>60</v>
      </c>
      <c r="L44" s="118"/>
      <c r="M44" s="118"/>
      <c r="N44" s="118"/>
      <c r="O44" s="118"/>
      <c r="P44" s="118"/>
      <c r="Q44" s="118"/>
      <c r="R44" s="118"/>
      <c r="S44" s="118"/>
    </row>
    <row r="45" customFormat="false" ht="15" hidden="false" customHeight="false" outlineLevel="0" collapsed="false">
      <c r="A45" s="90" t="n">
        <v>0.600694444444444</v>
      </c>
      <c r="B45" s="91" t="s">
        <v>61</v>
      </c>
      <c r="C45" s="98" t="n">
        <f aca="false">SUM(D44)</f>
        <v>3789080</v>
      </c>
      <c r="D45" s="108" t="n">
        <v>3798420</v>
      </c>
      <c r="E45" s="92" t="n">
        <f aca="false">SUM(D45-C45)</f>
        <v>9340</v>
      </c>
      <c r="F45" s="109" t="n">
        <v>9285</v>
      </c>
      <c r="G45" s="41" t="n">
        <v>0.8282</v>
      </c>
      <c r="H45" s="94" t="n">
        <f aca="false">SUM(G45*F45)</f>
        <v>7689.837</v>
      </c>
      <c r="I45" s="29" t="n">
        <v>57</v>
      </c>
      <c r="J45" s="29" t="n">
        <v>6700</v>
      </c>
      <c r="K45" s="211" t="s">
        <v>60</v>
      </c>
      <c r="L45" s="118"/>
      <c r="M45" s="118"/>
      <c r="N45" s="118"/>
      <c r="O45" s="118"/>
      <c r="P45" s="118"/>
      <c r="Q45" s="118"/>
      <c r="R45" s="118"/>
      <c r="S45" s="118"/>
    </row>
    <row r="46" customFormat="false" ht="15" hidden="false" customHeight="false" outlineLevel="0" collapsed="false">
      <c r="A46" s="90" t="n">
        <v>0.701388888888889</v>
      </c>
      <c r="B46" s="91" t="s">
        <v>89</v>
      </c>
      <c r="C46" s="98" t="n">
        <f aca="false">SUM(D45)</f>
        <v>3798420</v>
      </c>
      <c r="D46" s="108" t="n">
        <v>3815530</v>
      </c>
      <c r="E46" s="92" t="n">
        <f aca="false">SUM(D46-C46)</f>
        <v>17110</v>
      </c>
      <c r="F46" s="107" t="n">
        <v>17019</v>
      </c>
      <c r="G46" s="41" t="n">
        <v>0.8278</v>
      </c>
      <c r="H46" s="94" t="n">
        <f aca="false">SUM(G46*F46)</f>
        <v>14088.3282</v>
      </c>
      <c r="I46" s="29" t="n">
        <v>251</v>
      </c>
      <c r="J46" s="29" t="n">
        <v>6701</v>
      </c>
      <c r="K46" s="120" t="s">
        <v>108</v>
      </c>
      <c r="L46" s="118"/>
      <c r="M46" s="118"/>
      <c r="N46" s="118"/>
      <c r="O46" s="118"/>
      <c r="P46" s="118"/>
      <c r="Q46" s="118"/>
      <c r="R46" s="118"/>
      <c r="S46" s="118"/>
    </row>
    <row r="47" customFormat="false" ht="15" hidden="false" customHeight="false" outlineLevel="0" collapsed="false">
      <c r="A47" s="90" t="n">
        <v>0.743055555555555</v>
      </c>
      <c r="B47" s="91" t="s">
        <v>50</v>
      </c>
      <c r="C47" s="98" t="n">
        <f aca="false">SUM(D46)</f>
        <v>3815530</v>
      </c>
      <c r="D47" s="108" t="n">
        <v>3830680</v>
      </c>
      <c r="E47" s="92" t="n">
        <f aca="false">SUM(D47-C47)</f>
        <v>15150</v>
      </c>
      <c r="F47" s="212" t="n">
        <v>15040</v>
      </c>
      <c r="G47" s="41" t="n">
        <v>0.8428</v>
      </c>
      <c r="H47" s="94" t="n">
        <f aca="false">SUM(G47*F47)</f>
        <v>12675.712</v>
      </c>
      <c r="I47" s="29" t="n">
        <v>467</v>
      </c>
      <c r="J47" s="29" t="n">
        <v>6703</v>
      </c>
      <c r="K47" s="120" t="s">
        <v>83</v>
      </c>
      <c r="L47" s="118" t="s">
        <v>107</v>
      </c>
      <c r="M47" s="118"/>
      <c r="N47" s="118"/>
      <c r="O47" s="118"/>
      <c r="P47" s="118"/>
      <c r="Q47" s="118"/>
      <c r="R47" s="118"/>
      <c r="S47" s="118"/>
    </row>
    <row r="48" customFormat="false" ht="15" hidden="false" customHeight="false" outlineLevel="0" collapsed="false">
      <c r="A48" s="90" t="n">
        <v>0.770833333333333</v>
      </c>
      <c r="B48" s="91" t="s">
        <v>89</v>
      </c>
      <c r="C48" s="98" t="n">
        <f aca="false">SUM(D47)</f>
        <v>3830680</v>
      </c>
      <c r="D48" s="108" t="n">
        <v>3847790</v>
      </c>
      <c r="E48" s="92" t="n">
        <f aca="false">SUM(D48-C48)</f>
        <v>17110</v>
      </c>
      <c r="F48" s="107" t="n">
        <v>17019</v>
      </c>
      <c r="G48" s="41" t="n">
        <v>0.8281</v>
      </c>
      <c r="H48" s="94" t="n">
        <f aca="false">SUM(G48*F48)</f>
        <v>14093.4339</v>
      </c>
      <c r="I48" s="29" t="n">
        <v>251</v>
      </c>
      <c r="J48" s="29" t="n">
        <v>6705</v>
      </c>
      <c r="K48" s="120" t="s">
        <v>108</v>
      </c>
      <c r="L48" s="118"/>
      <c r="M48" s="118"/>
      <c r="N48" s="118"/>
      <c r="O48" s="118"/>
      <c r="P48" s="118"/>
      <c r="Q48" s="118"/>
      <c r="R48" s="118"/>
      <c r="S48" s="118"/>
    </row>
    <row r="49" customFormat="false" ht="15" hidden="false" customHeight="false" outlineLevel="0" collapsed="false">
      <c r="A49" s="90" t="n">
        <v>0.826388888888889</v>
      </c>
      <c r="B49" s="91" t="s">
        <v>55</v>
      </c>
      <c r="C49" s="98" t="n">
        <f aca="false">SUM(D48)</f>
        <v>3847790</v>
      </c>
      <c r="D49" s="108" t="n">
        <v>3864900</v>
      </c>
      <c r="E49" s="92" t="n">
        <f aca="false">SUM(D49-C49)</f>
        <v>17110</v>
      </c>
      <c r="F49" s="107" t="n">
        <v>17019</v>
      </c>
      <c r="G49" s="41" t="n">
        <v>0.8288</v>
      </c>
      <c r="H49" s="94" t="n">
        <f aca="false">SUM(G49*F49)</f>
        <v>14105.3472</v>
      </c>
      <c r="I49" s="29" t="n">
        <v>251</v>
      </c>
      <c r="J49" s="29" t="n">
        <v>6706</v>
      </c>
      <c r="K49" s="211" t="s">
        <v>60</v>
      </c>
      <c r="L49" s="118"/>
      <c r="M49" s="118"/>
      <c r="N49" s="118"/>
      <c r="O49" s="118"/>
      <c r="P49" s="118"/>
      <c r="Q49" s="118"/>
      <c r="R49" s="118"/>
      <c r="S49" s="118"/>
    </row>
    <row r="50" customFormat="false" ht="15" hidden="false" customHeight="false" outlineLevel="0" collapsed="false">
      <c r="A50" s="90" t="n">
        <v>0.854166666666667</v>
      </c>
      <c r="B50" s="91" t="s">
        <v>55</v>
      </c>
      <c r="C50" s="98" t="n">
        <f aca="false">SUM(D49)</f>
        <v>3864900</v>
      </c>
      <c r="D50" s="108" t="n">
        <v>3871430</v>
      </c>
      <c r="E50" s="92" t="n">
        <f aca="false">SUM(D50-C50)</f>
        <v>6530</v>
      </c>
      <c r="F50" s="109" t="n">
        <v>6490</v>
      </c>
      <c r="G50" s="41" t="n">
        <v>0.8291</v>
      </c>
      <c r="H50" s="94" t="n">
        <f aca="false">SUM(G50*F50)</f>
        <v>5380.859</v>
      </c>
      <c r="I50" s="29" t="n">
        <v>81</v>
      </c>
      <c r="J50" s="29" t="n">
        <v>6708</v>
      </c>
      <c r="K50" s="211" t="s">
        <v>60</v>
      </c>
      <c r="L50" s="118"/>
      <c r="M50" s="118"/>
      <c r="N50" s="118"/>
      <c r="O50" s="118"/>
      <c r="P50" s="118"/>
      <c r="Q50" s="118"/>
      <c r="R50" s="118"/>
      <c r="S50" s="118"/>
    </row>
    <row r="51" customFormat="false" ht="15" hidden="false" customHeight="false" outlineLevel="0" collapsed="false">
      <c r="A51" s="90" t="n">
        <v>0.875</v>
      </c>
      <c r="B51" s="91" t="s">
        <v>61</v>
      </c>
      <c r="C51" s="98" t="n">
        <f aca="false">SUM(D50)</f>
        <v>3871430</v>
      </c>
      <c r="D51" s="108" t="n">
        <v>3876600</v>
      </c>
      <c r="E51" s="92" t="n">
        <f aca="false">SUM(D51-C51)</f>
        <v>5170</v>
      </c>
      <c r="F51" s="109" t="n">
        <v>5131</v>
      </c>
      <c r="G51" s="41" t="n">
        <v>0.8272</v>
      </c>
      <c r="H51" s="94" t="n">
        <f aca="false">SUM(G51*F51)</f>
        <v>4244.3632</v>
      </c>
      <c r="I51" s="29" t="n">
        <v>382</v>
      </c>
      <c r="J51" s="29" t="n">
        <v>6710</v>
      </c>
      <c r="K51" s="211" t="s">
        <v>60</v>
      </c>
      <c r="L51" s="118"/>
      <c r="M51" s="118"/>
      <c r="N51" s="118"/>
      <c r="O51" s="118"/>
      <c r="P51" s="118"/>
      <c r="Q51" s="118"/>
      <c r="R51" s="118"/>
      <c r="S51" s="118"/>
    </row>
    <row r="52" customFormat="false" ht="15" hidden="false" customHeight="false" outlineLevel="0" collapsed="false">
      <c r="A52" s="90" t="n">
        <v>0.902777777777778</v>
      </c>
      <c r="B52" s="91" t="s">
        <v>89</v>
      </c>
      <c r="C52" s="98" t="n">
        <f aca="false">SUM(D51)</f>
        <v>3876600</v>
      </c>
      <c r="D52" s="108" t="n">
        <v>3888750</v>
      </c>
      <c r="E52" s="92" t="n">
        <f aca="false">SUM(D52-C52)</f>
        <v>12150</v>
      </c>
      <c r="F52" s="109" t="n">
        <v>12093</v>
      </c>
      <c r="G52" s="41" t="n">
        <v>0.8285</v>
      </c>
      <c r="H52" s="94" t="n">
        <f aca="false">SUM(G52*F52)</f>
        <v>10019.0505</v>
      </c>
      <c r="I52" s="29" t="n">
        <v>119</v>
      </c>
      <c r="J52" s="29" t="n">
        <v>6712</v>
      </c>
      <c r="K52" s="120" t="s">
        <v>108</v>
      </c>
      <c r="L52" s="118"/>
      <c r="M52" s="118"/>
      <c r="N52" s="118"/>
      <c r="O52" s="118"/>
      <c r="P52" s="118"/>
      <c r="Q52" s="118"/>
      <c r="R52" s="118"/>
      <c r="S52" s="118"/>
    </row>
    <row r="53" customFormat="false" ht="15" hidden="false" customHeight="false" outlineLevel="0" collapsed="false">
      <c r="A53" s="90" t="n">
        <v>0.916666666666667</v>
      </c>
      <c r="B53" s="91" t="s">
        <v>50</v>
      </c>
      <c r="C53" s="98" t="n">
        <f aca="false">SUM(D52)</f>
        <v>3888750</v>
      </c>
      <c r="D53" s="108" t="n">
        <v>3903890</v>
      </c>
      <c r="E53" s="92" t="n">
        <f aca="false">SUM(D53-C53)</f>
        <v>15140</v>
      </c>
      <c r="F53" s="212" t="n">
        <v>15040</v>
      </c>
      <c r="G53" s="41" t="n">
        <v>0.8445</v>
      </c>
      <c r="H53" s="94" t="n">
        <f aca="false">SUM(G53*F53)</f>
        <v>12701.28</v>
      </c>
      <c r="I53" s="29" t="n">
        <v>467</v>
      </c>
      <c r="J53" s="29" t="n">
        <v>6714</v>
      </c>
      <c r="K53" s="120" t="s">
        <v>83</v>
      </c>
      <c r="L53" s="118" t="s">
        <v>107</v>
      </c>
      <c r="M53" s="118"/>
      <c r="N53" s="118"/>
      <c r="O53" s="118"/>
      <c r="P53" s="118"/>
      <c r="Q53" s="118"/>
      <c r="R53" s="118"/>
      <c r="S53" s="118"/>
    </row>
    <row r="54" customFormat="false" ht="15" hidden="false" customHeight="false" outlineLevel="0" collapsed="false">
      <c r="A54" s="90" t="n">
        <v>0.930555555555555</v>
      </c>
      <c r="B54" s="91" t="s">
        <v>61</v>
      </c>
      <c r="C54" s="98" t="n">
        <f aca="false">SUM(D53)</f>
        <v>3903890</v>
      </c>
      <c r="D54" s="108" t="n">
        <v>3910520</v>
      </c>
      <c r="E54" s="92" t="n">
        <f aca="false">SUM(D54-C54)</f>
        <v>6630</v>
      </c>
      <c r="F54" s="109" t="n">
        <v>6581</v>
      </c>
      <c r="G54" s="41" t="n">
        <v>0.8272</v>
      </c>
      <c r="H54" s="94" t="n">
        <f aca="false">SUM(G54*F54)</f>
        <v>5443.8032</v>
      </c>
      <c r="I54" s="29" t="n">
        <v>57</v>
      </c>
      <c r="J54" s="29" t="n">
        <v>6715</v>
      </c>
      <c r="K54" s="211" t="s">
        <v>60</v>
      </c>
      <c r="L54" s="118"/>
      <c r="M54" s="118"/>
      <c r="N54" s="118"/>
      <c r="O54" s="118"/>
      <c r="P54" s="118"/>
      <c r="Q54" s="118"/>
      <c r="R54" s="118"/>
      <c r="S54" s="118"/>
    </row>
    <row r="55" customFormat="false" ht="15" hidden="false" customHeight="false" outlineLevel="0" collapsed="false">
      <c r="A55" s="90" t="n">
        <v>0.940972222222222</v>
      </c>
      <c r="B55" s="91" t="s">
        <v>62</v>
      </c>
      <c r="C55" s="98" t="n">
        <f aca="false">SUM(D54)</f>
        <v>3910520</v>
      </c>
      <c r="D55" s="108" t="n">
        <v>3920610</v>
      </c>
      <c r="E55" s="92" t="n">
        <f aca="false">SUM(D55-C55)</f>
        <v>10090</v>
      </c>
      <c r="F55" s="107" t="n">
        <v>9986</v>
      </c>
      <c r="G55" s="41" t="n">
        <v>0.8295</v>
      </c>
      <c r="H55" s="94" t="n">
        <f aca="false">SUM(G55*F55)</f>
        <v>8283.387</v>
      </c>
      <c r="I55" s="29" t="n">
        <v>251</v>
      </c>
      <c r="J55" s="29" t="n">
        <v>6716</v>
      </c>
      <c r="K55" s="120" t="s">
        <v>108</v>
      </c>
      <c r="L55" s="118"/>
      <c r="M55" s="118"/>
      <c r="N55" s="118"/>
      <c r="O55" s="118"/>
      <c r="P55" s="118"/>
      <c r="Q55" s="118"/>
      <c r="R55" s="118"/>
      <c r="S55" s="118"/>
    </row>
    <row r="56" customFormat="false" ht="15" hidden="false" customHeight="false" outlineLevel="0" collapsed="false">
      <c r="A56" s="90" t="n">
        <v>0.972222222222222</v>
      </c>
      <c r="B56" s="91" t="s">
        <v>62</v>
      </c>
      <c r="C56" s="98" t="n">
        <f aca="false">SUM(D55)</f>
        <v>3920610</v>
      </c>
      <c r="D56" s="108" t="n">
        <v>3937660</v>
      </c>
      <c r="E56" s="92" t="n">
        <f aca="false">SUM(D56-C56)</f>
        <v>17050</v>
      </c>
      <c r="F56" s="107" t="n">
        <v>17019</v>
      </c>
      <c r="G56" s="41" t="n">
        <v>0.8301</v>
      </c>
      <c r="H56" s="94" t="n">
        <f aca="false">SUM(G56*F56)</f>
        <v>14127.4719</v>
      </c>
      <c r="I56" s="29" t="n">
        <v>251</v>
      </c>
      <c r="J56" s="29" t="n">
        <v>6718</v>
      </c>
      <c r="K56" s="120" t="s">
        <v>108</v>
      </c>
      <c r="L56" s="118"/>
      <c r="M56" s="118"/>
      <c r="N56" s="118"/>
      <c r="O56" s="118"/>
      <c r="P56" s="118"/>
      <c r="Q56" s="118"/>
      <c r="R56" s="118"/>
      <c r="S56" s="118"/>
    </row>
    <row r="57" customFormat="false" ht="15" hidden="false" customHeight="false" outlineLevel="0" collapsed="false">
      <c r="A57" s="90" t="n">
        <v>0.0833333333333333</v>
      </c>
      <c r="B57" s="91" t="s">
        <v>61</v>
      </c>
      <c r="C57" s="98" t="n">
        <f aca="false">SUM(D56)</f>
        <v>3937660</v>
      </c>
      <c r="D57" s="108" t="n">
        <v>3944530</v>
      </c>
      <c r="E57" s="92" t="n">
        <f aca="false">SUM(D57-C57)</f>
        <v>6870</v>
      </c>
      <c r="F57" s="109" t="n">
        <v>6825</v>
      </c>
      <c r="G57" s="41" t="n">
        <v>0.8278</v>
      </c>
      <c r="H57" s="94" t="n">
        <f aca="false">SUM(G57*F57)</f>
        <v>5649.735</v>
      </c>
      <c r="I57" s="29" t="n">
        <v>57</v>
      </c>
      <c r="J57" s="29" t="n">
        <v>6719</v>
      </c>
      <c r="K57" s="211" t="s">
        <v>60</v>
      </c>
      <c r="L57" s="118"/>
      <c r="M57" s="118"/>
      <c r="N57" s="118"/>
      <c r="O57" s="118"/>
      <c r="P57" s="118"/>
      <c r="Q57" s="118"/>
      <c r="R57" s="118"/>
      <c r="S57" s="118"/>
    </row>
    <row r="58" customFormat="false" ht="15" hidden="false" customHeight="false" outlineLevel="0" collapsed="false">
      <c r="A58" s="90" t="n">
        <v>0.0902777777777778</v>
      </c>
      <c r="B58" s="91" t="s">
        <v>61</v>
      </c>
      <c r="C58" s="98" t="n">
        <f aca="false">SUM(D57)</f>
        <v>3944530</v>
      </c>
      <c r="D58" s="108" t="n">
        <v>3952570</v>
      </c>
      <c r="E58" s="92" t="n">
        <f aca="false">SUM(D58-C58)</f>
        <v>8040</v>
      </c>
      <c r="F58" s="109" t="n">
        <v>7989</v>
      </c>
      <c r="G58" s="41" t="n">
        <v>0.8278</v>
      </c>
      <c r="H58" s="94" t="n">
        <f aca="false">SUM(G58*F58)</f>
        <v>6613.2942</v>
      </c>
      <c r="I58" s="29" t="n">
        <v>81</v>
      </c>
      <c r="J58" s="29" t="n">
        <v>6720</v>
      </c>
      <c r="K58" s="211" t="s">
        <v>60</v>
      </c>
      <c r="L58" s="118"/>
      <c r="M58" s="118"/>
      <c r="N58" s="118"/>
      <c r="O58" s="118"/>
      <c r="P58" s="118"/>
      <c r="Q58" s="118"/>
      <c r="R58" s="118"/>
      <c r="S58" s="118"/>
    </row>
    <row r="59" customFormat="false" ht="15" hidden="false" customHeight="false" outlineLevel="0" collapsed="false">
      <c r="A59" s="90" t="n">
        <v>0.229166666666667</v>
      </c>
      <c r="B59" s="91" t="s">
        <v>62</v>
      </c>
      <c r="C59" s="98" t="n">
        <f aca="false">SUM(D58)</f>
        <v>3952570</v>
      </c>
      <c r="D59" s="108" t="n">
        <v>3969680</v>
      </c>
      <c r="E59" s="92" t="n">
        <f aca="false">SUM(D59-C59)</f>
        <v>17110</v>
      </c>
      <c r="F59" s="107" t="n">
        <v>17019</v>
      </c>
      <c r="G59" s="41" t="n">
        <v>0.8307</v>
      </c>
      <c r="H59" s="94" t="n">
        <f aca="false">SUM(G59*F59)</f>
        <v>14137.6833</v>
      </c>
      <c r="I59" s="29" t="n">
        <v>251</v>
      </c>
      <c r="J59" s="29" t="n">
        <v>6723</v>
      </c>
      <c r="K59" s="120" t="s">
        <v>108</v>
      </c>
      <c r="L59" s="118"/>
      <c r="M59" s="118"/>
      <c r="N59" s="118"/>
      <c r="O59" s="118"/>
      <c r="P59" s="118"/>
      <c r="Q59" s="118"/>
      <c r="R59" s="118"/>
      <c r="S59" s="118"/>
    </row>
    <row r="60" customFormat="false" ht="15" hidden="false" customHeight="false" outlineLevel="0" collapsed="false">
      <c r="A60" s="90" t="n">
        <v>0.274305555555555</v>
      </c>
      <c r="B60" s="91" t="s">
        <v>90</v>
      </c>
      <c r="C60" s="98" t="n">
        <f aca="false">SUM(D59)</f>
        <v>3969680</v>
      </c>
      <c r="D60" s="108" t="n">
        <v>3986790</v>
      </c>
      <c r="E60" s="92" t="n">
        <f aca="false">SUM(D60-C60)</f>
        <v>17110</v>
      </c>
      <c r="F60" s="107" t="n">
        <v>17019</v>
      </c>
      <c r="G60" s="41" t="n">
        <v>0.8322</v>
      </c>
      <c r="H60" s="94" t="n">
        <f aca="false">SUM(G60*F60)</f>
        <v>14163.2118</v>
      </c>
      <c r="I60" s="29" t="n">
        <v>251</v>
      </c>
      <c r="J60" s="29" t="n">
        <v>6725</v>
      </c>
      <c r="K60" s="211" t="s">
        <v>60</v>
      </c>
      <c r="L60" s="118"/>
      <c r="M60" s="118"/>
      <c r="N60" s="118"/>
      <c r="O60" s="118"/>
      <c r="P60" s="118"/>
      <c r="Q60" s="118"/>
      <c r="R60" s="118"/>
      <c r="S60" s="118"/>
    </row>
    <row r="61" customFormat="false" ht="15" hidden="false" customHeight="false" outlineLevel="0" collapsed="false">
      <c r="A61" s="90" t="n">
        <v>0.319444444444444</v>
      </c>
      <c r="B61" s="91" t="s">
        <v>62</v>
      </c>
      <c r="C61" s="98" t="n">
        <f aca="false">SUM(D60)</f>
        <v>3986790</v>
      </c>
      <c r="D61" s="108" t="n">
        <v>4003900</v>
      </c>
      <c r="E61" s="92" t="n">
        <f aca="false">SUM(D61-C61)</f>
        <v>17110</v>
      </c>
      <c r="F61" s="107" t="n">
        <v>17019</v>
      </c>
      <c r="G61" s="41" t="n">
        <v>0.8309</v>
      </c>
      <c r="H61" s="94" t="n">
        <f aca="false">SUM(G61*F61)</f>
        <v>14141.0871</v>
      </c>
      <c r="I61" s="29" t="n">
        <v>251</v>
      </c>
      <c r="J61" s="29" t="n">
        <v>6726</v>
      </c>
      <c r="K61" s="120" t="s">
        <v>108</v>
      </c>
      <c r="L61" s="118"/>
      <c r="M61" s="118"/>
      <c r="N61" s="118"/>
      <c r="O61" s="118"/>
      <c r="P61" s="118"/>
      <c r="Q61" s="118"/>
      <c r="R61" s="118"/>
      <c r="S61" s="118"/>
    </row>
    <row r="62" customFormat="false" ht="15" hidden="false" customHeight="false" outlineLevel="0" collapsed="false">
      <c r="A62" s="90"/>
      <c r="B62" s="91"/>
      <c r="C62" s="98"/>
      <c r="D62" s="108"/>
      <c r="E62" s="92" t="n">
        <f aca="false">SUM(D62-C62)</f>
        <v>0</v>
      </c>
      <c r="F62" s="109" t="n">
        <f aca="false">SUM(D62-C62)</f>
        <v>0</v>
      </c>
      <c r="G62" s="41"/>
      <c r="H62" s="94" t="n">
        <f aca="false">SUM(G62*F62)</f>
        <v>0</v>
      </c>
      <c r="I62" s="29"/>
      <c r="J62" s="29"/>
      <c r="K62" s="121"/>
      <c r="L62" s="118"/>
      <c r="M62" s="118"/>
      <c r="N62" s="118"/>
      <c r="O62" s="118"/>
      <c r="P62" s="118"/>
      <c r="Q62" s="118"/>
      <c r="R62" s="118"/>
      <c r="S62" s="118"/>
    </row>
    <row r="63" customFormat="false" ht="15" hidden="false" customHeight="false" outlineLevel="0" collapsed="false">
      <c r="A63" s="90"/>
      <c r="B63" s="91"/>
      <c r="C63" s="98" t="n">
        <f aca="false">SUM(D62)</f>
        <v>0</v>
      </c>
      <c r="D63" s="108"/>
      <c r="E63" s="92" t="n">
        <f aca="false">SUM(D63-C63)</f>
        <v>0</v>
      </c>
      <c r="F63" s="109" t="n">
        <f aca="false">SUM(D63-C63)</f>
        <v>0</v>
      </c>
      <c r="G63" s="41"/>
      <c r="H63" s="94" t="n">
        <f aca="false">SUM(G63*F63)</f>
        <v>0</v>
      </c>
      <c r="I63" s="1"/>
      <c r="J63" s="29"/>
      <c r="L63" s="118"/>
      <c r="M63" s="118"/>
      <c r="N63" s="118"/>
      <c r="O63" s="118"/>
      <c r="P63" s="118"/>
      <c r="Q63" s="118"/>
      <c r="R63" s="118"/>
      <c r="S63" s="118"/>
    </row>
    <row r="64" customFormat="false" ht="15" hidden="false" customHeight="false" outlineLevel="0" collapsed="false">
      <c r="A64" s="90"/>
      <c r="B64" s="91"/>
      <c r="C64" s="98" t="n">
        <f aca="false">SUM(D63)</f>
        <v>0</v>
      </c>
      <c r="D64" s="108"/>
      <c r="E64" s="92" t="n">
        <f aca="false">SUM(D64-C64)</f>
        <v>0</v>
      </c>
      <c r="F64" s="109" t="n">
        <f aca="false">SUM(D64-C64)</f>
        <v>0</v>
      </c>
      <c r="G64" s="41"/>
      <c r="H64" s="94" t="n">
        <f aca="false">SUM(G64*F64)</f>
        <v>0</v>
      </c>
      <c r="I64" s="1"/>
      <c r="J64" s="29"/>
      <c r="L64" s="118"/>
      <c r="M64" s="118"/>
      <c r="N64" s="118"/>
      <c r="O64" s="118"/>
      <c r="P64" s="118"/>
      <c r="Q64" s="118"/>
      <c r="R64" s="118"/>
      <c r="S64" s="118"/>
    </row>
    <row r="65" customFormat="false" ht="15" hidden="false" customHeight="false" outlineLevel="0" collapsed="false">
      <c r="A65" s="90"/>
      <c r="B65" s="91"/>
      <c r="C65" s="98" t="n">
        <f aca="false">SUM(D64)</f>
        <v>0</v>
      </c>
      <c r="D65" s="76"/>
      <c r="E65" s="92" t="n">
        <f aca="false">SUM(D65-C65)</f>
        <v>0</v>
      </c>
      <c r="F65" s="109" t="n">
        <f aca="false">SUM(D65-C65)</f>
        <v>0</v>
      </c>
      <c r="G65" s="41"/>
      <c r="H65" s="94" t="n">
        <f aca="false">SUM(G65*F65)</f>
        <v>0</v>
      </c>
      <c r="I65" s="1"/>
      <c r="J65" s="29"/>
      <c r="L65" s="118"/>
      <c r="M65" s="118"/>
      <c r="N65" s="118"/>
      <c r="O65" s="118"/>
      <c r="P65" s="118"/>
      <c r="Q65" s="118"/>
      <c r="R65" s="118"/>
      <c r="S65" s="118"/>
    </row>
    <row r="66" customFormat="false" ht="15" hidden="false" customHeight="false" outlineLevel="0" collapsed="false">
      <c r="A66" s="90"/>
      <c r="B66" s="91"/>
      <c r="C66" s="98" t="n">
        <f aca="false">SUM(D65)</f>
        <v>0</v>
      </c>
      <c r="D66" s="76"/>
      <c r="E66" s="92" t="n">
        <f aca="false">SUM(D66-C66)</f>
        <v>0</v>
      </c>
      <c r="F66" s="109" t="n">
        <f aca="false">SUM(F34:F65)</f>
        <v>310275</v>
      </c>
      <c r="G66" s="41"/>
      <c r="H66" s="94" t="n">
        <f aca="false">SUM(H34:H65)</f>
        <v>257909.8611</v>
      </c>
      <c r="I66" s="1"/>
      <c r="J66" s="29"/>
      <c r="L66" s="118"/>
      <c r="M66" s="118"/>
      <c r="N66" s="118"/>
      <c r="O66" s="118"/>
      <c r="P66" s="118"/>
      <c r="Q66" s="118"/>
      <c r="R66" s="118"/>
      <c r="S66" s="118"/>
    </row>
    <row r="67" customFormat="false" ht="15" hidden="false" customHeight="false" outlineLevel="0" collapsed="false">
      <c r="L67" s="118"/>
      <c r="M67" s="118"/>
      <c r="N67" s="118"/>
      <c r="O67" s="118"/>
      <c r="P67" s="118"/>
      <c r="Q67" s="118"/>
      <c r="R67" s="118"/>
      <c r="S67" s="118"/>
    </row>
    <row r="68" customFormat="false" ht="15" hidden="false" customHeight="false" outlineLevel="0" collapsed="false">
      <c r="F68" s="98" t="n">
        <f aca="false">SUM(F32+F66)</f>
        <v>611570</v>
      </c>
      <c r="G68" s="41"/>
      <c r="H68" s="94" t="n">
        <f aca="false">SUM(H32+H66)</f>
        <v>510122.3787</v>
      </c>
      <c r="L68" s="118"/>
      <c r="M68" s="118"/>
      <c r="N68" s="118"/>
      <c r="O68" s="118"/>
      <c r="P68" s="118"/>
      <c r="Q68" s="118"/>
      <c r="R68" s="118"/>
      <c r="S68" s="118"/>
    </row>
    <row r="69" customFormat="false" ht="15" hidden="false" customHeight="false" outlineLevel="0" collapsed="false">
      <c r="E69" s="118"/>
      <c r="L69" s="118"/>
      <c r="M69" s="118"/>
      <c r="N69" s="118"/>
      <c r="O69" s="118"/>
      <c r="P69" s="118"/>
      <c r="Q69" s="118"/>
      <c r="R69" s="118"/>
      <c r="S69" s="118"/>
    </row>
    <row r="70" customFormat="false" ht="15" hidden="false" customHeight="false" outlineLevel="0" collapsed="false">
      <c r="E70" s="118"/>
      <c r="L70" s="118"/>
      <c r="M70" s="118"/>
      <c r="N70" s="118"/>
      <c r="O70" s="118"/>
      <c r="P70" s="118"/>
      <c r="Q70" s="118"/>
      <c r="R70" s="118"/>
      <c r="S70" s="118"/>
    </row>
    <row r="71" customFormat="false" ht="15" hidden="false" customHeight="false" outlineLevel="0" collapsed="false">
      <c r="E71" s="118"/>
      <c r="L71" s="118"/>
      <c r="M71" s="118"/>
      <c r="N71" s="118"/>
      <c r="O71" s="118"/>
      <c r="P71" s="118"/>
      <c r="Q71" s="118"/>
      <c r="R71" s="118"/>
      <c r="S71" s="118"/>
    </row>
    <row r="72" customFormat="false" ht="15" hidden="false" customHeight="false" outlineLevel="0" collapsed="false">
      <c r="E72" s="118"/>
      <c r="L72" s="118"/>
      <c r="M72" s="118"/>
      <c r="N72" s="118"/>
      <c r="O72" s="118"/>
      <c r="P72" s="118"/>
      <c r="Q72" s="118"/>
      <c r="R72" s="118"/>
      <c r="S72" s="118"/>
    </row>
    <row r="73" customFormat="false" ht="15" hidden="false" customHeight="false" outlineLevel="0" collapsed="false">
      <c r="E73" s="118"/>
      <c r="L73" s="118"/>
      <c r="M73" s="118"/>
      <c r="N73" s="118"/>
      <c r="O73" s="118"/>
      <c r="P73" s="118"/>
      <c r="Q73" s="118"/>
      <c r="R73" s="118"/>
      <c r="S73" s="118"/>
    </row>
    <row r="74" customFormat="false" ht="15" hidden="false" customHeight="false" outlineLevel="0" collapsed="false">
      <c r="E74" s="118"/>
      <c r="L74" s="118"/>
      <c r="M74" s="118"/>
      <c r="N74" s="118"/>
      <c r="O74" s="118"/>
      <c r="P74" s="118"/>
      <c r="Q74" s="118"/>
      <c r="R74" s="118"/>
      <c r="S74" s="118"/>
    </row>
    <row r="75" customFormat="false" ht="15" hidden="false" customHeight="false" outlineLevel="0" collapsed="false">
      <c r="E75" s="118"/>
      <c r="L75" s="118"/>
      <c r="M75" s="118"/>
      <c r="N75" s="118"/>
      <c r="O75" s="118"/>
      <c r="P75" s="118"/>
      <c r="Q75" s="118"/>
      <c r="R75" s="118"/>
      <c r="S75" s="118"/>
    </row>
    <row r="76" customFormat="false" ht="15" hidden="false" customHeight="false" outlineLevel="0" collapsed="false">
      <c r="E76" s="118"/>
      <c r="L76" s="118"/>
      <c r="M76" s="118"/>
      <c r="N76" s="118"/>
      <c r="O76" s="118"/>
      <c r="P76" s="118"/>
      <c r="Q76" s="118"/>
      <c r="R76" s="118"/>
      <c r="S76" s="118"/>
    </row>
    <row r="77" customFormat="false" ht="15" hidden="false" customHeight="false" outlineLevel="0" collapsed="false">
      <c r="E77" s="118"/>
      <c r="L77" s="118"/>
      <c r="M77" s="118"/>
      <c r="N77" s="118"/>
      <c r="O77" s="118"/>
      <c r="P77" s="118"/>
      <c r="Q77" s="118"/>
      <c r="R77" s="118"/>
      <c r="S77" s="118"/>
    </row>
    <row r="78" customFormat="false" ht="15" hidden="false" customHeight="false" outlineLevel="0" collapsed="false">
      <c r="E78" s="118"/>
      <c r="L78" s="118"/>
      <c r="M78" s="118"/>
      <c r="N78" s="118"/>
      <c r="O78" s="118"/>
      <c r="P78" s="118"/>
      <c r="Q78" s="118"/>
      <c r="R78" s="118"/>
      <c r="S78" s="118"/>
    </row>
    <row r="79" customFormat="false" ht="15" hidden="false" customHeight="false" outlineLevel="0" collapsed="false">
      <c r="E79" s="118"/>
      <c r="L79" s="118"/>
      <c r="M79" s="118"/>
      <c r="N79" s="118"/>
      <c r="O79" s="118"/>
      <c r="P79" s="118"/>
      <c r="Q79" s="118"/>
      <c r="R79" s="118"/>
      <c r="S79" s="118"/>
    </row>
    <row r="80" customFormat="false" ht="15" hidden="false" customHeight="false" outlineLevel="0" collapsed="false">
      <c r="E80" s="118"/>
      <c r="L80" s="118"/>
      <c r="M80" s="118"/>
      <c r="N80" s="118"/>
      <c r="O80" s="118"/>
      <c r="P80" s="118"/>
      <c r="Q80" s="118"/>
      <c r="R80" s="118"/>
      <c r="S80" s="118"/>
    </row>
    <row r="81" customFormat="false" ht="15" hidden="false" customHeight="false" outlineLevel="0" collapsed="false">
      <c r="E81" s="118"/>
      <c r="L81" s="118"/>
      <c r="M81" s="118"/>
      <c r="N81" s="118"/>
      <c r="O81" s="118"/>
      <c r="P81" s="118"/>
      <c r="Q81" s="118"/>
      <c r="R81" s="118"/>
      <c r="S81" s="118"/>
    </row>
    <row r="82" customFormat="false" ht="15" hidden="true" customHeight="false" outlineLevel="0" collapsed="false">
      <c r="E82" s="118"/>
      <c r="L82" s="118"/>
      <c r="M82" s="118"/>
      <c r="N82" s="118"/>
      <c r="O82" s="118"/>
      <c r="P82" s="118"/>
      <c r="Q82" s="118"/>
      <c r="R82" s="118"/>
      <c r="S82" s="118"/>
    </row>
    <row r="83" customFormat="false" ht="15" hidden="true" customHeight="false" outlineLevel="0" collapsed="false">
      <c r="E83" s="118"/>
      <c r="L83" s="118"/>
      <c r="M83" s="118"/>
      <c r="N83" s="118"/>
      <c r="O83" s="118"/>
      <c r="P83" s="118"/>
      <c r="Q83" s="118"/>
      <c r="R83" s="118"/>
      <c r="S83" s="118"/>
    </row>
    <row r="84" customFormat="false" ht="15" hidden="true" customHeight="false" outlineLevel="0" collapsed="false">
      <c r="E84" s="118"/>
      <c r="L84" s="118"/>
      <c r="M84" s="118"/>
      <c r="N84" s="118"/>
      <c r="O84" s="118"/>
      <c r="P84" s="118"/>
      <c r="Q84" s="118"/>
      <c r="R84" s="118"/>
      <c r="S84" s="118"/>
    </row>
    <row r="85" customFormat="false" ht="15" hidden="true" customHeight="false" outlineLevel="0" collapsed="false">
      <c r="E85" s="118"/>
      <c r="L85" s="118"/>
      <c r="M85" s="118"/>
      <c r="N85" s="118"/>
      <c r="O85" s="118"/>
      <c r="P85" s="118"/>
      <c r="Q85" s="118"/>
      <c r="R85" s="118"/>
      <c r="S85" s="118"/>
    </row>
    <row r="86" customFormat="false" ht="15" hidden="true" customHeight="false" outlineLevel="0" collapsed="false">
      <c r="E86" s="118"/>
      <c r="L86" s="118"/>
      <c r="M86" s="118"/>
      <c r="N86" s="118"/>
      <c r="O86" s="118"/>
      <c r="P86" s="118"/>
      <c r="Q86" s="118"/>
      <c r="R86" s="118"/>
      <c r="S86" s="118"/>
    </row>
    <row r="87" customFormat="false" ht="15" hidden="false" customHeight="false" outlineLevel="0" collapsed="false">
      <c r="E87" s="118"/>
      <c r="L87" s="118"/>
      <c r="M87" s="118"/>
      <c r="N87" s="118"/>
      <c r="O87" s="118"/>
      <c r="P87" s="118"/>
      <c r="Q87" s="118"/>
      <c r="R87" s="118"/>
      <c r="S87" s="118"/>
    </row>
    <row r="88" customFormat="false" ht="15" hidden="false" customHeight="false" outlineLevel="0" collapsed="false">
      <c r="E88" s="118"/>
      <c r="L88" s="118"/>
      <c r="M88" s="118"/>
      <c r="N88" s="118"/>
      <c r="O88" s="118"/>
      <c r="P88" s="118"/>
      <c r="Q88" s="118"/>
      <c r="R88" s="118"/>
      <c r="S88" s="118"/>
    </row>
    <row r="89" customFormat="false" ht="15" hidden="false" customHeight="false" outlineLevel="0" collapsed="false">
      <c r="E89" s="118"/>
      <c r="L89" s="118"/>
      <c r="M89" s="118"/>
      <c r="N89" s="118"/>
      <c r="O89" s="118"/>
      <c r="P89" s="118"/>
      <c r="Q89" s="118"/>
      <c r="R89" s="118"/>
      <c r="S89" s="118"/>
    </row>
    <row r="90" customFormat="false" ht="15" hidden="false" customHeight="false" outlineLevel="0" collapsed="false">
      <c r="E90" s="118"/>
    </row>
    <row r="91" customFormat="false" ht="15" hidden="false" customHeight="false" outlineLevel="0" collapsed="false">
      <c r="E91" s="118"/>
    </row>
    <row r="92" customFormat="false" ht="15" hidden="false" customHeight="false" outlineLevel="0" collapsed="false">
      <c r="E92" s="118"/>
    </row>
    <row r="93" customFormat="false" ht="15" hidden="false" customHeight="false" outlineLevel="0" collapsed="false">
      <c r="E93" s="118"/>
    </row>
    <row r="94" customFormat="false" ht="15" hidden="false" customHeight="false" outlineLevel="0" collapsed="false">
      <c r="E94" s="118"/>
    </row>
    <row r="95" customFormat="false" ht="15" hidden="false" customHeight="false" outlineLevel="0" collapsed="false">
      <c r="E95" s="118"/>
    </row>
    <row r="96" customFormat="false" ht="15" hidden="false" customHeight="false" outlineLevel="0" collapsed="false">
      <c r="E96" s="118"/>
    </row>
    <row r="97" customFormat="false" ht="15" hidden="false" customHeight="false" outlineLevel="0" collapsed="false">
      <c r="E97" s="118"/>
    </row>
    <row r="98" customFormat="false" ht="15" hidden="false" customHeight="false" outlineLevel="0" collapsed="false">
      <c r="E98" s="118"/>
    </row>
    <row r="99" customFormat="false" ht="15" hidden="false" customHeight="false" outlineLevel="0" collapsed="false">
      <c r="E99" s="118"/>
    </row>
    <row r="100" customFormat="false" ht="15" hidden="false" customHeight="false" outlineLevel="0" collapsed="false">
      <c r="E100" s="118"/>
    </row>
    <row r="101" customFormat="false" ht="15" hidden="false" customHeight="false" outlineLevel="0" collapsed="false">
      <c r="E101" s="118"/>
    </row>
    <row r="102" customFormat="false" ht="15" hidden="false" customHeight="false" outlineLevel="0" collapsed="false">
      <c r="E102" s="118"/>
    </row>
    <row r="103" customFormat="false" ht="15" hidden="false" customHeight="false" outlineLevel="0" collapsed="false">
      <c r="E103" s="118"/>
    </row>
    <row r="104" customFormat="false" ht="15" hidden="false" customHeight="false" outlineLevel="0" collapsed="false">
      <c r="E104" s="118"/>
    </row>
    <row r="105" customFormat="false" ht="15" hidden="false" customHeight="false" outlineLevel="0" collapsed="false">
      <c r="E105" s="118"/>
    </row>
    <row r="106" customFormat="false" ht="15" hidden="false" customHeight="false" outlineLevel="0" collapsed="false">
      <c r="E106" s="118"/>
    </row>
    <row r="107" customFormat="false" ht="15" hidden="false" customHeight="false" outlineLevel="0" collapsed="false">
      <c r="E107" s="118"/>
    </row>
    <row r="108" customFormat="false" ht="15" hidden="false" customHeight="false" outlineLevel="0" collapsed="false">
      <c r="E108" s="118"/>
    </row>
    <row r="109" customFormat="false" ht="15" hidden="false" customHeight="false" outlineLevel="0" collapsed="false">
      <c r="E109" s="118"/>
    </row>
    <row r="110" customFormat="false" ht="15" hidden="false" customHeight="false" outlineLevel="0" collapsed="false">
      <c r="E110" s="118"/>
    </row>
    <row r="111" customFormat="false" ht="15" hidden="false" customHeight="false" outlineLevel="0" collapsed="false">
      <c r="E111" s="118"/>
    </row>
    <row r="112" customFormat="false" ht="15" hidden="false" customHeight="false" outlineLevel="0" collapsed="false">
      <c r="E112" s="118"/>
    </row>
    <row r="113" customFormat="false" ht="15" hidden="false" customHeight="false" outlineLevel="0" collapsed="false">
      <c r="E113" s="118"/>
    </row>
    <row r="114" customFormat="false" ht="15" hidden="false" customHeight="false" outlineLevel="0" collapsed="false">
      <c r="E114" s="118"/>
    </row>
    <row r="115" customFormat="false" ht="15" hidden="false" customHeight="false" outlineLevel="0" collapsed="false">
      <c r="E115" s="118"/>
    </row>
    <row r="116" customFormat="false" ht="15" hidden="false" customHeight="false" outlineLevel="0" collapsed="false">
      <c r="E116" s="118"/>
    </row>
    <row r="117" customFormat="false" ht="15" hidden="false" customHeight="false" outlineLevel="0" collapsed="false">
      <c r="E117" s="118"/>
    </row>
    <row r="118" customFormat="false" ht="15" hidden="false" customHeight="false" outlineLevel="0" collapsed="false">
      <c r="E118" s="118"/>
    </row>
    <row r="119" customFormat="false" ht="15" hidden="false" customHeight="false" outlineLevel="0" collapsed="false">
      <c r="E119" s="118"/>
    </row>
    <row r="120" customFormat="false" ht="15" hidden="false" customHeight="false" outlineLevel="0" collapsed="false">
      <c r="E120" s="118"/>
    </row>
    <row r="121" customFormat="false" ht="15" hidden="false" customHeight="false" outlineLevel="0" collapsed="false">
      <c r="E121" s="118"/>
    </row>
    <row r="122" customFormat="false" ht="15" hidden="false" customHeight="false" outlineLevel="0" collapsed="false">
      <c r="E122" s="118"/>
    </row>
    <row r="123" customFormat="false" ht="15" hidden="false" customHeight="false" outlineLevel="0" collapsed="false">
      <c r="E123" s="118"/>
    </row>
    <row r="124" customFormat="false" ht="15" hidden="false" customHeight="false" outlineLevel="0" collapsed="false">
      <c r="E124" s="118"/>
    </row>
    <row r="125" customFormat="false" ht="15" hidden="false" customHeight="false" outlineLevel="0" collapsed="false">
      <c r="E125" s="118"/>
    </row>
    <row r="126" customFormat="false" ht="15" hidden="false" customHeight="false" outlineLevel="0" collapsed="false">
      <c r="E126" s="118"/>
    </row>
    <row r="127" customFormat="false" ht="15" hidden="false" customHeight="false" outlineLevel="0" collapsed="false">
      <c r="E127" s="118"/>
    </row>
    <row r="128" customFormat="false" ht="15" hidden="false" customHeight="false" outlineLevel="0" collapsed="false">
      <c r="E128" s="118"/>
    </row>
    <row r="129" customFormat="false" ht="15" hidden="false" customHeight="false" outlineLevel="0" collapsed="false">
      <c r="E129" s="118"/>
    </row>
    <row r="130" customFormat="false" ht="15" hidden="false" customHeight="false" outlineLevel="0" collapsed="false">
      <c r="E130" s="118"/>
    </row>
    <row r="131" customFormat="false" ht="15" hidden="false" customHeight="false" outlineLevel="0" collapsed="false">
      <c r="E131" s="118"/>
    </row>
    <row r="132" customFormat="false" ht="15" hidden="false" customHeight="false" outlineLevel="0" collapsed="false">
      <c r="E132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2019-10-21T08:56:16Z</dcterms:created>
  <dc:creator>User</dc:creator>
  <dc:description/>
  <dc:language>en-US</dc:language>
  <cp:lastModifiedBy/>
  <cp:lastPrinted>2021-12-26T19:41:02Z</cp:lastPrinted>
  <dcterms:modified xsi:type="dcterms:W3CDTF">2023-07-28T17:37:12Z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