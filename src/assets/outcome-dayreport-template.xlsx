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sirbiladze/PhpstormProjects/rosnova-warehouse/src/assets/"/>
    </mc:Choice>
  </mc:AlternateContent>
  <xr:revisionPtr revIDLastSave="0" documentId="13_ncr:1_{B38F2DD5-0AA9-D649-8520-4003E19E5A5D}" xr6:coauthVersionLast="43" xr6:coauthVersionMax="43" xr10:uidLastSave="{00000000-0000-0000-0000-000000000000}"/>
  <bookViews>
    <workbookView xWindow="0" yWindow="500" windowWidth="24040" windowHeight="15420" tabRatio="500" activeTab="16" xr2:uid="{00000000-000D-0000-FFFF-FFFF00000000}"/>
  </bookViews>
  <sheets>
    <sheet name="Альянс (СТС) РВ" sheetId="1" state="hidden" r:id="rId1"/>
    <sheet name="ТНЗ СТС СА" sheetId="2" state="hidden" r:id="rId2"/>
    <sheet name="ТНЗ СТС РВ" sheetId="3" state="hidden" r:id="rId3"/>
    <sheet name="01.06.2023" sheetId="4" state="hidden" r:id="rId4"/>
    <sheet name="02.06.2023" sheetId="5" state="hidden" r:id="rId5"/>
    <sheet name="03.06.2023" sheetId="6" state="hidden" r:id="rId6"/>
    <sheet name="04.06.2023" sheetId="7" state="hidden" r:id="rId7"/>
    <sheet name="05.06.2023" sheetId="8" state="hidden" r:id="rId8"/>
    <sheet name="06.06.2023" sheetId="9" state="hidden" r:id="rId9"/>
    <sheet name="07.06.2023" sheetId="10" state="hidden" r:id="rId10"/>
    <sheet name="08.06.2023" sheetId="11" state="hidden" r:id="rId11"/>
    <sheet name="09.06.2023" sheetId="12" state="hidden" r:id="rId12"/>
    <sheet name="10.06.2023" sheetId="13" state="hidden" r:id="rId13"/>
    <sheet name="11.06.2023" sheetId="14" state="hidden" r:id="rId14"/>
    <sheet name="12.06.2023" sheetId="15" state="hidden" r:id="rId15"/>
    <sheet name="13.06.2023" sheetId="16" state="hidden" r:id="rId16"/>
    <sheet name="page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6" i="16" l="1"/>
  <c r="E66" i="16" s="1"/>
  <c r="E65" i="16"/>
  <c r="C65" i="16"/>
  <c r="F65" i="16" s="1"/>
  <c r="H65" i="16" s="1"/>
  <c r="E64" i="16"/>
  <c r="C64" i="16"/>
  <c r="F64" i="16" s="1"/>
  <c r="H64" i="16" s="1"/>
  <c r="E63" i="16"/>
  <c r="C63" i="16"/>
  <c r="F63" i="16" s="1"/>
  <c r="H63" i="16" s="1"/>
  <c r="F62" i="16"/>
  <c r="H62" i="16" s="1"/>
  <c r="E62" i="16"/>
  <c r="H61" i="16"/>
  <c r="E61" i="16"/>
  <c r="C61" i="16"/>
  <c r="H60" i="16"/>
  <c r="E60" i="16"/>
  <c r="C60" i="16"/>
  <c r="H59" i="16"/>
  <c r="E59" i="16"/>
  <c r="C59" i="16"/>
  <c r="H58" i="16"/>
  <c r="C58" i="16"/>
  <c r="E58" i="16" s="1"/>
  <c r="H57" i="16"/>
  <c r="C57" i="16"/>
  <c r="E57" i="16" s="1"/>
  <c r="H56" i="16"/>
  <c r="C56" i="16"/>
  <c r="E56" i="16" s="1"/>
  <c r="H55" i="16"/>
  <c r="E55" i="16"/>
  <c r="C55" i="16"/>
  <c r="H54" i="16"/>
  <c r="E54" i="16"/>
  <c r="C54" i="16"/>
  <c r="H53" i="16"/>
  <c r="E53" i="16"/>
  <c r="C53" i="16"/>
  <c r="H52" i="16"/>
  <c r="E52" i="16"/>
  <c r="C52" i="16"/>
  <c r="H51" i="16"/>
  <c r="E51" i="16"/>
  <c r="C51" i="16"/>
  <c r="H50" i="16"/>
  <c r="C50" i="16"/>
  <c r="E50" i="16" s="1"/>
  <c r="H49" i="16"/>
  <c r="C49" i="16"/>
  <c r="E49" i="16" s="1"/>
  <c r="H48" i="16"/>
  <c r="C48" i="16"/>
  <c r="E48" i="16" s="1"/>
  <c r="H47" i="16"/>
  <c r="E47" i="16"/>
  <c r="C47" i="16"/>
  <c r="H46" i="16"/>
  <c r="C46" i="16"/>
  <c r="E46" i="16" s="1"/>
  <c r="H45" i="16"/>
  <c r="E45" i="16"/>
  <c r="C45" i="16"/>
  <c r="H44" i="16"/>
  <c r="E44" i="16"/>
  <c r="C44" i="16"/>
  <c r="H43" i="16"/>
  <c r="E43" i="16"/>
  <c r="C43" i="16"/>
  <c r="H42" i="16"/>
  <c r="C42" i="16"/>
  <c r="E42" i="16" s="1"/>
  <c r="H41" i="16"/>
  <c r="C41" i="16"/>
  <c r="E41" i="16" s="1"/>
  <c r="H40" i="16"/>
  <c r="C40" i="16"/>
  <c r="E40" i="16" s="1"/>
  <c r="H39" i="16"/>
  <c r="E39" i="16"/>
  <c r="C39" i="16"/>
  <c r="H38" i="16"/>
  <c r="C38" i="16"/>
  <c r="E38" i="16" s="1"/>
  <c r="H37" i="16"/>
  <c r="E37" i="16"/>
  <c r="C37" i="16"/>
  <c r="H36" i="16"/>
  <c r="E36" i="16"/>
  <c r="C36" i="16"/>
  <c r="H35" i="16"/>
  <c r="E35" i="16"/>
  <c r="C35" i="16"/>
  <c r="H34" i="16"/>
  <c r="E34" i="16"/>
  <c r="C32" i="16"/>
  <c r="P31" i="16"/>
  <c r="R31" i="16" s="1"/>
  <c r="N31" i="16"/>
  <c r="E31" i="16"/>
  <c r="C31" i="16"/>
  <c r="F31" i="16" s="1"/>
  <c r="H31" i="16" s="1"/>
  <c r="P30" i="16"/>
  <c r="R30" i="16" s="1"/>
  <c r="N30" i="16"/>
  <c r="C30" i="16"/>
  <c r="N29" i="16"/>
  <c r="P29" i="16" s="1"/>
  <c r="R29" i="16" s="1"/>
  <c r="H29" i="16"/>
  <c r="E29" i="16"/>
  <c r="C29" i="16"/>
  <c r="F29" i="16" s="1"/>
  <c r="R28" i="16"/>
  <c r="P28" i="16"/>
  <c r="N28" i="16"/>
  <c r="H28" i="16"/>
  <c r="F28" i="16"/>
  <c r="C28" i="16"/>
  <c r="E28" i="16" s="1"/>
  <c r="P27" i="16"/>
  <c r="R27" i="16" s="1"/>
  <c r="N27" i="16"/>
  <c r="F27" i="16"/>
  <c r="H27" i="16" s="1"/>
  <c r="E27" i="16"/>
  <c r="C27" i="16"/>
  <c r="N26" i="16"/>
  <c r="P26" i="16" s="1"/>
  <c r="R26" i="16" s="1"/>
  <c r="C26" i="16"/>
  <c r="P25" i="16"/>
  <c r="R25" i="16" s="1"/>
  <c r="N25" i="16"/>
  <c r="C25" i="16"/>
  <c r="R24" i="16"/>
  <c r="N24" i="16"/>
  <c r="P24" i="16" s="1"/>
  <c r="F24" i="16"/>
  <c r="H24" i="16" s="1"/>
  <c r="E24" i="16"/>
  <c r="C24" i="16"/>
  <c r="R23" i="16"/>
  <c r="P23" i="16"/>
  <c r="N23" i="16"/>
  <c r="E23" i="16"/>
  <c r="C23" i="16"/>
  <c r="F23" i="16" s="1"/>
  <c r="H23" i="16" s="1"/>
  <c r="P22" i="16"/>
  <c r="R22" i="16" s="1"/>
  <c r="N22" i="16"/>
  <c r="C22" i="16"/>
  <c r="R21" i="16"/>
  <c r="N21" i="16"/>
  <c r="P21" i="16" s="1"/>
  <c r="H21" i="16"/>
  <c r="F21" i="16"/>
  <c r="E21" i="16"/>
  <c r="P20" i="16"/>
  <c r="R20" i="16" s="1"/>
  <c r="N20" i="16"/>
  <c r="H20" i="16"/>
  <c r="E20" i="16"/>
  <c r="C20" i="16"/>
  <c r="R19" i="16"/>
  <c r="P19" i="16"/>
  <c r="N19" i="16"/>
  <c r="H19" i="16"/>
  <c r="E19" i="16"/>
  <c r="C19" i="16"/>
  <c r="R18" i="16"/>
  <c r="P18" i="16"/>
  <c r="H18" i="16"/>
  <c r="E18" i="16"/>
  <c r="C18" i="16"/>
  <c r="H17" i="16"/>
  <c r="E17" i="16"/>
  <c r="C17" i="16"/>
  <c r="R16" i="16"/>
  <c r="N16" i="16"/>
  <c r="P16" i="16" s="1"/>
  <c r="H16" i="16"/>
  <c r="C16" i="16"/>
  <c r="E16" i="16" s="1"/>
  <c r="R15" i="16"/>
  <c r="N15" i="16"/>
  <c r="P15" i="16" s="1"/>
  <c r="H15" i="16"/>
  <c r="E15" i="16"/>
  <c r="C15" i="16"/>
  <c r="P14" i="16"/>
  <c r="R14" i="16" s="1"/>
  <c r="N14" i="16"/>
  <c r="H14" i="16"/>
  <c r="E14" i="16"/>
  <c r="C14" i="16"/>
  <c r="R13" i="16"/>
  <c r="P13" i="16"/>
  <c r="N13" i="16"/>
  <c r="H13" i="16"/>
  <c r="E13" i="16"/>
  <c r="C13" i="16"/>
  <c r="N12" i="16"/>
  <c r="P12" i="16" s="1"/>
  <c r="R12" i="16" s="1"/>
  <c r="H12" i="16"/>
  <c r="C12" i="16"/>
  <c r="E12" i="16" s="1"/>
  <c r="N11" i="16"/>
  <c r="P11" i="16" s="1"/>
  <c r="R11" i="16" s="1"/>
  <c r="H11" i="16"/>
  <c r="E11" i="16"/>
  <c r="C11" i="16"/>
  <c r="N10" i="16"/>
  <c r="P10" i="16" s="1"/>
  <c r="R10" i="16" s="1"/>
  <c r="H10" i="16"/>
  <c r="C10" i="16"/>
  <c r="E10" i="16" s="1"/>
  <c r="R9" i="16"/>
  <c r="P9" i="16"/>
  <c r="N9" i="16"/>
  <c r="H9" i="16"/>
  <c r="E9" i="16"/>
  <c r="C9" i="16"/>
  <c r="N8" i="16"/>
  <c r="P8" i="16" s="1"/>
  <c r="R8" i="16" s="1"/>
  <c r="H8" i="16"/>
  <c r="C8" i="16"/>
  <c r="E8" i="16" s="1"/>
  <c r="N7" i="16"/>
  <c r="P7" i="16" s="1"/>
  <c r="R7" i="16" s="1"/>
  <c r="H7" i="16"/>
  <c r="E7" i="16"/>
  <c r="C7" i="16"/>
  <c r="N6" i="16"/>
  <c r="P6" i="16" s="1"/>
  <c r="R6" i="16" s="1"/>
  <c r="H6" i="16"/>
  <c r="C6" i="16"/>
  <c r="E6" i="16" s="1"/>
  <c r="R5" i="16"/>
  <c r="P5" i="16"/>
  <c r="N5" i="16"/>
  <c r="F5" i="16"/>
  <c r="H5" i="16" s="1"/>
  <c r="C5" i="16"/>
  <c r="E5" i="16" s="1"/>
  <c r="P4" i="16"/>
  <c r="R4" i="16" s="1"/>
  <c r="N4" i="16"/>
  <c r="F4" i="16"/>
  <c r="E4" i="16"/>
  <c r="C4" i="16"/>
  <c r="R3" i="16"/>
  <c r="P3" i="16"/>
  <c r="H3" i="16"/>
  <c r="E3" i="16"/>
  <c r="H60" i="15"/>
  <c r="F60" i="15"/>
  <c r="E58" i="15"/>
  <c r="C58" i="15"/>
  <c r="H57" i="15"/>
  <c r="F57" i="15"/>
  <c r="E57" i="15"/>
  <c r="C57" i="15"/>
  <c r="F56" i="15"/>
  <c r="H56" i="15" s="1"/>
  <c r="E56" i="15"/>
  <c r="C56" i="15"/>
  <c r="F55" i="15"/>
  <c r="H55" i="15" s="1"/>
  <c r="E55" i="15"/>
  <c r="H54" i="15"/>
  <c r="C54" i="15"/>
  <c r="E54" i="15" s="1"/>
  <c r="H53" i="15"/>
  <c r="C53" i="15"/>
  <c r="E53" i="15" s="1"/>
  <c r="H52" i="15"/>
  <c r="E52" i="15"/>
  <c r="C52" i="15"/>
  <c r="H51" i="15"/>
  <c r="E51" i="15"/>
  <c r="C51" i="15"/>
  <c r="H50" i="15"/>
  <c r="C50" i="15"/>
  <c r="E50" i="15" s="1"/>
  <c r="H49" i="15"/>
  <c r="E49" i="15"/>
  <c r="C49" i="15"/>
  <c r="H48" i="15"/>
  <c r="E48" i="15"/>
  <c r="C48" i="15"/>
  <c r="H47" i="15"/>
  <c r="C47" i="15"/>
  <c r="E47" i="15" s="1"/>
  <c r="H46" i="15"/>
  <c r="C46" i="15"/>
  <c r="E46" i="15" s="1"/>
  <c r="H45" i="15"/>
  <c r="C45" i="15"/>
  <c r="E45" i="15" s="1"/>
  <c r="H44" i="15"/>
  <c r="E44" i="15"/>
  <c r="C44" i="15"/>
  <c r="H43" i="15"/>
  <c r="E43" i="15"/>
  <c r="C43" i="15"/>
  <c r="H42" i="15"/>
  <c r="C42" i="15"/>
  <c r="E42" i="15" s="1"/>
  <c r="H41" i="15"/>
  <c r="E41" i="15"/>
  <c r="C41" i="15"/>
  <c r="H40" i="15"/>
  <c r="E40" i="15"/>
  <c r="C40" i="15"/>
  <c r="H39" i="15"/>
  <c r="C39" i="15"/>
  <c r="E39" i="15" s="1"/>
  <c r="H38" i="15"/>
  <c r="C38" i="15"/>
  <c r="E38" i="15" s="1"/>
  <c r="H37" i="15"/>
  <c r="C37" i="15"/>
  <c r="E37" i="15" s="1"/>
  <c r="H36" i="15"/>
  <c r="E36" i="15"/>
  <c r="C36" i="15"/>
  <c r="H35" i="15"/>
  <c r="C35" i="15"/>
  <c r="E35" i="15" s="1"/>
  <c r="H34" i="15"/>
  <c r="C34" i="15"/>
  <c r="E34" i="15" s="1"/>
  <c r="H33" i="15"/>
  <c r="E33" i="15"/>
  <c r="C33" i="15"/>
  <c r="H32" i="15"/>
  <c r="E32" i="15"/>
  <c r="H31" i="15"/>
  <c r="C31" i="15"/>
  <c r="E31" i="15" s="1"/>
  <c r="H30" i="15"/>
  <c r="E30" i="15"/>
  <c r="C30" i="15"/>
  <c r="H29" i="15"/>
  <c r="E29" i="15"/>
  <c r="C29" i="15"/>
  <c r="H28" i="15"/>
  <c r="C28" i="15"/>
  <c r="E28" i="15" s="1"/>
  <c r="H27" i="15"/>
  <c r="E27" i="15"/>
  <c r="P25" i="15"/>
  <c r="R25" i="15" s="1"/>
  <c r="N25" i="15"/>
  <c r="C25" i="15"/>
  <c r="E25" i="15" s="1"/>
  <c r="R24" i="15"/>
  <c r="P24" i="15"/>
  <c r="N24" i="15"/>
  <c r="C24" i="15"/>
  <c r="E24" i="15" s="1"/>
  <c r="P23" i="15"/>
  <c r="R23" i="15" s="1"/>
  <c r="N23" i="15"/>
  <c r="F23" i="15"/>
  <c r="H23" i="15" s="1"/>
  <c r="E23" i="15"/>
  <c r="C23" i="15"/>
  <c r="P22" i="15"/>
  <c r="R22" i="15" s="1"/>
  <c r="N22" i="15"/>
  <c r="C22" i="15"/>
  <c r="N21" i="15"/>
  <c r="P21" i="15" s="1"/>
  <c r="R21" i="15" s="1"/>
  <c r="H21" i="15"/>
  <c r="F21" i="15"/>
  <c r="E21" i="15"/>
  <c r="P20" i="15"/>
  <c r="R20" i="15" s="1"/>
  <c r="N20" i="15"/>
  <c r="H20" i="15"/>
  <c r="C20" i="15"/>
  <c r="E20" i="15" s="1"/>
  <c r="P19" i="15"/>
  <c r="R19" i="15" s="1"/>
  <c r="H19" i="15"/>
  <c r="E19" i="15"/>
  <c r="C19" i="15"/>
  <c r="P18" i="15"/>
  <c r="R18" i="15" s="1"/>
  <c r="H18" i="15"/>
  <c r="C18" i="15"/>
  <c r="E18" i="15" s="1"/>
  <c r="H17" i="15"/>
  <c r="E17" i="15"/>
  <c r="C17" i="15"/>
  <c r="N16" i="15"/>
  <c r="P16" i="15" s="1"/>
  <c r="R16" i="15" s="1"/>
  <c r="H16" i="15"/>
  <c r="C16" i="15"/>
  <c r="E16" i="15" s="1"/>
  <c r="R15" i="15"/>
  <c r="N15" i="15"/>
  <c r="P15" i="15" s="1"/>
  <c r="H15" i="15"/>
  <c r="E15" i="15"/>
  <c r="C15" i="15"/>
  <c r="N14" i="15"/>
  <c r="P14" i="15" s="1"/>
  <c r="R14" i="15" s="1"/>
  <c r="H14" i="15"/>
  <c r="C14" i="15"/>
  <c r="E14" i="15" s="1"/>
  <c r="N13" i="15"/>
  <c r="P13" i="15" s="1"/>
  <c r="R13" i="15" s="1"/>
  <c r="H13" i="15"/>
  <c r="E13" i="15"/>
  <c r="C13" i="15"/>
  <c r="R12" i="15"/>
  <c r="N12" i="15"/>
  <c r="P12" i="15" s="1"/>
  <c r="H12" i="15"/>
  <c r="C12" i="15"/>
  <c r="E12" i="15" s="1"/>
  <c r="N11" i="15"/>
  <c r="P11" i="15" s="1"/>
  <c r="R11" i="15" s="1"/>
  <c r="H11" i="15"/>
  <c r="E11" i="15"/>
  <c r="C11" i="15"/>
  <c r="N10" i="15"/>
  <c r="P10" i="15" s="1"/>
  <c r="R10" i="15" s="1"/>
  <c r="H10" i="15"/>
  <c r="C10" i="15"/>
  <c r="E10" i="15" s="1"/>
  <c r="N9" i="15"/>
  <c r="P9" i="15" s="1"/>
  <c r="R9" i="15" s="1"/>
  <c r="H9" i="15"/>
  <c r="E9" i="15"/>
  <c r="C9" i="15"/>
  <c r="P8" i="15"/>
  <c r="R8" i="15" s="1"/>
  <c r="N8" i="15"/>
  <c r="H8" i="15"/>
  <c r="E8" i="15"/>
  <c r="C8" i="15"/>
  <c r="N7" i="15"/>
  <c r="P7" i="15" s="1"/>
  <c r="R7" i="15" s="1"/>
  <c r="H7" i="15"/>
  <c r="E7" i="15"/>
  <c r="C7" i="15"/>
  <c r="N6" i="15"/>
  <c r="P6" i="15" s="1"/>
  <c r="R6" i="15" s="1"/>
  <c r="H6" i="15"/>
  <c r="C6" i="15"/>
  <c r="E6" i="15" s="1"/>
  <c r="N5" i="15"/>
  <c r="P5" i="15" s="1"/>
  <c r="R5" i="15" s="1"/>
  <c r="H5" i="15"/>
  <c r="E5" i="15"/>
  <c r="C5" i="15"/>
  <c r="N4" i="15"/>
  <c r="P4" i="15" s="1"/>
  <c r="R4" i="15" s="1"/>
  <c r="H4" i="15"/>
  <c r="E4" i="15"/>
  <c r="C4" i="15"/>
  <c r="R3" i="15"/>
  <c r="P3" i="15"/>
  <c r="H3" i="15"/>
  <c r="E3" i="15"/>
  <c r="C71" i="14"/>
  <c r="F71" i="14" s="1"/>
  <c r="H71" i="14" s="1"/>
  <c r="H70" i="14"/>
  <c r="C70" i="14"/>
  <c r="F70" i="14" s="1"/>
  <c r="H69" i="14"/>
  <c r="E69" i="14"/>
  <c r="C69" i="14"/>
  <c r="F69" i="14" s="1"/>
  <c r="C68" i="14"/>
  <c r="F68" i="14" s="1"/>
  <c r="H68" i="14" s="1"/>
  <c r="C67" i="14"/>
  <c r="F67" i="14" s="1"/>
  <c r="H67" i="14" s="1"/>
  <c r="C66" i="14"/>
  <c r="C65" i="14"/>
  <c r="F65" i="14" s="1"/>
  <c r="C64" i="14"/>
  <c r="F64" i="14" s="1"/>
  <c r="H64" i="14" s="1"/>
  <c r="H63" i="14"/>
  <c r="F63" i="14"/>
  <c r="E63" i="14"/>
  <c r="H62" i="14"/>
  <c r="E62" i="14"/>
  <c r="C62" i="14"/>
  <c r="H61" i="14"/>
  <c r="E61" i="14"/>
  <c r="C61" i="14"/>
  <c r="H60" i="14"/>
  <c r="C60" i="14"/>
  <c r="E60" i="14" s="1"/>
  <c r="H59" i="14"/>
  <c r="C59" i="14"/>
  <c r="E59" i="14" s="1"/>
  <c r="H58" i="14"/>
  <c r="E58" i="14"/>
  <c r="C58" i="14"/>
  <c r="H57" i="14"/>
  <c r="C57" i="14"/>
  <c r="E57" i="14" s="1"/>
  <c r="H56" i="14"/>
  <c r="C56" i="14"/>
  <c r="E56" i="14" s="1"/>
  <c r="H55" i="14"/>
  <c r="C55" i="14"/>
  <c r="E55" i="14" s="1"/>
  <c r="H54" i="14"/>
  <c r="E54" i="14"/>
  <c r="C54" i="14"/>
  <c r="H53" i="14"/>
  <c r="C53" i="14"/>
  <c r="E53" i="14" s="1"/>
  <c r="H52" i="14"/>
  <c r="C52" i="14"/>
  <c r="E52" i="14" s="1"/>
  <c r="H51" i="14"/>
  <c r="C51" i="14"/>
  <c r="E51" i="14" s="1"/>
  <c r="H50" i="14"/>
  <c r="C50" i="14"/>
  <c r="E50" i="14" s="1"/>
  <c r="H49" i="14"/>
  <c r="C49" i="14"/>
  <c r="E49" i="14" s="1"/>
  <c r="H48" i="14"/>
  <c r="E48" i="14"/>
  <c r="C48" i="14"/>
  <c r="H47" i="14"/>
  <c r="E47" i="14"/>
  <c r="C47" i="14"/>
  <c r="H46" i="14"/>
  <c r="E46" i="14"/>
  <c r="C46" i="14"/>
  <c r="H45" i="14"/>
  <c r="E45" i="14"/>
  <c r="C45" i="14"/>
  <c r="H44" i="14"/>
  <c r="C44" i="14"/>
  <c r="E44" i="14" s="1"/>
  <c r="H43" i="14"/>
  <c r="C43" i="14"/>
  <c r="E43" i="14" s="1"/>
  <c r="H42" i="14"/>
  <c r="E42" i="14"/>
  <c r="C42" i="14"/>
  <c r="H41" i="14"/>
  <c r="C41" i="14"/>
  <c r="E41" i="14" s="1"/>
  <c r="H40" i="14"/>
  <c r="E40" i="14"/>
  <c r="H37" i="14"/>
  <c r="F37" i="14"/>
  <c r="C37" i="14"/>
  <c r="E37" i="14" s="1"/>
  <c r="C36" i="14"/>
  <c r="F36" i="14" s="1"/>
  <c r="H36" i="14" s="1"/>
  <c r="F35" i="14"/>
  <c r="H35" i="14" s="1"/>
  <c r="E35" i="14"/>
  <c r="C35" i="14"/>
  <c r="C34" i="14"/>
  <c r="F34" i="14" s="1"/>
  <c r="H34" i="14" s="1"/>
  <c r="C33" i="14"/>
  <c r="F33" i="14" s="1"/>
  <c r="H33" i="14" s="1"/>
  <c r="E32" i="14"/>
  <c r="C32" i="14"/>
  <c r="F32" i="14" s="1"/>
  <c r="H32" i="14" s="1"/>
  <c r="N31" i="14"/>
  <c r="P31" i="14" s="1"/>
  <c r="R31" i="14" s="1"/>
  <c r="H31" i="14"/>
  <c r="E31" i="14"/>
  <c r="C31" i="14"/>
  <c r="F31" i="14" s="1"/>
  <c r="N30" i="14"/>
  <c r="P30" i="14" s="1"/>
  <c r="R30" i="14" s="1"/>
  <c r="C30" i="14"/>
  <c r="N29" i="14"/>
  <c r="P29" i="14" s="1"/>
  <c r="R29" i="14" s="1"/>
  <c r="H29" i="14"/>
  <c r="F29" i="14"/>
  <c r="E29" i="14"/>
  <c r="C29" i="14"/>
  <c r="P28" i="14"/>
  <c r="R28" i="14" s="1"/>
  <c r="N28" i="14"/>
  <c r="F28" i="14"/>
  <c r="H28" i="14" s="1"/>
  <c r="C28" i="14"/>
  <c r="E28" i="14" s="1"/>
  <c r="N27" i="14"/>
  <c r="P27" i="14" s="1"/>
  <c r="R27" i="14" s="1"/>
  <c r="C27" i="14"/>
  <c r="F27" i="14" s="1"/>
  <c r="H27" i="14" s="1"/>
  <c r="R26" i="14"/>
  <c r="N26" i="14"/>
  <c r="P26" i="14" s="1"/>
  <c r="F26" i="14"/>
  <c r="H26" i="14" s="1"/>
  <c r="E26" i="14"/>
  <c r="C26" i="14"/>
  <c r="R25" i="14"/>
  <c r="P25" i="14"/>
  <c r="N25" i="14"/>
  <c r="C25" i="14"/>
  <c r="F25" i="14" s="1"/>
  <c r="H25" i="14" s="1"/>
  <c r="P24" i="14"/>
  <c r="R24" i="14" s="1"/>
  <c r="N24" i="14"/>
  <c r="F24" i="14"/>
  <c r="H24" i="14" s="1"/>
  <c r="E24" i="14"/>
  <c r="C24" i="14"/>
  <c r="P23" i="14"/>
  <c r="R23" i="14" s="1"/>
  <c r="N23" i="14"/>
  <c r="C23" i="14"/>
  <c r="F23" i="14" s="1"/>
  <c r="H23" i="14" s="1"/>
  <c r="N22" i="14"/>
  <c r="P22" i="14" s="1"/>
  <c r="R22" i="14" s="1"/>
  <c r="H22" i="14"/>
  <c r="F22" i="14"/>
  <c r="E22" i="14"/>
  <c r="N21" i="14"/>
  <c r="P21" i="14" s="1"/>
  <c r="R21" i="14" s="1"/>
  <c r="H21" i="14"/>
  <c r="C21" i="14"/>
  <c r="E21" i="14" s="1"/>
  <c r="N20" i="14"/>
  <c r="P20" i="14" s="1"/>
  <c r="R20" i="14" s="1"/>
  <c r="H20" i="14"/>
  <c r="C20" i="14"/>
  <c r="E20" i="14" s="1"/>
  <c r="N19" i="14"/>
  <c r="P19" i="14" s="1"/>
  <c r="R19" i="14" s="1"/>
  <c r="H19" i="14"/>
  <c r="C19" i="14"/>
  <c r="E19" i="14" s="1"/>
  <c r="R18" i="14"/>
  <c r="P18" i="14"/>
  <c r="H18" i="14"/>
  <c r="C18" i="14"/>
  <c r="E18" i="14" s="1"/>
  <c r="H17" i="14"/>
  <c r="C17" i="14"/>
  <c r="E17" i="14" s="1"/>
  <c r="P16" i="14"/>
  <c r="R16" i="14" s="1"/>
  <c r="N16" i="14"/>
  <c r="H16" i="14"/>
  <c r="E16" i="14"/>
  <c r="C16" i="14"/>
  <c r="N15" i="14"/>
  <c r="P15" i="14" s="1"/>
  <c r="R15" i="14" s="1"/>
  <c r="H15" i="14"/>
  <c r="E15" i="14"/>
  <c r="C15" i="14"/>
  <c r="R14" i="14"/>
  <c r="N14" i="14"/>
  <c r="P14" i="14" s="1"/>
  <c r="E14" i="14"/>
  <c r="C14" i="14"/>
  <c r="F14" i="14" s="1"/>
  <c r="H14" i="14" s="1"/>
  <c r="R13" i="14"/>
  <c r="P13" i="14"/>
  <c r="N13" i="14"/>
  <c r="H13" i="14"/>
  <c r="C13" i="14"/>
  <c r="E13" i="14" s="1"/>
  <c r="P12" i="14"/>
  <c r="R12" i="14" s="1"/>
  <c r="N12" i="14"/>
  <c r="H12" i="14"/>
  <c r="C12" i="14"/>
  <c r="E12" i="14" s="1"/>
  <c r="N11" i="14"/>
  <c r="P11" i="14" s="1"/>
  <c r="R11" i="14" s="1"/>
  <c r="H11" i="14"/>
  <c r="C11" i="14"/>
  <c r="E11" i="14" s="1"/>
  <c r="P10" i="14"/>
  <c r="R10" i="14" s="1"/>
  <c r="N10" i="14"/>
  <c r="H10" i="14"/>
  <c r="C10" i="14"/>
  <c r="E10" i="14" s="1"/>
  <c r="R9" i="14"/>
  <c r="P9" i="14"/>
  <c r="N9" i="14"/>
  <c r="H9" i="14"/>
  <c r="E9" i="14"/>
  <c r="C9" i="14"/>
  <c r="N8" i="14"/>
  <c r="P8" i="14" s="1"/>
  <c r="R8" i="14" s="1"/>
  <c r="H8" i="14"/>
  <c r="C8" i="14"/>
  <c r="E8" i="14" s="1"/>
  <c r="R7" i="14"/>
  <c r="P7" i="14"/>
  <c r="N7" i="14"/>
  <c r="H7" i="14"/>
  <c r="C7" i="14"/>
  <c r="E7" i="14" s="1"/>
  <c r="P6" i="14"/>
  <c r="R6" i="14" s="1"/>
  <c r="N6" i="14"/>
  <c r="H6" i="14"/>
  <c r="E6" i="14"/>
  <c r="C6" i="14"/>
  <c r="P5" i="14"/>
  <c r="R5" i="14" s="1"/>
  <c r="N5" i="14"/>
  <c r="H5" i="14"/>
  <c r="F5" i="14"/>
  <c r="E5" i="14"/>
  <c r="C5" i="14"/>
  <c r="N4" i="14"/>
  <c r="P4" i="14" s="1"/>
  <c r="R4" i="14" s="1"/>
  <c r="C4" i="14"/>
  <c r="F4" i="14" s="1"/>
  <c r="H4" i="14" s="1"/>
  <c r="P3" i="14"/>
  <c r="R3" i="14" s="1"/>
  <c r="H3" i="14"/>
  <c r="E3" i="14"/>
  <c r="C70" i="13"/>
  <c r="E70" i="13" s="1"/>
  <c r="C69" i="13"/>
  <c r="C68" i="13"/>
  <c r="H67" i="13"/>
  <c r="F67" i="13"/>
  <c r="E67" i="13"/>
  <c r="H66" i="13"/>
  <c r="C66" i="13"/>
  <c r="E66" i="13" s="1"/>
  <c r="H65" i="13"/>
  <c r="C65" i="13"/>
  <c r="E65" i="13" s="1"/>
  <c r="H64" i="13"/>
  <c r="C64" i="13"/>
  <c r="E64" i="13" s="1"/>
  <c r="H63" i="13"/>
  <c r="C63" i="13"/>
  <c r="E63" i="13" s="1"/>
  <c r="H62" i="13"/>
  <c r="C62" i="13"/>
  <c r="E62" i="13" s="1"/>
  <c r="H61" i="13"/>
  <c r="C61" i="13"/>
  <c r="E61" i="13" s="1"/>
  <c r="H60" i="13"/>
  <c r="C60" i="13"/>
  <c r="E60" i="13" s="1"/>
  <c r="H59" i="13"/>
  <c r="E59" i="13"/>
  <c r="C59" i="13"/>
  <c r="H58" i="13"/>
  <c r="E58" i="13"/>
  <c r="C58" i="13"/>
  <c r="H57" i="13"/>
  <c r="C57" i="13"/>
  <c r="E57" i="13" s="1"/>
  <c r="H56" i="13"/>
  <c r="C56" i="13"/>
  <c r="E56" i="13" s="1"/>
  <c r="H55" i="13"/>
  <c r="E55" i="13"/>
  <c r="C55" i="13"/>
  <c r="H54" i="13"/>
  <c r="C54" i="13"/>
  <c r="E54" i="13" s="1"/>
  <c r="H53" i="13"/>
  <c r="E53" i="13"/>
  <c r="C53" i="13"/>
  <c r="H52" i="13"/>
  <c r="C52" i="13"/>
  <c r="E52" i="13" s="1"/>
  <c r="H51" i="13"/>
  <c r="E51" i="13"/>
  <c r="C51" i="13"/>
  <c r="H50" i="13"/>
  <c r="C50" i="13"/>
  <c r="E50" i="13" s="1"/>
  <c r="H49" i="13"/>
  <c r="C49" i="13"/>
  <c r="E49" i="13" s="1"/>
  <c r="H48" i="13"/>
  <c r="C48" i="13"/>
  <c r="E48" i="13" s="1"/>
  <c r="H47" i="13"/>
  <c r="C47" i="13"/>
  <c r="E47" i="13" s="1"/>
  <c r="H46" i="13"/>
  <c r="E46" i="13"/>
  <c r="C46" i="13"/>
  <c r="H45" i="13"/>
  <c r="C45" i="13"/>
  <c r="E45" i="13" s="1"/>
  <c r="H44" i="13"/>
  <c r="C44" i="13"/>
  <c r="E44" i="13" s="1"/>
  <c r="H43" i="13"/>
  <c r="E43" i="13"/>
  <c r="C43" i="13"/>
  <c r="H42" i="13"/>
  <c r="E42" i="13"/>
  <c r="C42" i="13"/>
  <c r="H41" i="13"/>
  <c r="E41" i="13"/>
  <c r="C41" i="13"/>
  <c r="H40" i="13"/>
  <c r="E40" i="13"/>
  <c r="C38" i="13"/>
  <c r="H37" i="13"/>
  <c r="F37" i="13"/>
  <c r="E37" i="13"/>
  <c r="C37" i="13"/>
  <c r="C36" i="13"/>
  <c r="F36" i="13" s="1"/>
  <c r="H36" i="13" s="1"/>
  <c r="C35" i="13"/>
  <c r="F35" i="13" s="1"/>
  <c r="H35" i="13" s="1"/>
  <c r="F34" i="13"/>
  <c r="H34" i="13" s="1"/>
  <c r="C34" i="13"/>
  <c r="E34" i="13" s="1"/>
  <c r="C33" i="13"/>
  <c r="F32" i="13"/>
  <c r="H32" i="13" s="1"/>
  <c r="E32" i="13"/>
  <c r="C32" i="13"/>
  <c r="P31" i="13"/>
  <c r="R31" i="13" s="1"/>
  <c r="N31" i="13"/>
  <c r="E31" i="13"/>
  <c r="C31" i="13"/>
  <c r="F31" i="13" s="1"/>
  <c r="H31" i="13" s="1"/>
  <c r="R30" i="13"/>
  <c r="P30" i="13"/>
  <c r="N30" i="13"/>
  <c r="C30" i="13"/>
  <c r="N29" i="13"/>
  <c r="P29" i="13" s="1"/>
  <c r="R29" i="13" s="1"/>
  <c r="F29" i="13"/>
  <c r="H29" i="13" s="1"/>
  <c r="E29" i="13"/>
  <c r="C29" i="13"/>
  <c r="N28" i="13"/>
  <c r="P28" i="13" s="1"/>
  <c r="R28" i="13" s="1"/>
  <c r="F28" i="13"/>
  <c r="H28" i="13" s="1"/>
  <c r="E28" i="13"/>
  <c r="C28" i="13"/>
  <c r="N27" i="13"/>
  <c r="P27" i="13" s="1"/>
  <c r="R27" i="13" s="1"/>
  <c r="E27" i="13"/>
  <c r="C27" i="13"/>
  <c r="F27" i="13" s="1"/>
  <c r="H27" i="13" s="1"/>
  <c r="R26" i="13"/>
  <c r="N26" i="13"/>
  <c r="P26" i="13" s="1"/>
  <c r="C26" i="13"/>
  <c r="F26" i="13" s="1"/>
  <c r="H26" i="13" s="1"/>
  <c r="P25" i="13"/>
  <c r="R25" i="13" s="1"/>
  <c r="N25" i="13"/>
  <c r="H25" i="13"/>
  <c r="E25" i="13"/>
  <c r="C25" i="13"/>
  <c r="F25" i="13" s="1"/>
  <c r="N24" i="13"/>
  <c r="P24" i="13" s="1"/>
  <c r="R24" i="13" s="1"/>
  <c r="F24" i="13"/>
  <c r="H24" i="13" s="1"/>
  <c r="E24" i="13"/>
  <c r="C24" i="13"/>
  <c r="N23" i="13"/>
  <c r="P23" i="13" s="1"/>
  <c r="R23" i="13" s="1"/>
  <c r="C23" i="13"/>
  <c r="R22" i="13"/>
  <c r="N22" i="13"/>
  <c r="P22" i="13" s="1"/>
  <c r="C22" i="13"/>
  <c r="E22" i="13" s="1"/>
  <c r="N21" i="13"/>
  <c r="P21" i="13" s="1"/>
  <c r="R21" i="13" s="1"/>
  <c r="F21" i="13"/>
  <c r="E21" i="13"/>
  <c r="R20" i="13"/>
  <c r="N20" i="13"/>
  <c r="P20" i="13" s="1"/>
  <c r="F20" i="13"/>
  <c r="E20" i="13"/>
  <c r="P19" i="13"/>
  <c r="R19" i="13" s="1"/>
  <c r="P18" i="13"/>
  <c r="R18" i="13" s="1"/>
  <c r="N18" i="13"/>
  <c r="H18" i="13"/>
  <c r="C18" i="13"/>
  <c r="E18" i="13" s="1"/>
  <c r="H17" i="13"/>
  <c r="E17" i="13"/>
  <c r="C17" i="13"/>
  <c r="N16" i="13"/>
  <c r="P16" i="13" s="1"/>
  <c r="R16" i="13" s="1"/>
  <c r="H16" i="13"/>
  <c r="C16" i="13"/>
  <c r="E16" i="13" s="1"/>
  <c r="P15" i="13"/>
  <c r="R15" i="13" s="1"/>
  <c r="N15" i="13"/>
  <c r="H15" i="13"/>
  <c r="C15" i="13"/>
  <c r="E15" i="13" s="1"/>
  <c r="N14" i="13"/>
  <c r="P14" i="13" s="1"/>
  <c r="R14" i="13" s="1"/>
  <c r="H14" i="13"/>
  <c r="E14" i="13"/>
  <c r="C14" i="13"/>
  <c r="R13" i="13"/>
  <c r="P13" i="13"/>
  <c r="N13" i="13"/>
  <c r="H13" i="13"/>
  <c r="C13" i="13"/>
  <c r="E13" i="13" s="1"/>
  <c r="N12" i="13"/>
  <c r="P12" i="13" s="1"/>
  <c r="R12" i="13" s="1"/>
  <c r="H12" i="13"/>
  <c r="E12" i="13"/>
  <c r="C12" i="13"/>
  <c r="N11" i="13"/>
  <c r="P11" i="13" s="1"/>
  <c r="R11" i="13" s="1"/>
  <c r="H11" i="13"/>
  <c r="C11" i="13"/>
  <c r="E11" i="13" s="1"/>
  <c r="R10" i="13"/>
  <c r="P10" i="13"/>
  <c r="F10" i="13"/>
  <c r="H10" i="13" s="1"/>
  <c r="E10" i="13"/>
  <c r="C10" i="13"/>
  <c r="N9" i="13"/>
  <c r="P9" i="13" s="1"/>
  <c r="R9" i="13" s="1"/>
  <c r="H9" i="13"/>
  <c r="C9" i="13"/>
  <c r="E9" i="13" s="1"/>
  <c r="R8" i="13"/>
  <c r="N8" i="13"/>
  <c r="P8" i="13" s="1"/>
  <c r="H8" i="13"/>
  <c r="C8" i="13"/>
  <c r="E8" i="13" s="1"/>
  <c r="N7" i="13"/>
  <c r="P7" i="13" s="1"/>
  <c r="R7" i="13" s="1"/>
  <c r="H7" i="13"/>
  <c r="C7" i="13"/>
  <c r="E7" i="13" s="1"/>
  <c r="R6" i="13"/>
  <c r="P6" i="13"/>
  <c r="N6" i="13"/>
  <c r="H6" i="13"/>
  <c r="E6" i="13"/>
  <c r="C6" i="13"/>
  <c r="N5" i="13"/>
  <c r="P5" i="13" s="1"/>
  <c r="R5" i="13" s="1"/>
  <c r="H5" i="13"/>
  <c r="E5" i="13"/>
  <c r="C5" i="13"/>
  <c r="R4" i="13"/>
  <c r="N4" i="13"/>
  <c r="P4" i="13" s="1"/>
  <c r="C4" i="13"/>
  <c r="F4" i="13" s="1"/>
  <c r="H4" i="13" s="1"/>
  <c r="P3" i="13"/>
  <c r="R3" i="13" s="1"/>
  <c r="F3" i="13"/>
  <c r="E3" i="13"/>
  <c r="E66" i="12"/>
  <c r="C66" i="12"/>
  <c r="C65" i="12"/>
  <c r="F64" i="12"/>
  <c r="H64" i="12" s="1"/>
  <c r="E64" i="12"/>
  <c r="C64" i="12"/>
  <c r="C63" i="12"/>
  <c r="E63" i="12" s="1"/>
  <c r="H62" i="12"/>
  <c r="F62" i="12"/>
  <c r="E62" i="12"/>
  <c r="C62" i="12"/>
  <c r="F61" i="12"/>
  <c r="E61" i="12"/>
  <c r="H60" i="12"/>
  <c r="E60" i="12"/>
  <c r="C60" i="12"/>
  <c r="H59" i="12"/>
  <c r="C59" i="12"/>
  <c r="E59" i="12" s="1"/>
  <c r="H58" i="12"/>
  <c r="E58" i="12"/>
  <c r="C58" i="12"/>
  <c r="H57" i="12"/>
  <c r="E57" i="12"/>
  <c r="C57" i="12"/>
  <c r="H56" i="12"/>
  <c r="E56" i="12"/>
  <c r="C56" i="12"/>
  <c r="H55" i="12"/>
  <c r="C55" i="12"/>
  <c r="E55" i="12" s="1"/>
  <c r="H54" i="12"/>
  <c r="E54" i="12"/>
  <c r="C54" i="12"/>
  <c r="H53" i="12"/>
  <c r="E53" i="12"/>
  <c r="C53" i="12"/>
  <c r="H52" i="12"/>
  <c r="E52" i="12"/>
  <c r="C52" i="12"/>
  <c r="H51" i="12"/>
  <c r="C51" i="12"/>
  <c r="E51" i="12" s="1"/>
  <c r="H50" i="12"/>
  <c r="E50" i="12"/>
  <c r="C50" i="12"/>
  <c r="H49" i="12"/>
  <c r="E49" i="12"/>
  <c r="C49" i="12"/>
  <c r="H48" i="12"/>
  <c r="C48" i="12"/>
  <c r="E48" i="12" s="1"/>
  <c r="H47" i="12"/>
  <c r="E47" i="12"/>
  <c r="C47" i="12"/>
  <c r="H46" i="12"/>
  <c r="E46" i="12"/>
  <c r="C46" i="12"/>
  <c r="H45" i="12"/>
  <c r="C45" i="12"/>
  <c r="E45" i="12" s="1"/>
  <c r="H44" i="12"/>
  <c r="C44" i="12"/>
  <c r="E44" i="12" s="1"/>
  <c r="H43" i="12"/>
  <c r="C43" i="12"/>
  <c r="E43" i="12" s="1"/>
  <c r="H42" i="12"/>
  <c r="C42" i="12"/>
  <c r="E42" i="12" s="1"/>
  <c r="H41" i="12"/>
  <c r="C41" i="12"/>
  <c r="E41" i="12" s="1"/>
  <c r="H40" i="12"/>
  <c r="C40" i="12"/>
  <c r="E40" i="12" s="1"/>
  <c r="H39" i="12"/>
  <c r="C39" i="12"/>
  <c r="E39" i="12" s="1"/>
  <c r="H38" i="12"/>
  <c r="E38" i="12"/>
  <c r="C38" i="12"/>
  <c r="H37" i="12"/>
  <c r="C37" i="12"/>
  <c r="E37" i="12" s="1"/>
  <c r="H36" i="12"/>
  <c r="E36" i="12"/>
  <c r="C36" i="12"/>
  <c r="H35" i="12"/>
  <c r="C35" i="12"/>
  <c r="E35" i="12" s="1"/>
  <c r="H34" i="12"/>
  <c r="C34" i="12"/>
  <c r="E34" i="12" s="1"/>
  <c r="H33" i="12"/>
  <c r="E33" i="12"/>
  <c r="C31" i="12"/>
  <c r="C30" i="12"/>
  <c r="H29" i="12"/>
  <c r="F29" i="12"/>
  <c r="C29" i="12"/>
  <c r="E29" i="12" s="1"/>
  <c r="E28" i="12"/>
  <c r="C28" i="12"/>
  <c r="F28" i="12" s="1"/>
  <c r="H28" i="12" s="1"/>
  <c r="F27" i="12"/>
  <c r="H27" i="12" s="1"/>
  <c r="C27" i="12"/>
  <c r="E27" i="12" s="1"/>
  <c r="N26" i="12"/>
  <c r="P26" i="12" s="1"/>
  <c r="R26" i="12" s="1"/>
  <c r="F26" i="12"/>
  <c r="H26" i="12" s="1"/>
  <c r="E26" i="12"/>
  <c r="C26" i="12"/>
  <c r="R25" i="12"/>
  <c r="N25" i="12"/>
  <c r="P25" i="12" s="1"/>
  <c r="C25" i="12"/>
  <c r="N24" i="12"/>
  <c r="P24" i="12" s="1"/>
  <c r="R24" i="12" s="1"/>
  <c r="F24" i="12"/>
  <c r="H24" i="12" s="1"/>
  <c r="C24" i="12"/>
  <c r="E24" i="12" s="1"/>
  <c r="R23" i="12"/>
  <c r="N23" i="12"/>
  <c r="P23" i="12" s="1"/>
  <c r="C23" i="12"/>
  <c r="R22" i="12"/>
  <c r="P22" i="12"/>
  <c r="N22" i="12"/>
  <c r="H22" i="12"/>
  <c r="F22" i="12"/>
  <c r="E22" i="12"/>
  <c r="C22" i="12"/>
  <c r="R21" i="12"/>
  <c r="P21" i="12"/>
  <c r="N21" i="12"/>
  <c r="E21" i="12"/>
  <c r="C21" i="12"/>
  <c r="F21" i="12" s="1"/>
  <c r="H21" i="12" s="1"/>
  <c r="N20" i="12"/>
  <c r="P20" i="12" s="1"/>
  <c r="R20" i="12" s="1"/>
  <c r="H20" i="12"/>
  <c r="F20" i="12"/>
  <c r="E20" i="12"/>
  <c r="P19" i="12"/>
  <c r="R19" i="12" s="1"/>
  <c r="N19" i="12"/>
  <c r="H19" i="12"/>
  <c r="C19" i="12"/>
  <c r="E19" i="12" s="1"/>
  <c r="P18" i="12"/>
  <c r="R18" i="12" s="1"/>
  <c r="H18" i="12"/>
  <c r="C18" i="12"/>
  <c r="E18" i="12" s="1"/>
  <c r="H17" i="12"/>
  <c r="C17" i="12"/>
  <c r="E17" i="12" s="1"/>
  <c r="P16" i="12"/>
  <c r="R16" i="12" s="1"/>
  <c r="N16" i="12"/>
  <c r="H16" i="12"/>
  <c r="C16" i="12"/>
  <c r="E16" i="12" s="1"/>
  <c r="R15" i="12"/>
  <c r="P15" i="12"/>
  <c r="N15" i="12"/>
  <c r="H15" i="12"/>
  <c r="E15" i="12"/>
  <c r="C15" i="12"/>
  <c r="N14" i="12"/>
  <c r="P14" i="12" s="1"/>
  <c r="R14" i="12" s="1"/>
  <c r="H14" i="12"/>
  <c r="C14" i="12"/>
  <c r="E14" i="12" s="1"/>
  <c r="P13" i="12"/>
  <c r="R13" i="12" s="1"/>
  <c r="N13" i="12"/>
  <c r="H13" i="12"/>
  <c r="C13" i="12"/>
  <c r="E13" i="12" s="1"/>
  <c r="N12" i="12"/>
  <c r="P12" i="12" s="1"/>
  <c r="R12" i="12" s="1"/>
  <c r="H12" i="12"/>
  <c r="C12" i="12"/>
  <c r="E12" i="12" s="1"/>
  <c r="R11" i="12"/>
  <c r="P11" i="12"/>
  <c r="N11" i="12"/>
  <c r="H11" i="12"/>
  <c r="C11" i="12"/>
  <c r="E11" i="12" s="1"/>
  <c r="P10" i="12"/>
  <c r="R10" i="12" s="1"/>
  <c r="N10" i="12"/>
  <c r="H10" i="12"/>
  <c r="C10" i="12"/>
  <c r="E10" i="12" s="1"/>
  <c r="P9" i="12"/>
  <c r="R9" i="12" s="1"/>
  <c r="N9" i="12"/>
  <c r="H9" i="12"/>
  <c r="C9" i="12"/>
  <c r="E9" i="12" s="1"/>
  <c r="P8" i="12"/>
  <c r="R8" i="12" s="1"/>
  <c r="N8" i="12"/>
  <c r="H8" i="12"/>
  <c r="E8" i="12"/>
  <c r="C8" i="12"/>
  <c r="P7" i="12"/>
  <c r="R7" i="12" s="1"/>
  <c r="N7" i="12"/>
  <c r="H7" i="12"/>
  <c r="E7" i="12"/>
  <c r="C7" i="12"/>
  <c r="N6" i="12"/>
  <c r="P6" i="12" s="1"/>
  <c r="R6" i="12" s="1"/>
  <c r="H6" i="12"/>
  <c r="C6" i="12"/>
  <c r="E6" i="12" s="1"/>
  <c r="R5" i="12"/>
  <c r="P5" i="12"/>
  <c r="N5" i="12"/>
  <c r="H5" i="12"/>
  <c r="C5" i="12"/>
  <c r="E5" i="12" s="1"/>
  <c r="P4" i="12"/>
  <c r="R4" i="12" s="1"/>
  <c r="N4" i="12"/>
  <c r="H4" i="12"/>
  <c r="E4" i="12"/>
  <c r="C4" i="12"/>
  <c r="R3" i="12"/>
  <c r="P3" i="12"/>
  <c r="H3" i="12"/>
  <c r="E3" i="12"/>
  <c r="H61" i="11"/>
  <c r="F61" i="11"/>
  <c r="E59" i="11"/>
  <c r="C59" i="11"/>
  <c r="C58" i="11"/>
  <c r="H57" i="11"/>
  <c r="F57" i="11"/>
  <c r="E57" i="11"/>
  <c r="C57" i="11"/>
  <c r="C56" i="11"/>
  <c r="E56" i="11" s="1"/>
  <c r="C55" i="11"/>
  <c r="F55" i="11" s="1"/>
  <c r="H55" i="11" s="1"/>
  <c r="H54" i="11"/>
  <c r="F54" i="11"/>
  <c r="E54" i="11"/>
  <c r="H53" i="11"/>
  <c r="C53" i="11"/>
  <c r="E53" i="11" s="1"/>
  <c r="H52" i="11"/>
  <c r="C52" i="11"/>
  <c r="E52" i="11" s="1"/>
  <c r="H51" i="11"/>
  <c r="C51" i="11"/>
  <c r="E51" i="11" s="1"/>
  <c r="H50" i="11"/>
  <c r="C50" i="11"/>
  <c r="E50" i="11" s="1"/>
  <c r="H49" i="11"/>
  <c r="C49" i="11"/>
  <c r="E49" i="11" s="1"/>
  <c r="H48" i="11"/>
  <c r="C48" i="11"/>
  <c r="E48" i="11" s="1"/>
  <c r="H47" i="11"/>
  <c r="E47" i="11"/>
  <c r="C47" i="11"/>
  <c r="H46" i="11"/>
  <c r="E46" i="11"/>
  <c r="C46" i="11"/>
  <c r="H45" i="11"/>
  <c r="E45" i="11"/>
  <c r="C45" i="11"/>
  <c r="H44" i="11"/>
  <c r="C44" i="11"/>
  <c r="E44" i="11" s="1"/>
  <c r="H43" i="11"/>
  <c r="C43" i="11"/>
  <c r="E43" i="11" s="1"/>
  <c r="H42" i="11"/>
  <c r="E42" i="11"/>
  <c r="C42" i="11"/>
  <c r="H41" i="11"/>
  <c r="C41" i="11"/>
  <c r="E41" i="11" s="1"/>
  <c r="H40" i="11"/>
  <c r="C40" i="11"/>
  <c r="E40" i="11" s="1"/>
  <c r="H39" i="11"/>
  <c r="E39" i="11"/>
  <c r="C39" i="11"/>
  <c r="H38" i="11"/>
  <c r="E38" i="11"/>
  <c r="C38" i="11"/>
  <c r="H37" i="11"/>
  <c r="C37" i="11"/>
  <c r="E37" i="11" s="1"/>
  <c r="H36" i="11"/>
  <c r="C36" i="11"/>
  <c r="E36" i="11" s="1"/>
  <c r="H35" i="11"/>
  <c r="C35" i="11"/>
  <c r="E35" i="11" s="1"/>
  <c r="H34" i="11"/>
  <c r="C34" i="11"/>
  <c r="E34" i="11" s="1"/>
  <c r="H33" i="11"/>
  <c r="C33" i="11"/>
  <c r="E33" i="11" s="1"/>
  <c r="H32" i="11"/>
  <c r="E32" i="11"/>
  <c r="C32" i="11"/>
  <c r="H31" i="11"/>
  <c r="C31" i="11"/>
  <c r="E31" i="11" s="1"/>
  <c r="H30" i="11"/>
  <c r="E30" i="11"/>
  <c r="C30" i="11"/>
  <c r="H29" i="11"/>
  <c r="C29" i="11"/>
  <c r="E29" i="11" s="1"/>
  <c r="H28" i="11"/>
  <c r="E28" i="11"/>
  <c r="R26" i="11"/>
  <c r="P26" i="11"/>
  <c r="N26" i="11"/>
  <c r="E26" i="11"/>
  <c r="C26" i="11"/>
  <c r="R25" i="11"/>
  <c r="N25" i="11"/>
  <c r="P25" i="11" s="1"/>
  <c r="C25" i="11"/>
  <c r="N24" i="11"/>
  <c r="P24" i="11" s="1"/>
  <c r="R24" i="11" s="1"/>
  <c r="H24" i="11"/>
  <c r="F24" i="11"/>
  <c r="E24" i="11"/>
  <c r="C24" i="11"/>
  <c r="P23" i="11"/>
  <c r="R23" i="11" s="1"/>
  <c r="N23" i="11"/>
  <c r="F23" i="11"/>
  <c r="H23" i="11" s="1"/>
  <c r="C23" i="11"/>
  <c r="E23" i="11" s="1"/>
  <c r="P22" i="11"/>
  <c r="R22" i="11" s="1"/>
  <c r="N22" i="11"/>
  <c r="H22" i="11"/>
  <c r="E22" i="11"/>
  <c r="C22" i="11"/>
  <c r="F22" i="11" s="1"/>
  <c r="R21" i="11"/>
  <c r="N21" i="11"/>
  <c r="P21" i="11" s="1"/>
  <c r="F21" i="11"/>
  <c r="H21" i="11" s="1"/>
  <c r="E21" i="11"/>
  <c r="N20" i="11"/>
  <c r="P20" i="11" s="1"/>
  <c r="R20" i="11" s="1"/>
  <c r="H20" i="11"/>
  <c r="E20" i="11"/>
  <c r="C20" i="11"/>
  <c r="P19" i="11"/>
  <c r="R19" i="11" s="1"/>
  <c r="N19" i="11"/>
  <c r="H19" i="11"/>
  <c r="E19" i="11"/>
  <c r="C19" i="11"/>
  <c r="R18" i="11"/>
  <c r="P18" i="11"/>
  <c r="H18" i="11"/>
  <c r="E18" i="11"/>
  <c r="C18" i="11"/>
  <c r="H17" i="11"/>
  <c r="E17" i="11"/>
  <c r="C17" i="11"/>
  <c r="R16" i="11"/>
  <c r="N16" i="11"/>
  <c r="P16" i="11" s="1"/>
  <c r="H16" i="11"/>
  <c r="C16" i="11"/>
  <c r="E16" i="11" s="1"/>
  <c r="N15" i="11"/>
  <c r="P15" i="11" s="1"/>
  <c r="R15" i="11" s="1"/>
  <c r="H15" i="11"/>
  <c r="E15" i="11"/>
  <c r="C15" i="11"/>
  <c r="N14" i="11"/>
  <c r="P14" i="11" s="1"/>
  <c r="R14" i="11" s="1"/>
  <c r="C14" i="11"/>
  <c r="F14" i="11" s="1"/>
  <c r="H14" i="11" s="1"/>
  <c r="R13" i="11"/>
  <c r="P13" i="11"/>
  <c r="N13" i="11"/>
  <c r="H13" i="11"/>
  <c r="C13" i="11"/>
  <c r="E13" i="11" s="1"/>
  <c r="N12" i="11"/>
  <c r="P12" i="11" s="1"/>
  <c r="R12" i="11" s="1"/>
  <c r="H12" i="11"/>
  <c r="C12" i="11"/>
  <c r="E12" i="11" s="1"/>
  <c r="N11" i="11"/>
  <c r="P11" i="11" s="1"/>
  <c r="R11" i="11" s="1"/>
  <c r="H11" i="11"/>
  <c r="E11" i="11"/>
  <c r="C11" i="11"/>
  <c r="N10" i="11"/>
  <c r="P10" i="11" s="1"/>
  <c r="R10" i="11" s="1"/>
  <c r="H10" i="11"/>
  <c r="C10" i="11"/>
  <c r="E10" i="11" s="1"/>
  <c r="R9" i="11"/>
  <c r="P9" i="11"/>
  <c r="N9" i="11"/>
  <c r="H9" i="11"/>
  <c r="C9" i="11"/>
  <c r="E9" i="11" s="1"/>
  <c r="N8" i="11"/>
  <c r="P8" i="11" s="1"/>
  <c r="R8" i="11" s="1"/>
  <c r="H8" i="11"/>
  <c r="C8" i="11"/>
  <c r="E8" i="11" s="1"/>
  <c r="N7" i="11"/>
  <c r="P7" i="11" s="1"/>
  <c r="R7" i="11" s="1"/>
  <c r="F7" i="11"/>
  <c r="H7" i="11" s="1"/>
  <c r="E7" i="11"/>
  <c r="C7" i="11"/>
  <c r="N6" i="11"/>
  <c r="P6" i="11" s="1"/>
  <c r="R6" i="11" s="1"/>
  <c r="C6" i="11"/>
  <c r="F6" i="11" s="1"/>
  <c r="H6" i="11" s="1"/>
  <c r="P5" i="11"/>
  <c r="R5" i="11" s="1"/>
  <c r="N5" i="11"/>
  <c r="H5" i="11"/>
  <c r="C5" i="11"/>
  <c r="E5" i="11" s="1"/>
  <c r="P4" i="11"/>
  <c r="R4" i="11" s="1"/>
  <c r="N4" i="11"/>
  <c r="H4" i="11"/>
  <c r="E4" i="11"/>
  <c r="C4" i="11"/>
  <c r="P3" i="11"/>
  <c r="R3" i="11" s="1"/>
  <c r="F3" i="11"/>
  <c r="H3" i="11" s="1"/>
  <c r="E3" i="11"/>
  <c r="E60" i="10"/>
  <c r="C59" i="10"/>
  <c r="F58" i="10"/>
  <c r="H58" i="10" s="1"/>
  <c r="E58" i="10"/>
  <c r="H57" i="10"/>
  <c r="C57" i="10"/>
  <c r="E57" i="10" s="1"/>
  <c r="H56" i="10"/>
  <c r="E56" i="10"/>
  <c r="C56" i="10"/>
  <c r="H55" i="10"/>
  <c r="C55" i="10"/>
  <c r="E55" i="10" s="1"/>
  <c r="H54" i="10"/>
  <c r="C54" i="10"/>
  <c r="E54" i="10" s="1"/>
  <c r="H53" i="10"/>
  <c r="C53" i="10"/>
  <c r="E53" i="10" s="1"/>
  <c r="H52" i="10"/>
  <c r="E52" i="10"/>
  <c r="C52" i="10"/>
  <c r="H51" i="10"/>
  <c r="C51" i="10"/>
  <c r="E51" i="10" s="1"/>
  <c r="H50" i="10"/>
  <c r="C50" i="10"/>
  <c r="E50" i="10" s="1"/>
  <c r="H49" i="10"/>
  <c r="E49" i="10"/>
  <c r="C49" i="10"/>
  <c r="H48" i="10"/>
  <c r="E48" i="10"/>
  <c r="C48" i="10"/>
  <c r="H47" i="10"/>
  <c r="C47" i="10"/>
  <c r="E47" i="10" s="1"/>
  <c r="H46" i="10"/>
  <c r="C46" i="10"/>
  <c r="E46" i="10" s="1"/>
  <c r="H45" i="10"/>
  <c r="C45" i="10"/>
  <c r="E45" i="10" s="1"/>
  <c r="H44" i="10"/>
  <c r="C44" i="10"/>
  <c r="E44" i="10" s="1"/>
  <c r="H43" i="10"/>
  <c r="C43" i="10"/>
  <c r="E43" i="10" s="1"/>
  <c r="H42" i="10"/>
  <c r="C42" i="10"/>
  <c r="E42" i="10" s="1"/>
  <c r="H41" i="10"/>
  <c r="C41" i="10"/>
  <c r="E41" i="10" s="1"/>
  <c r="C40" i="10"/>
  <c r="E40" i="10" s="1"/>
  <c r="F39" i="10"/>
  <c r="H39" i="10" s="1"/>
  <c r="E39" i="10"/>
  <c r="C39" i="10"/>
  <c r="H38" i="10"/>
  <c r="E38" i="10"/>
  <c r="C38" i="10"/>
  <c r="H37" i="10"/>
  <c r="C37" i="10"/>
  <c r="E37" i="10" s="1"/>
  <c r="H36" i="10"/>
  <c r="F36" i="10"/>
  <c r="E36" i="10"/>
  <c r="C36" i="10"/>
  <c r="F35" i="10"/>
  <c r="H35" i="10" s="1"/>
  <c r="E35" i="10"/>
  <c r="C33" i="10"/>
  <c r="E33" i="10" s="1"/>
  <c r="H32" i="10"/>
  <c r="C32" i="10"/>
  <c r="F32" i="10" s="1"/>
  <c r="N31" i="10"/>
  <c r="P31" i="10" s="1"/>
  <c r="R31" i="10" s="1"/>
  <c r="C31" i="10"/>
  <c r="E31" i="10" s="1"/>
  <c r="N30" i="10"/>
  <c r="P30" i="10" s="1"/>
  <c r="R30" i="10" s="1"/>
  <c r="F30" i="10"/>
  <c r="H30" i="10" s="1"/>
  <c r="E30" i="10"/>
  <c r="C30" i="10"/>
  <c r="R29" i="10"/>
  <c r="N29" i="10"/>
  <c r="P29" i="10" s="1"/>
  <c r="C29" i="10"/>
  <c r="F29" i="10" s="1"/>
  <c r="H29" i="10" s="1"/>
  <c r="N28" i="10"/>
  <c r="P28" i="10" s="1"/>
  <c r="R28" i="10" s="1"/>
  <c r="E28" i="10"/>
  <c r="C28" i="10"/>
  <c r="F28" i="10" s="1"/>
  <c r="H28" i="10" s="1"/>
  <c r="R27" i="10"/>
  <c r="N27" i="10"/>
  <c r="P27" i="10" s="1"/>
  <c r="F27" i="10"/>
  <c r="H27" i="10" s="1"/>
  <c r="C27" i="10"/>
  <c r="E27" i="10" s="1"/>
  <c r="R26" i="10"/>
  <c r="P26" i="10"/>
  <c r="N26" i="10"/>
  <c r="H26" i="10"/>
  <c r="F26" i="10"/>
  <c r="E26" i="10"/>
  <c r="C26" i="10"/>
  <c r="P25" i="10"/>
  <c r="R25" i="10" s="1"/>
  <c r="N25" i="10"/>
  <c r="F25" i="10"/>
  <c r="H25" i="10" s="1"/>
  <c r="E25" i="10"/>
  <c r="C25" i="10"/>
  <c r="R24" i="10"/>
  <c r="N24" i="10"/>
  <c r="P24" i="10" s="1"/>
  <c r="C24" i="10"/>
  <c r="P23" i="10"/>
  <c r="R23" i="10" s="1"/>
  <c r="N23" i="10"/>
  <c r="F23" i="10"/>
  <c r="H23" i="10" s="1"/>
  <c r="E23" i="10"/>
  <c r="P22" i="10"/>
  <c r="R22" i="10" s="1"/>
  <c r="N22" i="10"/>
  <c r="H22" i="10"/>
  <c r="E22" i="10"/>
  <c r="C22" i="10"/>
  <c r="N21" i="10"/>
  <c r="P21" i="10" s="1"/>
  <c r="R21" i="10" s="1"/>
  <c r="H21" i="10"/>
  <c r="E21" i="10"/>
  <c r="C21" i="10"/>
  <c r="P20" i="10"/>
  <c r="R20" i="10" s="1"/>
  <c r="N20" i="10"/>
  <c r="H20" i="10"/>
  <c r="E20" i="10"/>
  <c r="C20" i="10"/>
  <c r="R19" i="10"/>
  <c r="P19" i="10"/>
  <c r="N19" i="10"/>
  <c r="H19" i="10"/>
  <c r="E19" i="10"/>
  <c r="C19" i="10"/>
  <c r="R18" i="10"/>
  <c r="P18" i="10"/>
  <c r="H18" i="10"/>
  <c r="E18" i="10"/>
  <c r="C18" i="10"/>
  <c r="H17" i="10"/>
  <c r="E17" i="10"/>
  <c r="C17" i="10"/>
  <c r="N16" i="10"/>
  <c r="P16" i="10" s="1"/>
  <c r="R16" i="10" s="1"/>
  <c r="H16" i="10"/>
  <c r="E16" i="10"/>
  <c r="C16" i="10"/>
  <c r="N15" i="10"/>
  <c r="P15" i="10" s="1"/>
  <c r="R15" i="10" s="1"/>
  <c r="H15" i="10"/>
  <c r="C15" i="10"/>
  <c r="E15" i="10" s="1"/>
  <c r="P14" i="10"/>
  <c r="R14" i="10" s="1"/>
  <c r="N14" i="10"/>
  <c r="C14" i="10"/>
  <c r="E14" i="10" s="1"/>
  <c r="P13" i="10"/>
  <c r="R13" i="10" s="1"/>
  <c r="N13" i="10"/>
  <c r="F13" i="10"/>
  <c r="H13" i="10" s="1"/>
  <c r="E13" i="10"/>
  <c r="C13" i="10"/>
  <c r="N12" i="10"/>
  <c r="P12" i="10" s="1"/>
  <c r="R12" i="10" s="1"/>
  <c r="H12" i="10"/>
  <c r="E12" i="10"/>
  <c r="C12" i="10"/>
  <c r="N11" i="10"/>
  <c r="P11" i="10" s="1"/>
  <c r="R11" i="10" s="1"/>
  <c r="H11" i="10"/>
  <c r="C11" i="10"/>
  <c r="E11" i="10" s="1"/>
  <c r="N10" i="10"/>
  <c r="P10" i="10" s="1"/>
  <c r="R10" i="10" s="1"/>
  <c r="H10" i="10"/>
  <c r="E10" i="10"/>
  <c r="C10" i="10"/>
  <c r="P9" i="10"/>
  <c r="R9" i="10" s="1"/>
  <c r="H9" i="10"/>
  <c r="C9" i="10"/>
  <c r="E9" i="10" s="1"/>
  <c r="P8" i="10"/>
  <c r="R8" i="10" s="1"/>
  <c r="N8" i="10"/>
  <c r="H8" i="10"/>
  <c r="C8" i="10"/>
  <c r="E8" i="10" s="1"/>
  <c r="P7" i="10"/>
  <c r="R7" i="10" s="1"/>
  <c r="N7" i="10"/>
  <c r="F7" i="10"/>
  <c r="H7" i="10" s="1"/>
  <c r="C7" i="10"/>
  <c r="E7" i="10" s="1"/>
  <c r="R6" i="10"/>
  <c r="N6" i="10"/>
  <c r="P6" i="10" s="1"/>
  <c r="C6" i="10"/>
  <c r="N5" i="10"/>
  <c r="P5" i="10" s="1"/>
  <c r="R5" i="10" s="1"/>
  <c r="H5" i="10"/>
  <c r="C5" i="10"/>
  <c r="E5" i="10" s="1"/>
  <c r="N4" i="10"/>
  <c r="P4" i="10" s="1"/>
  <c r="R4" i="10" s="1"/>
  <c r="H4" i="10"/>
  <c r="C4" i="10"/>
  <c r="E4" i="10" s="1"/>
  <c r="P3" i="10"/>
  <c r="R3" i="10" s="1"/>
  <c r="H3" i="10"/>
  <c r="F3" i="10"/>
  <c r="E3" i="10"/>
  <c r="E61" i="9"/>
  <c r="H60" i="9"/>
  <c r="E60" i="9"/>
  <c r="C60" i="9"/>
  <c r="H59" i="9"/>
  <c r="C59" i="9"/>
  <c r="E59" i="9" s="1"/>
  <c r="C58" i="9"/>
  <c r="F58" i="9" s="1"/>
  <c r="H58" i="9" s="1"/>
  <c r="H57" i="9"/>
  <c r="F57" i="9"/>
  <c r="C57" i="9"/>
  <c r="E57" i="9" s="1"/>
  <c r="H56" i="9"/>
  <c r="C56" i="9"/>
  <c r="E56" i="9" s="1"/>
  <c r="H55" i="9"/>
  <c r="C55" i="9"/>
  <c r="E55" i="9" s="1"/>
  <c r="H54" i="9"/>
  <c r="C54" i="9"/>
  <c r="E54" i="9" s="1"/>
  <c r="F53" i="9"/>
  <c r="H53" i="9" s="1"/>
  <c r="E53" i="9"/>
  <c r="C53" i="9"/>
  <c r="C52" i="9"/>
  <c r="H51" i="9"/>
  <c r="E51" i="9"/>
  <c r="C51" i="9"/>
  <c r="H50" i="9"/>
  <c r="F50" i="9"/>
  <c r="C50" i="9"/>
  <c r="E50" i="9" s="1"/>
  <c r="C49" i="9"/>
  <c r="F49" i="9" s="1"/>
  <c r="H49" i="9" s="1"/>
  <c r="H48" i="9"/>
  <c r="E48" i="9"/>
  <c r="C48" i="9"/>
  <c r="H47" i="9"/>
  <c r="E47" i="9"/>
  <c r="C47" i="9"/>
  <c r="H46" i="9"/>
  <c r="C46" i="9"/>
  <c r="E46" i="9" s="1"/>
  <c r="C45" i="9"/>
  <c r="F44" i="9"/>
  <c r="H44" i="9" s="1"/>
  <c r="E44" i="9"/>
  <c r="C44" i="9"/>
  <c r="C43" i="9"/>
  <c r="E42" i="9"/>
  <c r="C42" i="9"/>
  <c r="F42" i="9" s="1"/>
  <c r="H42" i="9" s="1"/>
  <c r="C41" i="9"/>
  <c r="F40" i="9"/>
  <c r="H40" i="9" s="1"/>
  <c r="E40" i="9"/>
  <c r="C38" i="9"/>
  <c r="F37" i="9"/>
  <c r="H37" i="9" s="1"/>
  <c r="E37" i="9"/>
  <c r="C37" i="9"/>
  <c r="F36" i="9"/>
  <c r="H36" i="9" s="1"/>
  <c r="E36" i="9"/>
  <c r="C36" i="9"/>
  <c r="F35" i="9"/>
  <c r="H35" i="9" s="1"/>
  <c r="E35" i="9"/>
  <c r="C35" i="9"/>
  <c r="F34" i="9"/>
  <c r="H34" i="9" s="1"/>
  <c r="E34" i="9"/>
  <c r="C34" i="9"/>
  <c r="C33" i="9"/>
  <c r="F33" i="9" s="1"/>
  <c r="H33" i="9" s="1"/>
  <c r="H32" i="9"/>
  <c r="F32" i="9"/>
  <c r="E32" i="9"/>
  <c r="C32" i="9"/>
  <c r="P31" i="9"/>
  <c r="R31" i="9" s="1"/>
  <c r="N31" i="9"/>
  <c r="F31" i="9"/>
  <c r="H31" i="9" s="1"/>
  <c r="E31" i="9"/>
  <c r="C31" i="9"/>
  <c r="N30" i="9"/>
  <c r="P30" i="9" s="1"/>
  <c r="R30" i="9" s="1"/>
  <c r="F30" i="9"/>
  <c r="H30" i="9" s="1"/>
  <c r="E30" i="9"/>
  <c r="C30" i="9"/>
  <c r="R29" i="9"/>
  <c r="N29" i="9"/>
  <c r="P29" i="9" s="1"/>
  <c r="C29" i="9"/>
  <c r="R28" i="9"/>
  <c r="P28" i="9"/>
  <c r="N28" i="9"/>
  <c r="F28" i="9"/>
  <c r="H28" i="9" s="1"/>
  <c r="C28" i="9"/>
  <c r="E28" i="9" s="1"/>
  <c r="N27" i="9"/>
  <c r="P27" i="9" s="1"/>
  <c r="R27" i="9" s="1"/>
  <c r="E27" i="9"/>
  <c r="C27" i="9"/>
  <c r="F27" i="9" s="1"/>
  <c r="H27" i="9" s="1"/>
  <c r="N26" i="9"/>
  <c r="P26" i="9" s="1"/>
  <c r="R26" i="9" s="1"/>
  <c r="C26" i="9"/>
  <c r="R25" i="9"/>
  <c r="P25" i="9"/>
  <c r="N25" i="9"/>
  <c r="H25" i="9"/>
  <c r="F25" i="9"/>
  <c r="C25" i="9"/>
  <c r="E25" i="9" s="1"/>
  <c r="N24" i="9"/>
  <c r="P24" i="9" s="1"/>
  <c r="R24" i="9" s="1"/>
  <c r="H24" i="9"/>
  <c r="F24" i="9"/>
  <c r="E24" i="9"/>
  <c r="C24" i="9"/>
  <c r="N23" i="9"/>
  <c r="P23" i="9" s="1"/>
  <c r="R23" i="9" s="1"/>
  <c r="H23" i="9"/>
  <c r="F23" i="9"/>
  <c r="E23" i="9"/>
  <c r="C23" i="9"/>
  <c r="N22" i="9"/>
  <c r="P22" i="9" s="1"/>
  <c r="R22" i="9" s="1"/>
  <c r="C22" i="9"/>
  <c r="N21" i="9"/>
  <c r="P21" i="9" s="1"/>
  <c r="R21" i="9" s="1"/>
  <c r="H21" i="9"/>
  <c r="F21" i="9"/>
  <c r="C21" i="9"/>
  <c r="E21" i="9" s="1"/>
  <c r="P20" i="9"/>
  <c r="R20" i="9" s="1"/>
  <c r="N20" i="9"/>
  <c r="F20" i="9"/>
  <c r="H20" i="9" s="1"/>
  <c r="E20" i="9"/>
  <c r="C20" i="9"/>
  <c r="P19" i="9"/>
  <c r="R19" i="9" s="1"/>
  <c r="H19" i="9"/>
  <c r="F19" i="9"/>
  <c r="E19" i="9"/>
  <c r="R18" i="9"/>
  <c r="P18" i="9"/>
  <c r="N18" i="9"/>
  <c r="H18" i="9"/>
  <c r="C18" i="9"/>
  <c r="E18" i="9" s="1"/>
  <c r="C17" i="9"/>
  <c r="E17" i="9" s="1"/>
  <c r="R16" i="9"/>
  <c r="P16" i="9"/>
  <c r="N16" i="9"/>
  <c r="H16" i="9"/>
  <c r="C16" i="9"/>
  <c r="E16" i="9" s="1"/>
  <c r="N15" i="9"/>
  <c r="P15" i="9" s="1"/>
  <c r="R15" i="9" s="1"/>
  <c r="H15" i="9"/>
  <c r="C15" i="9"/>
  <c r="E15" i="9" s="1"/>
  <c r="R14" i="9"/>
  <c r="P14" i="9"/>
  <c r="N14" i="9"/>
  <c r="H14" i="9"/>
  <c r="C14" i="9"/>
  <c r="E14" i="9" s="1"/>
  <c r="N13" i="9"/>
  <c r="P13" i="9" s="1"/>
  <c r="R13" i="9" s="1"/>
  <c r="H13" i="9"/>
  <c r="C13" i="9"/>
  <c r="E13" i="9" s="1"/>
  <c r="N12" i="9"/>
  <c r="P12" i="9" s="1"/>
  <c r="R12" i="9" s="1"/>
  <c r="H12" i="9"/>
  <c r="E12" i="9"/>
  <c r="C12" i="9"/>
  <c r="N11" i="9"/>
  <c r="P11" i="9" s="1"/>
  <c r="R11" i="9" s="1"/>
  <c r="C11" i="9"/>
  <c r="R10" i="9"/>
  <c r="N10" i="9"/>
  <c r="P10" i="9" s="1"/>
  <c r="H10" i="9"/>
  <c r="E10" i="9"/>
  <c r="C10" i="9"/>
  <c r="N9" i="9"/>
  <c r="P9" i="9" s="1"/>
  <c r="R9" i="9" s="1"/>
  <c r="H9" i="9"/>
  <c r="C9" i="9"/>
  <c r="E9" i="9" s="1"/>
  <c r="R8" i="9"/>
  <c r="P8" i="9"/>
  <c r="N8" i="9"/>
  <c r="H8" i="9"/>
  <c r="E8" i="9"/>
  <c r="C8" i="9"/>
  <c r="N7" i="9"/>
  <c r="P7" i="9" s="1"/>
  <c r="R7" i="9" s="1"/>
  <c r="H7" i="9"/>
  <c r="E7" i="9"/>
  <c r="C7" i="9"/>
  <c r="R6" i="9"/>
  <c r="P6" i="9"/>
  <c r="H6" i="9"/>
  <c r="C6" i="9"/>
  <c r="E6" i="9" s="1"/>
  <c r="R5" i="9"/>
  <c r="P5" i="9"/>
  <c r="N5" i="9"/>
  <c r="H5" i="9"/>
  <c r="C5" i="9"/>
  <c r="E5" i="9" s="1"/>
  <c r="N4" i="9"/>
  <c r="P4" i="9" s="1"/>
  <c r="R4" i="9" s="1"/>
  <c r="H4" i="9"/>
  <c r="F4" i="9"/>
  <c r="E4" i="9"/>
  <c r="C4" i="9"/>
  <c r="P3" i="9"/>
  <c r="R3" i="9" s="1"/>
  <c r="H3" i="9"/>
  <c r="F3" i="9"/>
  <c r="E3" i="9"/>
  <c r="C57" i="8"/>
  <c r="E57" i="8" s="1"/>
  <c r="C56" i="8"/>
  <c r="F56" i="8" s="1"/>
  <c r="H56" i="8" s="1"/>
  <c r="F55" i="8"/>
  <c r="H55" i="8" s="1"/>
  <c r="E55" i="8"/>
  <c r="C55" i="8"/>
  <c r="E54" i="8"/>
  <c r="C54" i="8"/>
  <c r="F54" i="8" s="1"/>
  <c r="H54" i="8" s="1"/>
  <c r="F53" i="8"/>
  <c r="H53" i="8" s="1"/>
  <c r="E53" i="8"/>
  <c r="C53" i="8"/>
  <c r="F52" i="8"/>
  <c r="H52" i="8" s="1"/>
  <c r="E52" i="8"/>
  <c r="H51" i="8"/>
  <c r="C51" i="8"/>
  <c r="E51" i="8" s="1"/>
  <c r="H50" i="8"/>
  <c r="E50" i="8"/>
  <c r="C50" i="8"/>
  <c r="H49" i="8"/>
  <c r="C49" i="8"/>
  <c r="E49" i="8" s="1"/>
  <c r="H48" i="8"/>
  <c r="E48" i="8"/>
  <c r="H47" i="8"/>
  <c r="F47" i="8"/>
  <c r="E47" i="8"/>
  <c r="C47" i="8"/>
  <c r="C46" i="8"/>
  <c r="H45" i="8"/>
  <c r="F45" i="8"/>
  <c r="E45" i="8"/>
  <c r="C45" i="8"/>
  <c r="C44" i="8"/>
  <c r="E44" i="8" s="1"/>
  <c r="E43" i="8"/>
  <c r="C43" i="8"/>
  <c r="F43" i="8" s="1"/>
  <c r="H43" i="8" s="1"/>
  <c r="H42" i="8"/>
  <c r="F42" i="8"/>
  <c r="E42" i="8"/>
  <c r="C41" i="8"/>
  <c r="F41" i="8" s="1"/>
  <c r="H41" i="8" s="1"/>
  <c r="H40" i="8"/>
  <c r="F40" i="8"/>
  <c r="C40" i="8"/>
  <c r="E40" i="8" s="1"/>
  <c r="F39" i="8"/>
  <c r="H39" i="8" s="1"/>
  <c r="E39" i="8"/>
  <c r="C39" i="8"/>
  <c r="H38" i="8"/>
  <c r="F38" i="8"/>
  <c r="C38" i="8"/>
  <c r="E38" i="8" s="1"/>
  <c r="H37" i="8"/>
  <c r="C37" i="8"/>
  <c r="E37" i="8" s="1"/>
  <c r="H36" i="8"/>
  <c r="E36" i="8"/>
  <c r="C36" i="8"/>
  <c r="C35" i="8"/>
  <c r="H34" i="8"/>
  <c r="F34" i="8"/>
  <c r="E34" i="8"/>
  <c r="C34" i="8"/>
  <c r="N33" i="8"/>
  <c r="P33" i="8" s="1"/>
  <c r="R33" i="8" s="1"/>
  <c r="H33" i="8"/>
  <c r="C33" i="8"/>
  <c r="E33" i="8" s="1"/>
  <c r="R32" i="8"/>
  <c r="P32" i="8"/>
  <c r="N32" i="8"/>
  <c r="H32" i="8"/>
  <c r="C32" i="8"/>
  <c r="E32" i="8" s="1"/>
  <c r="N31" i="8"/>
  <c r="P31" i="8" s="1"/>
  <c r="R31" i="8" s="1"/>
  <c r="C31" i="8"/>
  <c r="F31" i="8" s="1"/>
  <c r="H31" i="8" s="1"/>
  <c r="N30" i="8"/>
  <c r="P30" i="8" s="1"/>
  <c r="R30" i="8" s="1"/>
  <c r="H30" i="8"/>
  <c r="E30" i="8"/>
  <c r="C30" i="8"/>
  <c r="N29" i="8"/>
  <c r="P29" i="8" s="1"/>
  <c r="R29" i="8" s="1"/>
  <c r="H29" i="8"/>
  <c r="F29" i="8"/>
  <c r="E29" i="8"/>
  <c r="C29" i="8"/>
  <c r="N28" i="8"/>
  <c r="P28" i="8" s="1"/>
  <c r="R28" i="8" s="1"/>
  <c r="H28" i="8"/>
  <c r="F28" i="8"/>
  <c r="E28" i="8"/>
  <c r="R27" i="8"/>
  <c r="P27" i="8"/>
  <c r="N27" i="8"/>
  <c r="N26" i="8"/>
  <c r="P26" i="8" s="1"/>
  <c r="R26" i="8" s="1"/>
  <c r="E26" i="8"/>
  <c r="C26" i="8"/>
  <c r="N25" i="8"/>
  <c r="P25" i="8" s="1"/>
  <c r="R25" i="8" s="1"/>
  <c r="H25" i="8"/>
  <c r="F25" i="8"/>
  <c r="E25" i="8"/>
  <c r="R24" i="8"/>
  <c r="P24" i="8"/>
  <c r="N24" i="8"/>
  <c r="H24" i="8"/>
  <c r="C24" i="8"/>
  <c r="E24" i="8" s="1"/>
  <c r="H23" i="8"/>
  <c r="C23" i="8"/>
  <c r="E23" i="8" s="1"/>
  <c r="H22" i="8"/>
  <c r="C22" i="8"/>
  <c r="E22" i="8" s="1"/>
  <c r="N21" i="8"/>
  <c r="P21" i="8" s="1"/>
  <c r="R21" i="8" s="1"/>
  <c r="H21" i="8"/>
  <c r="E21" i="8"/>
  <c r="C21" i="8"/>
  <c r="N20" i="8"/>
  <c r="P20" i="8" s="1"/>
  <c r="R20" i="8" s="1"/>
  <c r="H20" i="8"/>
  <c r="E20" i="8"/>
  <c r="C20" i="8"/>
  <c r="R19" i="8"/>
  <c r="P19" i="8"/>
  <c r="N19" i="8"/>
  <c r="H19" i="8"/>
  <c r="C19" i="8"/>
  <c r="E19" i="8" s="1"/>
  <c r="R18" i="8"/>
  <c r="P18" i="8"/>
  <c r="H18" i="8"/>
  <c r="E18" i="8"/>
  <c r="C18" i="8"/>
  <c r="E17" i="8"/>
  <c r="C17" i="8"/>
  <c r="F17" i="8" s="1"/>
  <c r="H17" i="8" s="1"/>
  <c r="R16" i="8"/>
  <c r="P16" i="8"/>
  <c r="N16" i="8"/>
  <c r="H16" i="8"/>
  <c r="C16" i="8"/>
  <c r="E16" i="8" s="1"/>
  <c r="R15" i="8"/>
  <c r="P15" i="8"/>
  <c r="N15" i="8"/>
  <c r="H15" i="8"/>
  <c r="E15" i="8"/>
  <c r="C15" i="8"/>
  <c r="N14" i="8"/>
  <c r="P14" i="8" s="1"/>
  <c r="R14" i="8" s="1"/>
  <c r="H14" i="8"/>
  <c r="E14" i="8"/>
  <c r="C14" i="8"/>
  <c r="N13" i="8"/>
  <c r="P13" i="8" s="1"/>
  <c r="R13" i="8" s="1"/>
  <c r="H13" i="8"/>
  <c r="E13" i="8"/>
  <c r="C13" i="8"/>
  <c r="P12" i="8"/>
  <c r="R12" i="8" s="1"/>
  <c r="N12" i="8"/>
  <c r="H12" i="8"/>
  <c r="C12" i="8"/>
  <c r="E12" i="8" s="1"/>
  <c r="R11" i="8"/>
  <c r="P11" i="8"/>
  <c r="N11" i="8"/>
  <c r="H11" i="8"/>
  <c r="E11" i="8"/>
  <c r="C11" i="8"/>
  <c r="N10" i="8"/>
  <c r="P10" i="8" s="1"/>
  <c r="R10" i="8" s="1"/>
  <c r="H10" i="8"/>
  <c r="E10" i="8"/>
  <c r="C10" i="8"/>
  <c r="N9" i="8"/>
  <c r="P9" i="8" s="1"/>
  <c r="R9" i="8" s="1"/>
  <c r="H9" i="8"/>
  <c r="C9" i="8"/>
  <c r="E9" i="8" s="1"/>
  <c r="R8" i="8"/>
  <c r="P8" i="8"/>
  <c r="N8" i="8"/>
  <c r="H8" i="8"/>
  <c r="C8" i="8"/>
  <c r="E8" i="8" s="1"/>
  <c r="N7" i="8"/>
  <c r="P7" i="8" s="1"/>
  <c r="R7" i="8" s="1"/>
  <c r="H7" i="8"/>
  <c r="E7" i="8"/>
  <c r="C7" i="8"/>
  <c r="N6" i="8"/>
  <c r="P6" i="8" s="1"/>
  <c r="R6" i="8" s="1"/>
  <c r="H6" i="8"/>
  <c r="F6" i="8"/>
  <c r="E6" i="8"/>
  <c r="C6" i="8"/>
  <c r="N5" i="8"/>
  <c r="P5" i="8" s="1"/>
  <c r="R5" i="8" s="1"/>
  <c r="F5" i="8"/>
  <c r="H5" i="8" s="1"/>
  <c r="E5" i="8"/>
  <c r="C5" i="8"/>
  <c r="N4" i="8"/>
  <c r="P4" i="8" s="1"/>
  <c r="R4" i="8" s="1"/>
  <c r="E4" i="8"/>
  <c r="C4" i="8"/>
  <c r="F4" i="8" s="1"/>
  <c r="P3" i="8"/>
  <c r="R3" i="8" s="1"/>
  <c r="H3" i="8"/>
  <c r="E3" i="8"/>
  <c r="H55" i="7"/>
  <c r="F55" i="7"/>
  <c r="E53" i="7"/>
  <c r="C53" i="7"/>
  <c r="F52" i="7"/>
  <c r="H52" i="7" s="1"/>
  <c r="C52" i="7"/>
  <c r="E52" i="7" s="1"/>
  <c r="C51" i="7"/>
  <c r="F51" i="7" s="1"/>
  <c r="H51" i="7" s="1"/>
  <c r="H50" i="7"/>
  <c r="F50" i="7"/>
  <c r="C50" i="7"/>
  <c r="E50" i="7" s="1"/>
  <c r="H49" i="7"/>
  <c r="E49" i="7"/>
  <c r="C49" i="7"/>
  <c r="F48" i="7"/>
  <c r="H48" i="7" s="1"/>
  <c r="E48" i="7"/>
  <c r="C48" i="7"/>
  <c r="H47" i="7"/>
  <c r="E47" i="7"/>
  <c r="C47" i="7"/>
  <c r="H46" i="7"/>
  <c r="C46" i="7"/>
  <c r="E46" i="7" s="1"/>
  <c r="C45" i="7"/>
  <c r="F44" i="7"/>
  <c r="H44" i="7" s="1"/>
  <c r="E44" i="7"/>
  <c r="C44" i="7"/>
  <c r="H43" i="7"/>
  <c r="C43" i="7"/>
  <c r="E43" i="7" s="1"/>
  <c r="H42" i="7"/>
  <c r="E42" i="7"/>
  <c r="C42" i="7"/>
  <c r="H41" i="7"/>
  <c r="F41" i="7"/>
  <c r="E41" i="7"/>
  <c r="C41" i="7"/>
  <c r="E40" i="7"/>
  <c r="C40" i="7"/>
  <c r="F40" i="7" s="1"/>
  <c r="H40" i="7" s="1"/>
  <c r="F39" i="7"/>
  <c r="H39" i="7" s="1"/>
  <c r="E39" i="7"/>
  <c r="C39" i="7"/>
  <c r="C38" i="7"/>
  <c r="F38" i="7" s="1"/>
  <c r="H38" i="7" s="1"/>
  <c r="H37" i="7"/>
  <c r="C37" i="7"/>
  <c r="E37" i="7" s="1"/>
  <c r="H36" i="7"/>
  <c r="C36" i="7"/>
  <c r="E36" i="7" s="1"/>
  <c r="H35" i="7"/>
  <c r="C35" i="7"/>
  <c r="E35" i="7" s="1"/>
  <c r="H34" i="7"/>
  <c r="F34" i="7"/>
  <c r="C34" i="7"/>
  <c r="E34" i="7" s="1"/>
  <c r="C33" i="7"/>
  <c r="F33" i="7" s="1"/>
  <c r="H33" i="7" s="1"/>
  <c r="H32" i="7"/>
  <c r="E32" i="7"/>
  <c r="C32" i="7"/>
  <c r="F31" i="7"/>
  <c r="H31" i="7" s="1"/>
  <c r="E31" i="7"/>
  <c r="C31" i="7"/>
  <c r="H30" i="7"/>
  <c r="C30" i="7"/>
  <c r="E30" i="7" s="1"/>
  <c r="E29" i="7"/>
  <c r="C29" i="7"/>
  <c r="F29" i="7" s="1"/>
  <c r="H29" i="7" s="1"/>
  <c r="H28" i="7"/>
  <c r="F28" i="7"/>
  <c r="E28" i="7"/>
  <c r="C28" i="7"/>
  <c r="C27" i="7"/>
  <c r="F27" i="7" s="1"/>
  <c r="H27" i="7" s="1"/>
  <c r="H26" i="7"/>
  <c r="E26" i="7"/>
  <c r="R24" i="7"/>
  <c r="P24" i="7"/>
  <c r="N24" i="7"/>
  <c r="C24" i="7"/>
  <c r="E24" i="7" s="1"/>
  <c r="P23" i="7"/>
  <c r="R23" i="7" s="1"/>
  <c r="N23" i="7"/>
  <c r="F23" i="7"/>
  <c r="H23" i="7" s="1"/>
  <c r="C23" i="7"/>
  <c r="E23" i="7" s="1"/>
  <c r="N22" i="7"/>
  <c r="P22" i="7" s="1"/>
  <c r="R22" i="7" s="1"/>
  <c r="H22" i="7"/>
  <c r="F22" i="7"/>
  <c r="E22" i="7"/>
  <c r="C22" i="7"/>
  <c r="P21" i="7"/>
  <c r="R21" i="7" s="1"/>
  <c r="N21" i="7"/>
  <c r="E21" i="7"/>
  <c r="C21" i="7"/>
  <c r="F21" i="7" s="1"/>
  <c r="H21" i="7" s="1"/>
  <c r="N20" i="7"/>
  <c r="P20" i="7" s="1"/>
  <c r="R20" i="7" s="1"/>
  <c r="H20" i="7"/>
  <c r="F20" i="7"/>
  <c r="E20" i="7"/>
  <c r="P19" i="7"/>
  <c r="R19" i="7" s="1"/>
  <c r="N19" i="7"/>
  <c r="H19" i="7"/>
  <c r="C19" i="7"/>
  <c r="E19" i="7" s="1"/>
  <c r="R18" i="7"/>
  <c r="P18" i="7"/>
  <c r="H18" i="7"/>
  <c r="E18" i="7"/>
  <c r="C18" i="7"/>
  <c r="H17" i="7"/>
  <c r="C17" i="7"/>
  <c r="E17" i="7" s="1"/>
  <c r="R16" i="7"/>
  <c r="P16" i="7"/>
  <c r="N16" i="7"/>
  <c r="H16" i="7"/>
  <c r="C16" i="7"/>
  <c r="E16" i="7" s="1"/>
  <c r="N15" i="7"/>
  <c r="P15" i="7" s="1"/>
  <c r="R15" i="7" s="1"/>
  <c r="H15" i="7"/>
  <c r="E15" i="7"/>
  <c r="C15" i="7"/>
  <c r="N14" i="7"/>
  <c r="P14" i="7" s="1"/>
  <c r="R14" i="7" s="1"/>
  <c r="H14" i="7"/>
  <c r="E14" i="7"/>
  <c r="C14" i="7"/>
  <c r="R13" i="7"/>
  <c r="P13" i="7"/>
  <c r="N13" i="7"/>
  <c r="H13" i="7"/>
  <c r="C13" i="7"/>
  <c r="E13" i="7" s="1"/>
  <c r="N12" i="7"/>
  <c r="P12" i="7" s="1"/>
  <c r="R12" i="7" s="1"/>
  <c r="H12" i="7"/>
  <c r="C12" i="7"/>
  <c r="E12" i="7" s="1"/>
  <c r="N11" i="7"/>
  <c r="P11" i="7" s="1"/>
  <c r="R11" i="7" s="1"/>
  <c r="H11" i="7"/>
  <c r="F11" i="7"/>
  <c r="E11" i="7"/>
  <c r="C11" i="7"/>
  <c r="P10" i="7"/>
  <c r="R10" i="7" s="1"/>
  <c r="N10" i="7"/>
  <c r="H10" i="7"/>
  <c r="E10" i="7"/>
  <c r="C10" i="7"/>
  <c r="N9" i="7"/>
  <c r="P9" i="7" s="1"/>
  <c r="R9" i="7" s="1"/>
  <c r="H9" i="7"/>
  <c r="E9" i="7"/>
  <c r="C9" i="7"/>
  <c r="P8" i="7"/>
  <c r="R8" i="7" s="1"/>
  <c r="N8" i="7"/>
  <c r="H8" i="7"/>
  <c r="C8" i="7"/>
  <c r="E8" i="7" s="1"/>
  <c r="R7" i="7"/>
  <c r="P7" i="7"/>
  <c r="N7" i="7"/>
  <c r="H7" i="7"/>
  <c r="E7" i="7"/>
  <c r="C7" i="7"/>
  <c r="N6" i="7"/>
  <c r="P6" i="7" s="1"/>
  <c r="R6" i="7" s="1"/>
  <c r="H6" i="7"/>
  <c r="E6" i="7"/>
  <c r="C6" i="7"/>
  <c r="N5" i="7"/>
  <c r="P5" i="7" s="1"/>
  <c r="R5" i="7" s="1"/>
  <c r="H5" i="7"/>
  <c r="F5" i="7"/>
  <c r="E5" i="7"/>
  <c r="C5" i="7"/>
  <c r="R4" i="7"/>
  <c r="P4" i="7"/>
  <c r="N4" i="7"/>
  <c r="H4" i="7"/>
  <c r="E4" i="7"/>
  <c r="C4" i="7"/>
  <c r="R3" i="7"/>
  <c r="P3" i="7"/>
  <c r="H3" i="7"/>
  <c r="F3" i="7"/>
  <c r="E3" i="7"/>
  <c r="H75" i="6"/>
  <c r="F75" i="6"/>
  <c r="E75" i="6"/>
  <c r="C75" i="6"/>
  <c r="E74" i="6"/>
  <c r="C74" i="6"/>
  <c r="F74" i="6" s="1"/>
  <c r="H74" i="6" s="1"/>
  <c r="F73" i="6"/>
  <c r="H73" i="6" s="1"/>
  <c r="E73" i="6"/>
  <c r="C73" i="6"/>
  <c r="C72" i="6"/>
  <c r="F72" i="6" s="1"/>
  <c r="H72" i="6" s="1"/>
  <c r="H71" i="6"/>
  <c r="F71" i="6"/>
  <c r="E71" i="6"/>
  <c r="C71" i="6"/>
  <c r="C70" i="6"/>
  <c r="F70" i="6" s="1"/>
  <c r="H70" i="6" s="1"/>
  <c r="H69" i="6"/>
  <c r="F69" i="6"/>
  <c r="E69" i="6"/>
  <c r="C69" i="6"/>
  <c r="F68" i="6"/>
  <c r="H68" i="6" s="1"/>
  <c r="E68" i="6"/>
  <c r="C68" i="6"/>
  <c r="F67" i="6"/>
  <c r="H67" i="6" s="1"/>
  <c r="E67" i="6"/>
  <c r="C67" i="6"/>
  <c r="F66" i="6"/>
  <c r="H66" i="6" s="1"/>
  <c r="E66" i="6"/>
  <c r="H65" i="6"/>
  <c r="C65" i="6"/>
  <c r="E65" i="6" s="1"/>
  <c r="H64" i="6"/>
  <c r="C64" i="6"/>
  <c r="E64" i="6" s="1"/>
  <c r="H63" i="6"/>
  <c r="E63" i="6"/>
  <c r="C63" i="6"/>
  <c r="H62" i="6"/>
  <c r="C62" i="6"/>
  <c r="E62" i="6" s="1"/>
  <c r="E61" i="6"/>
  <c r="C61" i="6"/>
  <c r="F61" i="6" s="1"/>
  <c r="H61" i="6" s="1"/>
  <c r="H60" i="6"/>
  <c r="E60" i="6"/>
  <c r="C60" i="6"/>
  <c r="C59" i="6"/>
  <c r="H58" i="6"/>
  <c r="E58" i="6"/>
  <c r="C58" i="6"/>
  <c r="F57" i="6"/>
  <c r="H57" i="6" s="1"/>
  <c r="C57" i="6"/>
  <c r="E57" i="6" s="1"/>
  <c r="C56" i="6"/>
  <c r="F56" i="6" s="1"/>
  <c r="H56" i="6" s="1"/>
  <c r="H55" i="6"/>
  <c r="E55" i="6"/>
  <c r="C55" i="6"/>
  <c r="F54" i="6"/>
  <c r="H54" i="6" s="1"/>
  <c r="E54" i="6"/>
  <c r="C54" i="6"/>
  <c r="H53" i="6"/>
  <c r="E53" i="6"/>
  <c r="C53" i="6"/>
  <c r="F52" i="6"/>
  <c r="H52" i="6" s="1"/>
  <c r="E52" i="6"/>
  <c r="C52" i="6"/>
  <c r="C51" i="6"/>
  <c r="F51" i="6" s="1"/>
  <c r="H51" i="6" s="1"/>
  <c r="C50" i="6"/>
  <c r="F50" i="6" s="1"/>
  <c r="H50" i="6" s="1"/>
  <c r="H49" i="6"/>
  <c r="E49" i="6"/>
  <c r="H48" i="6"/>
  <c r="E48" i="6"/>
  <c r="C48" i="6"/>
  <c r="H47" i="6"/>
  <c r="F47" i="6"/>
  <c r="E47" i="6"/>
  <c r="C47" i="6"/>
  <c r="H46" i="6"/>
  <c r="F46" i="6"/>
  <c r="E46" i="6"/>
  <c r="C46" i="6"/>
  <c r="H45" i="6"/>
  <c r="F45" i="6"/>
  <c r="E45" i="6"/>
  <c r="C45" i="6"/>
  <c r="H44" i="6"/>
  <c r="F44" i="6"/>
  <c r="E44" i="6"/>
  <c r="C44" i="6"/>
  <c r="H43" i="6"/>
  <c r="C43" i="6"/>
  <c r="E43" i="6" s="1"/>
  <c r="H42" i="6"/>
  <c r="E42" i="6"/>
  <c r="C42" i="6"/>
  <c r="H41" i="6"/>
  <c r="C41" i="6"/>
  <c r="E41" i="6" s="1"/>
  <c r="H40" i="6"/>
  <c r="E40" i="6"/>
  <c r="C37" i="6"/>
  <c r="E37" i="6" s="1"/>
  <c r="C36" i="6"/>
  <c r="F36" i="6" s="1"/>
  <c r="H36" i="6" s="1"/>
  <c r="H35" i="6"/>
  <c r="F35" i="6"/>
  <c r="C35" i="6"/>
  <c r="E35" i="6" s="1"/>
  <c r="F34" i="6"/>
  <c r="H34" i="6" s="1"/>
  <c r="E34" i="6"/>
  <c r="C34" i="6"/>
  <c r="H33" i="6"/>
  <c r="F33" i="6"/>
  <c r="C33" i="6"/>
  <c r="E33" i="6" s="1"/>
  <c r="E32" i="6"/>
  <c r="C32" i="6"/>
  <c r="F32" i="6" s="1"/>
  <c r="H32" i="6" s="1"/>
  <c r="P31" i="6"/>
  <c r="R31" i="6" s="1"/>
  <c r="N31" i="6"/>
  <c r="C31" i="6"/>
  <c r="F31" i="6" s="1"/>
  <c r="H31" i="6" s="1"/>
  <c r="N30" i="6"/>
  <c r="P30" i="6" s="1"/>
  <c r="R30" i="6" s="1"/>
  <c r="F30" i="6"/>
  <c r="H30" i="6" s="1"/>
  <c r="E30" i="6"/>
  <c r="C30" i="6"/>
  <c r="P29" i="6"/>
  <c r="R29" i="6" s="1"/>
  <c r="N29" i="6"/>
  <c r="H29" i="6"/>
  <c r="E29" i="6"/>
  <c r="C29" i="6"/>
  <c r="F29" i="6" s="1"/>
  <c r="N28" i="6"/>
  <c r="P28" i="6" s="1"/>
  <c r="R28" i="6" s="1"/>
  <c r="H28" i="6"/>
  <c r="F28" i="6"/>
  <c r="C28" i="6"/>
  <c r="E28" i="6" s="1"/>
  <c r="R27" i="6"/>
  <c r="P27" i="6"/>
  <c r="N27" i="6"/>
  <c r="F27" i="6"/>
  <c r="H27" i="6" s="1"/>
  <c r="E27" i="6"/>
  <c r="C27" i="6"/>
  <c r="P26" i="6"/>
  <c r="R26" i="6" s="1"/>
  <c r="N26" i="6"/>
  <c r="C26" i="6"/>
  <c r="F26" i="6" s="1"/>
  <c r="H26" i="6" s="1"/>
  <c r="P25" i="6"/>
  <c r="R25" i="6" s="1"/>
  <c r="N25" i="6"/>
  <c r="H25" i="6"/>
  <c r="F25" i="6"/>
  <c r="E25" i="6"/>
  <c r="C25" i="6"/>
  <c r="N24" i="6"/>
  <c r="P24" i="6" s="1"/>
  <c r="R24" i="6" s="1"/>
  <c r="H24" i="6"/>
  <c r="F24" i="6"/>
  <c r="E24" i="6"/>
  <c r="C24" i="6"/>
  <c r="R23" i="6"/>
  <c r="P23" i="6"/>
  <c r="N23" i="6"/>
  <c r="C23" i="6"/>
  <c r="F23" i="6" s="1"/>
  <c r="H23" i="6" s="1"/>
  <c r="R22" i="6"/>
  <c r="P22" i="6"/>
  <c r="N22" i="6"/>
  <c r="F22" i="6"/>
  <c r="H22" i="6" s="1"/>
  <c r="E22" i="6"/>
  <c r="N21" i="6"/>
  <c r="P21" i="6" s="1"/>
  <c r="R21" i="6" s="1"/>
  <c r="H21" i="6"/>
  <c r="E21" i="6"/>
  <c r="C21" i="6"/>
  <c r="P20" i="6"/>
  <c r="R20" i="6" s="1"/>
  <c r="N20" i="6"/>
  <c r="H20" i="6"/>
  <c r="E20" i="6"/>
  <c r="C20" i="6"/>
  <c r="R19" i="6"/>
  <c r="N19" i="6"/>
  <c r="P19" i="6" s="1"/>
  <c r="H19" i="6"/>
  <c r="E19" i="6"/>
  <c r="C19" i="6"/>
  <c r="P18" i="6"/>
  <c r="R18" i="6" s="1"/>
  <c r="H18" i="6"/>
  <c r="C18" i="6"/>
  <c r="E18" i="6" s="1"/>
  <c r="H17" i="6"/>
  <c r="C17" i="6"/>
  <c r="E17" i="6" s="1"/>
  <c r="N16" i="6"/>
  <c r="P16" i="6" s="1"/>
  <c r="R16" i="6" s="1"/>
  <c r="H16" i="6"/>
  <c r="E16" i="6"/>
  <c r="C16" i="6"/>
  <c r="P15" i="6"/>
  <c r="R15" i="6" s="1"/>
  <c r="N15" i="6"/>
  <c r="H15" i="6"/>
  <c r="E15" i="6"/>
  <c r="C15" i="6"/>
  <c r="N14" i="6"/>
  <c r="P14" i="6" s="1"/>
  <c r="R14" i="6" s="1"/>
  <c r="C14" i="6"/>
  <c r="F14" i="6" s="1"/>
  <c r="H14" i="6" s="1"/>
  <c r="P13" i="6"/>
  <c r="R13" i="6" s="1"/>
  <c r="N13" i="6"/>
  <c r="H13" i="6"/>
  <c r="C13" i="6"/>
  <c r="E13" i="6" s="1"/>
  <c r="R12" i="6"/>
  <c r="P12" i="6"/>
  <c r="N12" i="6"/>
  <c r="H12" i="6"/>
  <c r="E12" i="6"/>
  <c r="C12" i="6"/>
  <c r="P11" i="6"/>
  <c r="R11" i="6" s="1"/>
  <c r="N11" i="6"/>
  <c r="H11" i="6"/>
  <c r="C11" i="6"/>
  <c r="E11" i="6" s="1"/>
  <c r="R10" i="6"/>
  <c r="P10" i="6"/>
  <c r="N10" i="6"/>
  <c r="H10" i="6"/>
  <c r="E10" i="6"/>
  <c r="C10" i="6"/>
  <c r="N9" i="6"/>
  <c r="P9" i="6" s="1"/>
  <c r="R9" i="6" s="1"/>
  <c r="H9" i="6"/>
  <c r="E9" i="6"/>
  <c r="C9" i="6"/>
  <c r="P8" i="6"/>
  <c r="R8" i="6" s="1"/>
  <c r="N8" i="6"/>
  <c r="H8" i="6"/>
  <c r="E8" i="6"/>
  <c r="C8" i="6"/>
  <c r="N7" i="6"/>
  <c r="P7" i="6" s="1"/>
  <c r="R7" i="6" s="1"/>
  <c r="H7" i="6"/>
  <c r="E7" i="6"/>
  <c r="C7" i="6"/>
  <c r="F7" i="6" s="1"/>
  <c r="R6" i="6"/>
  <c r="P6" i="6"/>
  <c r="N6" i="6"/>
  <c r="H6" i="6"/>
  <c r="E6" i="6"/>
  <c r="C6" i="6"/>
  <c r="N5" i="6"/>
  <c r="P5" i="6" s="1"/>
  <c r="R5" i="6" s="1"/>
  <c r="H5" i="6"/>
  <c r="E5" i="6"/>
  <c r="C5" i="6"/>
  <c r="N4" i="6"/>
  <c r="P4" i="6" s="1"/>
  <c r="R4" i="6" s="1"/>
  <c r="H4" i="6"/>
  <c r="F4" i="6"/>
  <c r="E4" i="6"/>
  <c r="C4" i="6"/>
  <c r="R3" i="6"/>
  <c r="P3" i="6"/>
  <c r="F3" i="6"/>
  <c r="H3" i="6" s="1"/>
  <c r="E3" i="6"/>
  <c r="E65" i="5"/>
  <c r="C65" i="5"/>
  <c r="F64" i="5"/>
  <c r="H64" i="5" s="1"/>
  <c r="E64" i="5"/>
  <c r="H63" i="5"/>
  <c r="E63" i="5"/>
  <c r="C63" i="5"/>
  <c r="H62" i="5"/>
  <c r="C62" i="5"/>
  <c r="E62" i="5" s="1"/>
  <c r="C61" i="5"/>
  <c r="F61" i="5" s="1"/>
  <c r="H61" i="5" s="1"/>
  <c r="C60" i="5"/>
  <c r="F60" i="5" s="1"/>
  <c r="H60" i="5" s="1"/>
  <c r="C59" i="5"/>
  <c r="F59" i="5" s="1"/>
  <c r="H59" i="5" s="1"/>
  <c r="C58" i="5"/>
  <c r="F58" i="5" s="1"/>
  <c r="H58" i="5" s="1"/>
  <c r="H57" i="5"/>
  <c r="E57" i="5"/>
  <c r="C57" i="5"/>
  <c r="H56" i="5"/>
  <c r="E56" i="5"/>
  <c r="C56" i="5"/>
  <c r="H55" i="5"/>
  <c r="C55" i="5"/>
  <c r="E55" i="5" s="1"/>
  <c r="H54" i="5"/>
  <c r="F54" i="5"/>
  <c r="E54" i="5"/>
  <c r="C54" i="5"/>
  <c r="H53" i="5"/>
  <c r="C53" i="5"/>
  <c r="E53" i="5" s="1"/>
  <c r="H52" i="5"/>
  <c r="E52" i="5"/>
  <c r="C52" i="5"/>
  <c r="H51" i="5"/>
  <c r="F51" i="5"/>
  <c r="E51" i="5"/>
  <c r="C51" i="5"/>
  <c r="H50" i="5"/>
  <c r="E50" i="5"/>
  <c r="C50" i="5"/>
  <c r="H49" i="5"/>
  <c r="E49" i="5"/>
  <c r="C49" i="5"/>
  <c r="H48" i="5"/>
  <c r="C48" i="5"/>
  <c r="E48" i="5" s="1"/>
  <c r="C47" i="5"/>
  <c r="F47" i="5" s="1"/>
  <c r="H47" i="5" s="1"/>
  <c r="C46" i="5"/>
  <c r="F46" i="5" s="1"/>
  <c r="H46" i="5" s="1"/>
  <c r="H45" i="5"/>
  <c r="E45" i="5"/>
  <c r="C45" i="5"/>
  <c r="H44" i="5"/>
  <c r="F44" i="5"/>
  <c r="E44" i="5"/>
  <c r="C44" i="5"/>
  <c r="F43" i="5"/>
  <c r="H43" i="5" s="1"/>
  <c r="E43" i="5"/>
  <c r="C43" i="5"/>
  <c r="H42" i="5"/>
  <c r="F42" i="5"/>
  <c r="E42" i="5"/>
  <c r="C42" i="5"/>
  <c r="F41" i="5"/>
  <c r="F65" i="5" s="1"/>
  <c r="E41" i="5"/>
  <c r="C41" i="5"/>
  <c r="H40" i="5"/>
  <c r="E40" i="5"/>
  <c r="C38" i="5"/>
  <c r="C37" i="5"/>
  <c r="F37" i="5" s="1"/>
  <c r="H37" i="5" s="1"/>
  <c r="C36" i="5"/>
  <c r="F36" i="5" s="1"/>
  <c r="H36" i="5" s="1"/>
  <c r="C35" i="5"/>
  <c r="F35" i="5" s="1"/>
  <c r="H35" i="5" s="1"/>
  <c r="C34" i="5"/>
  <c r="F34" i="5" s="1"/>
  <c r="H34" i="5" s="1"/>
  <c r="C33" i="5"/>
  <c r="F33" i="5" s="1"/>
  <c r="H33" i="5" s="1"/>
  <c r="C32" i="5"/>
  <c r="F32" i="5" s="1"/>
  <c r="H32" i="5" s="1"/>
  <c r="R31" i="5"/>
  <c r="P31" i="5"/>
  <c r="N31" i="5"/>
  <c r="H31" i="5"/>
  <c r="F31" i="5"/>
  <c r="E31" i="5"/>
  <c r="C31" i="5"/>
  <c r="P30" i="5"/>
  <c r="R30" i="5" s="1"/>
  <c r="N30" i="5"/>
  <c r="F30" i="5"/>
  <c r="H30" i="5" s="1"/>
  <c r="E30" i="5"/>
  <c r="C30" i="5"/>
  <c r="N29" i="5"/>
  <c r="P29" i="5" s="1"/>
  <c r="R29" i="5" s="1"/>
  <c r="H29" i="5"/>
  <c r="F29" i="5"/>
  <c r="E29" i="5"/>
  <c r="C29" i="5"/>
  <c r="N28" i="5"/>
  <c r="P28" i="5" s="1"/>
  <c r="R28" i="5" s="1"/>
  <c r="C28" i="5"/>
  <c r="F28" i="5" s="1"/>
  <c r="H28" i="5" s="1"/>
  <c r="R27" i="5"/>
  <c r="P27" i="5"/>
  <c r="N27" i="5"/>
  <c r="F27" i="5"/>
  <c r="H27" i="5" s="1"/>
  <c r="E27" i="5"/>
  <c r="C27" i="5"/>
  <c r="R26" i="5"/>
  <c r="P26" i="5"/>
  <c r="N26" i="5"/>
  <c r="E26" i="5"/>
  <c r="C26" i="5"/>
  <c r="F26" i="5" s="1"/>
  <c r="H26" i="5" s="1"/>
  <c r="P25" i="5"/>
  <c r="R25" i="5" s="1"/>
  <c r="N25" i="5"/>
  <c r="C25" i="5"/>
  <c r="F25" i="5" s="1"/>
  <c r="H25" i="5" s="1"/>
  <c r="N24" i="5"/>
  <c r="P24" i="5" s="1"/>
  <c r="R24" i="5" s="1"/>
  <c r="C24" i="5"/>
  <c r="F24" i="5" s="1"/>
  <c r="H24" i="5" s="1"/>
  <c r="R23" i="5"/>
  <c r="P23" i="5"/>
  <c r="N23" i="5"/>
  <c r="H23" i="5"/>
  <c r="F23" i="5"/>
  <c r="E23" i="5"/>
  <c r="N22" i="5"/>
  <c r="P22" i="5" s="1"/>
  <c r="R22" i="5" s="1"/>
  <c r="H22" i="5"/>
  <c r="C22" i="5"/>
  <c r="E22" i="5" s="1"/>
  <c r="R21" i="5"/>
  <c r="P21" i="5"/>
  <c r="N21" i="5"/>
  <c r="H21" i="5"/>
  <c r="E21" i="5"/>
  <c r="C21" i="5"/>
  <c r="P20" i="5"/>
  <c r="R20" i="5" s="1"/>
  <c r="H20" i="5"/>
  <c r="E20" i="5"/>
  <c r="C20" i="5"/>
  <c r="P19" i="5"/>
  <c r="R19" i="5" s="1"/>
  <c r="N19" i="5"/>
  <c r="H19" i="5"/>
  <c r="E19" i="5"/>
  <c r="C19" i="5"/>
  <c r="N18" i="5"/>
  <c r="P18" i="5" s="1"/>
  <c r="R18" i="5" s="1"/>
  <c r="H18" i="5"/>
  <c r="E18" i="5"/>
  <c r="C18" i="5"/>
  <c r="H17" i="5"/>
  <c r="E17" i="5"/>
  <c r="C17" i="5"/>
  <c r="N16" i="5"/>
  <c r="P16" i="5" s="1"/>
  <c r="R16" i="5" s="1"/>
  <c r="H16" i="5"/>
  <c r="C16" i="5"/>
  <c r="E16" i="5" s="1"/>
  <c r="R15" i="5"/>
  <c r="P15" i="5"/>
  <c r="N15" i="5"/>
  <c r="H15" i="5"/>
  <c r="E15" i="5"/>
  <c r="C15" i="5"/>
  <c r="P14" i="5"/>
  <c r="R14" i="5" s="1"/>
  <c r="N14" i="5"/>
  <c r="H14" i="5"/>
  <c r="C14" i="5"/>
  <c r="E14" i="5" s="1"/>
  <c r="R13" i="5"/>
  <c r="P13" i="5"/>
  <c r="N13" i="5"/>
  <c r="H13" i="5"/>
  <c r="E13" i="5"/>
  <c r="C13" i="5"/>
  <c r="N12" i="5"/>
  <c r="P12" i="5" s="1"/>
  <c r="R12" i="5" s="1"/>
  <c r="H12" i="5"/>
  <c r="F12" i="5"/>
  <c r="E12" i="5"/>
  <c r="C12" i="5"/>
  <c r="N11" i="5"/>
  <c r="P11" i="5" s="1"/>
  <c r="R11" i="5" s="1"/>
  <c r="H11" i="5"/>
  <c r="E11" i="5"/>
  <c r="C11" i="5"/>
  <c r="R10" i="5"/>
  <c r="P10" i="5"/>
  <c r="N10" i="5"/>
  <c r="H10" i="5"/>
  <c r="C10" i="5"/>
  <c r="E10" i="5" s="1"/>
  <c r="R9" i="5"/>
  <c r="P9" i="5"/>
  <c r="H9" i="5"/>
  <c r="E9" i="5"/>
  <c r="C9" i="5"/>
  <c r="N8" i="5"/>
  <c r="P8" i="5" s="1"/>
  <c r="R8" i="5" s="1"/>
  <c r="H8" i="5"/>
  <c r="C8" i="5"/>
  <c r="E8" i="5" s="1"/>
  <c r="R7" i="5"/>
  <c r="P7" i="5"/>
  <c r="N7" i="5"/>
  <c r="H7" i="5"/>
  <c r="E7" i="5"/>
  <c r="C7" i="5"/>
  <c r="P6" i="5"/>
  <c r="R6" i="5" s="1"/>
  <c r="N6" i="5"/>
  <c r="H6" i="5"/>
  <c r="C6" i="5"/>
  <c r="E6" i="5" s="1"/>
  <c r="R5" i="5"/>
  <c r="P5" i="5"/>
  <c r="N5" i="5"/>
  <c r="H5" i="5"/>
  <c r="F5" i="5"/>
  <c r="E5" i="5"/>
  <c r="C5" i="5"/>
  <c r="P4" i="5"/>
  <c r="R4" i="5" s="1"/>
  <c r="N4" i="5"/>
  <c r="F4" i="5"/>
  <c r="H4" i="5" s="1"/>
  <c r="E4" i="5"/>
  <c r="C4" i="5"/>
  <c r="P3" i="5"/>
  <c r="R3" i="5" s="1"/>
  <c r="H3" i="5"/>
  <c r="H38" i="5" s="1"/>
  <c r="F3" i="5"/>
  <c r="E3" i="5"/>
  <c r="C56" i="4"/>
  <c r="E56" i="4" s="1"/>
  <c r="H55" i="4"/>
  <c r="F55" i="4"/>
  <c r="E55" i="4"/>
  <c r="C55" i="4"/>
  <c r="C54" i="4"/>
  <c r="F54" i="4" s="1"/>
  <c r="H54" i="4" s="1"/>
  <c r="H53" i="4"/>
  <c r="F53" i="4"/>
  <c r="E53" i="4"/>
  <c r="C53" i="4"/>
  <c r="C52" i="4"/>
  <c r="F52" i="4" s="1"/>
  <c r="H52" i="4" s="1"/>
  <c r="H51" i="4"/>
  <c r="F51" i="4"/>
  <c r="E51" i="4"/>
  <c r="H50" i="4"/>
  <c r="E50" i="4"/>
  <c r="C50" i="4"/>
  <c r="H49" i="4"/>
  <c r="E49" i="4"/>
  <c r="C49" i="4"/>
  <c r="F48" i="4"/>
  <c r="H48" i="4" s="1"/>
  <c r="E48" i="4"/>
  <c r="C48" i="4"/>
  <c r="E47" i="4"/>
  <c r="C47" i="4"/>
  <c r="F47" i="4" s="1"/>
  <c r="H47" i="4" s="1"/>
  <c r="H46" i="4"/>
  <c r="E46" i="4"/>
  <c r="C46" i="4"/>
  <c r="C45" i="4"/>
  <c r="F45" i="4" s="1"/>
  <c r="H45" i="4" s="1"/>
  <c r="H44" i="4"/>
  <c r="F44" i="4"/>
  <c r="E44" i="4"/>
  <c r="C44" i="4"/>
  <c r="H43" i="4"/>
  <c r="F43" i="4"/>
  <c r="E43" i="4"/>
  <c r="C42" i="4"/>
  <c r="F42" i="4" s="1"/>
  <c r="H42" i="4" s="1"/>
  <c r="H41" i="4"/>
  <c r="E41" i="4"/>
  <c r="C41" i="4"/>
  <c r="F40" i="4"/>
  <c r="H40" i="4" s="1"/>
  <c r="E40" i="4"/>
  <c r="C40" i="4"/>
  <c r="H39" i="4"/>
  <c r="E39" i="4"/>
  <c r="C39" i="4"/>
  <c r="H38" i="4"/>
  <c r="C38" i="4"/>
  <c r="E38" i="4" s="1"/>
  <c r="H37" i="4"/>
  <c r="F37" i="4"/>
  <c r="E37" i="4"/>
  <c r="C37" i="4"/>
  <c r="H36" i="4"/>
  <c r="F36" i="4"/>
  <c r="E36" i="4"/>
  <c r="C35" i="4"/>
  <c r="F35" i="4" s="1"/>
  <c r="H35" i="4" s="1"/>
  <c r="C34" i="4"/>
  <c r="F34" i="4" s="1"/>
  <c r="H34" i="4" s="1"/>
  <c r="C33" i="4"/>
  <c r="F33" i="4" s="1"/>
  <c r="H33" i="4" s="1"/>
  <c r="H32" i="4"/>
  <c r="F32" i="4"/>
  <c r="E32" i="4"/>
  <c r="P31" i="4"/>
  <c r="R31" i="4" s="1"/>
  <c r="N31" i="4"/>
  <c r="P30" i="4"/>
  <c r="R30" i="4" s="1"/>
  <c r="N30" i="4"/>
  <c r="C30" i="4"/>
  <c r="R29" i="4"/>
  <c r="P29" i="4"/>
  <c r="N29" i="4"/>
  <c r="H29" i="4"/>
  <c r="F29" i="4"/>
  <c r="E29" i="4"/>
  <c r="C29" i="4"/>
  <c r="P28" i="4"/>
  <c r="R28" i="4" s="1"/>
  <c r="N28" i="4"/>
  <c r="F28" i="4"/>
  <c r="H28" i="4" s="1"/>
  <c r="E28" i="4"/>
  <c r="N27" i="4"/>
  <c r="P27" i="4" s="1"/>
  <c r="R27" i="4" s="1"/>
  <c r="H27" i="4"/>
  <c r="E27" i="4"/>
  <c r="C27" i="4"/>
  <c r="R26" i="4"/>
  <c r="P26" i="4"/>
  <c r="N26" i="4"/>
  <c r="H26" i="4"/>
  <c r="C26" i="4"/>
  <c r="E26" i="4" s="1"/>
  <c r="N25" i="4"/>
  <c r="P25" i="4" s="1"/>
  <c r="R25" i="4" s="1"/>
  <c r="H25" i="4"/>
  <c r="E25" i="4"/>
  <c r="C25" i="4"/>
  <c r="P24" i="4"/>
  <c r="R24" i="4" s="1"/>
  <c r="N24" i="4"/>
  <c r="H24" i="4"/>
  <c r="E24" i="4"/>
  <c r="C24" i="4"/>
  <c r="N23" i="4"/>
  <c r="P23" i="4" s="1"/>
  <c r="R23" i="4" s="1"/>
  <c r="H23" i="4"/>
  <c r="E23" i="4"/>
  <c r="C23" i="4"/>
  <c r="R22" i="4"/>
  <c r="P22" i="4"/>
  <c r="N22" i="4"/>
  <c r="H22" i="4"/>
  <c r="C22" i="4"/>
  <c r="E22" i="4" s="1"/>
  <c r="N21" i="4"/>
  <c r="P21" i="4" s="1"/>
  <c r="R21" i="4" s="1"/>
  <c r="H21" i="4"/>
  <c r="E21" i="4"/>
  <c r="C21" i="4"/>
  <c r="P20" i="4"/>
  <c r="R20" i="4" s="1"/>
  <c r="N20" i="4"/>
  <c r="H20" i="4"/>
  <c r="E20" i="4"/>
  <c r="C20" i="4"/>
  <c r="R19" i="4"/>
  <c r="P19" i="4"/>
  <c r="H19" i="4"/>
  <c r="E19" i="4"/>
  <c r="C19" i="4"/>
  <c r="P18" i="4"/>
  <c r="R18" i="4" s="1"/>
  <c r="H18" i="4"/>
  <c r="E18" i="4"/>
  <c r="C18" i="4"/>
  <c r="H17" i="4"/>
  <c r="E17" i="4"/>
  <c r="C17" i="4"/>
  <c r="P16" i="4"/>
  <c r="R16" i="4" s="1"/>
  <c r="N16" i="4"/>
  <c r="C16" i="4"/>
  <c r="F16" i="4" s="1"/>
  <c r="H16" i="4" s="1"/>
  <c r="N15" i="4"/>
  <c r="P15" i="4" s="1"/>
  <c r="R15" i="4" s="1"/>
  <c r="H15" i="4"/>
  <c r="E15" i="4"/>
  <c r="C15" i="4"/>
  <c r="P14" i="4"/>
  <c r="R14" i="4" s="1"/>
  <c r="N14" i="4"/>
  <c r="H14" i="4"/>
  <c r="E14" i="4"/>
  <c r="C14" i="4"/>
  <c r="N13" i="4"/>
  <c r="P13" i="4" s="1"/>
  <c r="R13" i="4" s="1"/>
  <c r="H13" i="4"/>
  <c r="E13" i="4"/>
  <c r="C13" i="4"/>
  <c r="R12" i="4"/>
  <c r="P12" i="4"/>
  <c r="N12" i="4"/>
  <c r="H12" i="4"/>
  <c r="C12" i="4"/>
  <c r="E12" i="4" s="1"/>
  <c r="N11" i="4"/>
  <c r="P11" i="4" s="1"/>
  <c r="R11" i="4" s="1"/>
  <c r="H11" i="4"/>
  <c r="E11" i="4"/>
  <c r="C11" i="4"/>
  <c r="P10" i="4"/>
  <c r="R10" i="4" s="1"/>
  <c r="N10" i="4"/>
  <c r="H10" i="4"/>
  <c r="E10" i="4"/>
  <c r="C10" i="4"/>
  <c r="N9" i="4"/>
  <c r="P9" i="4" s="1"/>
  <c r="R9" i="4" s="1"/>
  <c r="H9" i="4"/>
  <c r="E9" i="4"/>
  <c r="C9" i="4"/>
  <c r="R8" i="4"/>
  <c r="P8" i="4"/>
  <c r="N8" i="4"/>
  <c r="E8" i="4"/>
  <c r="C8" i="4"/>
  <c r="F8" i="4" s="1"/>
  <c r="H8" i="4" s="1"/>
  <c r="P7" i="4"/>
  <c r="R7" i="4" s="1"/>
  <c r="N7" i="4"/>
  <c r="C7" i="4"/>
  <c r="F7" i="4" s="1"/>
  <c r="N6" i="4"/>
  <c r="P6" i="4" s="1"/>
  <c r="R6" i="4" s="1"/>
  <c r="H6" i="4"/>
  <c r="E6" i="4"/>
  <c r="C6" i="4"/>
  <c r="P5" i="4"/>
  <c r="R5" i="4" s="1"/>
  <c r="N5" i="4"/>
  <c r="H5" i="4"/>
  <c r="E5" i="4"/>
  <c r="C5" i="4"/>
  <c r="N4" i="4"/>
  <c r="P4" i="4" s="1"/>
  <c r="R4" i="4" s="1"/>
  <c r="H4" i="4"/>
  <c r="E4" i="4"/>
  <c r="C4" i="4"/>
  <c r="R3" i="4"/>
  <c r="P3" i="4"/>
  <c r="H3" i="4"/>
  <c r="E3" i="4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L2" i="3"/>
  <c r="G2" i="3"/>
  <c r="F2" i="3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L2" i="2"/>
  <c r="G2" i="2"/>
  <c r="F2" i="2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L2" i="1"/>
  <c r="G2" i="1"/>
  <c r="F2" i="1"/>
  <c r="H7" i="4" l="1"/>
  <c r="F30" i="4"/>
  <c r="H38" i="6"/>
  <c r="H4" i="8"/>
  <c r="H26" i="8" s="1"/>
  <c r="F26" i="8"/>
  <c r="F56" i="4"/>
  <c r="H56" i="4"/>
  <c r="F38" i="5"/>
  <c r="F67" i="5" s="1"/>
  <c r="F76" i="6"/>
  <c r="F78" i="6" s="1"/>
  <c r="H30" i="4"/>
  <c r="H58" i="4" s="1"/>
  <c r="F11" i="9"/>
  <c r="H11" i="9" s="1"/>
  <c r="E11" i="9"/>
  <c r="F26" i="9"/>
  <c r="H26" i="9" s="1"/>
  <c r="E26" i="9"/>
  <c r="F6" i="10"/>
  <c r="H6" i="10" s="1"/>
  <c r="H33" i="10" s="1"/>
  <c r="H62" i="10" s="1"/>
  <c r="E6" i="10"/>
  <c r="F30" i="12"/>
  <c r="H30" i="12" s="1"/>
  <c r="E30" i="12"/>
  <c r="H3" i="13"/>
  <c r="F23" i="13"/>
  <c r="H23" i="13" s="1"/>
  <c r="E23" i="13"/>
  <c r="E33" i="4"/>
  <c r="E35" i="4"/>
  <c r="E42" i="4"/>
  <c r="E28" i="5"/>
  <c r="E33" i="5"/>
  <c r="E35" i="5"/>
  <c r="E37" i="5"/>
  <c r="E47" i="5"/>
  <c r="E59" i="5"/>
  <c r="E61" i="5"/>
  <c r="E14" i="6"/>
  <c r="E23" i="6"/>
  <c r="E36" i="6"/>
  <c r="E50" i="6"/>
  <c r="F45" i="9"/>
  <c r="H45" i="9" s="1"/>
  <c r="E45" i="9"/>
  <c r="E55" i="11"/>
  <c r="E65" i="14"/>
  <c r="F45" i="7"/>
  <c r="H45" i="7" s="1"/>
  <c r="E45" i="7"/>
  <c r="H65" i="14"/>
  <c r="E46" i="8"/>
  <c r="F46" i="8"/>
  <c r="H46" i="8" s="1"/>
  <c r="F29" i="9"/>
  <c r="H29" i="9" s="1"/>
  <c r="H38" i="9" s="1"/>
  <c r="E29" i="9"/>
  <c r="E23" i="12"/>
  <c r="F23" i="12"/>
  <c r="H23" i="12" s="1"/>
  <c r="H61" i="12"/>
  <c r="H66" i="12" s="1"/>
  <c r="F66" i="14"/>
  <c r="H66" i="14" s="1"/>
  <c r="H72" i="14" s="1"/>
  <c r="E66" i="14"/>
  <c r="E7" i="4"/>
  <c r="E16" i="4"/>
  <c r="E45" i="4"/>
  <c r="E52" i="4"/>
  <c r="E54" i="4"/>
  <c r="E25" i="5"/>
  <c r="H41" i="5"/>
  <c r="H65" i="5" s="1"/>
  <c r="H67" i="5" s="1"/>
  <c r="E26" i="6"/>
  <c r="E31" i="6"/>
  <c r="E51" i="6"/>
  <c r="E56" i="6"/>
  <c r="E72" i="6"/>
  <c r="E27" i="7"/>
  <c r="E38" i="7"/>
  <c r="F35" i="8"/>
  <c r="H35" i="8" s="1"/>
  <c r="H57" i="8" s="1"/>
  <c r="E35" i="8"/>
  <c r="E56" i="8"/>
  <c r="E65" i="12"/>
  <c r="F65" i="12"/>
  <c r="H65" i="12" s="1"/>
  <c r="F68" i="13"/>
  <c r="H68" i="13" s="1"/>
  <c r="H70" i="13" s="1"/>
  <c r="E68" i="13"/>
  <c r="E23" i="14"/>
  <c r="E34" i="4"/>
  <c r="E24" i="5"/>
  <c r="E32" i="5"/>
  <c r="E34" i="5"/>
  <c r="E36" i="5"/>
  <c r="E46" i="5"/>
  <c r="E58" i="5"/>
  <c r="E60" i="5"/>
  <c r="F37" i="6"/>
  <c r="H37" i="6" s="1"/>
  <c r="F59" i="6"/>
  <c r="H59" i="6" s="1"/>
  <c r="H76" i="6" s="1"/>
  <c r="H78" i="6" s="1"/>
  <c r="E59" i="6"/>
  <c r="E70" i="6"/>
  <c r="E33" i="7"/>
  <c r="E51" i="7"/>
  <c r="F57" i="8"/>
  <c r="E41" i="8"/>
  <c r="F22" i="9"/>
  <c r="H22" i="9" s="1"/>
  <c r="E22" i="9"/>
  <c r="E33" i="9"/>
  <c r="E6" i="11"/>
  <c r="F59" i="10"/>
  <c r="H59" i="10" s="1"/>
  <c r="E59" i="10"/>
  <c r="F33" i="13"/>
  <c r="H33" i="13" s="1"/>
  <c r="E33" i="13"/>
  <c r="F38" i="6"/>
  <c r="E58" i="11"/>
  <c r="F58" i="11"/>
  <c r="H58" i="11" s="1"/>
  <c r="F22" i="15"/>
  <c r="H22" i="15" s="1"/>
  <c r="E22" i="15"/>
  <c r="F43" i="9"/>
  <c r="H43" i="9" s="1"/>
  <c r="E43" i="9"/>
  <c r="F25" i="12"/>
  <c r="H25" i="12" s="1"/>
  <c r="H31" i="12" s="1"/>
  <c r="E25" i="12"/>
  <c r="E30" i="14"/>
  <c r="F30" i="14"/>
  <c r="H30" i="14" s="1"/>
  <c r="H38" i="14" s="1"/>
  <c r="E31" i="8"/>
  <c r="F44" i="8"/>
  <c r="H44" i="8" s="1"/>
  <c r="E49" i="9"/>
  <c r="F52" i="9"/>
  <c r="H52" i="9" s="1"/>
  <c r="E52" i="9"/>
  <c r="E58" i="9"/>
  <c r="F24" i="10"/>
  <c r="H24" i="10" s="1"/>
  <c r="E24" i="10"/>
  <c r="E14" i="11"/>
  <c r="E35" i="13"/>
  <c r="E4" i="14"/>
  <c r="F26" i="16"/>
  <c r="H26" i="16" s="1"/>
  <c r="E26" i="16"/>
  <c r="E29" i="10"/>
  <c r="F31" i="10"/>
  <c r="H31" i="10" s="1"/>
  <c r="F63" i="12"/>
  <c r="H63" i="12" s="1"/>
  <c r="E27" i="14"/>
  <c r="E33" i="14"/>
  <c r="E68" i="14"/>
  <c r="E71" i="14"/>
  <c r="F41" i="9"/>
  <c r="H41" i="9" s="1"/>
  <c r="H61" i="9" s="1"/>
  <c r="E41" i="9"/>
  <c r="E25" i="11"/>
  <c r="F25" i="11"/>
  <c r="H25" i="11" s="1"/>
  <c r="E4" i="13"/>
  <c r="E30" i="13"/>
  <c r="F30" i="13"/>
  <c r="H30" i="13" s="1"/>
  <c r="E36" i="13"/>
  <c r="E25" i="14"/>
  <c r="E36" i="14"/>
  <c r="H4" i="16"/>
  <c r="H32" i="16" s="1"/>
  <c r="H68" i="16" s="1"/>
  <c r="F40" i="10"/>
  <c r="H40" i="10" s="1"/>
  <c r="F56" i="11"/>
  <c r="H56" i="11" s="1"/>
  <c r="E26" i="13"/>
  <c r="E34" i="14"/>
  <c r="E64" i="14"/>
  <c r="E67" i="14"/>
  <c r="F24" i="15"/>
  <c r="H24" i="15" s="1"/>
  <c r="F30" i="16"/>
  <c r="H30" i="16" s="1"/>
  <c r="E30" i="16"/>
  <c r="E32" i="10"/>
  <c r="F22" i="13"/>
  <c r="H22" i="13" s="1"/>
  <c r="E69" i="13"/>
  <c r="F69" i="13"/>
  <c r="H69" i="13" s="1"/>
  <c r="E70" i="14"/>
  <c r="E25" i="16"/>
  <c r="F25" i="16"/>
  <c r="H25" i="16" s="1"/>
  <c r="F22" i="16"/>
  <c r="H22" i="16" s="1"/>
  <c r="E22" i="16"/>
  <c r="H66" i="16"/>
  <c r="F66" i="16"/>
  <c r="H74" i="14" l="1"/>
  <c r="H63" i="9"/>
  <c r="F72" i="14"/>
  <c r="F74" i="14" s="1"/>
  <c r="F70" i="13"/>
  <c r="F72" i="13" s="1"/>
  <c r="F33" i="10"/>
  <c r="F62" i="10" s="1"/>
  <c r="H68" i="12"/>
  <c r="F31" i="12"/>
  <c r="F68" i="12" s="1"/>
  <c r="F38" i="13"/>
  <c r="F58" i="4"/>
  <c r="F38" i="9"/>
  <c r="F59" i="8"/>
  <c r="H59" i="8"/>
  <c r="F66" i="12"/>
  <c r="F32" i="16"/>
  <c r="F68" i="16" s="1"/>
  <c r="H38" i="13"/>
  <c r="H72" i="13" s="1"/>
  <c r="F61" i="9"/>
  <c r="F63" i="9" s="1"/>
  <c r="F38" i="14"/>
</calcChain>
</file>

<file path=xl/sharedStrings.xml><?xml version="1.0" encoding="utf-8"?>
<sst xmlns="http://schemas.openxmlformats.org/spreadsheetml/2006/main" count="2660" uniqueCount="109">
  <si>
    <t>Дата</t>
  </si>
  <si>
    <t>Наименование Н/П (марка по ГОСТ)</t>
  </si>
  <si>
    <t>ГОС.НОМЕР</t>
  </si>
  <si>
    <t>Номер ТТН</t>
  </si>
  <si>
    <t>Дата выдачи ТТН</t>
  </si>
  <si>
    <t>Количество литров</t>
  </si>
  <si>
    <t>Масса, кг          ТТН</t>
  </si>
  <si>
    <t>Плотность, ТТН</t>
  </si>
  <si>
    <t>Температура, ТТН</t>
  </si>
  <si>
    <t>Плотность, факт(акт долива)</t>
  </si>
  <si>
    <t>Температура, факт</t>
  </si>
  <si>
    <t>Масса факт(акт долива) кг</t>
  </si>
  <si>
    <t>ПТФ</t>
  </si>
  <si>
    <t>Долито в АЦ</t>
  </si>
  <si>
    <t>РГС</t>
  </si>
  <si>
    <t>ИТОГО с начала месяца</t>
  </si>
  <si>
    <t>Долив в литрах</t>
  </si>
  <si>
    <t>Долив в килограммах</t>
  </si>
  <si>
    <t>ТДТО</t>
  </si>
  <si>
    <t>тсо</t>
  </si>
  <si>
    <t>ТСО</t>
  </si>
  <si>
    <t>ГАЗОИЛЬ</t>
  </si>
  <si>
    <t>Результат пробы ПТФ</t>
  </si>
  <si>
    <t>ТНЗ</t>
  </si>
  <si>
    <t xml:space="preserve">ТДТО </t>
  </si>
  <si>
    <t>ДАТА время</t>
  </si>
  <si>
    <t>РЕЗЕРВУАР</t>
  </si>
  <si>
    <t>ПОКАЗАНИЯ СЧЕТЧИКА НА НАЧАЛО РАБОТЫ</t>
  </si>
  <si>
    <t>ПОКАЗАНИЯ СЧЕТЧИКА НА КОНЕЦ РАБОТЫ</t>
  </si>
  <si>
    <t>ОБЪЕМ ОТПУЩЕННОГО ТОПЛИВА</t>
  </si>
  <si>
    <t>ПЛОТНОСТЬ</t>
  </si>
  <si>
    <t>МАССА ОТПУЩЕННОГО ТОПЛИВА</t>
  </si>
  <si>
    <t>ГОС. НОМЕР АТЗ</t>
  </si>
  <si>
    <t>время</t>
  </si>
  <si>
    <t>ргс</t>
  </si>
  <si>
    <t>ГОС. НОМЕР АЦ</t>
  </si>
  <si>
    <t>1трк</t>
  </si>
  <si>
    <t>2трк</t>
  </si>
  <si>
    <t>4</t>
  </si>
  <si>
    <t>1</t>
  </si>
  <si>
    <t>е215вн</t>
  </si>
  <si>
    <t xml:space="preserve"> </t>
  </si>
  <si>
    <t>м948сн</t>
  </si>
  <si>
    <t>с554рк</t>
  </si>
  <si>
    <t>7</t>
  </si>
  <si>
    <t>с404хр</t>
  </si>
  <si>
    <t>5</t>
  </si>
  <si>
    <t>с472тм</t>
  </si>
  <si>
    <t>2</t>
  </si>
  <si>
    <t>3трк</t>
  </si>
  <si>
    <t>12</t>
  </si>
  <si>
    <t>к542се</t>
  </si>
  <si>
    <t>11</t>
  </si>
  <si>
    <t>м077ен</t>
  </si>
  <si>
    <t>3</t>
  </si>
  <si>
    <t>17</t>
  </si>
  <si>
    <t>Л-Тюмень</t>
  </si>
  <si>
    <t>10</t>
  </si>
  <si>
    <t>Л -ВПК С+</t>
  </si>
  <si>
    <t>13</t>
  </si>
  <si>
    <t>Л-ВПК РТ</t>
  </si>
  <si>
    <t>15</t>
  </si>
  <si>
    <t>8</t>
  </si>
  <si>
    <t>м017ен</t>
  </si>
  <si>
    <t>м109ее</t>
  </si>
  <si>
    <t>м126ее</t>
  </si>
  <si>
    <t>6</t>
  </si>
  <si>
    <t>м355су</t>
  </si>
  <si>
    <t>м326су</t>
  </si>
  <si>
    <t>н913вв</t>
  </si>
  <si>
    <t>Тюмень</t>
  </si>
  <si>
    <t>ЯНПЗ</t>
  </si>
  <si>
    <t>14</t>
  </si>
  <si>
    <t>н248рв</t>
  </si>
  <si>
    <t>к028ет</t>
  </si>
  <si>
    <t>е237тх</t>
  </si>
  <si>
    <t>м787но</t>
  </si>
  <si>
    <t>н251рв</t>
  </si>
  <si>
    <t>в917вр</t>
  </si>
  <si>
    <t>ДТ-Л-К5</t>
  </si>
  <si>
    <t>н467мр</t>
  </si>
  <si>
    <t>Ургун</t>
  </si>
  <si>
    <r>
      <rPr>
        <b/>
        <sz val="11"/>
        <color rgb="FFFF0000"/>
        <rFont val="Calibri"/>
        <family val="2"/>
        <charset val="204"/>
      </rPr>
      <t xml:space="preserve">ЯЯ </t>
    </r>
    <r>
      <rPr>
        <b/>
        <sz val="11"/>
        <rFont val="Calibri"/>
        <family val="2"/>
        <charset val="204"/>
      </rPr>
      <t>Ургун</t>
    </r>
  </si>
  <si>
    <t>ЯЯ</t>
  </si>
  <si>
    <t>С+</t>
  </si>
  <si>
    <t>м119вх</t>
  </si>
  <si>
    <t>н382ке</t>
  </si>
  <si>
    <t>к081рр</t>
  </si>
  <si>
    <t>к057рр</t>
  </si>
  <si>
    <t>9</t>
  </si>
  <si>
    <t>16</t>
  </si>
  <si>
    <t>Л-ВПК С+</t>
  </si>
  <si>
    <t>4трк</t>
  </si>
  <si>
    <t>с554хр</t>
  </si>
  <si>
    <t>с471тм</t>
  </si>
  <si>
    <t>Тюмень РТ</t>
  </si>
  <si>
    <t>Л-ВПК РТ / Сибургео</t>
  </si>
  <si>
    <t>к097ун</t>
  </si>
  <si>
    <t>с805нх</t>
  </si>
  <si>
    <t xml:space="preserve">ЯЯ </t>
  </si>
  <si>
    <t>УРГУН</t>
  </si>
  <si>
    <t>м147ва</t>
  </si>
  <si>
    <t>н388ке</t>
  </si>
  <si>
    <t>с472мт</t>
  </si>
  <si>
    <r>
      <rPr>
        <b/>
        <sz val="11"/>
        <color rgb="FFFF0000"/>
        <rFont val="Calibri"/>
        <family val="2"/>
        <charset val="204"/>
      </rPr>
      <t xml:space="preserve">ЯЯ     </t>
    </r>
    <r>
      <rPr>
        <b/>
        <sz val="11"/>
        <color rgb="FF000000"/>
        <rFont val="Calibri"/>
        <family val="2"/>
        <charset val="204"/>
      </rPr>
      <t>УРГУН</t>
    </r>
  </si>
  <si>
    <t>к616се</t>
  </si>
  <si>
    <t>Себургео</t>
  </si>
  <si>
    <t>ургун</t>
  </si>
  <si>
    <t>Л ВПК С+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</si>
</sst>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/d/yyyy\ h:mm"/>
    <numFmt numFmtId="166" formatCode="m/d/yyyy"/>
    <numFmt numFmtId="167" formatCode="0.0000"/>
    <numFmt numFmtId="168" formatCode="h:mm"/>
  </numFmts>
  <fonts count="20" x14ac:knownFonts="1"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i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i/>
      <sz val="11"/>
      <color rgb="FF0070C0"/>
      <name val="Calibri"/>
      <family val="2"/>
      <charset val="204"/>
    </font>
    <font>
      <b/>
      <sz val="11"/>
      <color rgb="FF9966FF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00B050"/>
      <name val="Calibri"/>
      <family val="2"/>
      <charset val="204"/>
    </font>
    <font>
      <b/>
      <sz val="11"/>
      <color rgb="FF0070C0"/>
      <name val="Calibri"/>
      <family val="2"/>
      <charset val="204"/>
    </font>
    <font>
      <b/>
      <i/>
      <sz val="11"/>
      <color rgb="FF0070C0"/>
      <name val="Calibri"/>
      <family val="2"/>
      <charset val="204"/>
    </font>
    <font>
      <b/>
      <sz val="11"/>
      <color rgb="FF7030A0"/>
      <name val="Calibri"/>
      <family val="2"/>
      <charset val="204"/>
    </font>
    <font>
      <b/>
      <sz val="11"/>
      <color rgb="FF558ED5"/>
      <name val="Calibri"/>
      <family val="2"/>
      <charset val="204"/>
    </font>
    <font>
      <b/>
      <sz val="11"/>
      <color rgb="FF00B0F0"/>
      <name val="Calibri"/>
      <family val="2"/>
      <charset val="204"/>
    </font>
    <font>
      <b/>
      <sz val="11"/>
      <color rgb="FFFF00FF"/>
      <name val="Calibri"/>
      <family val="2"/>
      <charset val="204"/>
    </font>
    <font>
      <sz val="11"/>
      <color rgb="FF1F497D"/>
      <name val="Calibri"/>
      <family val="2"/>
      <charset val="204"/>
    </font>
    <font>
      <sz val="11"/>
      <color rgb="FF9966FF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EEECE1"/>
        <bgColor rgb="FFEBF1DE"/>
      </patternFill>
    </fill>
    <fill>
      <patternFill patternType="solid">
        <fgColor rgb="FFCCC1DA"/>
        <bgColor rgb="FFBFBFBF"/>
      </patternFill>
    </fill>
    <fill>
      <patternFill patternType="solid">
        <fgColor rgb="FFE6E0EC"/>
        <bgColor rgb="FFF2DCDB"/>
      </patternFill>
    </fill>
    <fill>
      <patternFill patternType="solid">
        <fgColor rgb="FFFFFFFF"/>
        <bgColor rgb="FFEBF1DE"/>
      </patternFill>
    </fill>
    <fill>
      <patternFill patternType="solid">
        <fgColor rgb="FFFF0000"/>
        <bgColor rgb="FF993300"/>
      </patternFill>
    </fill>
    <fill>
      <patternFill patternType="solid">
        <fgColor rgb="FFEBF1DE"/>
        <bgColor rgb="FFEEECE1"/>
      </patternFill>
    </fill>
    <fill>
      <patternFill patternType="solid">
        <fgColor rgb="FFD9D9D9"/>
        <bgColor rgb="FFE6E0E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CCC1DA"/>
      </patternFill>
    </fill>
    <fill>
      <patternFill patternType="solid">
        <fgColor rgb="FFB9CDE5"/>
        <bgColor rgb="FFCCC1DA"/>
      </patternFill>
    </fill>
    <fill>
      <patternFill patternType="solid">
        <fgColor rgb="FF9966FF"/>
        <bgColor rgb="FFCC99FF"/>
      </patternFill>
    </fill>
    <fill>
      <patternFill patternType="solid">
        <fgColor rgb="FF66FFFF"/>
        <bgColor rgb="FF66FFCC"/>
      </patternFill>
    </fill>
    <fill>
      <patternFill patternType="solid">
        <fgColor rgb="FF66FF66"/>
        <bgColor rgb="FF66FFCC"/>
      </patternFill>
    </fill>
    <fill>
      <patternFill patternType="solid">
        <fgColor rgb="FFFF00FF"/>
        <bgColor rgb="FFFF00FF"/>
      </patternFill>
    </fill>
    <fill>
      <patternFill patternType="solid">
        <fgColor rgb="FFFFCCFF"/>
        <bgColor rgb="FFF2DCDB"/>
      </patternFill>
    </fill>
    <fill>
      <patternFill patternType="solid">
        <fgColor rgb="FF00FF00"/>
        <bgColor rgb="FF66FF66"/>
      </patternFill>
    </fill>
    <fill>
      <patternFill patternType="solid">
        <fgColor rgb="FFCCFFFF"/>
        <bgColor rgb="FFEBF1DE"/>
      </patternFill>
    </fill>
    <fill>
      <patternFill patternType="solid">
        <fgColor rgb="FFCC99FF"/>
        <bgColor rgb="FFCCC1DA"/>
      </patternFill>
    </fill>
    <fill>
      <patternFill patternType="solid">
        <fgColor rgb="FFF2DCDB"/>
        <bgColor rgb="FFE6E0EC"/>
      </patternFill>
    </fill>
    <fill>
      <patternFill patternType="solid">
        <fgColor rgb="FFCCFF66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66FFCC"/>
        <bgColor rgb="FF66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2" fontId="1" fillId="4" borderId="2" xfId="0" applyNumberFormat="1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165" fontId="0" fillId="5" borderId="3" xfId="0" applyNumberForma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6" fontId="0" fillId="5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0" fontId="0" fillId="6" borderId="3" xfId="0" applyFill="1" applyBorder="1"/>
    <xf numFmtId="1" fontId="0" fillId="7" borderId="3" xfId="0" applyNumberFormat="1" applyFill="1" applyBorder="1"/>
    <xf numFmtId="0" fontId="0" fillId="0" borderId="3" xfId="0" applyBorder="1"/>
    <xf numFmtId="0" fontId="0" fillId="0" borderId="0" xfId="0" applyBorder="1"/>
    <xf numFmtId="0" fontId="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7" borderId="1" xfId="0" applyNumberFormat="1" applyFill="1" applyBorder="1"/>
    <xf numFmtId="2" fontId="0" fillId="5" borderId="3" xfId="0" applyNumberFormat="1" applyFill="1" applyBorder="1" applyAlignment="1">
      <alignment horizontal="center"/>
    </xf>
    <xf numFmtId="1" fontId="0" fillId="0" borderId="0" xfId="0" applyNumberFormat="1" applyBorder="1"/>
    <xf numFmtId="165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6" borderId="1" xfId="0" applyFill="1" applyBorder="1"/>
    <xf numFmtId="166" fontId="0" fillId="5" borderId="1" xfId="0" applyNumberFormat="1" applyFill="1" applyBorder="1" applyAlignment="1">
      <alignment horizontal="center"/>
    </xf>
    <xf numFmtId="0" fontId="0" fillId="8" borderId="1" xfId="0" applyFill="1" applyBorder="1"/>
    <xf numFmtId="1" fontId="0" fillId="8" borderId="1" xfId="0" applyNumberFormat="1" applyFill="1" applyBorder="1"/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/>
    <xf numFmtId="2" fontId="0" fillId="5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4" xfId="0" applyBorder="1"/>
    <xf numFmtId="0" fontId="2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5" xfId="0" applyBorder="1"/>
    <xf numFmtId="167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5" borderId="1" xfId="0" applyNumberFormat="1" applyFont="1" applyFill="1" applyBorder="1" applyAlignment="1">
      <alignment horizontal="center"/>
    </xf>
    <xf numFmtId="0" fontId="0" fillId="0" borderId="6" xfId="0" applyBorder="1"/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4" borderId="1" xfId="0" applyFill="1" applyBorder="1"/>
    <xf numFmtId="166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distributed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top"/>
    </xf>
    <xf numFmtId="49" fontId="0" fillId="5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1" fontId="0" fillId="0" borderId="2" xfId="0" applyNumberFormat="1" applyFont="1" applyBorder="1" applyAlignment="1">
      <alignment horizontal="center" vertical="center" wrapText="1"/>
    </xf>
    <xf numFmtId="166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8" fontId="0" fillId="0" borderId="0" xfId="0" applyNumberFormat="1" applyBorder="1" applyAlignment="1">
      <alignment horizontal="left" vertical="top"/>
    </xf>
    <xf numFmtId="166" fontId="0" fillId="10" borderId="1" xfId="0" applyNumberFormat="1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distributed" vertical="center"/>
    </xf>
    <xf numFmtId="0" fontId="0" fillId="11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168" fontId="5" fillId="0" borderId="0" xfId="0" applyNumberFormat="1" applyFont="1" applyBorder="1" applyAlignment="1">
      <alignment horizontal="left" vertical="top"/>
    </xf>
    <xf numFmtId="168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distributed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distributed" vertical="center"/>
    </xf>
    <xf numFmtId="0" fontId="0" fillId="0" borderId="3" xfId="0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center" vertical="center" wrapText="1"/>
    </xf>
    <xf numFmtId="168" fontId="8" fillId="0" borderId="0" xfId="0" applyNumberFormat="1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49" fontId="0" fillId="0" borderId="0" xfId="0" applyNumberFormat="1" applyBorder="1" applyAlignment="1">
      <alignment horizontal="distributed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168" fontId="9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168" fontId="11" fillId="0" borderId="0" xfId="0" applyNumberFormat="1" applyFont="1" applyBorder="1" applyAlignment="1">
      <alignment horizontal="left" vertical="top"/>
    </xf>
    <xf numFmtId="49" fontId="0" fillId="12" borderId="1" xfId="0" applyNumberFormat="1" applyFont="1" applyFill="1" applyBorder="1" applyAlignment="1">
      <alignment horizontal="distributed" vertical="center"/>
    </xf>
    <xf numFmtId="0" fontId="12" fillId="9" borderId="1" xfId="0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/>
    </xf>
    <xf numFmtId="49" fontId="0" fillId="13" borderId="1" xfId="0" applyNumberFormat="1" applyFont="1" applyFill="1" applyBorder="1" applyAlignment="1">
      <alignment horizontal="distributed" vertical="center"/>
    </xf>
    <xf numFmtId="1" fontId="0" fillId="13" borderId="1" xfId="0" applyNumberForma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distributed" vertical="center"/>
    </xf>
    <xf numFmtId="1" fontId="0" fillId="14" borderId="1" xfId="0" applyNumberForma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1" fontId="0" fillId="9" borderId="2" xfId="0" applyNumberForma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1" fontId="0" fillId="9" borderId="8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/>
    </xf>
    <xf numFmtId="49" fontId="0" fillId="15" borderId="1" xfId="0" applyNumberFormat="1" applyFont="1" applyFill="1" applyBorder="1" applyAlignment="1">
      <alignment horizontal="distributed" vertical="center"/>
    </xf>
    <xf numFmtId="1" fontId="0" fillId="15" borderId="1" xfId="0" applyNumberForma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top"/>
    </xf>
    <xf numFmtId="0" fontId="9" fillId="9" borderId="1" xfId="0" applyFont="1" applyFill="1" applyBorder="1" applyAlignment="1">
      <alignment horizontal="center" vertical="center" wrapText="1"/>
    </xf>
    <xf numFmtId="168" fontId="13" fillId="0" borderId="0" xfId="0" applyNumberFormat="1" applyFont="1" applyBorder="1" applyAlignment="1">
      <alignment horizontal="left" vertical="top"/>
    </xf>
    <xf numFmtId="49" fontId="0" fillId="16" borderId="1" xfId="0" applyNumberFormat="1" applyFont="1" applyFill="1" applyBorder="1" applyAlignment="1">
      <alignment horizontal="distributed" vertical="center"/>
    </xf>
    <xf numFmtId="1" fontId="0" fillId="16" borderId="1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166" fontId="3" fillId="10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66" fontId="0" fillId="10" borderId="2" xfId="0" applyNumberFormat="1" applyFill="1" applyBorder="1" applyAlignment="1">
      <alignment horizontal="center" vertical="center"/>
    </xf>
    <xf numFmtId="166" fontId="0" fillId="9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49" fontId="0" fillId="17" borderId="1" xfId="0" applyNumberFormat="1" applyFont="1" applyFill="1" applyBorder="1" applyAlignment="1">
      <alignment horizontal="distributed" vertical="center"/>
    </xf>
    <xf numFmtId="0" fontId="0" fillId="17" borderId="1" xfId="0" applyFill="1" applyBorder="1" applyAlignment="1">
      <alignment horizontal="center"/>
    </xf>
    <xf numFmtId="168" fontId="0" fillId="0" borderId="10" xfId="0" applyNumberFormat="1" applyBorder="1" applyAlignment="1">
      <alignment horizontal="center" vertical="center"/>
    </xf>
    <xf numFmtId="49" fontId="0" fillId="0" borderId="11" xfId="0" applyNumberFormat="1" applyFont="1" applyBorder="1" applyAlignment="1">
      <alignment horizontal="distributed" vertical="center"/>
    </xf>
    <xf numFmtId="0" fontId="0" fillId="9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" fontId="0" fillId="9" borderId="11" xfId="0" applyNumberFormat="1" applyFill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15" fillId="9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10" fillId="9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 wrapText="1"/>
    </xf>
    <xf numFmtId="16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 wrapText="1"/>
    </xf>
    <xf numFmtId="1" fontId="3" fillId="9" borderId="8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49" fontId="0" fillId="18" borderId="1" xfId="0" applyNumberFormat="1" applyFont="1" applyFill="1" applyBorder="1" applyAlignment="1">
      <alignment horizontal="distributed" vertical="center"/>
    </xf>
    <xf numFmtId="0" fontId="0" fillId="18" borderId="1" xfId="0" applyFill="1" applyBorder="1" applyAlignment="1">
      <alignment horizontal="center"/>
    </xf>
    <xf numFmtId="49" fontId="0" fillId="19" borderId="1" xfId="0" applyNumberFormat="1" applyFont="1" applyFill="1" applyBorder="1" applyAlignment="1">
      <alignment horizontal="distributed" vertic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49" fontId="0" fillId="21" borderId="1" xfId="0" applyNumberFormat="1" applyFont="1" applyFill="1" applyBorder="1" applyAlignment="1">
      <alignment horizontal="distributed" vertical="center"/>
    </xf>
    <xf numFmtId="0" fontId="0" fillId="21" borderId="1" xfId="0" applyFill="1" applyBorder="1" applyAlignment="1">
      <alignment horizontal="center"/>
    </xf>
    <xf numFmtId="49" fontId="0" fillId="22" borderId="1" xfId="0" applyNumberFormat="1" applyFont="1" applyFill="1" applyBorder="1" applyAlignment="1">
      <alignment horizontal="distributed" vertical="center"/>
    </xf>
    <xf numFmtId="0" fontId="0" fillId="22" borderId="1" xfId="0" applyFill="1" applyBorder="1" applyAlignment="1">
      <alignment horizontal="center"/>
    </xf>
    <xf numFmtId="49" fontId="0" fillId="23" borderId="1" xfId="0" applyNumberFormat="1" applyFont="1" applyFill="1" applyBorder="1" applyAlignment="1">
      <alignment horizontal="distributed" vertical="center"/>
    </xf>
    <xf numFmtId="0" fontId="0" fillId="23" borderId="1" xfId="0" applyFill="1" applyBorder="1" applyAlignment="1">
      <alignment horizontal="center"/>
    </xf>
    <xf numFmtId="0" fontId="3" fillId="9" borderId="13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8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1" fontId="0" fillId="17" borderId="1" xfId="0" applyNumberFormat="1" applyFill="1" applyBorder="1" applyAlignment="1">
      <alignment horizontal="center" vertical="center"/>
    </xf>
    <xf numFmtId="1" fontId="0" fillId="13" borderId="2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22" borderId="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top"/>
    </xf>
    <xf numFmtId="0" fontId="17" fillId="9" borderId="1" xfId="0" applyFont="1" applyFill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left" vertical="top"/>
    </xf>
    <xf numFmtId="0" fontId="18" fillId="9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/>
    </xf>
    <xf numFmtId="1" fontId="0" fillId="21" borderId="1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 wrapText="1"/>
    </xf>
    <xf numFmtId="0" fontId="0" fillId="9" borderId="11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/>
    </xf>
    <xf numFmtId="0" fontId="19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66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66FF"/>
      <rgbColor rgb="FF7030A0"/>
      <rgbColor rgb="FFEBF1DE"/>
      <rgbColor rgb="FFCCFFFF"/>
      <rgbColor rgb="FF660066"/>
      <rgbColor rgb="FFFFCCFF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6E0EC"/>
      <rgbColor rgb="FFEEECE1"/>
      <rgbColor rgb="FFCCFF66"/>
      <rgbColor rgb="FF8EB4E3"/>
      <rgbColor rgb="FFCCC1DA"/>
      <rgbColor rgb="FFCC99FF"/>
      <rgbColor rgb="FFF2DCDB"/>
      <rgbColor rgb="FF3366FF"/>
      <rgbColor rgb="FF66FFCC"/>
      <rgbColor rgb="FF66FF66"/>
      <rgbColor rgb="FFFFC000"/>
      <rgbColor rgb="FFFF9900"/>
      <rgbColor rgb="FFFF6600"/>
      <rgbColor rgb="FF558ED5"/>
      <rgbColor rgb="FFD9D9D9"/>
      <rgbColor rgb="FF003366"/>
      <rgbColor rgb="FF00B050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B4E3"/>
  </sheetPr>
  <dimension ref="A1:HY710"/>
  <sheetViews>
    <sheetView zoomScale="65" zoomScaleNormal="65" workbookViewId="0">
      <pane ySplit="2" topLeftCell="A3" activePane="bottomLeft" state="frozen"/>
      <selection pane="bottomLeft" activeCell="G16" sqref="G16"/>
    </sheetView>
  </sheetViews>
  <sheetFormatPr baseColWidth="10" defaultColWidth="8.83203125" defaultRowHeight="15" x14ac:dyDescent="0.2"/>
  <cols>
    <col min="1" max="1" width="15.33203125" style="1" customWidth="1"/>
    <col min="2" max="2" width="13.5" style="1" customWidth="1"/>
    <col min="3" max="3" width="18.83203125" style="1" customWidth="1"/>
    <col min="4" max="4" width="9.83203125" style="1" customWidth="1"/>
    <col min="5" max="5" width="15.33203125" style="1" customWidth="1"/>
    <col min="6" max="6" width="14.5" style="1" customWidth="1"/>
    <col min="7" max="7" width="14" style="2" customWidth="1"/>
    <col min="8" max="8" width="13.5" style="1" customWidth="1"/>
    <col min="9" max="9" width="10.5" style="3" customWidth="1"/>
    <col min="10" max="10" width="13.83203125" style="1" customWidth="1"/>
    <col min="11" max="11" width="12.1640625" style="1" customWidth="1"/>
    <col min="12" max="12" width="13.33203125" style="1" customWidth="1"/>
    <col min="13" max="13" width="11" style="1" customWidth="1"/>
    <col min="14" max="14" width="10.5" style="4" customWidth="1"/>
    <col min="15" max="15" width="10.6640625" style="5" customWidth="1"/>
    <col min="16" max="16" width="8.83203125" style="6"/>
  </cols>
  <sheetData>
    <row r="1" spans="1:233" ht="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208" t="s">
        <v>13</v>
      </c>
      <c r="O1" s="208"/>
      <c r="P1" s="10" t="s">
        <v>14</v>
      </c>
    </row>
    <row r="2" spans="1:233" ht="74.25" customHeight="1" x14ac:dyDescent="0.25">
      <c r="A2" s="11" t="s">
        <v>15</v>
      </c>
      <c r="B2" s="11"/>
      <c r="C2" s="11"/>
      <c r="D2" s="11"/>
      <c r="E2" s="11"/>
      <c r="F2" s="11">
        <f>SUM(F3:F485)</f>
        <v>0</v>
      </c>
      <c r="G2" s="11">
        <f>SUM(G3:G485)</f>
        <v>0</v>
      </c>
      <c r="H2" s="11"/>
      <c r="I2" s="12"/>
      <c r="J2" s="11"/>
      <c r="K2" s="11"/>
      <c r="L2" s="11">
        <f>SUM(L3:L485)</f>
        <v>0</v>
      </c>
      <c r="M2" s="13"/>
      <c r="N2" s="14" t="s">
        <v>16</v>
      </c>
      <c r="O2" s="14" t="s">
        <v>17</v>
      </c>
      <c r="P2" s="15"/>
    </row>
    <row r="3" spans="1:233" s="6" customFormat="1" x14ac:dyDescent="0.2">
      <c r="A3" s="16"/>
      <c r="B3" s="17" t="s">
        <v>18</v>
      </c>
      <c r="C3" s="18"/>
      <c r="D3" s="18"/>
      <c r="E3" s="19"/>
      <c r="F3" s="18"/>
      <c r="G3" s="20"/>
      <c r="H3" s="18"/>
      <c r="I3" s="21"/>
      <c r="J3" s="18"/>
      <c r="K3" s="18"/>
      <c r="L3" s="22"/>
      <c r="M3" s="18">
        <v>-35</v>
      </c>
      <c r="N3" s="23">
        <v>0</v>
      </c>
      <c r="O3" s="24">
        <f t="shared" ref="O3:O66" si="0">N3*J3</f>
        <v>0</v>
      </c>
      <c r="P3" s="25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</row>
    <row r="4" spans="1:233" s="6" customFormat="1" x14ac:dyDescent="0.2">
      <c r="A4" s="16"/>
      <c r="B4" s="27" t="s">
        <v>18</v>
      </c>
      <c r="C4" s="18"/>
      <c r="D4" s="18"/>
      <c r="E4" s="19"/>
      <c r="F4" s="18"/>
      <c r="G4" s="20"/>
      <c r="H4" s="18"/>
      <c r="I4" s="21"/>
      <c r="J4" s="18"/>
      <c r="K4" s="18"/>
      <c r="L4" s="22"/>
      <c r="M4" s="28">
        <v>-35</v>
      </c>
      <c r="N4" s="23">
        <v>0</v>
      </c>
      <c r="O4" s="29">
        <f t="shared" si="0"/>
        <v>0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</row>
    <row r="5" spans="1:233" s="6" customFormat="1" x14ac:dyDescent="0.2">
      <c r="A5" s="16"/>
      <c r="B5" s="27" t="s">
        <v>18</v>
      </c>
      <c r="C5" s="18"/>
      <c r="D5" s="18"/>
      <c r="E5" s="19"/>
      <c r="F5" s="18"/>
      <c r="G5" s="20"/>
      <c r="H5" s="18"/>
      <c r="I5" s="21"/>
      <c r="J5" s="18"/>
      <c r="K5" s="18"/>
      <c r="L5" s="22"/>
      <c r="M5" s="28">
        <v>-35</v>
      </c>
      <c r="N5" s="23">
        <v>0</v>
      </c>
      <c r="O5" s="29">
        <f t="shared" si="0"/>
        <v>0</v>
      </c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</row>
    <row r="6" spans="1:233" s="6" customFormat="1" x14ac:dyDescent="0.2">
      <c r="A6" s="16"/>
      <c r="B6" s="27" t="s">
        <v>18</v>
      </c>
      <c r="C6" s="18"/>
      <c r="D6" s="18"/>
      <c r="E6" s="19"/>
      <c r="F6" s="18"/>
      <c r="G6" s="20"/>
      <c r="H6" s="18"/>
      <c r="I6" s="21"/>
      <c r="J6" s="18"/>
      <c r="K6" s="18"/>
      <c r="L6" s="22"/>
      <c r="M6" s="28">
        <v>-35</v>
      </c>
      <c r="N6" s="23">
        <v>0</v>
      </c>
      <c r="O6" s="29">
        <f t="shared" si="0"/>
        <v>0</v>
      </c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</row>
    <row r="7" spans="1:233" s="6" customFormat="1" x14ac:dyDescent="0.2">
      <c r="A7" s="16"/>
      <c r="B7" s="27" t="s">
        <v>18</v>
      </c>
      <c r="C7" s="18"/>
      <c r="D7" s="18"/>
      <c r="E7" s="19"/>
      <c r="F7" s="18"/>
      <c r="G7" s="20"/>
      <c r="H7" s="18"/>
      <c r="I7" s="21"/>
      <c r="J7" s="18"/>
      <c r="K7" s="18"/>
      <c r="L7" s="22"/>
      <c r="M7" s="28">
        <v>-35</v>
      </c>
      <c r="N7" s="23">
        <v>0</v>
      </c>
      <c r="O7" s="29">
        <f t="shared" si="0"/>
        <v>0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</row>
    <row r="8" spans="1:233" s="6" customFormat="1" x14ac:dyDescent="0.2">
      <c r="A8" s="16"/>
      <c r="B8" s="27" t="s">
        <v>18</v>
      </c>
      <c r="C8" s="18"/>
      <c r="D8" s="18"/>
      <c r="E8" s="19"/>
      <c r="F8" s="18"/>
      <c r="G8" s="20"/>
      <c r="H8" s="18"/>
      <c r="I8" s="21"/>
      <c r="J8" s="18"/>
      <c r="K8" s="18"/>
      <c r="L8" s="22"/>
      <c r="M8" s="28">
        <v>-35</v>
      </c>
      <c r="N8" s="23">
        <v>0</v>
      </c>
      <c r="O8" s="29">
        <f t="shared" si="0"/>
        <v>0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</row>
    <row r="9" spans="1:233" s="6" customFormat="1" x14ac:dyDescent="0.2">
      <c r="A9" s="16"/>
      <c r="B9" s="27" t="s">
        <v>18</v>
      </c>
      <c r="C9" s="18"/>
      <c r="D9" s="18"/>
      <c r="E9" s="19"/>
      <c r="F9" s="18"/>
      <c r="G9" s="20"/>
      <c r="H9" s="18"/>
      <c r="I9" s="30"/>
      <c r="J9" s="18"/>
      <c r="K9" s="18"/>
      <c r="L9" s="22"/>
      <c r="M9" s="28">
        <v>-35</v>
      </c>
      <c r="N9" s="23">
        <v>0</v>
      </c>
      <c r="O9" s="29">
        <f t="shared" si="0"/>
        <v>0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</row>
    <row r="10" spans="1:233" s="6" customFormat="1" x14ac:dyDescent="0.2">
      <c r="A10" s="16"/>
      <c r="B10" s="27" t="s">
        <v>18</v>
      </c>
      <c r="C10" s="18"/>
      <c r="D10" s="18"/>
      <c r="E10" s="19"/>
      <c r="F10" s="18"/>
      <c r="G10" s="20"/>
      <c r="H10" s="18"/>
      <c r="I10" s="30"/>
      <c r="J10" s="18"/>
      <c r="K10" s="18"/>
      <c r="L10" s="22"/>
      <c r="M10" s="28">
        <v>-35</v>
      </c>
      <c r="N10" s="23">
        <v>0</v>
      </c>
      <c r="O10" s="29">
        <f t="shared" si="0"/>
        <v>0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</row>
    <row r="11" spans="1:233" s="6" customFormat="1" x14ac:dyDescent="0.2">
      <c r="A11" s="16"/>
      <c r="B11" s="27" t="s">
        <v>18</v>
      </c>
      <c r="C11" s="18"/>
      <c r="D11" s="18"/>
      <c r="E11" s="19"/>
      <c r="F11" s="18"/>
      <c r="G11" s="20"/>
      <c r="H11" s="18"/>
      <c r="I11" s="30"/>
      <c r="J11" s="18"/>
      <c r="K11" s="18"/>
      <c r="L11" s="22"/>
      <c r="M11" s="28">
        <v>-35</v>
      </c>
      <c r="N11" s="23">
        <v>0</v>
      </c>
      <c r="O11" s="29">
        <f t="shared" si="0"/>
        <v>0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</row>
    <row r="12" spans="1:233" s="6" customFormat="1" x14ac:dyDescent="0.2">
      <c r="A12" s="16"/>
      <c r="B12" s="27" t="s">
        <v>18</v>
      </c>
      <c r="C12" s="18"/>
      <c r="D12" s="18"/>
      <c r="E12" s="19"/>
      <c r="F12" s="18"/>
      <c r="G12" s="20"/>
      <c r="H12" s="18"/>
      <c r="I12" s="30"/>
      <c r="J12" s="18"/>
      <c r="K12" s="18"/>
      <c r="L12" s="22"/>
      <c r="M12" s="28">
        <v>-35</v>
      </c>
      <c r="N12" s="23">
        <v>0</v>
      </c>
      <c r="O12" s="29">
        <f t="shared" si="0"/>
        <v>0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</row>
    <row r="13" spans="1:233" s="6" customFormat="1" x14ac:dyDescent="0.2">
      <c r="A13" s="16"/>
      <c r="B13" s="27" t="s">
        <v>18</v>
      </c>
      <c r="C13" s="18"/>
      <c r="D13" s="18"/>
      <c r="E13" s="19"/>
      <c r="F13" s="18"/>
      <c r="G13" s="20"/>
      <c r="H13" s="18"/>
      <c r="I13" s="30"/>
      <c r="J13" s="18"/>
      <c r="K13" s="18"/>
      <c r="L13" s="22"/>
      <c r="M13" s="28"/>
      <c r="N13" s="23">
        <v>0</v>
      </c>
      <c r="O13" s="29">
        <f t="shared" si="0"/>
        <v>0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</row>
    <row r="14" spans="1:233" s="6" customFormat="1" x14ac:dyDescent="0.2">
      <c r="A14" s="16"/>
      <c r="B14" s="27" t="s">
        <v>18</v>
      </c>
      <c r="C14" s="18"/>
      <c r="D14" s="18"/>
      <c r="E14" s="19"/>
      <c r="F14" s="18"/>
      <c r="G14" s="20"/>
      <c r="H14" s="18"/>
      <c r="I14" s="30"/>
      <c r="J14" s="18"/>
      <c r="K14" s="18"/>
      <c r="L14" s="22"/>
      <c r="M14" s="28"/>
      <c r="N14" s="23">
        <v>0</v>
      </c>
      <c r="O14" s="29">
        <f t="shared" si="0"/>
        <v>0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</row>
    <row r="15" spans="1:233" s="6" customFormat="1" x14ac:dyDescent="0.2">
      <c r="A15" s="16"/>
      <c r="B15" s="27" t="s">
        <v>18</v>
      </c>
      <c r="C15" s="18"/>
      <c r="D15" s="18"/>
      <c r="E15" s="19"/>
      <c r="F15" s="18"/>
      <c r="G15" s="20"/>
      <c r="H15" s="18"/>
      <c r="I15" s="30"/>
      <c r="J15" s="18"/>
      <c r="K15" s="18"/>
      <c r="L15" s="22"/>
      <c r="M15" s="28"/>
      <c r="N15" s="23"/>
      <c r="O15" s="29">
        <f t="shared" si="0"/>
        <v>0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</row>
    <row r="16" spans="1:233" s="6" customFormat="1" x14ac:dyDescent="0.2">
      <c r="A16" s="16"/>
      <c r="B16" s="27" t="s">
        <v>18</v>
      </c>
      <c r="C16" s="18"/>
      <c r="D16" s="18"/>
      <c r="E16" s="19"/>
      <c r="F16" s="18"/>
      <c r="G16" s="20"/>
      <c r="H16" s="18"/>
      <c r="I16" s="30"/>
      <c r="J16" s="18"/>
      <c r="K16" s="18"/>
      <c r="L16" s="22"/>
      <c r="M16" s="28"/>
      <c r="N16" s="23"/>
      <c r="O16" s="29">
        <f t="shared" si="0"/>
        <v>0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</row>
    <row r="17" spans="1:233" s="6" customFormat="1" x14ac:dyDescent="0.2">
      <c r="A17" s="16"/>
      <c r="B17" s="27" t="s">
        <v>18</v>
      </c>
      <c r="C17" s="18"/>
      <c r="D17" s="18"/>
      <c r="E17" s="19"/>
      <c r="F17" s="18"/>
      <c r="G17" s="20"/>
      <c r="H17" s="18"/>
      <c r="I17" s="30"/>
      <c r="J17" s="18"/>
      <c r="K17" s="18"/>
      <c r="L17" s="22"/>
      <c r="M17" s="28"/>
      <c r="N17" s="23"/>
      <c r="O17" s="29">
        <f t="shared" si="0"/>
        <v>0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</row>
    <row r="18" spans="1:233" s="6" customFormat="1" x14ac:dyDescent="0.2">
      <c r="A18" s="16"/>
      <c r="B18" s="27" t="s">
        <v>18</v>
      </c>
      <c r="C18" s="18"/>
      <c r="D18" s="18"/>
      <c r="E18" s="19"/>
      <c r="F18" s="18"/>
      <c r="G18" s="20"/>
      <c r="H18" s="18"/>
      <c r="I18" s="30"/>
      <c r="J18" s="18"/>
      <c r="K18" s="18"/>
      <c r="L18" s="22"/>
      <c r="M18" s="28"/>
      <c r="N18" s="23"/>
      <c r="O18" s="29">
        <f t="shared" si="0"/>
        <v>0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</row>
    <row r="19" spans="1:233" s="6" customFormat="1" x14ac:dyDescent="0.2">
      <c r="A19" s="16"/>
      <c r="B19" s="27" t="s">
        <v>18</v>
      </c>
      <c r="C19" s="18"/>
      <c r="D19" s="18"/>
      <c r="E19" s="19"/>
      <c r="F19" s="18"/>
      <c r="G19" s="20"/>
      <c r="H19" s="18"/>
      <c r="I19" s="30"/>
      <c r="J19" s="18"/>
      <c r="K19" s="18"/>
      <c r="L19" s="22"/>
      <c r="M19" s="28"/>
      <c r="N19" s="23"/>
      <c r="O19" s="29">
        <f t="shared" si="0"/>
        <v>0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</row>
    <row r="20" spans="1:233" s="6" customFormat="1" x14ac:dyDescent="0.2">
      <c r="A20" s="16"/>
      <c r="B20" s="27" t="s">
        <v>18</v>
      </c>
      <c r="C20" s="18"/>
      <c r="D20" s="18"/>
      <c r="E20" s="19"/>
      <c r="F20" s="18"/>
      <c r="G20" s="20"/>
      <c r="H20" s="18"/>
      <c r="I20" s="30"/>
      <c r="J20" s="18"/>
      <c r="K20" s="18"/>
      <c r="L20" s="22"/>
      <c r="M20" s="28"/>
      <c r="N20" s="23"/>
      <c r="O20" s="29">
        <f t="shared" si="0"/>
        <v>0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</row>
    <row r="21" spans="1:233" s="6" customFormat="1" x14ac:dyDescent="0.2">
      <c r="A21" s="16"/>
      <c r="B21" s="27" t="s">
        <v>18</v>
      </c>
      <c r="C21" s="18"/>
      <c r="D21" s="18"/>
      <c r="E21" s="19"/>
      <c r="F21" s="18"/>
      <c r="G21" s="20"/>
      <c r="H21" s="18"/>
      <c r="I21" s="30"/>
      <c r="J21" s="18"/>
      <c r="K21" s="18"/>
      <c r="L21" s="22"/>
      <c r="M21" s="28"/>
      <c r="N21" s="23"/>
      <c r="O21" s="29">
        <f t="shared" si="0"/>
        <v>0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</row>
    <row r="22" spans="1:233" s="6" customFormat="1" x14ac:dyDescent="0.2">
      <c r="A22" s="16"/>
      <c r="B22" s="17" t="s">
        <v>18</v>
      </c>
      <c r="C22" s="18"/>
      <c r="D22" s="18"/>
      <c r="E22" s="19"/>
      <c r="F22" s="18"/>
      <c r="G22" s="20"/>
      <c r="H22" s="18"/>
      <c r="I22" s="30"/>
      <c r="J22" s="18"/>
      <c r="K22" s="18"/>
      <c r="L22" s="22"/>
      <c r="M22" s="28"/>
      <c r="N22" s="23"/>
      <c r="O22" s="29">
        <f t="shared" si="0"/>
        <v>0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</row>
    <row r="23" spans="1:233" s="6" customFormat="1" x14ac:dyDescent="0.2">
      <c r="A23" s="16"/>
      <c r="B23" s="17" t="s">
        <v>18</v>
      </c>
      <c r="C23" s="18"/>
      <c r="D23" s="18"/>
      <c r="E23" s="19"/>
      <c r="F23" s="18"/>
      <c r="G23" s="20"/>
      <c r="H23" s="18"/>
      <c r="I23" s="30"/>
      <c r="J23" s="18"/>
      <c r="K23" s="18"/>
      <c r="L23" s="22"/>
      <c r="M23" s="28"/>
      <c r="N23" s="23"/>
      <c r="O23" s="29">
        <f t="shared" si="0"/>
        <v>0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</row>
    <row r="24" spans="1:233" s="6" customFormat="1" x14ac:dyDescent="0.2">
      <c r="A24" s="16"/>
      <c r="B24" s="17" t="s">
        <v>18</v>
      </c>
      <c r="C24" s="18"/>
      <c r="D24" s="18"/>
      <c r="E24" s="19"/>
      <c r="F24" s="18"/>
      <c r="G24" s="20"/>
      <c r="H24" s="18"/>
      <c r="I24" s="30"/>
      <c r="J24" s="18"/>
      <c r="K24" s="18"/>
      <c r="L24" s="22"/>
      <c r="M24" s="28"/>
      <c r="N24" s="23"/>
      <c r="O24" s="29">
        <f t="shared" si="0"/>
        <v>0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</row>
    <row r="25" spans="1:233" s="6" customFormat="1" x14ac:dyDescent="0.2">
      <c r="A25" s="16"/>
      <c r="B25" s="17" t="s">
        <v>18</v>
      </c>
      <c r="C25" s="18"/>
      <c r="D25" s="18"/>
      <c r="E25" s="19"/>
      <c r="F25" s="18"/>
      <c r="G25" s="20"/>
      <c r="H25" s="18"/>
      <c r="I25" s="30"/>
      <c r="J25" s="18"/>
      <c r="K25" s="18"/>
      <c r="L25" s="22"/>
      <c r="M25" s="28"/>
      <c r="N25" s="23"/>
      <c r="O25" s="29">
        <f t="shared" si="0"/>
        <v>0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</row>
    <row r="26" spans="1:233" s="6" customFormat="1" x14ac:dyDescent="0.2">
      <c r="A26" s="16"/>
      <c r="B26" s="17" t="s">
        <v>18</v>
      </c>
      <c r="C26" s="18"/>
      <c r="D26" s="18"/>
      <c r="E26" s="19"/>
      <c r="F26" s="18"/>
      <c r="G26" s="20"/>
      <c r="H26" s="18"/>
      <c r="I26" s="30"/>
      <c r="J26" s="18"/>
      <c r="K26" s="18"/>
      <c r="L26" s="22"/>
      <c r="M26" s="28"/>
      <c r="N26" s="23"/>
      <c r="O26" s="29">
        <f t="shared" si="0"/>
        <v>0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</row>
    <row r="27" spans="1:233" s="6" customFormat="1" x14ac:dyDescent="0.2">
      <c r="A27" s="16"/>
      <c r="B27" s="17" t="s">
        <v>18</v>
      </c>
      <c r="C27" s="18"/>
      <c r="D27" s="18"/>
      <c r="E27" s="19"/>
      <c r="F27" s="18"/>
      <c r="G27" s="20"/>
      <c r="H27" s="18"/>
      <c r="I27" s="30"/>
      <c r="J27" s="18"/>
      <c r="K27" s="18"/>
      <c r="L27" s="22"/>
      <c r="M27" s="28"/>
      <c r="N27" s="23"/>
      <c r="O27" s="29">
        <f t="shared" si="0"/>
        <v>0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</row>
    <row r="28" spans="1:233" s="6" customFormat="1" x14ac:dyDescent="0.2">
      <c r="A28" s="16"/>
      <c r="B28" s="17" t="s">
        <v>18</v>
      </c>
      <c r="C28" s="18"/>
      <c r="D28" s="18"/>
      <c r="E28" s="19"/>
      <c r="F28" s="18"/>
      <c r="G28" s="20"/>
      <c r="H28" s="18"/>
      <c r="I28" s="30"/>
      <c r="J28" s="18"/>
      <c r="K28" s="18"/>
      <c r="L28" s="22"/>
      <c r="M28" s="28"/>
      <c r="N28" s="23"/>
      <c r="O28" s="29">
        <f t="shared" si="0"/>
        <v>0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</row>
    <row r="29" spans="1:233" s="6" customFormat="1" x14ac:dyDescent="0.2">
      <c r="A29" s="16"/>
      <c r="B29" s="17" t="s">
        <v>18</v>
      </c>
      <c r="C29" s="18"/>
      <c r="D29" s="18"/>
      <c r="E29" s="19"/>
      <c r="F29" s="18"/>
      <c r="G29" s="20"/>
      <c r="H29" s="18"/>
      <c r="I29" s="30"/>
      <c r="J29" s="18"/>
      <c r="K29" s="18"/>
      <c r="L29" s="22"/>
      <c r="M29" s="28"/>
      <c r="N29" s="23"/>
      <c r="O29" s="29">
        <f t="shared" si="0"/>
        <v>0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</row>
    <row r="30" spans="1:233" s="6" customFormat="1" x14ac:dyDescent="0.2">
      <c r="A30" s="16"/>
      <c r="B30" s="17" t="s">
        <v>18</v>
      </c>
      <c r="C30" s="18"/>
      <c r="D30" s="18"/>
      <c r="E30" s="19"/>
      <c r="F30" s="18"/>
      <c r="G30" s="20"/>
      <c r="H30" s="18"/>
      <c r="I30" s="30"/>
      <c r="J30" s="18"/>
      <c r="K30" s="18"/>
      <c r="L30" s="22"/>
      <c r="M30" s="28"/>
      <c r="N30" s="23"/>
      <c r="O30" s="29">
        <f t="shared" si="0"/>
        <v>0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</row>
    <row r="31" spans="1:233" s="6" customFormat="1" x14ac:dyDescent="0.2">
      <c r="A31" s="16"/>
      <c r="B31" s="17" t="s">
        <v>18</v>
      </c>
      <c r="C31" s="18"/>
      <c r="D31" s="18"/>
      <c r="E31" s="19"/>
      <c r="F31" s="18"/>
      <c r="G31" s="20"/>
      <c r="H31" s="18"/>
      <c r="I31" s="30"/>
      <c r="J31" s="18"/>
      <c r="K31" s="18"/>
      <c r="L31" s="22"/>
      <c r="M31" s="28"/>
      <c r="N31" s="23"/>
      <c r="O31" s="29">
        <f t="shared" si="0"/>
        <v>0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</row>
    <row r="32" spans="1:233" s="6" customFormat="1" x14ac:dyDescent="0.2">
      <c r="A32" s="16"/>
      <c r="B32" s="17" t="s">
        <v>18</v>
      </c>
      <c r="C32" s="18"/>
      <c r="D32" s="18"/>
      <c r="E32" s="19"/>
      <c r="F32" s="18"/>
      <c r="G32" s="20"/>
      <c r="H32" s="18"/>
      <c r="I32" s="30"/>
      <c r="J32" s="18"/>
      <c r="K32" s="18"/>
      <c r="L32" s="22"/>
      <c r="M32" s="28"/>
      <c r="N32" s="23"/>
      <c r="O32" s="29">
        <f t="shared" si="0"/>
        <v>0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</row>
    <row r="33" spans="1:233" s="6" customFormat="1" x14ac:dyDescent="0.2">
      <c r="A33" s="16"/>
      <c r="B33" s="17" t="s">
        <v>18</v>
      </c>
      <c r="C33" s="18"/>
      <c r="D33" s="18"/>
      <c r="E33" s="19"/>
      <c r="F33" s="18"/>
      <c r="G33" s="20"/>
      <c r="H33" s="18"/>
      <c r="I33" s="30"/>
      <c r="J33" s="18"/>
      <c r="K33" s="18"/>
      <c r="L33" s="22"/>
      <c r="M33" s="28"/>
      <c r="N33" s="23"/>
      <c r="O33" s="29">
        <f t="shared" si="0"/>
        <v>0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</row>
    <row r="34" spans="1:233" s="6" customFormat="1" x14ac:dyDescent="0.2">
      <c r="A34" s="16"/>
      <c r="B34" s="17" t="s">
        <v>18</v>
      </c>
      <c r="C34" s="18"/>
      <c r="D34" s="18"/>
      <c r="E34" s="19"/>
      <c r="F34" s="18"/>
      <c r="G34" s="20"/>
      <c r="H34" s="18"/>
      <c r="I34" s="30"/>
      <c r="J34" s="18"/>
      <c r="K34" s="18"/>
      <c r="L34" s="22"/>
      <c r="M34" s="28"/>
      <c r="N34" s="23"/>
      <c r="O34" s="29">
        <f t="shared" si="0"/>
        <v>0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</row>
    <row r="35" spans="1:233" s="6" customFormat="1" x14ac:dyDescent="0.2">
      <c r="A35" s="16"/>
      <c r="B35" s="17" t="s">
        <v>18</v>
      </c>
      <c r="C35" s="18"/>
      <c r="D35" s="18"/>
      <c r="E35" s="19"/>
      <c r="F35" s="18"/>
      <c r="G35" s="20"/>
      <c r="H35" s="18"/>
      <c r="I35" s="30"/>
      <c r="J35" s="18"/>
      <c r="K35" s="18"/>
      <c r="L35" s="22"/>
      <c r="M35" s="28"/>
      <c r="N35" s="23"/>
      <c r="O35" s="29">
        <f t="shared" si="0"/>
        <v>0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</row>
    <row r="36" spans="1:233" s="6" customFormat="1" x14ac:dyDescent="0.2">
      <c r="A36" s="16"/>
      <c r="B36" s="17" t="s">
        <v>18</v>
      </c>
      <c r="C36" s="18"/>
      <c r="D36" s="18"/>
      <c r="E36" s="19"/>
      <c r="F36" s="18"/>
      <c r="G36" s="20"/>
      <c r="H36" s="18"/>
      <c r="I36" s="30"/>
      <c r="J36" s="18"/>
      <c r="K36" s="18"/>
      <c r="L36" s="22"/>
      <c r="M36" s="28"/>
      <c r="N36" s="23"/>
      <c r="O36" s="29">
        <f t="shared" si="0"/>
        <v>0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</row>
    <row r="37" spans="1:233" s="6" customFormat="1" x14ac:dyDescent="0.2">
      <c r="A37" s="16"/>
      <c r="B37" s="17" t="s">
        <v>18</v>
      </c>
      <c r="C37" s="18"/>
      <c r="D37" s="18"/>
      <c r="E37" s="19"/>
      <c r="F37" s="18"/>
      <c r="G37" s="20"/>
      <c r="H37" s="18"/>
      <c r="I37" s="30"/>
      <c r="J37" s="18"/>
      <c r="K37" s="18"/>
      <c r="L37" s="22"/>
      <c r="M37" s="28"/>
      <c r="N37" s="23"/>
      <c r="O37" s="29">
        <f t="shared" si="0"/>
        <v>0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</row>
    <row r="38" spans="1:233" s="6" customFormat="1" x14ac:dyDescent="0.2">
      <c r="A38" s="16"/>
      <c r="B38" s="17" t="s">
        <v>18</v>
      </c>
      <c r="C38" s="18"/>
      <c r="D38" s="18"/>
      <c r="E38" s="19"/>
      <c r="F38" s="18"/>
      <c r="G38" s="20"/>
      <c r="H38" s="18"/>
      <c r="I38" s="30"/>
      <c r="J38" s="18"/>
      <c r="K38" s="18"/>
      <c r="L38" s="22"/>
      <c r="M38" s="28"/>
      <c r="N38" s="23"/>
      <c r="O38" s="29">
        <f t="shared" si="0"/>
        <v>0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</row>
    <row r="39" spans="1:233" s="6" customFormat="1" x14ac:dyDescent="0.2">
      <c r="A39" s="16"/>
      <c r="B39" s="17" t="s">
        <v>18</v>
      </c>
      <c r="C39" s="18"/>
      <c r="D39" s="18"/>
      <c r="E39" s="19"/>
      <c r="F39" s="18"/>
      <c r="G39" s="20"/>
      <c r="H39" s="18"/>
      <c r="I39" s="30"/>
      <c r="J39" s="18"/>
      <c r="K39" s="18"/>
      <c r="L39" s="22"/>
      <c r="M39" s="28"/>
      <c r="N39" s="23"/>
      <c r="O39" s="29">
        <f t="shared" si="0"/>
        <v>0</v>
      </c>
      <c r="Q39" s="26"/>
      <c r="R39" s="31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</row>
    <row r="40" spans="1:233" s="6" customFormat="1" x14ac:dyDescent="0.2">
      <c r="A40" s="16"/>
      <c r="B40" s="17" t="s">
        <v>18</v>
      </c>
      <c r="C40" s="18"/>
      <c r="D40" s="18"/>
      <c r="E40" s="19"/>
      <c r="F40" s="18"/>
      <c r="G40" s="20"/>
      <c r="H40" s="18"/>
      <c r="I40" s="30"/>
      <c r="J40" s="18"/>
      <c r="K40" s="18"/>
      <c r="L40" s="22"/>
      <c r="M40" s="28"/>
      <c r="N40" s="23"/>
      <c r="O40" s="29">
        <f t="shared" si="0"/>
        <v>0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</row>
    <row r="41" spans="1:233" s="6" customFormat="1" x14ac:dyDescent="0.2">
      <c r="A41" s="16"/>
      <c r="B41" s="17" t="s">
        <v>18</v>
      </c>
      <c r="C41" s="18"/>
      <c r="D41" s="18"/>
      <c r="E41" s="19"/>
      <c r="F41" s="18"/>
      <c r="G41" s="20"/>
      <c r="H41" s="18"/>
      <c r="I41" s="30"/>
      <c r="J41" s="18"/>
      <c r="K41" s="18"/>
      <c r="L41" s="22"/>
      <c r="M41" s="28"/>
      <c r="N41" s="23"/>
      <c r="O41" s="29">
        <f t="shared" si="0"/>
        <v>0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</row>
    <row r="42" spans="1:233" s="6" customFormat="1" x14ac:dyDescent="0.2">
      <c r="A42" s="16"/>
      <c r="B42" s="17" t="s">
        <v>18</v>
      </c>
      <c r="C42" s="18"/>
      <c r="D42" s="18"/>
      <c r="E42" s="19"/>
      <c r="F42" s="18"/>
      <c r="G42" s="20"/>
      <c r="H42" s="18"/>
      <c r="I42" s="30"/>
      <c r="J42" s="18"/>
      <c r="K42" s="18"/>
      <c r="L42" s="22"/>
      <c r="M42" s="28"/>
      <c r="N42" s="23"/>
      <c r="O42" s="29">
        <f t="shared" si="0"/>
        <v>0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</row>
    <row r="43" spans="1:233" s="6" customFormat="1" x14ac:dyDescent="0.2">
      <c r="A43" s="16"/>
      <c r="B43" s="17" t="s">
        <v>18</v>
      </c>
      <c r="C43" s="18"/>
      <c r="D43" s="18"/>
      <c r="E43" s="19"/>
      <c r="F43" s="18"/>
      <c r="G43" s="20"/>
      <c r="H43" s="18"/>
      <c r="I43" s="30"/>
      <c r="J43" s="18"/>
      <c r="K43" s="18"/>
      <c r="L43" s="22"/>
      <c r="M43" s="28"/>
      <c r="N43" s="23"/>
      <c r="O43" s="29">
        <f t="shared" si="0"/>
        <v>0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</row>
    <row r="44" spans="1:233" s="6" customFormat="1" x14ac:dyDescent="0.2">
      <c r="A44" s="16"/>
      <c r="B44" s="17" t="s">
        <v>18</v>
      </c>
      <c r="C44" s="18"/>
      <c r="D44" s="18"/>
      <c r="E44" s="19"/>
      <c r="F44" s="18"/>
      <c r="G44" s="20"/>
      <c r="H44" s="18"/>
      <c r="I44" s="30"/>
      <c r="J44" s="18"/>
      <c r="K44" s="18"/>
      <c r="L44" s="22"/>
      <c r="M44" s="28"/>
      <c r="N44" s="23"/>
      <c r="O44" s="29">
        <f t="shared" si="0"/>
        <v>0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</row>
    <row r="45" spans="1:233" s="6" customFormat="1" x14ac:dyDescent="0.2">
      <c r="A45" s="16"/>
      <c r="B45" s="17" t="s">
        <v>18</v>
      </c>
      <c r="C45" s="18"/>
      <c r="D45" s="18"/>
      <c r="E45" s="19"/>
      <c r="F45" s="18"/>
      <c r="G45" s="20"/>
      <c r="H45" s="18"/>
      <c r="I45" s="30"/>
      <c r="J45" s="18"/>
      <c r="K45" s="18"/>
      <c r="L45" s="22"/>
      <c r="M45" s="28"/>
      <c r="N45" s="23"/>
      <c r="O45" s="29">
        <f t="shared" si="0"/>
        <v>0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</row>
    <row r="46" spans="1:233" s="6" customFormat="1" x14ac:dyDescent="0.2">
      <c r="A46" s="16"/>
      <c r="B46" s="17" t="s">
        <v>18</v>
      </c>
      <c r="C46" s="18"/>
      <c r="D46" s="18"/>
      <c r="E46" s="19"/>
      <c r="F46" s="18"/>
      <c r="G46" s="20"/>
      <c r="H46" s="18"/>
      <c r="I46" s="30"/>
      <c r="J46" s="18"/>
      <c r="K46" s="18"/>
      <c r="L46" s="22"/>
      <c r="M46" s="28"/>
      <c r="N46" s="23"/>
      <c r="O46" s="29">
        <f t="shared" si="0"/>
        <v>0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</row>
    <row r="47" spans="1:233" s="6" customFormat="1" x14ac:dyDescent="0.2">
      <c r="A47" s="16"/>
      <c r="B47" s="17" t="s">
        <v>18</v>
      </c>
      <c r="C47" s="18"/>
      <c r="D47" s="18"/>
      <c r="E47" s="19"/>
      <c r="F47" s="18"/>
      <c r="G47" s="20"/>
      <c r="H47" s="18"/>
      <c r="I47" s="30"/>
      <c r="J47" s="18"/>
      <c r="K47" s="18"/>
      <c r="L47" s="22"/>
      <c r="M47" s="28"/>
      <c r="N47" s="23"/>
      <c r="O47" s="29">
        <f t="shared" si="0"/>
        <v>0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</row>
    <row r="48" spans="1:233" s="6" customFormat="1" x14ac:dyDescent="0.2">
      <c r="A48" s="16"/>
      <c r="B48" s="17" t="s">
        <v>18</v>
      </c>
      <c r="C48" s="18"/>
      <c r="D48" s="18"/>
      <c r="E48" s="19"/>
      <c r="F48" s="18"/>
      <c r="G48" s="20"/>
      <c r="H48" s="18"/>
      <c r="I48" s="30"/>
      <c r="J48" s="18"/>
      <c r="K48" s="18"/>
      <c r="L48" s="22"/>
      <c r="M48" s="28"/>
      <c r="N48" s="23"/>
      <c r="O48" s="29">
        <f t="shared" si="0"/>
        <v>0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</row>
    <row r="49" spans="1:233" s="6" customFormat="1" x14ac:dyDescent="0.2">
      <c r="A49" s="16"/>
      <c r="B49" s="17" t="s">
        <v>18</v>
      </c>
      <c r="C49" s="18"/>
      <c r="D49" s="18"/>
      <c r="E49" s="19"/>
      <c r="F49" s="18"/>
      <c r="G49" s="20"/>
      <c r="H49" s="18"/>
      <c r="I49" s="30"/>
      <c r="J49" s="18"/>
      <c r="K49" s="18"/>
      <c r="L49" s="22"/>
      <c r="M49" s="28"/>
      <c r="N49" s="23"/>
      <c r="O49" s="29">
        <f t="shared" si="0"/>
        <v>0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</row>
    <row r="50" spans="1:233" s="6" customFormat="1" x14ac:dyDescent="0.2">
      <c r="A50" s="16"/>
      <c r="B50" s="17" t="s">
        <v>18</v>
      </c>
      <c r="C50" s="18"/>
      <c r="D50" s="18"/>
      <c r="E50" s="19"/>
      <c r="F50" s="18"/>
      <c r="G50" s="20"/>
      <c r="H50" s="18"/>
      <c r="I50" s="30"/>
      <c r="J50" s="18"/>
      <c r="K50" s="18"/>
      <c r="L50" s="22"/>
      <c r="M50" s="28"/>
      <c r="N50" s="23"/>
      <c r="O50" s="29">
        <f t="shared" si="0"/>
        <v>0</v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</row>
    <row r="51" spans="1:233" s="6" customFormat="1" x14ac:dyDescent="0.2">
      <c r="A51" s="16"/>
      <c r="B51" s="17" t="s">
        <v>18</v>
      </c>
      <c r="C51" s="18"/>
      <c r="D51" s="18"/>
      <c r="E51" s="19"/>
      <c r="F51" s="18"/>
      <c r="G51" s="20"/>
      <c r="H51" s="18"/>
      <c r="I51" s="30"/>
      <c r="J51" s="18"/>
      <c r="K51" s="18"/>
      <c r="L51" s="22"/>
      <c r="M51" s="28"/>
      <c r="N51" s="23"/>
      <c r="O51" s="29">
        <f t="shared" si="0"/>
        <v>0</v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</row>
    <row r="52" spans="1:233" s="6" customFormat="1" x14ac:dyDescent="0.2">
      <c r="A52" s="16"/>
      <c r="B52" s="17" t="s">
        <v>18</v>
      </c>
      <c r="C52" s="18"/>
      <c r="D52" s="18"/>
      <c r="E52" s="19"/>
      <c r="F52" s="18"/>
      <c r="G52" s="20"/>
      <c r="H52" s="18"/>
      <c r="I52" s="30"/>
      <c r="J52" s="18"/>
      <c r="K52" s="18"/>
      <c r="L52" s="22"/>
      <c r="M52" s="28"/>
      <c r="N52" s="23"/>
      <c r="O52" s="29">
        <f t="shared" si="0"/>
        <v>0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</row>
    <row r="53" spans="1:233" s="6" customFormat="1" x14ac:dyDescent="0.2">
      <c r="A53" s="16"/>
      <c r="B53" s="17" t="s">
        <v>18</v>
      </c>
      <c r="C53" s="18"/>
      <c r="D53" s="18"/>
      <c r="E53" s="19"/>
      <c r="F53" s="18"/>
      <c r="G53" s="20"/>
      <c r="H53" s="18"/>
      <c r="I53" s="30"/>
      <c r="J53" s="18"/>
      <c r="K53" s="18"/>
      <c r="L53" s="22"/>
      <c r="M53" s="28"/>
      <c r="N53" s="23"/>
      <c r="O53" s="29">
        <f t="shared" si="0"/>
        <v>0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</row>
    <row r="54" spans="1:233" s="6" customFormat="1" x14ac:dyDescent="0.2">
      <c r="A54" s="16"/>
      <c r="B54" s="17" t="s">
        <v>18</v>
      </c>
      <c r="C54" s="18"/>
      <c r="D54" s="18"/>
      <c r="E54" s="19"/>
      <c r="F54" s="18"/>
      <c r="G54" s="20"/>
      <c r="H54" s="18"/>
      <c r="I54" s="30"/>
      <c r="J54" s="18"/>
      <c r="K54" s="18"/>
      <c r="L54" s="22"/>
      <c r="M54" s="28"/>
      <c r="N54" s="23"/>
      <c r="O54" s="29">
        <f t="shared" si="0"/>
        <v>0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</row>
    <row r="55" spans="1:233" s="6" customFormat="1" x14ac:dyDescent="0.2">
      <c r="A55" s="16"/>
      <c r="B55" s="17" t="s">
        <v>18</v>
      </c>
      <c r="C55" s="18"/>
      <c r="D55" s="18"/>
      <c r="E55" s="19"/>
      <c r="F55" s="18"/>
      <c r="G55" s="20"/>
      <c r="H55" s="18"/>
      <c r="I55" s="30"/>
      <c r="J55" s="18"/>
      <c r="K55" s="18"/>
      <c r="L55" s="22"/>
      <c r="M55" s="28"/>
      <c r="N55" s="23"/>
      <c r="O55" s="29">
        <f t="shared" si="0"/>
        <v>0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</row>
    <row r="56" spans="1:233" s="6" customFormat="1" x14ac:dyDescent="0.2">
      <c r="A56" s="16"/>
      <c r="B56" s="17" t="s">
        <v>18</v>
      </c>
      <c r="C56" s="18"/>
      <c r="D56" s="18"/>
      <c r="E56" s="19"/>
      <c r="F56" s="18"/>
      <c r="G56" s="20"/>
      <c r="H56" s="18"/>
      <c r="I56" s="30"/>
      <c r="J56" s="18"/>
      <c r="K56" s="18"/>
      <c r="L56" s="22"/>
      <c r="M56" s="28"/>
      <c r="N56" s="23"/>
      <c r="O56" s="29">
        <f t="shared" si="0"/>
        <v>0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</row>
    <row r="57" spans="1:233" s="6" customFormat="1" x14ac:dyDescent="0.2">
      <c r="A57" s="16"/>
      <c r="B57" s="17" t="s">
        <v>18</v>
      </c>
      <c r="C57" s="18"/>
      <c r="D57" s="18"/>
      <c r="E57" s="19"/>
      <c r="F57" s="18"/>
      <c r="G57" s="20"/>
      <c r="H57" s="18"/>
      <c r="I57" s="30"/>
      <c r="J57" s="18"/>
      <c r="K57" s="18"/>
      <c r="L57" s="22"/>
      <c r="M57" s="28"/>
      <c r="N57" s="23"/>
      <c r="O57" s="29">
        <f t="shared" si="0"/>
        <v>0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</row>
    <row r="58" spans="1:233" s="6" customFormat="1" x14ac:dyDescent="0.2">
      <c r="A58" s="16"/>
      <c r="B58" s="17" t="s">
        <v>18</v>
      </c>
      <c r="C58" s="18"/>
      <c r="D58" s="18"/>
      <c r="E58" s="19"/>
      <c r="F58" s="18"/>
      <c r="G58" s="20"/>
      <c r="H58" s="18"/>
      <c r="I58" s="30"/>
      <c r="J58" s="18"/>
      <c r="K58" s="18"/>
      <c r="L58" s="22"/>
      <c r="M58" s="28"/>
      <c r="N58" s="23"/>
      <c r="O58" s="29">
        <f t="shared" si="0"/>
        <v>0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</row>
    <row r="59" spans="1:233" s="6" customFormat="1" x14ac:dyDescent="0.2">
      <c r="A59" s="16"/>
      <c r="B59" s="17" t="s">
        <v>18</v>
      </c>
      <c r="C59" s="18"/>
      <c r="D59" s="18"/>
      <c r="E59" s="19"/>
      <c r="F59" s="18"/>
      <c r="G59" s="20"/>
      <c r="H59" s="18"/>
      <c r="I59" s="30"/>
      <c r="J59" s="18"/>
      <c r="K59" s="18"/>
      <c r="L59" s="22"/>
      <c r="M59" s="28"/>
      <c r="N59" s="23"/>
      <c r="O59" s="29">
        <f t="shared" si="0"/>
        <v>0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</row>
    <row r="60" spans="1:233" s="6" customFormat="1" x14ac:dyDescent="0.2">
      <c r="A60" s="16"/>
      <c r="B60" s="17" t="s">
        <v>18</v>
      </c>
      <c r="C60" s="18"/>
      <c r="D60" s="18"/>
      <c r="E60" s="19"/>
      <c r="F60" s="18"/>
      <c r="G60" s="20"/>
      <c r="H60" s="18"/>
      <c r="I60" s="30"/>
      <c r="J60" s="18"/>
      <c r="K60" s="18"/>
      <c r="L60" s="22"/>
      <c r="M60" s="28"/>
      <c r="N60" s="23"/>
      <c r="O60" s="29">
        <f t="shared" si="0"/>
        <v>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</row>
    <row r="61" spans="1:233" s="6" customFormat="1" x14ac:dyDescent="0.2">
      <c r="A61" s="16"/>
      <c r="B61" s="17" t="s">
        <v>18</v>
      </c>
      <c r="C61" s="18"/>
      <c r="D61" s="18"/>
      <c r="E61" s="19"/>
      <c r="F61" s="18"/>
      <c r="G61" s="20"/>
      <c r="H61" s="18"/>
      <c r="I61" s="30"/>
      <c r="J61" s="18"/>
      <c r="K61" s="18"/>
      <c r="L61" s="22"/>
      <c r="M61" s="28"/>
      <c r="N61" s="23"/>
      <c r="O61" s="29">
        <f t="shared" si="0"/>
        <v>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</row>
    <row r="62" spans="1:233" x14ac:dyDescent="0.2">
      <c r="A62" s="16"/>
      <c r="B62" s="17" t="s">
        <v>18</v>
      </c>
      <c r="C62" s="18"/>
      <c r="D62" s="18"/>
      <c r="E62" s="19"/>
      <c r="F62" s="18"/>
      <c r="G62" s="20"/>
      <c r="H62" s="18"/>
      <c r="I62" s="30"/>
      <c r="J62" s="18"/>
      <c r="K62" s="18"/>
      <c r="L62" s="22"/>
      <c r="M62" s="28"/>
      <c r="N62" s="23"/>
      <c r="O62" s="29">
        <f t="shared" si="0"/>
        <v>0</v>
      </c>
    </row>
    <row r="63" spans="1:233" x14ac:dyDescent="0.2">
      <c r="A63" s="16"/>
      <c r="B63" s="17" t="s">
        <v>18</v>
      </c>
      <c r="C63" s="18"/>
      <c r="D63" s="18"/>
      <c r="E63" s="19"/>
      <c r="F63" s="18"/>
      <c r="G63" s="20"/>
      <c r="H63" s="18"/>
      <c r="I63" s="30"/>
      <c r="J63" s="18"/>
      <c r="K63" s="18"/>
      <c r="L63" s="22"/>
      <c r="M63" s="28"/>
      <c r="N63" s="23"/>
      <c r="O63" s="29">
        <f t="shared" si="0"/>
        <v>0</v>
      </c>
    </row>
    <row r="64" spans="1:233" x14ac:dyDescent="0.2">
      <c r="A64" s="16"/>
      <c r="B64" s="17" t="s">
        <v>18</v>
      </c>
      <c r="C64" s="18"/>
      <c r="D64" s="18"/>
      <c r="E64" s="19"/>
      <c r="F64" s="18"/>
      <c r="G64" s="20"/>
      <c r="H64" s="18"/>
      <c r="I64" s="30"/>
      <c r="J64" s="18"/>
      <c r="K64" s="18"/>
      <c r="L64" s="22"/>
      <c r="M64" s="28"/>
      <c r="N64" s="23"/>
      <c r="O64" s="29">
        <f t="shared" si="0"/>
        <v>0</v>
      </c>
    </row>
    <row r="65" spans="1:15" x14ac:dyDescent="0.2">
      <c r="A65" s="16"/>
      <c r="B65" s="17" t="s">
        <v>18</v>
      </c>
      <c r="C65" s="18"/>
      <c r="D65" s="18"/>
      <c r="E65" s="19"/>
      <c r="F65" s="18"/>
      <c r="G65" s="20"/>
      <c r="H65" s="18"/>
      <c r="I65" s="30"/>
      <c r="J65" s="18"/>
      <c r="K65" s="18"/>
      <c r="L65" s="22"/>
      <c r="M65" s="28"/>
      <c r="N65" s="23"/>
      <c r="O65" s="29">
        <f t="shared" si="0"/>
        <v>0</v>
      </c>
    </row>
    <row r="66" spans="1:15" x14ac:dyDescent="0.2">
      <c r="A66" s="16"/>
      <c r="B66" s="17" t="s">
        <v>18</v>
      </c>
      <c r="C66" s="18"/>
      <c r="D66" s="18"/>
      <c r="E66" s="19"/>
      <c r="F66" s="18"/>
      <c r="G66" s="20"/>
      <c r="H66" s="18"/>
      <c r="I66" s="30"/>
      <c r="J66" s="18"/>
      <c r="K66" s="18"/>
      <c r="L66" s="22"/>
      <c r="M66" s="28"/>
      <c r="N66" s="23"/>
      <c r="O66" s="29">
        <f t="shared" si="0"/>
        <v>0</v>
      </c>
    </row>
    <row r="67" spans="1:15" x14ac:dyDescent="0.2">
      <c r="A67" s="16"/>
      <c r="B67" s="17" t="s">
        <v>18</v>
      </c>
      <c r="C67" s="18"/>
      <c r="D67" s="18"/>
      <c r="E67" s="19"/>
      <c r="F67" s="18"/>
      <c r="G67" s="20"/>
      <c r="H67" s="18"/>
      <c r="I67" s="30"/>
      <c r="J67" s="18"/>
      <c r="K67" s="18"/>
      <c r="L67" s="22"/>
      <c r="M67" s="28"/>
      <c r="N67" s="23"/>
      <c r="O67" s="29">
        <f t="shared" ref="O67:O130" si="1">N67*J67</f>
        <v>0</v>
      </c>
    </row>
    <row r="68" spans="1:15" x14ac:dyDescent="0.2">
      <c r="A68" s="16"/>
      <c r="B68" s="17" t="s">
        <v>18</v>
      </c>
      <c r="C68" s="18"/>
      <c r="D68" s="18"/>
      <c r="E68" s="19"/>
      <c r="F68" s="18"/>
      <c r="G68" s="20"/>
      <c r="H68" s="18"/>
      <c r="I68" s="30"/>
      <c r="J68" s="18"/>
      <c r="K68" s="18"/>
      <c r="L68" s="22"/>
      <c r="M68" s="28"/>
      <c r="N68" s="23"/>
      <c r="O68" s="29">
        <f t="shared" si="1"/>
        <v>0</v>
      </c>
    </row>
    <row r="69" spans="1:15" x14ac:dyDescent="0.2">
      <c r="A69" s="16"/>
      <c r="B69" s="17" t="s">
        <v>18</v>
      </c>
      <c r="C69" s="18"/>
      <c r="D69" s="18"/>
      <c r="E69" s="19"/>
      <c r="F69" s="18"/>
      <c r="G69" s="20"/>
      <c r="H69" s="18"/>
      <c r="I69" s="30"/>
      <c r="J69" s="18"/>
      <c r="K69" s="18"/>
      <c r="L69" s="22"/>
      <c r="M69" s="28"/>
      <c r="N69" s="23"/>
      <c r="O69" s="29">
        <f t="shared" si="1"/>
        <v>0</v>
      </c>
    </row>
    <row r="70" spans="1:15" x14ac:dyDescent="0.2">
      <c r="A70" s="16"/>
      <c r="B70" s="17" t="s">
        <v>18</v>
      </c>
      <c r="C70" s="18"/>
      <c r="D70" s="18"/>
      <c r="E70" s="19"/>
      <c r="F70" s="18"/>
      <c r="G70" s="20"/>
      <c r="H70" s="18"/>
      <c r="I70" s="30"/>
      <c r="J70" s="18"/>
      <c r="K70" s="18"/>
      <c r="L70" s="22"/>
      <c r="M70" s="28"/>
      <c r="N70" s="23"/>
      <c r="O70" s="29">
        <f t="shared" si="1"/>
        <v>0</v>
      </c>
    </row>
    <row r="71" spans="1:15" x14ac:dyDescent="0.2">
      <c r="A71" s="16"/>
      <c r="B71" s="17" t="s">
        <v>18</v>
      </c>
      <c r="C71" s="18"/>
      <c r="D71" s="18"/>
      <c r="E71" s="19"/>
      <c r="F71" s="18"/>
      <c r="G71" s="20"/>
      <c r="H71" s="18"/>
      <c r="I71" s="30"/>
      <c r="J71" s="18"/>
      <c r="K71" s="18"/>
      <c r="L71" s="22"/>
      <c r="M71" s="28"/>
      <c r="N71" s="23"/>
      <c r="O71" s="29">
        <f t="shared" si="1"/>
        <v>0</v>
      </c>
    </row>
    <row r="72" spans="1:15" x14ac:dyDescent="0.2">
      <c r="A72" s="16"/>
      <c r="B72" s="17" t="s">
        <v>18</v>
      </c>
      <c r="C72" s="18"/>
      <c r="D72" s="18"/>
      <c r="E72" s="19"/>
      <c r="F72" s="18"/>
      <c r="G72" s="20"/>
      <c r="H72" s="18"/>
      <c r="I72" s="30"/>
      <c r="J72" s="18"/>
      <c r="K72" s="18"/>
      <c r="L72" s="22"/>
      <c r="M72" s="28"/>
      <c r="N72" s="23"/>
      <c r="O72" s="29">
        <f t="shared" si="1"/>
        <v>0</v>
      </c>
    </row>
    <row r="73" spans="1:15" x14ac:dyDescent="0.2">
      <c r="A73" s="16"/>
      <c r="B73" s="17" t="s">
        <v>18</v>
      </c>
      <c r="C73" s="18"/>
      <c r="D73" s="18"/>
      <c r="E73" s="19"/>
      <c r="F73" s="18"/>
      <c r="G73" s="20"/>
      <c r="H73" s="18"/>
      <c r="I73" s="30"/>
      <c r="J73" s="18"/>
      <c r="K73" s="18"/>
      <c r="L73" s="22"/>
      <c r="M73" s="28"/>
      <c r="N73" s="23"/>
      <c r="O73" s="29">
        <f t="shared" si="1"/>
        <v>0</v>
      </c>
    </row>
    <row r="74" spans="1:15" x14ac:dyDescent="0.2">
      <c r="A74" s="16"/>
      <c r="B74" s="17" t="s">
        <v>18</v>
      </c>
      <c r="C74" s="18"/>
      <c r="D74" s="18"/>
      <c r="E74" s="19"/>
      <c r="F74" s="18"/>
      <c r="G74" s="20"/>
      <c r="H74" s="18"/>
      <c r="I74" s="30"/>
      <c r="J74" s="18"/>
      <c r="K74" s="18"/>
      <c r="L74" s="22"/>
      <c r="M74" s="28"/>
      <c r="N74" s="23"/>
      <c r="O74" s="29">
        <f t="shared" si="1"/>
        <v>0</v>
      </c>
    </row>
    <row r="75" spans="1:15" x14ac:dyDescent="0.2">
      <c r="A75" s="16"/>
      <c r="B75" s="17" t="s">
        <v>18</v>
      </c>
      <c r="C75" s="18"/>
      <c r="D75" s="18"/>
      <c r="E75" s="19"/>
      <c r="F75" s="18"/>
      <c r="G75" s="20"/>
      <c r="H75" s="18"/>
      <c r="I75" s="30"/>
      <c r="J75" s="18"/>
      <c r="K75" s="18"/>
      <c r="L75" s="22"/>
      <c r="M75" s="28"/>
      <c r="N75" s="23"/>
      <c r="O75" s="29">
        <f t="shared" si="1"/>
        <v>0</v>
      </c>
    </row>
    <row r="76" spans="1:15" x14ac:dyDescent="0.2">
      <c r="A76" s="16"/>
      <c r="B76" s="17" t="s">
        <v>18</v>
      </c>
      <c r="C76" s="18"/>
      <c r="D76" s="18"/>
      <c r="E76" s="19"/>
      <c r="F76" s="18"/>
      <c r="G76" s="20"/>
      <c r="H76" s="18"/>
      <c r="I76" s="30"/>
      <c r="J76" s="18"/>
      <c r="K76" s="18"/>
      <c r="L76" s="22"/>
      <c r="M76" s="28"/>
      <c r="N76" s="23"/>
      <c r="O76" s="29">
        <f t="shared" si="1"/>
        <v>0</v>
      </c>
    </row>
    <row r="77" spans="1:15" x14ac:dyDescent="0.2">
      <c r="A77" s="16"/>
      <c r="B77" s="17" t="s">
        <v>18</v>
      </c>
      <c r="C77" s="18"/>
      <c r="D77" s="18"/>
      <c r="E77" s="19"/>
      <c r="F77" s="18"/>
      <c r="G77" s="20"/>
      <c r="H77" s="18"/>
      <c r="I77" s="30"/>
      <c r="J77" s="18"/>
      <c r="K77" s="18"/>
      <c r="L77" s="22"/>
      <c r="M77" s="28"/>
      <c r="N77" s="23"/>
      <c r="O77" s="29">
        <f t="shared" si="1"/>
        <v>0</v>
      </c>
    </row>
    <row r="78" spans="1:15" x14ac:dyDescent="0.2">
      <c r="A78" s="16"/>
      <c r="B78" s="17" t="s">
        <v>18</v>
      </c>
      <c r="C78" s="18"/>
      <c r="D78" s="18"/>
      <c r="E78" s="19"/>
      <c r="F78" s="18"/>
      <c r="G78" s="20"/>
      <c r="H78" s="18"/>
      <c r="I78" s="30"/>
      <c r="J78" s="18"/>
      <c r="K78" s="18"/>
      <c r="L78" s="22"/>
      <c r="M78" s="28"/>
      <c r="N78" s="23"/>
      <c r="O78" s="29">
        <f t="shared" si="1"/>
        <v>0</v>
      </c>
    </row>
    <row r="79" spans="1:15" x14ac:dyDescent="0.2">
      <c r="A79" s="16"/>
      <c r="B79" s="17" t="s">
        <v>18</v>
      </c>
      <c r="C79" s="18"/>
      <c r="D79" s="18"/>
      <c r="E79" s="19"/>
      <c r="F79" s="18"/>
      <c r="G79" s="20"/>
      <c r="H79" s="18"/>
      <c r="I79" s="30"/>
      <c r="J79" s="18"/>
      <c r="K79" s="18"/>
      <c r="L79" s="22"/>
      <c r="M79" s="28"/>
      <c r="N79" s="23"/>
      <c r="O79" s="29">
        <f t="shared" si="1"/>
        <v>0</v>
      </c>
    </row>
    <row r="80" spans="1:15" x14ac:dyDescent="0.2">
      <c r="A80" s="16"/>
      <c r="B80" s="17" t="s">
        <v>18</v>
      </c>
      <c r="C80" s="18"/>
      <c r="D80" s="18"/>
      <c r="E80" s="19"/>
      <c r="F80" s="18"/>
      <c r="G80" s="20"/>
      <c r="H80" s="18"/>
      <c r="I80" s="30"/>
      <c r="J80" s="18"/>
      <c r="K80" s="18"/>
      <c r="L80" s="22"/>
      <c r="M80" s="28"/>
      <c r="N80" s="23"/>
      <c r="O80" s="29">
        <f t="shared" si="1"/>
        <v>0</v>
      </c>
    </row>
    <row r="81" spans="1:15" x14ac:dyDescent="0.2">
      <c r="A81" s="16"/>
      <c r="B81" s="17" t="s">
        <v>18</v>
      </c>
      <c r="C81" s="18"/>
      <c r="D81" s="18"/>
      <c r="E81" s="19"/>
      <c r="F81" s="18"/>
      <c r="G81" s="20"/>
      <c r="H81" s="18"/>
      <c r="I81" s="30"/>
      <c r="J81" s="18"/>
      <c r="K81" s="18"/>
      <c r="L81" s="22"/>
      <c r="M81" s="28"/>
      <c r="N81" s="23"/>
      <c r="O81" s="29">
        <f t="shared" si="1"/>
        <v>0</v>
      </c>
    </row>
    <row r="82" spans="1:15" x14ac:dyDescent="0.2">
      <c r="A82" s="16"/>
      <c r="B82" s="17" t="s">
        <v>18</v>
      </c>
      <c r="C82" s="18"/>
      <c r="D82" s="18"/>
      <c r="E82" s="19"/>
      <c r="F82" s="18"/>
      <c r="G82" s="20"/>
      <c r="H82" s="18"/>
      <c r="I82" s="30"/>
      <c r="J82" s="18"/>
      <c r="K82" s="18"/>
      <c r="L82" s="22"/>
      <c r="M82" s="28"/>
      <c r="N82" s="23"/>
      <c r="O82" s="29">
        <f t="shared" si="1"/>
        <v>0</v>
      </c>
    </row>
    <row r="83" spans="1:15" x14ac:dyDescent="0.2">
      <c r="A83" s="16"/>
      <c r="B83" s="17" t="s">
        <v>18</v>
      </c>
      <c r="C83" s="18"/>
      <c r="D83" s="18"/>
      <c r="E83" s="19"/>
      <c r="F83" s="18"/>
      <c r="G83" s="20"/>
      <c r="H83" s="18"/>
      <c r="I83" s="30"/>
      <c r="J83" s="18"/>
      <c r="K83" s="18"/>
      <c r="L83" s="22"/>
      <c r="M83" s="28"/>
      <c r="N83" s="23"/>
      <c r="O83" s="29">
        <f t="shared" si="1"/>
        <v>0</v>
      </c>
    </row>
    <row r="84" spans="1:15" x14ac:dyDescent="0.2">
      <c r="A84" s="16"/>
      <c r="B84" s="17" t="s">
        <v>18</v>
      </c>
      <c r="C84" s="18"/>
      <c r="D84" s="18"/>
      <c r="E84" s="19"/>
      <c r="F84" s="18"/>
      <c r="G84" s="20"/>
      <c r="H84" s="18"/>
      <c r="I84" s="30"/>
      <c r="J84" s="18"/>
      <c r="K84" s="18"/>
      <c r="L84" s="22"/>
      <c r="M84" s="28"/>
      <c r="N84" s="23"/>
      <c r="O84" s="29">
        <f t="shared" si="1"/>
        <v>0</v>
      </c>
    </row>
    <row r="85" spans="1:15" x14ac:dyDescent="0.2">
      <c r="A85" s="16"/>
      <c r="B85" s="17" t="s">
        <v>18</v>
      </c>
      <c r="C85" s="18"/>
      <c r="D85" s="18"/>
      <c r="E85" s="19"/>
      <c r="F85" s="18"/>
      <c r="G85" s="20"/>
      <c r="H85" s="18"/>
      <c r="I85" s="30"/>
      <c r="J85" s="18"/>
      <c r="K85" s="18"/>
      <c r="L85" s="22"/>
      <c r="M85" s="28"/>
      <c r="N85" s="23"/>
      <c r="O85" s="29">
        <f t="shared" si="1"/>
        <v>0</v>
      </c>
    </row>
    <row r="86" spans="1:15" x14ac:dyDescent="0.2">
      <c r="A86" s="16"/>
      <c r="B86" s="17" t="s">
        <v>18</v>
      </c>
      <c r="C86" s="18"/>
      <c r="D86" s="18"/>
      <c r="E86" s="19"/>
      <c r="F86" s="18"/>
      <c r="G86" s="20"/>
      <c r="H86" s="18"/>
      <c r="I86" s="30"/>
      <c r="J86" s="18"/>
      <c r="K86" s="18"/>
      <c r="L86" s="22"/>
      <c r="M86" s="28"/>
      <c r="N86" s="23"/>
      <c r="O86" s="29">
        <f t="shared" si="1"/>
        <v>0</v>
      </c>
    </row>
    <row r="87" spans="1:15" x14ac:dyDescent="0.2">
      <c r="A87" s="16"/>
      <c r="B87" s="17" t="s">
        <v>18</v>
      </c>
      <c r="C87" s="18"/>
      <c r="D87" s="18"/>
      <c r="E87" s="19"/>
      <c r="F87" s="18"/>
      <c r="G87" s="20"/>
      <c r="H87" s="18"/>
      <c r="I87" s="30"/>
      <c r="J87" s="18"/>
      <c r="K87" s="18"/>
      <c r="L87" s="22"/>
      <c r="M87" s="28"/>
      <c r="N87" s="23"/>
      <c r="O87" s="29">
        <f t="shared" si="1"/>
        <v>0</v>
      </c>
    </row>
    <row r="88" spans="1:15" x14ac:dyDescent="0.2">
      <c r="A88" s="16"/>
      <c r="B88" s="17" t="s">
        <v>18</v>
      </c>
      <c r="C88" s="18"/>
      <c r="D88" s="18"/>
      <c r="E88" s="19"/>
      <c r="F88" s="18"/>
      <c r="G88" s="20"/>
      <c r="H88" s="18"/>
      <c r="I88" s="30"/>
      <c r="J88" s="18"/>
      <c r="K88" s="18"/>
      <c r="L88" s="22"/>
      <c r="M88" s="28"/>
      <c r="N88" s="23"/>
      <c r="O88" s="29">
        <f t="shared" si="1"/>
        <v>0</v>
      </c>
    </row>
    <row r="89" spans="1:15" x14ac:dyDescent="0.2">
      <c r="A89" s="16"/>
      <c r="B89" s="17" t="s">
        <v>18</v>
      </c>
      <c r="C89" s="18"/>
      <c r="D89" s="18"/>
      <c r="E89" s="19"/>
      <c r="F89" s="18"/>
      <c r="G89" s="20"/>
      <c r="H89" s="18"/>
      <c r="I89" s="30"/>
      <c r="J89" s="18"/>
      <c r="K89" s="18"/>
      <c r="L89" s="22"/>
      <c r="M89" s="28"/>
      <c r="N89" s="23"/>
      <c r="O89" s="29">
        <f t="shared" si="1"/>
        <v>0</v>
      </c>
    </row>
    <row r="90" spans="1:15" x14ac:dyDescent="0.2">
      <c r="A90" s="16"/>
      <c r="B90" s="17" t="s">
        <v>18</v>
      </c>
      <c r="C90" s="18"/>
      <c r="D90" s="18"/>
      <c r="E90" s="19"/>
      <c r="F90" s="18"/>
      <c r="G90" s="20"/>
      <c r="H90" s="18"/>
      <c r="I90" s="30"/>
      <c r="J90" s="18"/>
      <c r="K90" s="18"/>
      <c r="L90" s="22"/>
      <c r="M90" s="28"/>
      <c r="N90" s="23"/>
      <c r="O90" s="29">
        <f t="shared" si="1"/>
        <v>0</v>
      </c>
    </row>
    <row r="91" spans="1:15" x14ac:dyDescent="0.2">
      <c r="A91" s="16"/>
      <c r="B91" s="17" t="s">
        <v>18</v>
      </c>
      <c r="C91" s="18"/>
      <c r="D91" s="18"/>
      <c r="E91" s="19"/>
      <c r="F91" s="18"/>
      <c r="G91" s="20"/>
      <c r="H91" s="18"/>
      <c r="I91" s="30"/>
      <c r="J91" s="18"/>
      <c r="K91" s="18"/>
      <c r="L91" s="22"/>
      <c r="M91" s="28"/>
      <c r="N91" s="23"/>
      <c r="O91" s="29">
        <f t="shared" si="1"/>
        <v>0</v>
      </c>
    </row>
    <row r="92" spans="1:15" x14ac:dyDescent="0.2">
      <c r="A92" s="16"/>
      <c r="B92" s="17" t="s">
        <v>18</v>
      </c>
      <c r="C92" s="18"/>
      <c r="D92" s="18"/>
      <c r="E92" s="19"/>
      <c r="F92" s="18"/>
      <c r="G92" s="20"/>
      <c r="H92" s="18"/>
      <c r="I92" s="30"/>
      <c r="J92" s="18"/>
      <c r="K92" s="18"/>
      <c r="L92" s="22"/>
      <c r="M92" s="28"/>
      <c r="N92" s="23"/>
      <c r="O92" s="29">
        <f t="shared" si="1"/>
        <v>0</v>
      </c>
    </row>
    <row r="93" spans="1:15" x14ac:dyDescent="0.2">
      <c r="A93" s="16"/>
      <c r="B93" s="17" t="s">
        <v>18</v>
      </c>
      <c r="C93" s="18"/>
      <c r="D93" s="18"/>
      <c r="E93" s="19"/>
      <c r="F93" s="18"/>
      <c r="G93" s="20"/>
      <c r="H93" s="18"/>
      <c r="I93" s="30"/>
      <c r="J93" s="18"/>
      <c r="K93" s="18"/>
      <c r="L93" s="22"/>
      <c r="M93" s="28"/>
      <c r="N93" s="23"/>
      <c r="O93" s="29">
        <f t="shared" si="1"/>
        <v>0</v>
      </c>
    </row>
    <row r="94" spans="1:15" x14ac:dyDescent="0.2">
      <c r="A94" s="16"/>
      <c r="B94" s="17" t="s">
        <v>18</v>
      </c>
      <c r="C94" s="18"/>
      <c r="D94" s="18"/>
      <c r="E94" s="19"/>
      <c r="F94" s="18"/>
      <c r="G94" s="20"/>
      <c r="H94" s="18"/>
      <c r="I94" s="30"/>
      <c r="J94" s="18"/>
      <c r="K94" s="18"/>
      <c r="L94" s="22"/>
      <c r="M94" s="28"/>
      <c r="N94" s="23"/>
      <c r="O94" s="29">
        <f t="shared" si="1"/>
        <v>0</v>
      </c>
    </row>
    <row r="95" spans="1:15" x14ac:dyDescent="0.2">
      <c r="A95" s="16"/>
      <c r="B95" s="17" t="s">
        <v>18</v>
      </c>
      <c r="C95" s="18"/>
      <c r="D95" s="18"/>
      <c r="E95" s="19"/>
      <c r="F95" s="18"/>
      <c r="G95" s="20"/>
      <c r="H95" s="18"/>
      <c r="I95" s="30"/>
      <c r="J95" s="18"/>
      <c r="K95" s="18"/>
      <c r="L95" s="22"/>
      <c r="M95" s="28"/>
      <c r="N95" s="23"/>
      <c r="O95" s="29">
        <f t="shared" si="1"/>
        <v>0</v>
      </c>
    </row>
    <row r="96" spans="1:15" x14ac:dyDescent="0.2">
      <c r="A96" s="16"/>
      <c r="B96" s="17" t="s">
        <v>18</v>
      </c>
      <c r="C96" s="18"/>
      <c r="D96" s="18"/>
      <c r="E96" s="19"/>
      <c r="F96" s="18"/>
      <c r="G96" s="20"/>
      <c r="H96" s="18"/>
      <c r="I96" s="30"/>
      <c r="J96" s="18"/>
      <c r="K96" s="18"/>
      <c r="L96" s="22"/>
      <c r="M96" s="28"/>
      <c r="N96" s="23"/>
      <c r="O96" s="29">
        <f t="shared" si="1"/>
        <v>0</v>
      </c>
    </row>
    <row r="97" spans="1:15" x14ac:dyDescent="0.2">
      <c r="A97" s="32"/>
      <c r="B97" s="17" t="s">
        <v>18</v>
      </c>
      <c r="C97" s="28"/>
      <c r="D97" s="28"/>
      <c r="E97" s="19"/>
      <c r="F97" s="28"/>
      <c r="G97" s="33"/>
      <c r="H97" s="28"/>
      <c r="I97" s="34"/>
      <c r="J97" s="28"/>
      <c r="K97" s="28"/>
      <c r="L97" s="35"/>
      <c r="M97" s="28"/>
      <c r="N97" s="36"/>
      <c r="O97" s="29">
        <f t="shared" si="1"/>
        <v>0</v>
      </c>
    </row>
    <row r="98" spans="1:15" x14ac:dyDescent="0.2">
      <c r="A98" s="32"/>
      <c r="B98" s="17" t="s">
        <v>18</v>
      </c>
      <c r="C98" s="28"/>
      <c r="D98" s="28"/>
      <c r="E98" s="19"/>
      <c r="F98" s="28"/>
      <c r="G98" s="33"/>
      <c r="H98" s="28"/>
      <c r="I98" s="34"/>
      <c r="J98" s="28"/>
      <c r="K98" s="28"/>
      <c r="L98" s="35"/>
      <c r="M98" s="28"/>
      <c r="N98" s="36"/>
      <c r="O98" s="29">
        <f t="shared" si="1"/>
        <v>0</v>
      </c>
    </row>
    <row r="99" spans="1:15" x14ac:dyDescent="0.2">
      <c r="A99" s="32"/>
      <c r="B99" s="17" t="s">
        <v>18</v>
      </c>
      <c r="C99" s="28"/>
      <c r="D99" s="28"/>
      <c r="E99" s="37"/>
      <c r="F99" s="28"/>
      <c r="G99" s="33"/>
      <c r="H99" s="28"/>
      <c r="I99" s="34"/>
      <c r="J99" s="28"/>
      <c r="K99" s="28"/>
      <c r="L99" s="35"/>
      <c r="M99" s="28"/>
      <c r="N99" s="36"/>
      <c r="O99" s="29">
        <f t="shared" si="1"/>
        <v>0</v>
      </c>
    </row>
    <row r="100" spans="1:15" x14ac:dyDescent="0.2">
      <c r="A100" s="32"/>
      <c r="B100" s="17" t="s">
        <v>18</v>
      </c>
      <c r="C100" s="28"/>
      <c r="D100" s="28"/>
      <c r="E100" s="37"/>
      <c r="F100" s="28"/>
      <c r="G100" s="33"/>
      <c r="H100" s="28"/>
      <c r="I100" s="34"/>
      <c r="J100" s="28"/>
      <c r="K100" s="28"/>
      <c r="L100" s="35"/>
      <c r="M100" s="28"/>
      <c r="N100" s="36"/>
      <c r="O100" s="29">
        <f t="shared" si="1"/>
        <v>0</v>
      </c>
    </row>
    <row r="101" spans="1:15" x14ac:dyDescent="0.2">
      <c r="A101" s="32"/>
      <c r="B101" s="17" t="s">
        <v>18</v>
      </c>
      <c r="C101" s="28"/>
      <c r="D101" s="28"/>
      <c r="E101" s="37"/>
      <c r="F101" s="28"/>
      <c r="G101" s="33"/>
      <c r="H101" s="28"/>
      <c r="I101" s="34"/>
      <c r="J101" s="28"/>
      <c r="K101" s="28"/>
      <c r="L101" s="35"/>
      <c r="M101" s="28"/>
      <c r="N101" s="36"/>
      <c r="O101" s="29">
        <f t="shared" si="1"/>
        <v>0</v>
      </c>
    </row>
    <row r="102" spans="1:15" x14ac:dyDescent="0.2">
      <c r="A102" s="32"/>
      <c r="B102" s="17" t="s">
        <v>18</v>
      </c>
      <c r="C102" s="28"/>
      <c r="D102" s="28"/>
      <c r="E102" s="37"/>
      <c r="F102" s="28"/>
      <c r="G102" s="33"/>
      <c r="H102" s="28"/>
      <c r="I102" s="34"/>
      <c r="J102" s="28"/>
      <c r="K102" s="28"/>
      <c r="L102" s="35"/>
      <c r="M102" s="28"/>
      <c r="N102" s="36"/>
      <c r="O102" s="29">
        <f t="shared" si="1"/>
        <v>0</v>
      </c>
    </row>
    <row r="103" spans="1:15" x14ac:dyDescent="0.2">
      <c r="A103" s="32"/>
      <c r="B103" s="17" t="s">
        <v>18</v>
      </c>
      <c r="C103" s="28"/>
      <c r="D103" s="28"/>
      <c r="E103" s="37"/>
      <c r="F103" s="28"/>
      <c r="G103" s="33"/>
      <c r="H103" s="28"/>
      <c r="I103" s="34"/>
      <c r="J103" s="28"/>
      <c r="K103" s="28"/>
      <c r="L103" s="35"/>
      <c r="M103" s="28"/>
      <c r="N103" s="36"/>
      <c r="O103" s="29">
        <f t="shared" si="1"/>
        <v>0</v>
      </c>
    </row>
    <row r="104" spans="1:15" x14ac:dyDescent="0.2">
      <c r="A104" s="32"/>
      <c r="B104" s="17" t="s">
        <v>18</v>
      </c>
      <c r="C104" s="28"/>
      <c r="D104" s="28"/>
      <c r="E104" s="37"/>
      <c r="F104" s="28"/>
      <c r="G104" s="33"/>
      <c r="H104" s="28"/>
      <c r="I104" s="34"/>
      <c r="J104" s="28"/>
      <c r="K104" s="28"/>
      <c r="L104" s="35"/>
      <c r="M104" s="28"/>
      <c r="N104" s="36"/>
      <c r="O104" s="29">
        <f t="shared" si="1"/>
        <v>0</v>
      </c>
    </row>
    <row r="105" spans="1:15" x14ac:dyDescent="0.2">
      <c r="A105" s="32"/>
      <c r="B105" s="17" t="s">
        <v>18</v>
      </c>
      <c r="C105" s="28"/>
      <c r="D105" s="28"/>
      <c r="E105" s="37"/>
      <c r="F105" s="28"/>
      <c r="G105" s="33"/>
      <c r="H105" s="28"/>
      <c r="I105" s="34"/>
      <c r="J105" s="28"/>
      <c r="K105" s="28"/>
      <c r="L105" s="35"/>
      <c r="M105" s="28"/>
      <c r="N105" s="36"/>
      <c r="O105" s="29">
        <f t="shared" si="1"/>
        <v>0</v>
      </c>
    </row>
    <row r="106" spans="1:15" x14ac:dyDescent="0.2">
      <c r="A106" s="32"/>
      <c r="B106" s="17" t="s">
        <v>18</v>
      </c>
      <c r="C106" s="28"/>
      <c r="D106" s="28"/>
      <c r="E106" s="37"/>
      <c r="F106" s="28"/>
      <c r="G106" s="33"/>
      <c r="H106" s="28"/>
      <c r="I106" s="34"/>
      <c r="J106" s="28"/>
      <c r="K106" s="28"/>
      <c r="L106" s="35"/>
      <c r="M106" s="28"/>
      <c r="N106" s="36"/>
      <c r="O106" s="29">
        <f t="shared" si="1"/>
        <v>0</v>
      </c>
    </row>
    <row r="107" spans="1:15" x14ac:dyDescent="0.2">
      <c r="A107" s="32"/>
      <c r="B107" s="17" t="s">
        <v>18</v>
      </c>
      <c r="C107" s="28"/>
      <c r="D107" s="28"/>
      <c r="E107" s="37"/>
      <c r="F107" s="28"/>
      <c r="G107" s="33"/>
      <c r="H107" s="28"/>
      <c r="I107" s="34"/>
      <c r="J107" s="28"/>
      <c r="K107" s="28"/>
      <c r="L107" s="35"/>
      <c r="M107" s="28"/>
      <c r="N107" s="36"/>
      <c r="O107" s="29">
        <f t="shared" si="1"/>
        <v>0</v>
      </c>
    </row>
    <row r="108" spans="1:15" x14ac:dyDescent="0.2">
      <c r="A108" s="32"/>
      <c r="B108" s="27"/>
      <c r="C108" s="28"/>
      <c r="D108" s="28"/>
      <c r="E108" s="37"/>
      <c r="F108" s="28"/>
      <c r="G108" s="33"/>
      <c r="H108" s="28"/>
      <c r="I108" s="34"/>
      <c r="J108" s="28"/>
      <c r="K108" s="28"/>
      <c r="L108" s="35"/>
      <c r="M108" s="28"/>
      <c r="N108" s="36"/>
      <c r="O108" s="29">
        <f t="shared" si="1"/>
        <v>0</v>
      </c>
    </row>
    <row r="109" spans="1:15" x14ac:dyDescent="0.2">
      <c r="A109" s="32"/>
      <c r="B109" s="27"/>
      <c r="C109" s="28"/>
      <c r="D109" s="28"/>
      <c r="E109" s="28"/>
      <c r="F109" s="28"/>
      <c r="G109" s="33"/>
      <c r="H109" s="28"/>
      <c r="I109" s="34"/>
      <c r="J109" s="28"/>
      <c r="K109" s="28"/>
      <c r="L109" s="35"/>
      <c r="M109" s="28"/>
      <c r="N109" s="36"/>
      <c r="O109" s="29">
        <f t="shared" si="1"/>
        <v>0</v>
      </c>
    </row>
    <row r="110" spans="1:15" x14ac:dyDescent="0.2">
      <c r="A110" s="32"/>
      <c r="B110" s="27"/>
      <c r="C110" s="28"/>
      <c r="D110" s="28"/>
      <c r="E110" s="28"/>
      <c r="F110" s="28"/>
      <c r="G110" s="33"/>
      <c r="H110" s="28"/>
      <c r="I110" s="34"/>
      <c r="J110" s="28"/>
      <c r="K110" s="28"/>
      <c r="L110" s="35"/>
      <c r="M110" s="28"/>
      <c r="N110" s="36"/>
      <c r="O110" s="29">
        <f t="shared" si="1"/>
        <v>0</v>
      </c>
    </row>
    <row r="111" spans="1:15" x14ac:dyDescent="0.2">
      <c r="A111" s="32"/>
      <c r="B111" s="27"/>
      <c r="C111" s="28"/>
      <c r="D111" s="28"/>
      <c r="E111" s="37"/>
      <c r="F111" s="28"/>
      <c r="G111" s="33"/>
      <c r="H111" s="28"/>
      <c r="I111" s="34"/>
      <c r="J111" s="28"/>
      <c r="K111" s="28"/>
      <c r="L111" s="35"/>
      <c r="M111" s="28"/>
      <c r="N111" s="36"/>
      <c r="O111" s="29">
        <f t="shared" si="1"/>
        <v>0</v>
      </c>
    </row>
    <row r="112" spans="1:15" x14ac:dyDescent="0.2">
      <c r="A112" s="32"/>
      <c r="B112" s="27"/>
      <c r="C112" s="28"/>
      <c r="D112" s="28"/>
      <c r="E112" s="37"/>
      <c r="F112" s="28"/>
      <c r="G112" s="33"/>
      <c r="H112" s="28"/>
      <c r="I112" s="34"/>
      <c r="J112" s="28"/>
      <c r="K112" s="28"/>
      <c r="L112" s="35"/>
      <c r="M112" s="28"/>
      <c r="N112" s="36"/>
      <c r="O112" s="29">
        <f t="shared" si="1"/>
        <v>0</v>
      </c>
    </row>
    <row r="113" spans="1:15" x14ac:dyDescent="0.2">
      <c r="A113" s="32"/>
      <c r="B113" s="27"/>
      <c r="C113" s="28"/>
      <c r="D113" s="28"/>
      <c r="E113" s="37"/>
      <c r="F113" s="28"/>
      <c r="G113" s="33"/>
      <c r="H113" s="28"/>
      <c r="I113" s="34"/>
      <c r="J113" s="28"/>
      <c r="K113" s="28"/>
      <c r="L113" s="35"/>
      <c r="M113" s="28"/>
      <c r="N113" s="36"/>
      <c r="O113" s="29">
        <f t="shared" si="1"/>
        <v>0</v>
      </c>
    </row>
    <row r="114" spans="1:15" x14ac:dyDescent="0.2">
      <c r="A114" s="32"/>
      <c r="B114" s="27"/>
      <c r="C114" s="28"/>
      <c r="D114" s="28"/>
      <c r="E114" s="37"/>
      <c r="F114" s="28"/>
      <c r="G114" s="33"/>
      <c r="H114" s="28"/>
      <c r="I114" s="34"/>
      <c r="J114" s="28"/>
      <c r="K114" s="28"/>
      <c r="L114" s="35"/>
      <c r="M114" s="28"/>
      <c r="N114" s="36"/>
      <c r="O114" s="29">
        <f t="shared" si="1"/>
        <v>0</v>
      </c>
    </row>
    <row r="115" spans="1:15" x14ac:dyDescent="0.2">
      <c r="A115" s="32"/>
      <c r="B115" s="27"/>
      <c r="C115" s="28"/>
      <c r="D115" s="28"/>
      <c r="E115" s="37"/>
      <c r="F115" s="28"/>
      <c r="G115" s="33"/>
      <c r="H115" s="28"/>
      <c r="I115" s="34"/>
      <c r="J115" s="28"/>
      <c r="K115" s="28"/>
      <c r="L115" s="35"/>
      <c r="M115" s="28"/>
      <c r="N115" s="36"/>
      <c r="O115" s="29">
        <f t="shared" si="1"/>
        <v>0</v>
      </c>
    </row>
    <row r="116" spans="1:15" x14ac:dyDescent="0.2">
      <c r="A116" s="32"/>
      <c r="B116" s="27"/>
      <c r="C116" s="28"/>
      <c r="D116" s="28"/>
      <c r="E116" s="37"/>
      <c r="F116" s="28"/>
      <c r="G116" s="33"/>
      <c r="H116" s="28"/>
      <c r="I116" s="34"/>
      <c r="J116" s="28"/>
      <c r="K116" s="28"/>
      <c r="L116" s="35"/>
      <c r="M116" s="28"/>
      <c r="N116" s="36"/>
      <c r="O116" s="29">
        <f t="shared" si="1"/>
        <v>0</v>
      </c>
    </row>
    <row r="117" spans="1:15" x14ac:dyDescent="0.2">
      <c r="A117" s="32"/>
      <c r="B117" s="27"/>
      <c r="C117" s="28"/>
      <c r="D117" s="28"/>
      <c r="E117" s="37"/>
      <c r="F117" s="28"/>
      <c r="G117" s="33"/>
      <c r="H117" s="28"/>
      <c r="I117" s="34"/>
      <c r="J117" s="28"/>
      <c r="K117" s="28"/>
      <c r="L117" s="35"/>
      <c r="M117" s="28"/>
      <c r="N117" s="36"/>
      <c r="O117" s="29">
        <f t="shared" si="1"/>
        <v>0</v>
      </c>
    </row>
    <row r="118" spans="1:15" x14ac:dyDescent="0.2">
      <c r="A118" s="32"/>
      <c r="B118" s="27"/>
      <c r="C118" s="28"/>
      <c r="D118" s="28"/>
      <c r="E118" s="37"/>
      <c r="F118" s="28"/>
      <c r="G118" s="33"/>
      <c r="H118" s="28"/>
      <c r="I118" s="34"/>
      <c r="J118" s="28"/>
      <c r="K118" s="28"/>
      <c r="L118" s="35"/>
      <c r="M118" s="28"/>
      <c r="N118" s="36"/>
      <c r="O118" s="29">
        <f t="shared" si="1"/>
        <v>0</v>
      </c>
    </row>
    <row r="119" spans="1:15" x14ac:dyDescent="0.2">
      <c r="A119" s="32"/>
      <c r="B119" s="17"/>
      <c r="C119" s="28"/>
      <c r="D119" s="28"/>
      <c r="E119" s="37"/>
      <c r="F119" s="28"/>
      <c r="G119" s="33"/>
      <c r="H119" s="28"/>
      <c r="I119" s="34"/>
      <c r="J119" s="28"/>
      <c r="K119" s="28"/>
      <c r="L119" s="35"/>
      <c r="M119" s="28"/>
      <c r="N119" s="36"/>
      <c r="O119" s="29">
        <f t="shared" si="1"/>
        <v>0</v>
      </c>
    </row>
    <row r="120" spans="1:15" x14ac:dyDescent="0.2">
      <c r="A120" s="32"/>
      <c r="B120" s="17"/>
      <c r="C120" s="28"/>
      <c r="D120" s="28"/>
      <c r="E120" s="37"/>
      <c r="F120" s="28"/>
      <c r="G120" s="33"/>
      <c r="H120" s="28"/>
      <c r="I120" s="34"/>
      <c r="J120" s="28"/>
      <c r="K120" s="28"/>
      <c r="L120" s="35"/>
      <c r="M120" s="28"/>
      <c r="N120" s="36"/>
      <c r="O120" s="29">
        <f t="shared" si="1"/>
        <v>0</v>
      </c>
    </row>
    <row r="121" spans="1:15" x14ac:dyDescent="0.2">
      <c r="A121" s="32"/>
      <c r="B121" s="17"/>
      <c r="C121" s="28"/>
      <c r="D121" s="28"/>
      <c r="E121" s="37"/>
      <c r="F121" s="28"/>
      <c r="G121" s="33"/>
      <c r="H121" s="28"/>
      <c r="I121" s="34"/>
      <c r="J121" s="28"/>
      <c r="K121" s="28"/>
      <c r="L121" s="35"/>
      <c r="M121" s="28"/>
      <c r="N121" s="36"/>
      <c r="O121" s="29">
        <f t="shared" si="1"/>
        <v>0</v>
      </c>
    </row>
    <row r="122" spans="1:15" x14ac:dyDescent="0.2">
      <c r="A122" s="32"/>
      <c r="B122" s="17" t="s">
        <v>19</v>
      </c>
      <c r="C122" s="28"/>
      <c r="D122" s="28"/>
      <c r="E122" s="28"/>
      <c r="F122" s="28"/>
      <c r="G122" s="33"/>
      <c r="H122" s="28"/>
      <c r="I122" s="34"/>
      <c r="J122" s="28"/>
      <c r="K122" s="28"/>
      <c r="L122" s="35"/>
      <c r="M122" s="28"/>
      <c r="N122" s="36"/>
      <c r="O122" s="29">
        <f t="shared" si="1"/>
        <v>0</v>
      </c>
    </row>
    <row r="123" spans="1:15" x14ac:dyDescent="0.2">
      <c r="A123" s="32"/>
      <c r="B123" s="17" t="s">
        <v>19</v>
      </c>
      <c r="C123" s="28"/>
      <c r="D123" s="28"/>
      <c r="E123" s="28"/>
      <c r="F123" s="28"/>
      <c r="G123" s="33"/>
      <c r="H123" s="28"/>
      <c r="I123" s="34"/>
      <c r="J123" s="28"/>
      <c r="K123" s="28"/>
      <c r="L123" s="35"/>
      <c r="M123" s="28"/>
      <c r="N123" s="36"/>
      <c r="O123" s="29">
        <f t="shared" si="1"/>
        <v>0</v>
      </c>
    </row>
    <row r="124" spans="1:15" x14ac:dyDescent="0.2">
      <c r="A124" s="32"/>
      <c r="B124" s="17" t="s">
        <v>19</v>
      </c>
      <c r="C124" s="28"/>
      <c r="D124" s="28"/>
      <c r="E124" s="28"/>
      <c r="F124" s="28"/>
      <c r="G124" s="33"/>
      <c r="H124" s="28"/>
      <c r="I124" s="34"/>
      <c r="J124" s="28"/>
      <c r="K124" s="28"/>
      <c r="L124" s="35"/>
      <c r="M124" s="28"/>
      <c r="N124" s="36"/>
      <c r="O124" s="29">
        <f t="shared" si="1"/>
        <v>0</v>
      </c>
    </row>
    <row r="125" spans="1:15" x14ac:dyDescent="0.2">
      <c r="A125" s="32"/>
      <c r="B125" s="17" t="s">
        <v>19</v>
      </c>
      <c r="C125" s="28"/>
      <c r="D125" s="28"/>
      <c r="E125" s="28"/>
      <c r="F125" s="28"/>
      <c r="G125" s="33"/>
      <c r="H125" s="28"/>
      <c r="I125" s="34"/>
      <c r="J125" s="28"/>
      <c r="K125" s="28"/>
      <c r="L125" s="35"/>
      <c r="M125" s="28"/>
      <c r="N125" s="36"/>
      <c r="O125" s="29">
        <f t="shared" si="1"/>
        <v>0</v>
      </c>
    </row>
    <row r="126" spans="1:15" x14ac:dyDescent="0.2">
      <c r="A126" s="32"/>
      <c r="B126" s="17" t="s">
        <v>19</v>
      </c>
      <c r="C126" s="28"/>
      <c r="D126" s="28"/>
      <c r="E126" s="28"/>
      <c r="F126" s="28"/>
      <c r="G126" s="33"/>
      <c r="H126" s="28"/>
      <c r="I126" s="34"/>
      <c r="J126" s="28"/>
      <c r="K126" s="28"/>
      <c r="L126" s="35"/>
      <c r="M126" s="28"/>
      <c r="N126" s="36"/>
      <c r="O126" s="29">
        <f t="shared" si="1"/>
        <v>0</v>
      </c>
    </row>
    <row r="127" spans="1:15" x14ac:dyDescent="0.2">
      <c r="A127" s="32"/>
      <c r="B127" s="17" t="s">
        <v>19</v>
      </c>
      <c r="C127" s="28"/>
      <c r="D127" s="28"/>
      <c r="E127" s="28"/>
      <c r="F127" s="28"/>
      <c r="G127" s="33"/>
      <c r="H127" s="28"/>
      <c r="I127" s="34"/>
      <c r="J127" s="28"/>
      <c r="K127" s="28"/>
      <c r="L127" s="35"/>
      <c r="M127" s="28"/>
      <c r="N127" s="36"/>
      <c r="O127" s="29">
        <f t="shared" si="1"/>
        <v>0</v>
      </c>
    </row>
    <row r="128" spans="1:15" x14ac:dyDescent="0.2">
      <c r="A128" s="32"/>
      <c r="B128" s="17" t="s">
        <v>19</v>
      </c>
      <c r="C128" s="28"/>
      <c r="D128" s="28"/>
      <c r="E128" s="28"/>
      <c r="F128" s="28"/>
      <c r="G128" s="33"/>
      <c r="H128" s="28"/>
      <c r="I128" s="34"/>
      <c r="J128" s="28"/>
      <c r="K128" s="28"/>
      <c r="L128" s="35"/>
      <c r="M128" s="28"/>
      <c r="N128" s="36"/>
      <c r="O128" s="29">
        <f t="shared" si="1"/>
        <v>0</v>
      </c>
    </row>
    <row r="129" spans="1:15" x14ac:dyDescent="0.2">
      <c r="A129" s="32"/>
      <c r="B129" s="17" t="s">
        <v>19</v>
      </c>
      <c r="C129" s="28"/>
      <c r="D129" s="28"/>
      <c r="E129" s="28"/>
      <c r="F129" s="28"/>
      <c r="G129" s="33"/>
      <c r="H129" s="28"/>
      <c r="I129" s="34"/>
      <c r="J129" s="28"/>
      <c r="K129" s="28"/>
      <c r="L129" s="35"/>
      <c r="M129" s="28"/>
      <c r="N129" s="36"/>
      <c r="O129" s="29">
        <f t="shared" si="1"/>
        <v>0</v>
      </c>
    </row>
    <row r="130" spans="1:15" x14ac:dyDescent="0.2">
      <c r="A130" s="32"/>
      <c r="B130" s="17" t="s">
        <v>19</v>
      </c>
      <c r="C130" s="28"/>
      <c r="D130" s="28"/>
      <c r="E130" s="28"/>
      <c r="F130" s="28"/>
      <c r="G130" s="33"/>
      <c r="H130" s="28"/>
      <c r="I130" s="34"/>
      <c r="J130" s="28"/>
      <c r="K130" s="28"/>
      <c r="L130" s="35"/>
      <c r="M130" s="28"/>
      <c r="N130" s="36"/>
      <c r="O130" s="29">
        <f t="shared" si="1"/>
        <v>0</v>
      </c>
    </row>
    <row r="131" spans="1:15" x14ac:dyDescent="0.2">
      <c r="A131" s="32"/>
      <c r="B131" s="17" t="s">
        <v>19</v>
      </c>
      <c r="C131" s="28"/>
      <c r="D131" s="28"/>
      <c r="E131" s="28"/>
      <c r="F131" s="28"/>
      <c r="G131" s="33"/>
      <c r="H131" s="28"/>
      <c r="I131" s="34"/>
      <c r="J131" s="28"/>
      <c r="K131" s="28"/>
      <c r="L131" s="35"/>
      <c r="M131" s="28"/>
      <c r="N131" s="36"/>
      <c r="O131" s="29">
        <f t="shared" ref="O131:O194" si="2">N131*J131</f>
        <v>0</v>
      </c>
    </row>
    <row r="132" spans="1:15" x14ac:dyDescent="0.2">
      <c r="A132" s="32"/>
      <c r="B132" s="17"/>
      <c r="C132" s="28"/>
      <c r="D132" s="28"/>
      <c r="E132" s="28"/>
      <c r="F132" s="28"/>
      <c r="G132" s="33"/>
      <c r="H132" s="28"/>
      <c r="I132" s="34"/>
      <c r="J132" s="28"/>
      <c r="K132" s="28"/>
      <c r="L132" s="35"/>
      <c r="M132" s="28"/>
      <c r="N132" s="36"/>
      <c r="O132" s="29">
        <f t="shared" si="2"/>
        <v>0</v>
      </c>
    </row>
    <row r="133" spans="1:15" x14ac:dyDescent="0.2">
      <c r="A133" s="32"/>
      <c r="B133" s="17"/>
      <c r="C133" s="28"/>
      <c r="D133" s="28"/>
      <c r="E133" s="28"/>
      <c r="F133" s="28"/>
      <c r="G133" s="33"/>
      <c r="H133" s="28"/>
      <c r="I133" s="34"/>
      <c r="J133" s="28"/>
      <c r="K133" s="28"/>
      <c r="L133" s="35"/>
      <c r="M133" s="28"/>
      <c r="N133" s="36"/>
      <c r="O133" s="29">
        <f t="shared" si="2"/>
        <v>0</v>
      </c>
    </row>
    <row r="134" spans="1:15" x14ac:dyDescent="0.2">
      <c r="A134" s="32"/>
      <c r="B134" s="17"/>
      <c r="C134" s="28"/>
      <c r="D134" s="28"/>
      <c r="E134" s="28"/>
      <c r="F134" s="28"/>
      <c r="G134" s="33"/>
      <c r="H134" s="28"/>
      <c r="I134" s="34"/>
      <c r="J134" s="28"/>
      <c r="K134" s="28"/>
      <c r="L134" s="35"/>
      <c r="M134" s="28"/>
      <c r="N134" s="36"/>
      <c r="O134" s="29">
        <f t="shared" si="2"/>
        <v>0</v>
      </c>
    </row>
    <row r="135" spans="1:15" x14ac:dyDescent="0.2">
      <c r="A135" s="32"/>
      <c r="B135" s="17"/>
      <c r="C135" s="28"/>
      <c r="D135" s="28"/>
      <c r="E135" s="28"/>
      <c r="F135" s="28"/>
      <c r="G135" s="33"/>
      <c r="H135" s="28"/>
      <c r="I135" s="34"/>
      <c r="J135" s="28"/>
      <c r="K135" s="28"/>
      <c r="L135" s="35"/>
      <c r="M135" s="28"/>
      <c r="N135" s="36"/>
      <c r="O135" s="29">
        <f t="shared" si="2"/>
        <v>0</v>
      </c>
    </row>
    <row r="136" spans="1:15" x14ac:dyDescent="0.2">
      <c r="A136" s="32"/>
      <c r="B136" s="17"/>
      <c r="C136" s="28"/>
      <c r="D136" s="28"/>
      <c r="E136" s="28"/>
      <c r="F136" s="28"/>
      <c r="G136" s="33"/>
      <c r="H136" s="28"/>
      <c r="I136" s="34"/>
      <c r="J136" s="28"/>
      <c r="K136" s="28"/>
      <c r="L136" s="35"/>
      <c r="M136" s="28"/>
      <c r="N136" s="36"/>
      <c r="O136" s="29">
        <f t="shared" si="2"/>
        <v>0</v>
      </c>
    </row>
    <row r="137" spans="1:15" x14ac:dyDescent="0.2">
      <c r="A137" s="32"/>
      <c r="B137" s="17"/>
      <c r="C137" s="28"/>
      <c r="D137" s="28"/>
      <c r="E137" s="28"/>
      <c r="F137" s="28"/>
      <c r="G137" s="33"/>
      <c r="H137" s="28"/>
      <c r="I137" s="34"/>
      <c r="J137" s="28"/>
      <c r="K137" s="28"/>
      <c r="L137" s="35"/>
      <c r="M137" s="28"/>
      <c r="N137" s="36"/>
      <c r="O137" s="29">
        <f t="shared" si="2"/>
        <v>0</v>
      </c>
    </row>
    <row r="138" spans="1:15" x14ac:dyDescent="0.2">
      <c r="A138" s="32"/>
      <c r="B138" s="17"/>
      <c r="C138" s="28"/>
      <c r="D138" s="28"/>
      <c r="E138" s="28"/>
      <c r="F138" s="28"/>
      <c r="G138" s="33"/>
      <c r="H138" s="28"/>
      <c r="I138" s="34"/>
      <c r="J138" s="28"/>
      <c r="K138" s="28"/>
      <c r="L138" s="35"/>
      <c r="M138" s="28"/>
      <c r="N138" s="36"/>
      <c r="O138" s="29">
        <f t="shared" si="2"/>
        <v>0</v>
      </c>
    </row>
    <row r="139" spans="1:15" x14ac:dyDescent="0.2">
      <c r="A139" s="32"/>
      <c r="B139" s="17"/>
      <c r="C139" s="28"/>
      <c r="D139" s="28"/>
      <c r="E139" s="28"/>
      <c r="F139" s="28"/>
      <c r="G139" s="33"/>
      <c r="H139" s="28"/>
      <c r="I139" s="34"/>
      <c r="J139" s="28"/>
      <c r="K139" s="28"/>
      <c r="L139" s="35"/>
      <c r="M139" s="28"/>
      <c r="N139" s="36"/>
      <c r="O139" s="29">
        <f t="shared" si="2"/>
        <v>0</v>
      </c>
    </row>
    <row r="140" spans="1:15" x14ac:dyDescent="0.2">
      <c r="A140" s="32"/>
      <c r="B140" s="17"/>
      <c r="C140" s="28"/>
      <c r="D140" s="28"/>
      <c r="E140" s="28"/>
      <c r="F140" s="28"/>
      <c r="G140" s="33"/>
      <c r="H140" s="28"/>
      <c r="I140" s="34"/>
      <c r="J140" s="28"/>
      <c r="K140" s="28"/>
      <c r="L140" s="35"/>
      <c r="M140" s="28"/>
      <c r="N140" s="36"/>
      <c r="O140" s="29">
        <f t="shared" si="2"/>
        <v>0</v>
      </c>
    </row>
    <row r="141" spans="1:15" x14ac:dyDescent="0.2">
      <c r="A141" s="32"/>
      <c r="B141" s="17"/>
      <c r="C141" s="28"/>
      <c r="D141" s="28"/>
      <c r="E141" s="28"/>
      <c r="F141" s="28"/>
      <c r="G141" s="33"/>
      <c r="H141" s="28"/>
      <c r="I141" s="34"/>
      <c r="J141" s="28"/>
      <c r="K141" s="28"/>
      <c r="L141" s="35"/>
      <c r="M141" s="28"/>
      <c r="N141" s="36"/>
      <c r="O141" s="29">
        <f t="shared" si="2"/>
        <v>0</v>
      </c>
    </row>
    <row r="142" spans="1:15" x14ac:dyDescent="0.2">
      <c r="A142" s="32"/>
      <c r="B142" s="17"/>
      <c r="C142" s="28"/>
      <c r="D142" s="28"/>
      <c r="E142" s="28"/>
      <c r="F142" s="28"/>
      <c r="G142" s="33"/>
      <c r="H142" s="28"/>
      <c r="I142" s="34"/>
      <c r="J142" s="28"/>
      <c r="K142" s="28"/>
      <c r="L142" s="35"/>
      <c r="M142" s="28"/>
      <c r="N142" s="36"/>
      <c r="O142" s="29">
        <f t="shared" si="2"/>
        <v>0</v>
      </c>
    </row>
    <row r="143" spans="1:15" x14ac:dyDescent="0.2">
      <c r="A143" s="32"/>
      <c r="B143" s="17"/>
      <c r="C143" s="28"/>
      <c r="D143" s="28"/>
      <c r="E143" s="28"/>
      <c r="F143" s="28"/>
      <c r="G143" s="33"/>
      <c r="H143" s="28"/>
      <c r="I143" s="34"/>
      <c r="J143" s="28"/>
      <c r="K143" s="28"/>
      <c r="L143" s="35"/>
      <c r="M143" s="28"/>
      <c r="N143" s="36"/>
      <c r="O143" s="29">
        <f t="shared" si="2"/>
        <v>0</v>
      </c>
    </row>
    <row r="144" spans="1:15" x14ac:dyDescent="0.2">
      <c r="A144" s="32"/>
      <c r="B144" s="17"/>
      <c r="C144" s="28"/>
      <c r="D144" s="28"/>
      <c r="E144" s="28"/>
      <c r="F144" s="28"/>
      <c r="G144" s="33"/>
      <c r="H144" s="28"/>
      <c r="I144" s="34"/>
      <c r="J144" s="28"/>
      <c r="K144" s="28"/>
      <c r="L144" s="35"/>
      <c r="M144" s="28"/>
      <c r="N144" s="36"/>
      <c r="O144" s="29">
        <f t="shared" si="2"/>
        <v>0</v>
      </c>
    </row>
    <row r="145" spans="1:15" x14ac:dyDescent="0.2">
      <c r="A145" s="32"/>
      <c r="B145" s="17"/>
      <c r="C145" s="28"/>
      <c r="D145" s="28"/>
      <c r="E145" s="28"/>
      <c r="F145" s="28"/>
      <c r="G145" s="33"/>
      <c r="H145" s="28"/>
      <c r="I145" s="34"/>
      <c r="J145" s="28"/>
      <c r="K145" s="28"/>
      <c r="L145" s="35"/>
      <c r="M145" s="28"/>
      <c r="N145" s="36"/>
      <c r="O145" s="29">
        <f t="shared" si="2"/>
        <v>0</v>
      </c>
    </row>
    <row r="146" spans="1:15" x14ac:dyDescent="0.2">
      <c r="A146" s="32"/>
      <c r="B146" s="17"/>
      <c r="C146" s="28"/>
      <c r="D146" s="28"/>
      <c r="E146" s="28"/>
      <c r="F146" s="28"/>
      <c r="G146" s="33"/>
      <c r="H146" s="28"/>
      <c r="I146" s="34"/>
      <c r="J146" s="28"/>
      <c r="K146" s="28"/>
      <c r="L146" s="35"/>
      <c r="M146" s="28"/>
      <c r="N146" s="36"/>
      <c r="O146" s="29">
        <f t="shared" si="2"/>
        <v>0</v>
      </c>
    </row>
    <row r="147" spans="1:15" x14ac:dyDescent="0.2">
      <c r="A147" s="32"/>
      <c r="B147" s="17"/>
      <c r="C147" s="28"/>
      <c r="D147" s="28"/>
      <c r="E147" s="28"/>
      <c r="F147" s="28"/>
      <c r="G147" s="33"/>
      <c r="H147" s="28"/>
      <c r="I147" s="34"/>
      <c r="J147" s="28"/>
      <c r="K147" s="28"/>
      <c r="L147" s="35"/>
      <c r="M147" s="28"/>
      <c r="N147" s="36"/>
      <c r="O147" s="29">
        <f t="shared" si="2"/>
        <v>0</v>
      </c>
    </row>
    <row r="148" spans="1:15" x14ac:dyDescent="0.2">
      <c r="A148" s="32"/>
      <c r="B148" s="17"/>
      <c r="C148" s="28"/>
      <c r="D148" s="28"/>
      <c r="E148" s="28"/>
      <c r="F148" s="28"/>
      <c r="G148" s="33"/>
      <c r="H148" s="28"/>
      <c r="I148" s="34"/>
      <c r="J148" s="28"/>
      <c r="K148" s="28"/>
      <c r="L148" s="35"/>
      <c r="M148" s="28"/>
      <c r="N148" s="36"/>
      <c r="O148" s="29">
        <f t="shared" si="2"/>
        <v>0</v>
      </c>
    </row>
    <row r="149" spans="1:15" x14ac:dyDescent="0.2">
      <c r="A149" s="32"/>
      <c r="B149" s="17"/>
      <c r="C149" s="28"/>
      <c r="D149" s="28"/>
      <c r="E149" s="28"/>
      <c r="F149" s="28"/>
      <c r="G149" s="33"/>
      <c r="H149" s="28"/>
      <c r="I149" s="34"/>
      <c r="J149" s="28"/>
      <c r="K149" s="28"/>
      <c r="L149" s="35"/>
      <c r="M149" s="28"/>
      <c r="N149" s="36"/>
      <c r="O149" s="29">
        <f t="shared" si="2"/>
        <v>0</v>
      </c>
    </row>
    <row r="150" spans="1:15" x14ac:dyDescent="0.2">
      <c r="A150" s="32"/>
      <c r="B150" s="17"/>
      <c r="C150" s="28"/>
      <c r="D150" s="28"/>
      <c r="E150" s="28"/>
      <c r="F150" s="28"/>
      <c r="G150" s="33"/>
      <c r="H150" s="28"/>
      <c r="I150" s="34"/>
      <c r="J150" s="28"/>
      <c r="K150" s="28"/>
      <c r="L150" s="35"/>
      <c r="M150" s="28"/>
      <c r="N150" s="36"/>
      <c r="O150" s="29">
        <f t="shared" si="2"/>
        <v>0</v>
      </c>
    </row>
    <row r="151" spans="1:15" x14ac:dyDescent="0.2">
      <c r="A151" s="32"/>
      <c r="B151" s="17"/>
      <c r="C151" s="28"/>
      <c r="D151" s="28"/>
      <c r="E151" s="28"/>
      <c r="F151" s="28"/>
      <c r="G151" s="33"/>
      <c r="H151" s="28"/>
      <c r="I151" s="34"/>
      <c r="J151" s="28"/>
      <c r="K151" s="28"/>
      <c r="L151" s="35"/>
      <c r="M151" s="28"/>
      <c r="N151" s="36"/>
      <c r="O151" s="29">
        <f t="shared" si="2"/>
        <v>0</v>
      </c>
    </row>
    <row r="152" spans="1:15" x14ac:dyDescent="0.2">
      <c r="A152" s="32"/>
      <c r="B152" s="17"/>
      <c r="C152" s="28"/>
      <c r="D152" s="28"/>
      <c r="E152" s="28"/>
      <c r="F152" s="28"/>
      <c r="G152" s="33"/>
      <c r="H152" s="28"/>
      <c r="I152" s="34"/>
      <c r="J152" s="28"/>
      <c r="K152" s="28"/>
      <c r="L152" s="35"/>
      <c r="M152" s="28"/>
      <c r="N152" s="36"/>
      <c r="O152" s="29">
        <f t="shared" si="2"/>
        <v>0</v>
      </c>
    </row>
    <row r="153" spans="1:15" x14ac:dyDescent="0.2">
      <c r="A153" s="32"/>
      <c r="B153" s="17"/>
      <c r="C153" s="28"/>
      <c r="D153" s="28"/>
      <c r="E153" s="28"/>
      <c r="F153" s="28"/>
      <c r="G153" s="33"/>
      <c r="H153" s="28"/>
      <c r="I153" s="34"/>
      <c r="J153" s="28"/>
      <c r="K153" s="28"/>
      <c r="L153" s="35"/>
      <c r="M153" s="28"/>
      <c r="N153" s="36"/>
      <c r="O153" s="29">
        <f t="shared" si="2"/>
        <v>0</v>
      </c>
    </row>
    <row r="154" spans="1:15" x14ac:dyDescent="0.2">
      <c r="A154" s="32"/>
      <c r="B154" s="17"/>
      <c r="C154" s="28"/>
      <c r="D154" s="28"/>
      <c r="E154" s="28"/>
      <c r="F154" s="28"/>
      <c r="G154" s="33"/>
      <c r="H154" s="28"/>
      <c r="I154" s="34"/>
      <c r="J154" s="28"/>
      <c r="K154" s="28"/>
      <c r="L154" s="35"/>
      <c r="M154" s="28"/>
      <c r="N154" s="36"/>
      <c r="O154" s="29">
        <f t="shared" si="2"/>
        <v>0</v>
      </c>
    </row>
    <row r="155" spans="1:15" x14ac:dyDescent="0.2">
      <c r="A155" s="32"/>
      <c r="B155" s="17"/>
      <c r="C155" s="28"/>
      <c r="D155" s="28"/>
      <c r="E155" s="28"/>
      <c r="F155" s="28"/>
      <c r="G155" s="33"/>
      <c r="H155" s="28"/>
      <c r="I155" s="34"/>
      <c r="J155" s="28"/>
      <c r="K155" s="28"/>
      <c r="L155" s="35"/>
      <c r="M155" s="28"/>
      <c r="N155" s="36"/>
      <c r="O155" s="29">
        <f t="shared" si="2"/>
        <v>0</v>
      </c>
    </row>
    <row r="156" spans="1:15" x14ac:dyDescent="0.2">
      <c r="A156" s="32"/>
      <c r="B156" s="17"/>
      <c r="C156" s="28"/>
      <c r="D156" s="28"/>
      <c r="E156" s="28"/>
      <c r="F156" s="28"/>
      <c r="G156" s="33"/>
      <c r="H156" s="28"/>
      <c r="I156" s="34"/>
      <c r="J156" s="28"/>
      <c r="K156" s="28"/>
      <c r="L156" s="35"/>
      <c r="M156" s="28"/>
      <c r="N156" s="36"/>
      <c r="O156" s="29">
        <f t="shared" si="2"/>
        <v>0</v>
      </c>
    </row>
    <row r="157" spans="1:15" x14ac:dyDescent="0.2">
      <c r="A157" s="32"/>
      <c r="B157" s="17"/>
      <c r="C157" s="28"/>
      <c r="D157" s="28"/>
      <c r="E157" s="28"/>
      <c r="F157" s="28"/>
      <c r="G157" s="35"/>
      <c r="H157" s="28"/>
      <c r="I157" s="34"/>
      <c r="J157" s="28"/>
      <c r="K157" s="28"/>
      <c r="L157" s="35"/>
      <c r="M157" s="28"/>
      <c r="N157" s="36"/>
      <c r="O157" s="29">
        <f t="shared" si="2"/>
        <v>0</v>
      </c>
    </row>
    <row r="158" spans="1:15" x14ac:dyDescent="0.2">
      <c r="A158" s="32"/>
      <c r="B158" s="17"/>
      <c r="C158" s="28"/>
      <c r="D158" s="28"/>
      <c r="E158" s="28"/>
      <c r="F158" s="28"/>
      <c r="G158" s="33"/>
      <c r="H158" s="28"/>
      <c r="I158" s="34"/>
      <c r="J158" s="28"/>
      <c r="K158" s="28"/>
      <c r="L158" s="35"/>
      <c r="M158" s="28"/>
      <c r="N158" s="36"/>
      <c r="O158" s="29">
        <f t="shared" si="2"/>
        <v>0</v>
      </c>
    </row>
    <row r="159" spans="1:15" x14ac:dyDescent="0.2">
      <c r="A159" s="32"/>
      <c r="B159" s="17"/>
      <c r="C159" s="28"/>
      <c r="D159" s="28"/>
      <c r="E159" s="28"/>
      <c r="F159" s="28"/>
      <c r="G159" s="33"/>
      <c r="H159" s="28"/>
      <c r="I159" s="34"/>
      <c r="J159" s="28"/>
      <c r="K159" s="28"/>
      <c r="L159" s="35"/>
      <c r="M159" s="28"/>
      <c r="N159" s="36"/>
      <c r="O159" s="29">
        <f t="shared" si="2"/>
        <v>0</v>
      </c>
    </row>
    <row r="160" spans="1:15" x14ac:dyDescent="0.2">
      <c r="A160" s="32"/>
      <c r="B160" s="17"/>
      <c r="C160" s="28"/>
      <c r="D160" s="28"/>
      <c r="E160" s="28"/>
      <c r="F160" s="28"/>
      <c r="G160" s="33"/>
      <c r="H160" s="28"/>
      <c r="I160" s="34"/>
      <c r="J160" s="28"/>
      <c r="K160" s="28"/>
      <c r="L160" s="35"/>
      <c r="M160" s="28"/>
      <c r="N160" s="36"/>
      <c r="O160" s="29">
        <f t="shared" si="2"/>
        <v>0</v>
      </c>
    </row>
    <row r="161" spans="1:15" x14ac:dyDescent="0.2">
      <c r="A161" s="32"/>
      <c r="B161" s="17" t="s">
        <v>20</v>
      </c>
      <c r="C161" s="28"/>
      <c r="D161" s="28"/>
      <c r="E161" s="28"/>
      <c r="F161" s="28"/>
      <c r="G161" s="33"/>
      <c r="H161" s="28"/>
      <c r="I161" s="34"/>
      <c r="J161" s="28"/>
      <c r="K161" s="28"/>
      <c r="L161" s="35"/>
      <c r="M161" s="28"/>
      <c r="N161" s="36"/>
      <c r="O161" s="29">
        <f t="shared" si="2"/>
        <v>0</v>
      </c>
    </row>
    <row r="162" spans="1:15" x14ac:dyDescent="0.2">
      <c r="A162" s="32"/>
      <c r="B162" s="17" t="s">
        <v>20</v>
      </c>
      <c r="C162" s="28"/>
      <c r="D162" s="28"/>
      <c r="E162" s="28"/>
      <c r="F162" s="28"/>
      <c r="G162" s="33"/>
      <c r="H162" s="28"/>
      <c r="I162" s="34"/>
      <c r="J162" s="28"/>
      <c r="K162" s="28"/>
      <c r="L162" s="35"/>
      <c r="M162" s="28"/>
      <c r="N162" s="36"/>
      <c r="O162" s="29">
        <f t="shared" si="2"/>
        <v>0</v>
      </c>
    </row>
    <row r="163" spans="1:15" x14ac:dyDescent="0.2">
      <c r="A163" s="32"/>
      <c r="B163" s="17" t="s">
        <v>20</v>
      </c>
      <c r="C163" s="28"/>
      <c r="D163" s="28"/>
      <c r="E163" s="28"/>
      <c r="F163" s="28"/>
      <c r="G163" s="33"/>
      <c r="H163" s="28"/>
      <c r="I163" s="34"/>
      <c r="J163" s="28"/>
      <c r="K163" s="28"/>
      <c r="L163" s="35"/>
      <c r="M163" s="28"/>
      <c r="N163" s="36"/>
      <c r="O163" s="29">
        <f t="shared" si="2"/>
        <v>0</v>
      </c>
    </row>
    <row r="164" spans="1:15" x14ac:dyDescent="0.2">
      <c r="A164" s="32"/>
      <c r="B164" s="17" t="s">
        <v>20</v>
      </c>
      <c r="C164" s="28"/>
      <c r="D164" s="28"/>
      <c r="E164" s="28"/>
      <c r="F164" s="28"/>
      <c r="G164" s="33"/>
      <c r="H164" s="28"/>
      <c r="I164" s="34"/>
      <c r="J164" s="28"/>
      <c r="K164" s="28"/>
      <c r="L164" s="35"/>
      <c r="M164" s="28"/>
      <c r="N164" s="36"/>
      <c r="O164" s="29">
        <f t="shared" si="2"/>
        <v>0</v>
      </c>
    </row>
    <row r="165" spans="1:15" x14ac:dyDescent="0.2">
      <c r="A165" s="32"/>
      <c r="B165" s="17" t="s">
        <v>20</v>
      </c>
      <c r="C165" s="28"/>
      <c r="D165" s="28"/>
      <c r="E165" s="28"/>
      <c r="F165" s="28"/>
      <c r="G165" s="33"/>
      <c r="H165" s="28"/>
      <c r="I165" s="34"/>
      <c r="J165" s="28"/>
      <c r="K165" s="28"/>
      <c r="L165" s="35"/>
      <c r="M165" s="28"/>
      <c r="N165" s="36"/>
      <c r="O165" s="29">
        <f t="shared" si="2"/>
        <v>0</v>
      </c>
    </row>
    <row r="166" spans="1:15" x14ac:dyDescent="0.2">
      <c r="A166" s="32"/>
      <c r="B166" s="17" t="s">
        <v>20</v>
      </c>
      <c r="C166" s="28"/>
      <c r="D166" s="28"/>
      <c r="E166" s="28"/>
      <c r="F166" s="28"/>
      <c r="G166" s="33"/>
      <c r="H166" s="28"/>
      <c r="I166" s="34"/>
      <c r="J166" s="28"/>
      <c r="K166" s="28"/>
      <c r="L166" s="35"/>
      <c r="M166" s="28"/>
      <c r="N166" s="36"/>
      <c r="O166" s="29">
        <f t="shared" si="2"/>
        <v>0</v>
      </c>
    </row>
    <row r="167" spans="1:15" x14ac:dyDescent="0.2">
      <c r="A167" s="32"/>
      <c r="B167" s="17" t="s">
        <v>20</v>
      </c>
      <c r="C167" s="28"/>
      <c r="D167" s="28"/>
      <c r="E167" s="28"/>
      <c r="F167" s="28"/>
      <c r="G167" s="33"/>
      <c r="H167" s="28"/>
      <c r="I167" s="34"/>
      <c r="J167" s="28"/>
      <c r="K167" s="28"/>
      <c r="L167" s="35"/>
      <c r="M167" s="28"/>
      <c r="N167" s="36"/>
      <c r="O167" s="29">
        <f t="shared" si="2"/>
        <v>0</v>
      </c>
    </row>
    <row r="168" spans="1:15" x14ac:dyDescent="0.2">
      <c r="A168" s="32"/>
      <c r="B168" s="17" t="s">
        <v>20</v>
      </c>
      <c r="C168" s="28"/>
      <c r="D168" s="28"/>
      <c r="E168" s="28"/>
      <c r="F168" s="28"/>
      <c r="G168" s="33"/>
      <c r="H168" s="28"/>
      <c r="I168" s="34"/>
      <c r="J168" s="28"/>
      <c r="K168" s="28"/>
      <c r="L168" s="35"/>
      <c r="M168" s="28"/>
      <c r="N168" s="36"/>
      <c r="O168" s="29">
        <f t="shared" si="2"/>
        <v>0</v>
      </c>
    </row>
    <row r="169" spans="1:15" x14ac:dyDescent="0.2">
      <c r="A169" s="32"/>
      <c r="B169" s="17" t="s">
        <v>20</v>
      </c>
      <c r="C169" s="28"/>
      <c r="D169" s="28"/>
      <c r="E169" s="28"/>
      <c r="F169" s="28"/>
      <c r="G169" s="33"/>
      <c r="H169" s="28"/>
      <c r="I169" s="34"/>
      <c r="J169" s="28"/>
      <c r="K169" s="28"/>
      <c r="L169" s="35"/>
      <c r="M169" s="28"/>
      <c r="N169" s="36"/>
      <c r="O169" s="29">
        <f t="shared" si="2"/>
        <v>0</v>
      </c>
    </row>
    <row r="170" spans="1:15" x14ac:dyDescent="0.2">
      <c r="A170" s="32"/>
      <c r="B170" s="17" t="s">
        <v>20</v>
      </c>
      <c r="C170" s="28"/>
      <c r="D170" s="28"/>
      <c r="E170" s="28"/>
      <c r="F170" s="28"/>
      <c r="G170" s="33"/>
      <c r="H170" s="28"/>
      <c r="I170" s="34"/>
      <c r="J170" s="28"/>
      <c r="K170" s="28"/>
      <c r="L170" s="35"/>
      <c r="M170" s="28"/>
      <c r="N170" s="36"/>
      <c r="O170" s="29">
        <f t="shared" si="2"/>
        <v>0</v>
      </c>
    </row>
    <row r="171" spans="1:15" x14ac:dyDescent="0.2">
      <c r="A171" s="32"/>
      <c r="B171" s="17" t="s">
        <v>20</v>
      </c>
      <c r="C171" s="28"/>
      <c r="D171" s="28"/>
      <c r="E171" s="28"/>
      <c r="F171" s="28"/>
      <c r="G171" s="33"/>
      <c r="H171" s="28"/>
      <c r="I171" s="34"/>
      <c r="J171" s="28"/>
      <c r="K171" s="28"/>
      <c r="L171" s="35"/>
      <c r="M171" s="28"/>
      <c r="N171" s="36"/>
      <c r="O171" s="29">
        <f t="shared" si="2"/>
        <v>0</v>
      </c>
    </row>
    <row r="172" spans="1:15" x14ac:dyDescent="0.2">
      <c r="A172" s="32"/>
      <c r="B172" s="17" t="s">
        <v>20</v>
      </c>
      <c r="C172" s="28"/>
      <c r="D172" s="28"/>
      <c r="E172" s="28"/>
      <c r="F172" s="28"/>
      <c r="G172" s="33"/>
      <c r="H172" s="28"/>
      <c r="I172" s="34"/>
      <c r="J172" s="28"/>
      <c r="K172" s="28"/>
      <c r="L172" s="35"/>
      <c r="M172" s="28"/>
      <c r="N172" s="36"/>
      <c r="O172" s="29">
        <f t="shared" si="2"/>
        <v>0</v>
      </c>
    </row>
    <row r="173" spans="1:15" x14ac:dyDescent="0.2">
      <c r="A173" s="32"/>
      <c r="B173" s="17" t="s">
        <v>20</v>
      </c>
      <c r="C173" s="28"/>
      <c r="D173" s="28"/>
      <c r="E173" s="28"/>
      <c r="F173" s="28"/>
      <c r="G173" s="33"/>
      <c r="H173" s="28"/>
      <c r="I173" s="34"/>
      <c r="J173" s="28"/>
      <c r="K173" s="28"/>
      <c r="L173" s="35"/>
      <c r="M173" s="28"/>
      <c r="N173" s="36"/>
      <c r="O173" s="29">
        <f t="shared" si="2"/>
        <v>0</v>
      </c>
    </row>
    <row r="174" spans="1:15" x14ac:dyDescent="0.2">
      <c r="A174" s="32"/>
      <c r="B174" s="17" t="s">
        <v>20</v>
      </c>
      <c r="C174" s="28"/>
      <c r="D174" s="28"/>
      <c r="E174" s="28"/>
      <c r="F174" s="28"/>
      <c r="G174" s="33"/>
      <c r="H174" s="28"/>
      <c r="I174" s="34"/>
      <c r="J174" s="28"/>
      <c r="K174" s="28"/>
      <c r="L174" s="35"/>
      <c r="M174" s="28"/>
      <c r="N174" s="36"/>
      <c r="O174" s="29">
        <f t="shared" si="2"/>
        <v>0</v>
      </c>
    </row>
    <row r="175" spans="1:15" x14ac:dyDescent="0.2">
      <c r="A175" s="32"/>
      <c r="B175" s="17" t="s">
        <v>20</v>
      </c>
      <c r="C175" s="28"/>
      <c r="D175" s="28"/>
      <c r="E175" s="28"/>
      <c r="F175" s="28"/>
      <c r="G175" s="33"/>
      <c r="H175" s="28"/>
      <c r="I175" s="34"/>
      <c r="J175" s="28"/>
      <c r="K175" s="28"/>
      <c r="L175" s="35"/>
      <c r="M175" s="28"/>
      <c r="N175" s="36"/>
      <c r="O175" s="29">
        <f t="shared" si="2"/>
        <v>0</v>
      </c>
    </row>
    <row r="176" spans="1:15" x14ac:dyDescent="0.2">
      <c r="A176" s="32"/>
      <c r="B176" s="17" t="s">
        <v>20</v>
      </c>
      <c r="C176" s="28"/>
      <c r="D176" s="28"/>
      <c r="E176" s="28"/>
      <c r="F176" s="28"/>
      <c r="G176" s="33"/>
      <c r="H176" s="28"/>
      <c r="I176" s="34"/>
      <c r="J176" s="28"/>
      <c r="K176" s="28"/>
      <c r="L176" s="35"/>
      <c r="M176" s="28"/>
      <c r="N176" s="36"/>
      <c r="O176" s="29">
        <f t="shared" si="2"/>
        <v>0</v>
      </c>
    </row>
    <row r="177" spans="1:16" x14ac:dyDescent="0.2">
      <c r="A177" s="32"/>
      <c r="B177" s="17" t="s">
        <v>20</v>
      </c>
      <c r="C177" s="28"/>
      <c r="D177" s="28"/>
      <c r="E177" s="28"/>
      <c r="F177" s="28"/>
      <c r="G177" s="33"/>
      <c r="H177" s="28"/>
      <c r="I177" s="34"/>
      <c r="J177" s="28"/>
      <c r="K177" s="28"/>
      <c r="L177" s="35"/>
      <c r="M177" s="28"/>
      <c r="N177" s="36"/>
      <c r="O177" s="29">
        <f t="shared" si="2"/>
        <v>0</v>
      </c>
    </row>
    <row r="178" spans="1:16" x14ac:dyDescent="0.2">
      <c r="A178" s="32"/>
      <c r="B178" s="17" t="s">
        <v>20</v>
      </c>
      <c r="C178" s="28"/>
      <c r="D178" s="28"/>
      <c r="E178" s="28"/>
      <c r="F178" s="28"/>
      <c r="G178" s="33"/>
      <c r="H178" s="28"/>
      <c r="I178" s="34"/>
      <c r="J178" s="28"/>
      <c r="K178" s="28"/>
      <c r="L178" s="35"/>
      <c r="M178" s="28"/>
      <c r="N178" s="38"/>
      <c r="O178" s="39">
        <f t="shared" si="2"/>
        <v>0</v>
      </c>
      <c r="P178" s="38"/>
    </row>
    <row r="179" spans="1:16" x14ac:dyDescent="0.2">
      <c r="A179" s="32"/>
      <c r="B179" s="17" t="s">
        <v>20</v>
      </c>
      <c r="C179" s="28"/>
      <c r="D179" s="28"/>
      <c r="E179" s="28"/>
      <c r="F179" s="28"/>
      <c r="G179" s="33"/>
      <c r="H179" s="28"/>
      <c r="I179" s="34"/>
      <c r="J179" s="28"/>
      <c r="K179" s="28"/>
      <c r="L179" s="35"/>
      <c r="M179" s="28"/>
      <c r="N179" s="38"/>
      <c r="O179" s="39">
        <f t="shared" si="2"/>
        <v>0</v>
      </c>
      <c r="P179" s="38"/>
    </row>
    <row r="180" spans="1:16" x14ac:dyDescent="0.2">
      <c r="A180" s="32"/>
      <c r="B180" s="17" t="s">
        <v>20</v>
      </c>
      <c r="C180" s="28"/>
      <c r="D180" s="28"/>
      <c r="E180" s="28"/>
      <c r="F180" s="28"/>
      <c r="G180" s="33"/>
      <c r="H180" s="28"/>
      <c r="I180" s="34"/>
      <c r="J180" s="28"/>
      <c r="K180" s="28"/>
      <c r="L180" s="35"/>
      <c r="M180" s="28"/>
      <c r="N180" s="38"/>
      <c r="O180" s="39">
        <f t="shared" si="2"/>
        <v>0</v>
      </c>
      <c r="P180" s="38"/>
    </row>
    <row r="181" spans="1:16" x14ac:dyDescent="0.2">
      <c r="A181" s="32"/>
      <c r="B181" s="17" t="s">
        <v>20</v>
      </c>
      <c r="C181" s="28"/>
      <c r="D181" s="28"/>
      <c r="E181" s="28"/>
      <c r="F181" s="28"/>
      <c r="G181" s="33"/>
      <c r="H181" s="28"/>
      <c r="I181" s="34"/>
      <c r="J181" s="28"/>
      <c r="K181" s="28"/>
      <c r="L181" s="35"/>
      <c r="M181" s="28"/>
      <c r="N181" s="36"/>
      <c r="O181" s="29">
        <f t="shared" si="2"/>
        <v>0</v>
      </c>
    </row>
    <row r="182" spans="1:16" x14ac:dyDescent="0.2">
      <c r="A182" s="32"/>
      <c r="B182" s="17" t="s">
        <v>20</v>
      </c>
      <c r="C182" s="28"/>
      <c r="D182" s="28"/>
      <c r="E182" s="28"/>
      <c r="F182" s="28"/>
      <c r="G182" s="33"/>
      <c r="H182" s="28"/>
      <c r="I182" s="34"/>
      <c r="J182" s="28"/>
      <c r="K182" s="28"/>
      <c r="L182" s="35"/>
      <c r="M182" s="28"/>
      <c r="N182" s="36"/>
      <c r="O182" s="29">
        <f t="shared" si="2"/>
        <v>0</v>
      </c>
    </row>
    <row r="183" spans="1:16" x14ac:dyDescent="0.2">
      <c r="A183" s="32"/>
      <c r="B183" s="17" t="s">
        <v>20</v>
      </c>
      <c r="C183" s="28"/>
      <c r="D183" s="28"/>
      <c r="E183" s="28"/>
      <c r="F183" s="28"/>
      <c r="G183" s="33"/>
      <c r="H183" s="28"/>
      <c r="I183" s="34"/>
      <c r="J183" s="28"/>
      <c r="K183" s="28"/>
      <c r="L183" s="35"/>
      <c r="M183" s="28"/>
      <c r="N183" s="36"/>
      <c r="O183" s="29">
        <f t="shared" si="2"/>
        <v>0</v>
      </c>
    </row>
    <row r="184" spans="1:16" x14ac:dyDescent="0.2">
      <c r="A184" s="32"/>
      <c r="B184" s="17" t="s">
        <v>20</v>
      </c>
      <c r="C184" s="28"/>
      <c r="D184" s="28"/>
      <c r="E184" s="28"/>
      <c r="F184" s="28"/>
      <c r="G184" s="33"/>
      <c r="H184" s="28"/>
      <c r="I184" s="34"/>
      <c r="J184" s="28"/>
      <c r="K184" s="28"/>
      <c r="L184" s="35"/>
      <c r="M184" s="28"/>
      <c r="N184" s="36"/>
      <c r="O184" s="29">
        <f t="shared" si="2"/>
        <v>0</v>
      </c>
    </row>
    <row r="185" spans="1:16" x14ac:dyDescent="0.2">
      <c r="A185" s="32"/>
      <c r="B185" s="17" t="s">
        <v>20</v>
      </c>
      <c r="C185" s="28"/>
      <c r="D185" s="28"/>
      <c r="E185" s="28"/>
      <c r="F185" s="28"/>
      <c r="G185" s="33"/>
      <c r="H185" s="28"/>
      <c r="I185" s="34"/>
      <c r="J185" s="28"/>
      <c r="K185" s="28"/>
      <c r="L185" s="35"/>
      <c r="M185" s="28"/>
      <c r="N185" s="36"/>
      <c r="O185" s="29">
        <f t="shared" si="2"/>
        <v>0</v>
      </c>
    </row>
    <row r="186" spans="1:16" x14ac:dyDescent="0.2">
      <c r="A186" s="32"/>
      <c r="B186" s="17" t="s">
        <v>20</v>
      </c>
      <c r="C186" s="28"/>
      <c r="D186" s="28"/>
      <c r="E186" s="28"/>
      <c r="F186" s="28"/>
      <c r="G186" s="33"/>
      <c r="H186" s="28"/>
      <c r="I186" s="34"/>
      <c r="J186" s="28"/>
      <c r="K186" s="28"/>
      <c r="L186" s="35"/>
      <c r="M186" s="28"/>
      <c r="N186" s="36"/>
      <c r="O186" s="29">
        <f t="shared" si="2"/>
        <v>0</v>
      </c>
    </row>
    <row r="187" spans="1:16" x14ac:dyDescent="0.2">
      <c r="A187" s="32"/>
      <c r="B187" s="17" t="s">
        <v>20</v>
      </c>
      <c r="C187" s="28"/>
      <c r="D187" s="28"/>
      <c r="E187" s="28"/>
      <c r="F187" s="28"/>
      <c r="G187" s="33"/>
      <c r="H187" s="28"/>
      <c r="I187" s="34"/>
      <c r="J187" s="28"/>
      <c r="K187" s="28"/>
      <c r="L187" s="35"/>
      <c r="M187" s="28"/>
      <c r="N187" s="36"/>
      <c r="O187" s="29">
        <f t="shared" si="2"/>
        <v>0</v>
      </c>
    </row>
    <row r="188" spans="1:16" x14ac:dyDescent="0.2">
      <c r="A188" s="32"/>
      <c r="B188" s="17" t="s">
        <v>20</v>
      </c>
      <c r="C188" s="28"/>
      <c r="D188" s="28"/>
      <c r="E188" s="28"/>
      <c r="F188" s="28"/>
      <c r="G188" s="33"/>
      <c r="H188" s="28"/>
      <c r="I188" s="34"/>
      <c r="J188" s="28"/>
      <c r="K188" s="28"/>
      <c r="L188" s="35"/>
      <c r="M188" s="28"/>
      <c r="N188" s="36"/>
      <c r="O188" s="29">
        <f t="shared" si="2"/>
        <v>0</v>
      </c>
    </row>
    <row r="189" spans="1:16" x14ac:dyDescent="0.2">
      <c r="A189" s="32"/>
      <c r="B189" s="17" t="s">
        <v>20</v>
      </c>
      <c r="C189" s="28"/>
      <c r="D189" s="28"/>
      <c r="E189" s="28"/>
      <c r="F189" s="28"/>
      <c r="G189" s="33"/>
      <c r="H189" s="28"/>
      <c r="I189" s="34"/>
      <c r="J189" s="28"/>
      <c r="K189" s="28"/>
      <c r="L189" s="35"/>
      <c r="M189" s="28"/>
      <c r="N189" s="38"/>
      <c r="O189" s="39">
        <f t="shared" si="2"/>
        <v>0</v>
      </c>
      <c r="P189" s="38"/>
    </row>
    <row r="190" spans="1:16" x14ac:dyDescent="0.2">
      <c r="A190" s="32"/>
      <c r="B190" s="17" t="s">
        <v>20</v>
      </c>
      <c r="C190" s="28"/>
      <c r="D190" s="28"/>
      <c r="E190" s="28"/>
      <c r="F190" s="28"/>
      <c r="G190" s="33"/>
      <c r="H190" s="28"/>
      <c r="I190" s="34"/>
      <c r="J190" s="28"/>
      <c r="K190" s="28"/>
      <c r="L190" s="35"/>
      <c r="M190" s="28"/>
      <c r="N190" s="38"/>
      <c r="O190" s="39">
        <f t="shared" si="2"/>
        <v>0</v>
      </c>
      <c r="P190" s="38"/>
    </row>
    <row r="191" spans="1:16" x14ac:dyDescent="0.2">
      <c r="A191" s="32"/>
      <c r="B191" s="17" t="s">
        <v>20</v>
      </c>
      <c r="C191" s="28"/>
      <c r="D191" s="28"/>
      <c r="E191" s="28"/>
      <c r="F191" s="28"/>
      <c r="G191" s="33"/>
      <c r="H191" s="28"/>
      <c r="I191" s="34"/>
      <c r="J191" s="28"/>
      <c r="K191" s="28"/>
      <c r="L191" s="35"/>
      <c r="M191" s="28"/>
      <c r="N191" s="38"/>
      <c r="O191" s="39">
        <f t="shared" si="2"/>
        <v>0</v>
      </c>
      <c r="P191" s="38"/>
    </row>
    <row r="192" spans="1:16" x14ac:dyDescent="0.2">
      <c r="A192" s="32"/>
      <c r="B192" s="17" t="s">
        <v>20</v>
      </c>
      <c r="C192" s="32"/>
      <c r="D192" s="28"/>
      <c r="E192" s="28"/>
      <c r="F192" s="28"/>
      <c r="G192" s="33"/>
      <c r="H192" s="28"/>
      <c r="I192" s="34"/>
      <c r="J192" s="28"/>
      <c r="K192" s="28"/>
      <c r="L192" s="35"/>
      <c r="M192" s="28"/>
      <c r="N192" s="38"/>
      <c r="O192" s="39">
        <f t="shared" si="2"/>
        <v>0</v>
      </c>
      <c r="P192" s="38"/>
    </row>
    <row r="193" spans="1:16" x14ac:dyDescent="0.2">
      <c r="A193" s="32"/>
      <c r="B193" s="17" t="s">
        <v>20</v>
      </c>
      <c r="C193" s="28"/>
      <c r="D193" s="28"/>
      <c r="E193" s="28"/>
      <c r="F193" s="28"/>
      <c r="G193" s="33"/>
      <c r="H193" s="28"/>
      <c r="I193" s="34"/>
      <c r="J193" s="28"/>
      <c r="K193" s="28"/>
      <c r="L193" s="35"/>
      <c r="M193" s="28"/>
      <c r="N193" s="36"/>
      <c r="O193" s="29">
        <f t="shared" si="2"/>
        <v>0</v>
      </c>
    </row>
    <row r="194" spans="1:16" x14ac:dyDescent="0.2">
      <c r="A194" s="32"/>
      <c r="B194" s="17" t="s">
        <v>20</v>
      </c>
      <c r="C194" s="28"/>
      <c r="D194" s="28"/>
      <c r="E194" s="28"/>
      <c r="F194" s="28"/>
      <c r="G194" s="33"/>
      <c r="H194" s="28"/>
      <c r="I194" s="34"/>
      <c r="J194" s="28"/>
      <c r="K194" s="28"/>
      <c r="L194" s="35"/>
      <c r="M194" s="28"/>
      <c r="N194" s="36"/>
      <c r="O194" s="29">
        <f t="shared" si="2"/>
        <v>0</v>
      </c>
    </row>
    <row r="195" spans="1:16" x14ac:dyDescent="0.2">
      <c r="A195" s="32"/>
      <c r="B195" s="17" t="s">
        <v>20</v>
      </c>
      <c r="C195" s="28"/>
      <c r="D195" s="28"/>
      <c r="E195" s="28"/>
      <c r="F195" s="28"/>
      <c r="G195" s="33"/>
      <c r="H195" s="28"/>
      <c r="I195" s="34"/>
      <c r="J195" s="28"/>
      <c r="K195" s="28"/>
      <c r="L195" s="35"/>
      <c r="M195" s="28"/>
      <c r="N195" s="36"/>
      <c r="O195" s="29">
        <f t="shared" ref="O195:O258" si="3">N195*J195</f>
        <v>0</v>
      </c>
    </row>
    <row r="196" spans="1:16" x14ac:dyDescent="0.2">
      <c r="A196" s="32"/>
      <c r="B196" s="17" t="s">
        <v>20</v>
      </c>
      <c r="C196" s="28"/>
      <c r="D196" s="28"/>
      <c r="E196" s="28"/>
      <c r="F196" s="28"/>
      <c r="G196" s="33"/>
      <c r="H196" s="28"/>
      <c r="I196" s="34"/>
      <c r="J196" s="28"/>
      <c r="K196" s="28"/>
      <c r="L196" s="35"/>
      <c r="M196" s="28"/>
      <c r="N196" s="38"/>
      <c r="O196" s="39">
        <f t="shared" si="3"/>
        <v>0</v>
      </c>
      <c r="P196" s="38"/>
    </row>
    <row r="197" spans="1:16" x14ac:dyDescent="0.2">
      <c r="A197" s="32"/>
      <c r="B197" s="17" t="s">
        <v>20</v>
      </c>
      <c r="C197" s="28"/>
      <c r="D197" s="28"/>
      <c r="E197" s="28"/>
      <c r="F197" s="28"/>
      <c r="G197" s="33"/>
      <c r="H197" s="28"/>
      <c r="I197" s="34"/>
      <c r="J197" s="28"/>
      <c r="K197" s="28"/>
      <c r="L197" s="35"/>
      <c r="M197" s="28"/>
      <c r="N197" s="38"/>
      <c r="O197" s="39">
        <f t="shared" si="3"/>
        <v>0</v>
      </c>
      <c r="P197" s="38"/>
    </row>
    <row r="198" spans="1:16" x14ac:dyDescent="0.2">
      <c r="A198" s="32"/>
      <c r="B198" s="17" t="s">
        <v>20</v>
      </c>
      <c r="C198" s="32"/>
      <c r="D198" s="28"/>
      <c r="E198" s="28"/>
      <c r="F198" s="28"/>
      <c r="G198" s="33"/>
      <c r="H198" s="28"/>
      <c r="I198" s="34"/>
      <c r="J198" s="28"/>
      <c r="K198" s="28"/>
      <c r="L198" s="35"/>
      <c r="M198" s="28"/>
      <c r="N198" s="38"/>
      <c r="O198" s="39">
        <f t="shared" si="3"/>
        <v>0</v>
      </c>
      <c r="P198" s="38"/>
    </row>
    <row r="199" spans="1:16" x14ac:dyDescent="0.2">
      <c r="A199" s="32"/>
      <c r="B199" s="17" t="s">
        <v>20</v>
      </c>
      <c r="C199" s="28"/>
      <c r="D199" s="28"/>
      <c r="E199" s="28"/>
      <c r="F199" s="28"/>
      <c r="G199" s="33"/>
      <c r="H199" s="28"/>
      <c r="I199" s="34"/>
      <c r="J199" s="28"/>
      <c r="K199" s="28"/>
      <c r="L199" s="35"/>
      <c r="M199" s="28"/>
      <c r="N199" s="36"/>
      <c r="O199" s="29">
        <f t="shared" si="3"/>
        <v>0</v>
      </c>
    </row>
    <row r="200" spans="1:16" x14ac:dyDescent="0.2">
      <c r="A200" s="32"/>
      <c r="B200" s="17" t="s">
        <v>20</v>
      </c>
      <c r="C200" s="40"/>
      <c r="D200" s="40"/>
      <c r="E200" s="40"/>
      <c r="F200" s="33"/>
      <c r="G200" s="33"/>
      <c r="H200" s="28"/>
      <c r="I200" s="34"/>
      <c r="J200" s="28"/>
      <c r="K200" s="28"/>
      <c r="L200" s="35"/>
      <c r="M200" s="28"/>
      <c r="N200" s="36"/>
      <c r="O200" s="29">
        <f t="shared" si="3"/>
        <v>0</v>
      </c>
    </row>
    <row r="201" spans="1:16" x14ac:dyDescent="0.2">
      <c r="A201" s="32"/>
      <c r="B201" s="17" t="s">
        <v>20</v>
      </c>
      <c r="C201" s="28"/>
      <c r="D201" s="28"/>
      <c r="E201" s="28"/>
      <c r="F201" s="28"/>
      <c r="G201" s="33"/>
      <c r="H201" s="28"/>
      <c r="I201" s="34"/>
      <c r="J201" s="28"/>
      <c r="K201" s="28"/>
      <c r="L201" s="35"/>
      <c r="M201" s="28"/>
      <c r="N201" s="36"/>
      <c r="O201" s="29">
        <f t="shared" si="3"/>
        <v>0</v>
      </c>
    </row>
    <row r="202" spans="1:16" x14ac:dyDescent="0.2">
      <c r="A202" s="32"/>
      <c r="B202" s="17" t="s">
        <v>20</v>
      </c>
      <c r="C202" s="28"/>
      <c r="D202" s="28"/>
      <c r="E202" s="28"/>
      <c r="F202" s="28"/>
      <c r="G202" s="33"/>
      <c r="H202" s="28"/>
      <c r="I202" s="34"/>
      <c r="J202" s="28"/>
      <c r="K202" s="28"/>
      <c r="L202" s="35"/>
      <c r="M202" s="28"/>
      <c r="N202" s="36"/>
      <c r="O202" s="29">
        <f t="shared" si="3"/>
        <v>0</v>
      </c>
    </row>
    <row r="203" spans="1:16" x14ac:dyDescent="0.2">
      <c r="A203" s="32"/>
      <c r="B203" s="17" t="s">
        <v>20</v>
      </c>
      <c r="C203" s="28"/>
      <c r="D203" s="28"/>
      <c r="E203" s="28"/>
      <c r="F203" s="28"/>
      <c r="G203" s="33"/>
      <c r="H203" s="28"/>
      <c r="I203" s="34"/>
      <c r="J203" s="28"/>
      <c r="K203" s="28"/>
      <c r="L203" s="35"/>
      <c r="M203" s="28"/>
      <c r="N203" s="36"/>
      <c r="O203" s="29">
        <f t="shared" si="3"/>
        <v>0</v>
      </c>
    </row>
    <row r="204" spans="1:16" x14ac:dyDescent="0.2">
      <c r="A204" s="32"/>
      <c r="B204" s="17" t="s">
        <v>20</v>
      </c>
      <c r="C204" s="28"/>
      <c r="D204" s="28"/>
      <c r="E204" s="28"/>
      <c r="F204" s="28"/>
      <c r="G204" s="33"/>
      <c r="H204" s="28"/>
      <c r="I204" s="34"/>
      <c r="J204" s="28"/>
      <c r="K204" s="28"/>
      <c r="L204" s="35"/>
      <c r="M204" s="28"/>
      <c r="N204" s="38"/>
      <c r="O204" s="39">
        <f t="shared" si="3"/>
        <v>0</v>
      </c>
      <c r="P204" s="38"/>
    </row>
    <row r="205" spans="1:16" x14ac:dyDescent="0.2">
      <c r="A205" s="32"/>
      <c r="B205" s="17" t="s">
        <v>20</v>
      </c>
      <c r="C205" s="28"/>
      <c r="D205" s="28"/>
      <c r="E205" s="28"/>
      <c r="F205" s="28"/>
      <c r="G205" s="33"/>
      <c r="H205" s="28"/>
      <c r="I205" s="34"/>
      <c r="J205" s="28"/>
      <c r="K205" s="28"/>
      <c r="L205" s="35"/>
      <c r="M205" s="28"/>
      <c r="N205" s="38"/>
      <c r="O205" s="39">
        <f t="shared" si="3"/>
        <v>0</v>
      </c>
      <c r="P205" s="38"/>
    </row>
    <row r="206" spans="1:16" x14ac:dyDescent="0.2">
      <c r="A206" s="32"/>
      <c r="B206" s="17" t="s">
        <v>20</v>
      </c>
      <c r="C206" s="28"/>
      <c r="D206" s="28"/>
      <c r="E206" s="28"/>
      <c r="F206" s="28"/>
      <c r="G206" s="33"/>
      <c r="H206" s="28"/>
      <c r="I206" s="34"/>
      <c r="J206" s="28"/>
      <c r="K206" s="28"/>
      <c r="L206" s="35"/>
      <c r="M206" s="28"/>
      <c r="N206" s="38"/>
      <c r="O206" s="39">
        <f t="shared" si="3"/>
        <v>0</v>
      </c>
      <c r="P206" s="38"/>
    </row>
    <row r="207" spans="1:16" x14ac:dyDescent="0.2">
      <c r="A207" s="32"/>
      <c r="B207" s="17" t="s">
        <v>20</v>
      </c>
      <c r="C207" s="28"/>
      <c r="D207" s="28"/>
      <c r="E207" s="28"/>
      <c r="F207" s="28"/>
      <c r="G207" s="33"/>
      <c r="H207" s="28"/>
      <c r="I207" s="34"/>
      <c r="J207" s="28"/>
      <c r="K207" s="28"/>
      <c r="L207" s="35"/>
      <c r="M207" s="28"/>
      <c r="N207" s="36"/>
      <c r="O207" s="29">
        <f t="shared" si="3"/>
        <v>0</v>
      </c>
    </row>
    <row r="208" spans="1:16" x14ac:dyDescent="0.2">
      <c r="A208" s="32"/>
      <c r="B208" s="17" t="s">
        <v>20</v>
      </c>
      <c r="C208" s="28"/>
      <c r="D208" s="28"/>
      <c r="E208" s="28"/>
      <c r="F208" s="28"/>
      <c r="G208" s="33"/>
      <c r="H208" s="28"/>
      <c r="I208" s="34"/>
      <c r="J208" s="28"/>
      <c r="K208" s="28"/>
      <c r="L208" s="35"/>
      <c r="M208" s="28"/>
      <c r="N208" s="36"/>
      <c r="O208" s="29">
        <f t="shared" si="3"/>
        <v>0</v>
      </c>
    </row>
    <row r="209" spans="1:16" x14ac:dyDescent="0.2">
      <c r="A209" s="32"/>
      <c r="B209" s="17" t="s">
        <v>20</v>
      </c>
      <c r="C209" s="28"/>
      <c r="D209" s="28"/>
      <c r="E209" s="28"/>
      <c r="F209" s="28"/>
      <c r="G209" s="33"/>
      <c r="H209" s="28"/>
      <c r="I209" s="34"/>
      <c r="J209" s="28"/>
      <c r="K209" s="28"/>
      <c r="L209" s="35"/>
      <c r="M209" s="28"/>
      <c r="N209" s="36"/>
      <c r="O209" s="29">
        <f t="shared" si="3"/>
        <v>0</v>
      </c>
    </row>
    <row r="210" spans="1:16" x14ac:dyDescent="0.2">
      <c r="A210" s="32"/>
      <c r="B210" s="17" t="s">
        <v>20</v>
      </c>
      <c r="C210" s="28"/>
      <c r="D210" s="28"/>
      <c r="E210" s="28"/>
      <c r="F210" s="28"/>
      <c r="G210" s="33"/>
      <c r="H210" s="28"/>
      <c r="I210" s="34"/>
      <c r="J210" s="28"/>
      <c r="K210" s="28"/>
      <c r="L210" s="35"/>
      <c r="M210" s="28"/>
      <c r="N210" s="36"/>
      <c r="O210" s="29">
        <f t="shared" si="3"/>
        <v>0</v>
      </c>
    </row>
    <row r="211" spans="1:16" x14ac:dyDescent="0.2">
      <c r="A211" s="32"/>
      <c r="B211" s="17" t="s">
        <v>20</v>
      </c>
      <c r="C211" s="28"/>
      <c r="D211" s="28"/>
      <c r="E211" s="28"/>
      <c r="F211" s="28"/>
      <c r="G211" s="33"/>
      <c r="H211" s="28"/>
      <c r="I211" s="34"/>
      <c r="J211" s="28"/>
      <c r="K211" s="28"/>
      <c r="L211" s="35"/>
      <c r="M211" s="28"/>
      <c r="N211" s="36"/>
      <c r="O211" s="29">
        <f t="shared" si="3"/>
        <v>0</v>
      </c>
    </row>
    <row r="212" spans="1:16" x14ac:dyDescent="0.2">
      <c r="A212" s="32"/>
      <c r="B212" s="17" t="s">
        <v>20</v>
      </c>
      <c r="C212" s="28"/>
      <c r="D212" s="28"/>
      <c r="E212" s="28"/>
      <c r="F212" s="28"/>
      <c r="G212" s="33"/>
      <c r="H212" s="28"/>
      <c r="I212" s="34"/>
      <c r="J212" s="28"/>
      <c r="K212" s="28"/>
      <c r="L212" s="35"/>
      <c r="M212" s="28"/>
      <c r="N212" s="38"/>
      <c r="O212" s="39">
        <f t="shared" si="3"/>
        <v>0</v>
      </c>
      <c r="P212" s="38"/>
    </row>
    <row r="213" spans="1:16" x14ac:dyDescent="0.2">
      <c r="A213" s="32"/>
      <c r="B213" s="17" t="s">
        <v>20</v>
      </c>
      <c r="C213" s="28"/>
      <c r="D213" s="28"/>
      <c r="E213" s="28"/>
      <c r="F213" s="28"/>
      <c r="G213" s="33"/>
      <c r="H213" s="28"/>
      <c r="I213" s="34"/>
      <c r="J213" s="28"/>
      <c r="K213" s="28"/>
      <c r="L213" s="35"/>
      <c r="M213" s="28"/>
      <c r="N213" s="38"/>
      <c r="O213" s="39">
        <f t="shared" si="3"/>
        <v>0</v>
      </c>
      <c r="P213" s="38"/>
    </row>
    <row r="214" spans="1:16" x14ac:dyDescent="0.2">
      <c r="A214" s="32"/>
      <c r="B214" s="17" t="s">
        <v>20</v>
      </c>
      <c r="C214" s="28"/>
      <c r="D214" s="28"/>
      <c r="E214" s="28"/>
      <c r="F214" s="28"/>
      <c r="G214" s="33"/>
      <c r="H214" s="28"/>
      <c r="I214" s="34"/>
      <c r="J214" s="28"/>
      <c r="K214" s="28"/>
      <c r="L214" s="35"/>
      <c r="M214" s="28"/>
      <c r="N214" s="38"/>
      <c r="O214" s="39">
        <f t="shared" si="3"/>
        <v>0</v>
      </c>
      <c r="P214" s="38"/>
    </row>
    <row r="215" spans="1:16" x14ac:dyDescent="0.2">
      <c r="A215" s="32"/>
      <c r="B215" s="17" t="s">
        <v>20</v>
      </c>
      <c r="C215" s="28"/>
      <c r="D215" s="28"/>
      <c r="E215" s="28"/>
      <c r="F215" s="28"/>
      <c r="G215" s="33"/>
      <c r="H215" s="28"/>
      <c r="I215" s="34"/>
      <c r="J215" s="28"/>
      <c r="K215" s="28"/>
      <c r="L215" s="35"/>
      <c r="M215" s="28"/>
      <c r="N215" s="36"/>
      <c r="O215" s="29">
        <f t="shared" si="3"/>
        <v>0</v>
      </c>
    </row>
    <row r="216" spans="1:16" x14ac:dyDescent="0.2">
      <c r="A216" s="32"/>
      <c r="B216" s="17" t="s">
        <v>20</v>
      </c>
      <c r="C216" s="28"/>
      <c r="D216" s="28"/>
      <c r="E216" s="28"/>
      <c r="F216" s="28"/>
      <c r="G216" s="33"/>
      <c r="H216" s="28"/>
      <c r="I216" s="34"/>
      <c r="J216" s="28"/>
      <c r="K216" s="28"/>
      <c r="L216" s="35"/>
      <c r="M216" s="28"/>
      <c r="N216" s="36"/>
      <c r="O216" s="29">
        <f t="shared" si="3"/>
        <v>0</v>
      </c>
    </row>
    <row r="217" spans="1:16" x14ac:dyDescent="0.2">
      <c r="A217" s="32"/>
      <c r="B217" s="17" t="s">
        <v>20</v>
      </c>
      <c r="C217" s="28"/>
      <c r="D217" s="28"/>
      <c r="E217" s="28"/>
      <c r="F217" s="28"/>
      <c r="G217" s="33"/>
      <c r="H217" s="28"/>
      <c r="I217" s="34"/>
      <c r="J217" s="28"/>
      <c r="K217" s="28"/>
      <c r="L217" s="35"/>
      <c r="M217" s="28"/>
      <c r="N217" s="36"/>
      <c r="O217" s="29">
        <f t="shared" si="3"/>
        <v>0</v>
      </c>
    </row>
    <row r="218" spans="1:16" x14ac:dyDescent="0.2">
      <c r="A218" s="32"/>
      <c r="B218" s="17" t="s">
        <v>20</v>
      </c>
      <c r="C218" s="28"/>
      <c r="D218" s="28"/>
      <c r="E218" s="28"/>
      <c r="F218" s="28"/>
      <c r="G218" s="33"/>
      <c r="H218" s="28"/>
      <c r="I218" s="34"/>
      <c r="J218" s="28"/>
      <c r="K218" s="28"/>
      <c r="L218" s="35"/>
      <c r="M218" s="28"/>
      <c r="N218" s="36"/>
      <c r="O218" s="29">
        <f t="shared" si="3"/>
        <v>0</v>
      </c>
    </row>
    <row r="219" spans="1:16" x14ac:dyDescent="0.2">
      <c r="A219" s="32"/>
      <c r="B219" s="17" t="s">
        <v>20</v>
      </c>
      <c r="C219" s="28"/>
      <c r="D219" s="28"/>
      <c r="E219" s="28"/>
      <c r="F219" s="28"/>
      <c r="G219" s="33"/>
      <c r="H219" s="28"/>
      <c r="I219" s="34"/>
      <c r="J219" s="28"/>
      <c r="K219" s="28"/>
      <c r="L219" s="35"/>
      <c r="M219" s="28"/>
      <c r="N219" s="36"/>
      <c r="O219" s="29">
        <f t="shared" si="3"/>
        <v>0</v>
      </c>
    </row>
    <row r="220" spans="1:16" x14ac:dyDescent="0.2">
      <c r="A220" s="32"/>
      <c r="B220" s="17" t="s">
        <v>20</v>
      </c>
      <c r="C220" s="28"/>
      <c r="D220" s="28"/>
      <c r="E220" s="28"/>
      <c r="F220" s="28"/>
      <c r="G220" s="33"/>
      <c r="H220" s="28"/>
      <c r="I220" s="34"/>
      <c r="J220" s="28"/>
      <c r="K220" s="28"/>
      <c r="L220" s="35"/>
      <c r="M220" s="28"/>
      <c r="N220" s="36"/>
      <c r="O220" s="29">
        <f t="shared" si="3"/>
        <v>0</v>
      </c>
    </row>
    <row r="221" spans="1:16" x14ac:dyDescent="0.2">
      <c r="A221" s="32"/>
      <c r="B221" s="17" t="s">
        <v>20</v>
      </c>
      <c r="C221" s="28"/>
      <c r="D221" s="28"/>
      <c r="E221" s="28"/>
      <c r="F221" s="28"/>
      <c r="G221" s="33"/>
      <c r="H221" s="28"/>
      <c r="I221" s="34"/>
      <c r="J221" s="28"/>
      <c r="K221" s="28"/>
      <c r="L221" s="35"/>
      <c r="M221" s="28"/>
      <c r="N221" s="36"/>
      <c r="O221" s="29">
        <f t="shared" si="3"/>
        <v>0</v>
      </c>
    </row>
    <row r="222" spans="1:16" x14ac:dyDescent="0.2">
      <c r="A222" s="32"/>
      <c r="B222" s="17" t="s">
        <v>20</v>
      </c>
      <c r="C222" s="28"/>
      <c r="D222" s="28"/>
      <c r="E222" s="28"/>
      <c r="F222" s="28"/>
      <c r="G222" s="33"/>
      <c r="H222" s="28"/>
      <c r="I222" s="34"/>
      <c r="J222" s="28"/>
      <c r="K222" s="28"/>
      <c r="L222" s="35"/>
      <c r="M222" s="28"/>
      <c r="N222" s="38"/>
      <c r="O222" s="39">
        <f t="shared" si="3"/>
        <v>0</v>
      </c>
      <c r="P222" s="38"/>
    </row>
    <row r="223" spans="1:16" x14ac:dyDescent="0.2">
      <c r="A223" s="32"/>
      <c r="B223" s="17" t="s">
        <v>20</v>
      </c>
      <c r="C223" s="28"/>
      <c r="D223" s="28"/>
      <c r="E223" s="28"/>
      <c r="F223" s="28"/>
      <c r="G223" s="33"/>
      <c r="H223" s="28"/>
      <c r="I223" s="34"/>
      <c r="J223" s="28"/>
      <c r="K223" s="28"/>
      <c r="L223" s="35"/>
      <c r="M223" s="28"/>
      <c r="N223" s="38"/>
      <c r="O223" s="39">
        <f t="shared" si="3"/>
        <v>0</v>
      </c>
      <c r="P223" s="38"/>
    </row>
    <row r="224" spans="1:16" x14ac:dyDescent="0.2">
      <c r="A224" s="32"/>
      <c r="B224" s="17" t="s">
        <v>20</v>
      </c>
      <c r="C224" s="28"/>
      <c r="D224" s="28"/>
      <c r="E224" s="28"/>
      <c r="F224" s="28"/>
      <c r="G224" s="33"/>
      <c r="H224" s="28"/>
      <c r="I224" s="34"/>
      <c r="J224" s="28"/>
      <c r="K224" s="28"/>
      <c r="L224" s="35"/>
      <c r="M224" s="28"/>
      <c r="N224" s="38"/>
      <c r="O224" s="39">
        <f t="shared" si="3"/>
        <v>0</v>
      </c>
      <c r="P224" s="38"/>
    </row>
    <row r="225" spans="1:15" x14ac:dyDescent="0.2">
      <c r="A225" s="32"/>
      <c r="B225" s="17" t="s">
        <v>20</v>
      </c>
      <c r="C225" s="28"/>
      <c r="D225" s="28"/>
      <c r="E225" s="28"/>
      <c r="F225" s="28"/>
      <c r="G225" s="33"/>
      <c r="H225" s="28"/>
      <c r="I225" s="34"/>
      <c r="J225" s="28"/>
      <c r="K225" s="28"/>
      <c r="L225" s="35"/>
      <c r="M225" s="28"/>
      <c r="N225" s="36"/>
      <c r="O225" s="29">
        <f t="shared" si="3"/>
        <v>0</v>
      </c>
    </row>
    <row r="226" spans="1:15" x14ac:dyDescent="0.2">
      <c r="A226" s="32"/>
      <c r="B226" s="17" t="s">
        <v>20</v>
      </c>
      <c r="C226" s="28"/>
      <c r="D226" s="28"/>
      <c r="E226" s="28"/>
      <c r="F226" s="28"/>
      <c r="G226" s="33"/>
      <c r="H226" s="28"/>
      <c r="I226" s="34"/>
      <c r="J226" s="28"/>
      <c r="K226" s="28"/>
      <c r="L226" s="35"/>
      <c r="M226" s="28"/>
      <c r="N226" s="36"/>
      <c r="O226" s="29">
        <f t="shared" si="3"/>
        <v>0</v>
      </c>
    </row>
    <row r="227" spans="1:15" x14ac:dyDescent="0.2">
      <c r="A227" s="32"/>
      <c r="B227" s="17" t="s">
        <v>20</v>
      </c>
      <c r="C227" s="28"/>
      <c r="D227" s="28"/>
      <c r="E227" s="28"/>
      <c r="F227" s="28"/>
      <c r="G227" s="33"/>
      <c r="H227" s="28"/>
      <c r="I227" s="34"/>
      <c r="J227" s="28"/>
      <c r="K227" s="28"/>
      <c r="L227" s="35"/>
      <c r="M227" s="28"/>
      <c r="N227" s="36"/>
      <c r="O227" s="29">
        <f t="shared" si="3"/>
        <v>0</v>
      </c>
    </row>
    <row r="228" spans="1:15" x14ac:dyDescent="0.2">
      <c r="A228" s="32"/>
      <c r="B228" s="17" t="s">
        <v>20</v>
      </c>
      <c r="C228" s="28"/>
      <c r="D228" s="28"/>
      <c r="E228" s="28"/>
      <c r="F228" s="28"/>
      <c r="G228" s="33"/>
      <c r="H228" s="28"/>
      <c r="I228" s="34"/>
      <c r="J228" s="28"/>
      <c r="K228" s="28"/>
      <c r="L228" s="35"/>
      <c r="M228" s="28"/>
      <c r="N228" s="36"/>
      <c r="O228" s="29">
        <f t="shared" si="3"/>
        <v>0</v>
      </c>
    </row>
    <row r="229" spans="1:15" x14ac:dyDescent="0.2">
      <c r="A229" s="32"/>
      <c r="B229" s="17" t="s">
        <v>20</v>
      </c>
      <c r="C229" s="28"/>
      <c r="D229" s="28"/>
      <c r="E229" s="28"/>
      <c r="F229" s="28"/>
      <c r="G229" s="33"/>
      <c r="H229" s="28"/>
      <c r="I229" s="34"/>
      <c r="J229" s="28"/>
      <c r="K229" s="28"/>
      <c r="L229" s="35"/>
      <c r="M229" s="28"/>
      <c r="N229" s="36"/>
      <c r="O229" s="29">
        <f t="shared" si="3"/>
        <v>0</v>
      </c>
    </row>
    <row r="230" spans="1:15" x14ac:dyDescent="0.2">
      <c r="A230" s="32"/>
      <c r="B230" s="17" t="s">
        <v>20</v>
      </c>
      <c r="C230" s="28"/>
      <c r="D230" s="28"/>
      <c r="E230" s="28"/>
      <c r="F230" s="28"/>
      <c r="G230" s="33"/>
      <c r="H230" s="28"/>
      <c r="I230" s="34"/>
      <c r="J230" s="28"/>
      <c r="K230" s="28"/>
      <c r="L230" s="35"/>
      <c r="M230" s="28"/>
      <c r="N230" s="36"/>
      <c r="O230" s="29">
        <f t="shared" si="3"/>
        <v>0</v>
      </c>
    </row>
    <row r="231" spans="1:15" x14ac:dyDescent="0.2">
      <c r="A231" s="32"/>
      <c r="B231" s="17" t="s">
        <v>20</v>
      </c>
      <c r="C231" s="28"/>
      <c r="D231" s="28"/>
      <c r="E231" s="28"/>
      <c r="F231" s="28"/>
      <c r="G231" s="33"/>
      <c r="H231" s="28"/>
      <c r="I231" s="34"/>
      <c r="J231" s="28"/>
      <c r="K231" s="28"/>
      <c r="L231" s="35"/>
      <c r="M231" s="28"/>
      <c r="N231" s="36"/>
      <c r="O231" s="29">
        <f t="shared" si="3"/>
        <v>0</v>
      </c>
    </row>
    <row r="232" spans="1:15" x14ac:dyDescent="0.2">
      <c r="A232" s="32"/>
      <c r="B232" s="17" t="s">
        <v>20</v>
      </c>
      <c r="C232" s="28"/>
      <c r="D232" s="28"/>
      <c r="E232" s="28"/>
      <c r="F232" s="28"/>
      <c r="G232" s="33"/>
      <c r="H232" s="28"/>
      <c r="I232" s="34"/>
      <c r="J232" s="28"/>
      <c r="K232" s="28"/>
      <c r="L232" s="35"/>
      <c r="M232" s="28"/>
      <c r="N232" s="36"/>
      <c r="O232" s="29">
        <f t="shared" si="3"/>
        <v>0</v>
      </c>
    </row>
    <row r="233" spans="1:15" x14ac:dyDescent="0.2">
      <c r="A233" s="32"/>
      <c r="B233" s="17" t="s">
        <v>20</v>
      </c>
      <c r="C233" s="28"/>
      <c r="D233" s="28"/>
      <c r="E233" s="28"/>
      <c r="F233" s="28"/>
      <c r="G233" s="33"/>
      <c r="H233" s="28"/>
      <c r="I233" s="34"/>
      <c r="J233" s="28"/>
      <c r="K233" s="28"/>
      <c r="L233" s="35"/>
      <c r="M233" s="28"/>
      <c r="N233" s="36"/>
      <c r="O233" s="29">
        <f t="shared" si="3"/>
        <v>0</v>
      </c>
    </row>
    <row r="234" spans="1:15" x14ac:dyDescent="0.2">
      <c r="A234" s="32"/>
      <c r="B234" s="17" t="s">
        <v>20</v>
      </c>
      <c r="C234" s="28"/>
      <c r="D234" s="28"/>
      <c r="E234" s="28"/>
      <c r="F234" s="28"/>
      <c r="G234" s="33"/>
      <c r="H234" s="28"/>
      <c r="I234" s="34"/>
      <c r="J234" s="28"/>
      <c r="K234" s="28"/>
      <c r="L234" s="35"/>
      <c r="M234" s="28"/>
      <c r="N234" s="36"/>
      <c r="O234" s="29">
        <f t="shared" si="3"/>
        <v>0</v>
      </c>
    </row>
    <row r="235" spans="1:15" x14ac:dyDescent="0.2">
      <c r="A235" s="32"/>
      <c r="B235" s="17" t="s">
        <v>20</v>
      </c>
      <c r="C235" s="28"/>
      <c r="D235" s="28"/>
      <c r="E235" s="28"/>
      <c r="F235" s="28"/>
      <c r="G235" s="33"/>
      <c r="H235" s="28"/>
      <c r="I235" s="34"/>
      <c r="J235" s="28"/>
      <c r="K235" s="28"/>
      <c r="L235" s="35"/>
      <c r="M235" s="28"/>
      <c r="N235" s="36"/>
      <c r="O235" s="29">
        <f t="shared" si="3"/>
        <v>0</v>
      </c>
    </row>
    <row r="236" spans="1:15" x14ac:dyDescent="0.2">
      <c r="A236" s="32"/>
      <c r="B236" s="17" t="s">
        <v>20</v>
      </c>
      <c r="C236" s="28"/>
      <c r="D236" s="28"/>
      <c r="E236" s="28"/>
      <c r="F236" s="28"/>
      <c r="G236" s="33"/>
      <c r="H236" s="28"/>
      <c r="I236" s="34"/>
      <c r="J236" s="28"/>
      <c r="K236" s="28"/>
      <c r="L236" s="35"/>
      <c r="M236" s="28"/>
      <c r="N236" s="36"/>
      <c r="O236" s="29">
        <f t="shared" si="3"/>
        <v>0</v>
      </c>
    </row>
    <row r="237" spans="1:15" x14ac:dyDescent="0.2">
      <c r="A237" s="32"/>
      <c r="B237" s="17" t="s">
        <v>20</v>
      </c>
      <c r="C237" s="28"/>
      <c r="D237" s="28"/>
      <c r="E237" s="28"/>
      <c r="F237" s="28"/>
      <c r="G237" s="33"/>
      <c r="H237" s="28"/>
      <c r="I237" s="34"/>
      <c r="J237" s="28"/>
      <c r="K237" s="28"/>
      <c r="L237" s="35"/>
      <c r="M237" s="28"/>
      <c r="N237" s="36"/>
      <c r="O237" s="29">
        <f t="shared" si="3"/>
        <v>0</v>
      </c>
    </row>
    <row r="238" spans="1:15" x14ac:dyDescent="0.2">
      <c r="A238" s="32"/>
      <c r="B238" s="17" t="s">
        <v>20</v>
      </c>
      <c r="C238" s="28"/>
      <c r="D238" s="28"/>
      <c r="E238" s="28"/>
      <c r="F238" s="28"/>
      <c r="G238" s="33"/>
      <c r="H238" s="28"/>
      <c r="I238" s="34"/>
      <c r="J238" s="28"/>
      <c r="K238" s="28"/>
      <c r="L238" s="35"/>
      <c r="M238" s="28"/>
      <c r="N238" s="36"/>
      <c r="O238" s="29">
        <f t="shared" si="3"/>
        <v>0</v>
      </c>
    </row>
    <row r="239" spans="1:15" x14ac:dyDescent="0.2">
      <c r="A239" s="32"/>
      <c r="B239" s="17" t="s">
        <v>20</v>
      </c>
      <c r="C239" s="28"/>
      <c r="D239" s="28"/>
      <c r="E239" s="28"/>
      <c r="F239" s="28"/>
      <c r="G239" s="33"/>
      <c r="H239" s="28"/>
      <c r="I239" s="34"/>
      <c r="J239" s="28"/>
      <c r="K239" s="28"/>
      <c r="L239" s="35"/>
      <c r="M239" s="28"/>
      <c r="N239" s="36"/>
      <c r="O239" s="29">
        <f t="shared" si="3"/>
        <v>0</v>
      </c>
    </row>
    <row r="240" spans="1:15" x14ac:dyDescent="0.2">
      <c r="A240" s="32"/>
      <c r="B240" s="17" t="s">
        <v>20</v>
      </c>
      <c r="C240" s="28"/>
      <c r="D240" s="28"/>
      <c r="E240" s="28"/>
      <c r="F240" s="28"/>
      <c r="G240" s="33"/>
      <c r="H240" s="28"/>
      <c r="I240" s="34"/>
      <c r="J240" s="28"/>
      <c r="K240" s="28"/>
      <c r="L240" s="35"/>
      <c r="M240" s="28"/>
      <c r="N240" s="36"/>
      <c r="O240" s="29">
        <f t="shared" si="3"/>
        <v>0</v>
      </c>
    </row>
    <row r="241" spans="1:15" x14ac:dyDescent="0.2">
      <c r="A241" s="32"/>
      <c r="B241" s="17" t="s">
        <v>20</v>
      </c>
      <c r="C241" s="28"/>
      <c r="D241" s="28"/>
      <c r="E241" s="28"/>
      <c r="F241" s="28"/>
      <c r="G241" s="33"/>
      <c r="H241" s="28"/>
      <c r="I241" s="34"/>
      <c r="J241" s="28"/>
      <c r="K241" s="28"/>
      <c r="L241" s="35"/>
      <c r="M241" s="28"/>
      <c r="N241" s="36"/>
      <c r="O241" s="29">
        <f t="shared" si="3"/>
        <v>0</v>
      </c>
    </row>
    <row r="242" spans="1:15" x14ac:dyDescent="0.2">
      <c r="A242" s="32"/>
      <c r="B242" s="17" t="s">
        <v>20</v>
      </c>
      <c r="C242" s="28"/>
      <c r="D242" s="28"/>
      <c r="E242" s="28"/>
      <c r="F242" s="28"/>
      <c r="G242" s="33"/>
      <c r="H242" s="28"/>
      <c r="I242" s="34"/>
      <c r="J242" s="28"/>
      <c r="K242" s="28"/>
      <c r="L242" s="35"/>
      <c r="M242" s="28"/>
      <c r="N242" s="36"/>
      <c r="O242" s="29">
        <f t="shared" si="3"/>
        <v>0</v>
      </c>
    </row>
    <row r="243" spans="1:15" x14ac:dyDescent="0.2">
      <c r="A243" s="32"/>
      <c r="B243" s="17" t="s">
        <v>20</v>
      </c>
      <c r="C243" s="28"/>
      <c r="D243" s="28"/>
      <c r="E243" s="28"/>
      <c r="F243" s="28"/>
      <c r="G243" s="33"/>
      <c r="H243" s="28"/>
      <c r="I243" s="34"/>
      <c r="J243" s="28"/>
      <c r="K243" s="28"/>
      <c r="L243" s="35"/>
      <c r="M243" s="28"/>
      <c r="N243" s="36"/>
      <c r="O243" s="29">
        <f t="shared" si="3"/>
        <v>0</v>
      </c>
    </row>
    <row r="244" spans="1:15" x14ac:dyDescent="0.2">
      <c r="A244" s="32"/>
      <c r="B244" s="17" t="s">
        <v>20</v>
      </c>
      <c r="C244" s="28"/>
      <c r="D244" s="28"/>
      <c r="E244" s="28"/>
      <c r="F244" s="28"/>
      <c r="G244" s="33"/>
      <c r="H244" s="28"/>
      <c r="I244" s="34"/>
      <c r="J244" s="28"/>
      <c r="K244" s="28"/>
      <c r="L244" s="35"/>
      <c r="M244" s="28"/>
      <c r="N244" s="36"/>
      <c r="O244" s="29">
        <f t="shared" si="3"/>
        <v>0</v>
      </c>
    </row>
    <row r="245" spans="1:15" x14ac:dyDescent="0.2">
      <c r="A245" s="32"/>
      <c r="B245" s="17" t="s">
        <v>20</v>
      </c>
      <c r="C245" s="28"/>
      <c r="D245" s="28"/>
      <c r="E245" s="28"/>
      <c r="F245" s="28"/>
      <c r="G245" s="33"/>
      <c r="H245" s="28"/>
      <c r="I245" s="34"/>
      <c r="J245" s="28"/>
      <c r="K245" s="28"/>
      <c r="L245" s="35"/>
      <c r="M245" s="28"/>
      <c r="N245" s="36"/>
      <c r="O245" s="29">
        <f t="shared" si="3"/>
        <v>0</v>
      </c>
    </row>
    <row r="246" spans="1:15" x14ac:dyDescent="0.2">
      <c r="A246" s="32"/>
      <c r="B246" s="17" t="s">
        <v>20</v>
      </c>
      <c r="C246" s="28"/>
      <c r="D246" s="28"/>
      <c r="E246" s="28"/>
      <c r="F246" s="28"/>
      <c r="G246" s="33"/>
      <c r="H246" s="28"/>
      <c r="I246" s="34"/>
      <c r="J246" s="28"/>
      <c r="K246" s="28"/>
      <c r="L246" s="35"/>
      <c r="M246" s="28"/>
      <c r="N246" s="36"/>
      <c r="O246" s="29">
        <f t="shared" si="3"/>
        <v>0</v>
      </c>
    </row>
    <row r="247" spans="1:15" x14ac:dyDescent="0.2">
      <c r="A247" s="32"/>
      <c r="B247" s="17" t="s">
        <v>20</v>
      </c>
      <c r="C247" s="28"/>
      <c r="D247" s="28"/>
      <c r="E247" s="28"/>
      <c r="F247" s="28"/>
      <c r="G247" s="33"/>
      <c r="H247" s="28"/>
      <c r="I247" s="34"/>
      <c r="J247" s="28"/>
      <c r="K247" s="28"/>
      <c r="L247" s="35"/>
      <c r="M247" s="28"/>
      <c r="N247" s="36"/>
      <c r="O247" s="29">
        <f t="shared" si="3"/>
        <v>0</v>
      </c>
    </row>
    <row r="248" spans="1:15" x14ac:dyDescent="0.2">
      <c r="A248" s="32"/>
      <c r="B248" s="17" t="s">
        <v>20</v>
      </c>
      <c r="C248" s="28"/>
      <c r="D248" s="28"/>
      <c r="E248" s="28"/>
      <c r="F248" s="28"/>
      <c r="G248" s="33"/>
      <c r="H248" s="28"/>
      <c r="I248" s="34"/>
      <c r="J248" s="28"/>
      <c r="K248" s="28"/>
      <c r="L248" s="35"/>
      <c r="M248" s="28"/>
      <c r="N248" s="36"/>
      <c r="O248" s="29">
        <f t="shared" si="3"/>
        <v>0</v>
      </c>
    </row>
    <row r="249" spans="1:15" x14ac:dyDescent="0.2">
      <c r="A249" s="32"/>
      <c r="B249" s="17" t="s">
        <v>20</v>
      </c>
      <c r="C249" s="28"/>
      <c r="D249" s="28"/>
      <c r="E249" s="28"/>
      <c r="F249" s="28"/>
      <c r="G249" s="33"/>
      <c r="H249" s="28"/>
      <c r="I249" s="34"/>
      <c r="J249" s="28"/>
      <c r="K249" s="28"/>
      <c r="L249" s="35"/>
      <c r="M249" s="28"/>
      <c r="N249" s="36"/>
      <c r="O249" s="29">
        <f t="shared" si="3"/>
        <v>0</v>
      </c>
    </row>
    <row r="250" spans="1:15" x14ac:dyDescent="0.2">
      <c r="A250" s="32"/>
      <c r="B250" s="17" t="s">
        <v>20</v>
      </c>
      <c r="C250" s="28"/>
      <c r="D250" s="28"/>
      <c r="E250" s="28"/>
      <c r="F250" s="28"/>
      <c r="G250" s="33"/>
      <c r="H250" s="28"/>
      <c r="I250" s="34"/>
      <c r="J250" s="28"/>
      <c r="K250" s="28"/>
      <c r="L250" s="35"/>
      <c r="M250" s="28"/>
      <c r="N250" s="36"/>
      <c r="O250" s="29">
        <f t="shared" si="3"/>
        <v>0</v>
      </c>
    </row>
    <row r="251" spans="1:15" x14ac:dyDescent="0.2">
      <c r="A251" s="32"/>
      <c r="B251" s="17" t="s">
        <v>20</v>
      </c>
      <c r="C251" s="28"/>
      <c r="D251" s="28"/>
      <c r="E251" s="28"/>
      <c r="F251" s="28"/>
      <c r="G251" s="33"/>
      <c r="H251" s="28"/>
      <c r="I251" s="34"/>
      <c r="J251" s="28"/>
      <c r="K251" s="28"/>
      <c r="L251" s="35"/>
      <c r="M251" s="28"/>
      <c r="N251" s="36"/>
      <c r="O251" s="29">
        <f t="shared" si="3"/>
        <v>0</v>
      </c>
    </row>
    <row r="252" spans="1:15" x14ac:dyDescent="0.2">
      <c r="A252" s="32"/>
      <c r="B252" s="17" t="s">
        <v>20</v>
      </c>
      <c r="C252" s="28"/>
      <c r="D252" s="28"/>
      <c r="E252" s="28"/>
      <c r="F252" s="28"/>
      <c r="G252" s="33"/>
      <c r="H252" s="28"/>
      <c r="I252" s="34"/>
      <c r="J252" s="28"/>
      <c r="K252" s="28"/>
      <c r="L252" s="35"/>
      <c r="M252" s="28"/>
      <c r="N252" s="36"/>
      <c r="O252" s="29">
        <f t="shared" si="3"/>
        <v>0</v>
      </c>
    </row>
    <row r="253" spans="1:15" x14ac:dyDescent="0.2">
      <c r="A253" s="32"/>
      <c r="B253" s="17" t="s">
        <v>20</v>
      </c>
      <c r="C253" s="28"/>
      <c r="D253" s="28"/>
      <c r="E253" s="28"/>
      <c r="F253" s="28"/>
      <c r="G253" s="33"/>
      <c r="H253" s="28"/>
      <c r="I253" s="34"/>
      <c r="J253" s="28"/>
      <c r="K253" s="28"/>
      <c r="L253" s="35"/>
      <c r="M253" s="28"/>
      <c r="N253" s="36"/>
      <c r="O253" s="29">
        <f t="shared" si="3"/>
        <v>0</v>
      </c>
    </row>
    <row r="254" spans="1:15" x14ac:dyDescent="0.2">
      <c r="A254" s="32"/>
      <c r="B254" s="17" t="s">
        <v>20</v>
      </c>
      <c r="C254" s="28"/>
      <c r="D254" s="28"/>
      <c r="E254" s="28"/>
      <c r="F254" s="28"/>
      <c r="G254" s="33"/>
      <c r="H254" s="28"/>
      <c r="I254" s="34"/>
      <c r="J254" s="28"/>
      <c r="K254" s="28"/>
      <c r="L254" s="35"/>
      <c r="M254" s="28"/>
      <c r="N254" s="36"/>
      <c r="O254" s="29">
        <f t="shared" si="3"/>
        <v>0</v>
      </c>
    </row>
    <row r="255" spans="1:15" x14ac:dyDescent="0.2">
      <c r="A255" s="32"/>
      <c r="B255" s="17" t="s">
        <v>20</v>
      </c>
      <c r="C255" s="28"/>
      <c r="D255" s="28"/>
      <c r="E255" s="28"/>
      <c r="F255" s="28"/>
      <c r="G255" s="33"/>
      <c r="H255" s="28"/>
      <c r="I255" s="34"/>
      <c r="J255" s="28"/>
      <c r="K255" s="28"/>
      <c r="L255" s="35"/>
      <c r="M255" s="28"/>
      <c r="N255" s="36"/>
      <c r="O255" s="29">
        <f t="shared" si="3"/>
        <v>0</v>
      </c>
    </row>
    <row r="256" spans="1:15" x14ac:dyDescent="0.2">
      <c r="A256" s="32"/>
      <c r="B256" s="17" t="s">
        <v>20</v>
      </c>
      <c r="C256" s="28"/>
      <c r="D256" s="28"/>
      <c r="E256" s="28"/>
      <c r="F256" s="28"/>
      <c r="G256" s="33"/>
      <c r="H256" s="28"/>
      <c r="I256" s="34"/>
      <c r="J256" s="28"/>
      <c r="K256" s="28"/>
      <c r="L256" s="35"/>
      <c r="M256" s="28"/>
      <c r="N256" s="36"/>
      <c r="O256" s="29">
        <f t="shared" si="3"/>
        <v>0</v>
      </c>
    </row>
    <row r="257" spans="1:15" x14ac:dyDescent="0.2">
      <c r="A257" s="32"/>
      <c r="B257" s="17" t="s">
        <v>20</v>
      </c>
      <c r="C257" s="28"/>
      <c r="D257" s="28"/>
      <c r="E257" s="28"/>
      <c r="F257" s="28"/>
      <c r="G257" s="33"/>
      <c r="H257" s="28"/>
      <c r="I257" s="34"/>
      <c r="J257" s="28"/>
      <c r="K257" s="28"/>
      <c r="L257" s="35"/>
      <c r="M257" s="28"/>
      <c r="N257" s="36"/>
      <c r="O257" s="29">
        <f t="shared" si="3"/>
        <v>0</v>
      </c>
    </row>
    <row r="258" spans="1:15" x14ac:dyDescent="0.2">
      <c r="A258" s="32"/>
      <c r="B258" s="17" t="s">
        <v>20</v>
      </c>
      <c r="C258" s="28"/>
      <c r="D258" s="28"/>
      <c r="E258" s="28"/>
      <c r="F258" s="28"/>
      <c r="G258" s="33"/>
      <c r="H258" s="28"/>
      <c r="I258" s="34"/>
      <c r="J258" s="28"/>
      <c r="K258" s="28"/>
      <c r="L258" s="35"/>
      <c r="M258" s="28"/>
      <c r="N258" s="36"/>
      <c r="O258" s="29">
        <f t="shared" si="3"/>
        <v>0</v>
      </c>
    </row>
    <row r="259" spans="1:15" x14ac:dyDescent="0.2">
      <c r="A259" s="32"/>
      <c r="B259" s="17" t="s">
        <v>20</v>
      </c>
      <c r="C259" s="28"/>
      <c r="D259" s="28"/>
      <c r="E259" s="28"/>
      <c r="F259" s="28"/>
      <c r="G259" s="33"/>
      <c r="H259" s="28"/>
      <c r="I259" s="34"/>
      <c r="J259" s="28"/>
      <c r="K259" s="28"/>
      <c r="L259" s="35"/>
      <c r="M259" s="28"/>
      <c r="N259" s="36"/>
      <c r="O259" s="29">
        <f t="shared" ref="O259:O322" si="4">N259*J259</f>
        <v>0</v>
      </c>
    </row>
    <row r="260" spans="1:15" x14ac:dyDescent="0.2">
      <c r="A260" s="32"/>
      <c r="B260" s="17" t="s">
        <v>20</v>
      </c>
      <c r="C260" s="28"/>
      <c r="D260" s="28"/>
      <c r="E260" s="28"/>
      <c r="F260" s="28"/>
      <c r="G260" s="33"/>
      <c r="H260" s="28"/>
      <c r="I260" s="34"/>
      <c r="J260" s="28"/>
      <c r="K260" s="28"/>
      <c r="L260" s="35"/>
      <c r="M260" s="28"/>
      <c r="N260" s="36"/>
      <c r="O260" s="29">
        <f t="shared" si="4"/>
        <v>0</v>
      </c>
    </row>
    <row r="261" spans="1:15" x14ac:dyDescent="0.2">
      <c r="A261" s="32"/>
      <c r="B261" s="17" t="s">
        <v>20</v>
      </c>
      <c r="C261" s="28"/>
      <c r="D261" s="28"/>
      <c r="E261" s="28"/>
      <c r="F261" s="28"/>
      <c r="G261" s="33"/>
      <c r="H261" s="28"/>
      <c r="I261" s="34"/>
      <c r="J261" s="28"/>
      <c r="K261" s="28"/>
      <c r="L261" s="35"/>
      <c r="M261" s="28"/>
      <c r="N261" s="36"/>
      <c r="O261" s="29">
        <f t="shared" si="4"/>
        <v>0</v>
      </c>
    </row>
    <row r="262" spans="1:15" x14ac:dyDescent="0.2">
      <c r="A262" s="32"/>
      <c r="B262" s="17" t="s">
        <v>20</v>
      </c>
      <c r="C262" s="28"/>
      <c r="D262" s="28"/>
      <c r="E262" s="28"/>
      <c r="F262" s="28"/>
      <c r="G262" s="33"/>
      <c r="H262" s="28"/>
      <c r="I262" s="34"/>
      <c r="J262" s="28"/>
      <c r="K262" s="28"/>
      <c r="L262" s="35"/>
      <c r="M262" s="28"/>
      <c r="N262" s="36"/>
      <c r="O262" s="29">
        <f t="shared" si="4"/>
        <v>0</v>
      </c>
    </row>
    <row r="263" spans="1:15" x14ac:dyDescent="0.2">
      <c r="A263" s="32"/>
      <c r="B263" s="17" t="s">
        <v>20</v>
      </c>
      <c r="C263" s="28"/>
      <c r="D263" s="28"/>
      <c r="E263" s="28"/>
      <c r="F263" s="28"/>
      <c r="G263" s="33"/>
      <c r="H263" s="28"/>
      <c r="I263" s="34"/>
      <c r="J263" s="28"/>
      <c r="K263" s="28"/>
      <c r="L263" s="35"/>
      <c r="M263" s="28"/>
      <c r="N263" s="36"/>
      <c r="O263" s="29">
        <f t="shared" si="4"/>
        <v>0</v>
      </c>
    </row>
    <row r="264" spans="1:15" x14ac:dyDescent="0.2">
      <c r="A264" s="32"/>
      <c r="B264" s="17" t="s">
        <v>20</v>
      </c>
      <c r="C264" s="28"/>
      <c r="D264" s="28"/>
      <c r="E264" s="28"/>
      <c r="F264" s="28"/>
      <c r="G264" s="33"/>
      <c r="H264" s="28"/>
      <c r="I264" s="34"/>
      <c r="J264" s="28"/>
      <c r="K264" s="28"/>
      <c r="L264" s="35"/>
      <c r="M264" s="28"/>
      <c r="N264" s="36"/>
      <c r="O264" s="29">
        <f t="shared" si="4"/>
        <v>0</v>
      </c>
    </row>
    <row r="265" spans="1:15" x14ac:dyDescent="0.2">
      <c r="A265" s="32"/>
      <c r="B265" s="17" t="s">
        <v>20</v>
      </c>
      <c r="C265" s="28"/>
      <c r="D265" s="28"/>
      <c r="E265" s="28"/>
      <c r="F265" s="28"/>
      <c r="G265" s="33"/>
      <c r="H265" s="28"/>
      <c r="I265" s="34"/>
      <c r="J265" s="28"/>
      <c r="K265" s="28"/>
      <c r="L265" s="35"/>
      <c r="M265" s="28"/>
      <c r="N265" s="36"/>
      <c r="O265" s="29">
        <f t="shared" si="4"/>
        <v>0</v>
      </c>
    </row>
    <row r="266" spans="1:15" x14ac:dyDescent="0.2">
      <c r="A266" s="32"/>
      <c r="B266" s="17" t="s">
        <v>20</v>
      </c>
      <c r="C266" s="28"/>
      <c r="D266" s="28"/>
      <c r="E266" s="28"/>
      <c r="F266" s="28"/>
      <c r="G266" s="33"/>
      <c r="H266" s="28"/>
      <c r="I266" s="34"/>
      <c r="J266" s="28"/>
      <c r="K266" s="28"/>
      <c r="L266" s="35"/>
      <c r="M266" s="28"/>
      <c r="N266" s="36"/>
      <c r="O266" s="29">
        <f t="shared" si="4"/>
        <v>0</v>
      </c>
    </row>
    <row r="267" spans="1:15" x14ac:dyDescent="0.2">
      <c r="A267" s="32"/>
      <c r="B267" s="17" t="s">
        <v>20</v>
      </c>
      <c r="C267" s="28"/>
      <c r="D267" s="28"/>
      <c r="E267" s="28"/>
      <c r="F267" s="28"/>
      <c r="G267" s="33"/>
      <c r="H267" s="28"/>
      <c r="I267" s="34"/>
      <c r="J267" s="28"/>
      <c r="K267" s="28"/>
      <c r="L267" s="35"/>
      <c r="M267" s="28"/>
      <c r="N267" s="36"/>
      <c r="O267" s="29">
        <f t="shared" si="4"/>
        <v>0</v>
      </c>
    </row>
    <row r="268" spans="1:15" x14ac:dyDescent="0.2">
      <c r="A268" s="32"/>
      <c r="B268" s="17" t="s">
        <v>20</v>
      </c>
      <c r="C268" s="28"/>
      <c r="D268" s="28"/>
      <c r="E268" s="28"/>
      <c r="F268" s="28"/>
      <c r="G268" s="33"/>
      <c r="H268" s="28"/>
      <c r="I268" s="34"/>
      <c r="J268" s="28"/>
      <c r="K268" s="28"/>
      <c r="L268" s="35"/>
      <c r="M268" s="28"/>
      <c r="N268" s="36"/>
      <c r="O268" s="29">
        <f t="shared" si="4"/>
        <v>0</v>
      </c>
    </row>
    <row r="269" spans="1:15" x14ac:dyDescent="0.2">
      <c r="A269" s="32"/>
      <c r="B269" s="17" t="s">
        <v>20</v>
      </c>
      <c r="C269" s="28"/>
      <c r="D269" s="28"/>
      <c r="E269" s="28"/>
      <c r="F269" s="28"/>
      <c r="G269" s="33"/>
      <c r="H269" s="28"/>
      <c r="I269" s="34"/>
      <c r="J269" s="28"/>
      <c r="K269" s="28"/>
      <c r="L269" s="35"/>
      <c r="M269" s="28"/>
      <c r="N269" s="36"/>
      <c r="O269" s="29">
        <f t="shared" si="4"/>
        <v>0</v>
      </c>
    </row>
    <row r="270" spans="1:15" x14ac:dyDescent="0.2">
      <c r="A270" s="32"/>
      <c r="B270" s="17" t="s">
        <v>20</v>
      </c>
      <c r="C270" s="28"/>
      <c r="D270" s="28"/>
      <c r="E270" s="28"/>
      <c r="F270" s="28"/>
      <c r="G270" s="33"/>
      <c r="H270" s="28"/>
      <c r="I270" s="34"/>
      <c r="J270" s="28"/>
      <c r="K270" s="28"/>
      <c r="L270" s="35"/>
      <c r="M270" s="28"/>
      <c r="N270" s="36"/>
      <c r="O270" s="29">
        <f t="shared" si="4"/>
        <v>0</v>
      </c>
    </row>
    <row r="271" spans="1:15" x14ac:dyDescent="0.2">
      <c r="A271" s="32"/>
      <c r="B271" s="17" t="s">
        <v>20</v>
      </c>
      <c r="C271" s="28"/>
      <c r="D271" s="28"/>
      <c r="E271" s="28"/>
      <c r="F271" s="28"/>
      <c r="G271" s="33"/>
      <c r="H271" s="28"/>
      <c r="I271" s="34"/>
      <c r="J271" s="28"/>
      <c r="K271" s="28"/>
      <c r="L271" s="35"/>
      <c r="M271" s="28"/>
      <c r="N271" s="36"/>
      <c r="O271" s="29">
        <f t="shared" si="4"/>
        <v>0</v>
      </c>
    </row>
    <row r="272" spans="1:15" x14ac:dyDescent="0.2">
      <c r="A272" s="32"/>
      <c r="B272" s="17" t="s">
        <v>20</v>
      </c>
      <c r="C272" s="28"/>
      <c r="D272" s="28"/>
      <c r="E272" s="28"/>
      <c r="F272" s="28"/>
      <c r="G272" s="33"/>
      <c r="H272" s="28"/>
      <c r="I272" s="34"/>
      <c r="J272" s="28"/>
      <c r="K272" s="28"/>
      <c r="L272" s="35"/>
      <c r="M272" s="28"/>
      <c r="N272" s="36"/>
      <c r="O272" s="29">
        <f t="shared" si="4"/>
        <v>0</v>
      </c>
    </row>
    <row r="273" spans="1:15" x14ac:dyDescent="0.2">
      <c r="A273" s="32"/>
      <c r="B273" s="17" t="s">
        <v>20</v>
      </c>
      <c r="C273" s="28"/>
      <c r="D273" s="28"/>
      <c r="E273" s="28"/>
      <c r="F273" s="28"/>
      <c r="G273" s="33"/>
      <c r="H273" s="28"/>
      <c r="I273" s="34"/>
      <c r="J273" s="28"/>
      <c r="K273" s="28"/>
      <c r="L273" s="35"/>
      <c r="M273" s="28"/>
      <c r="N273" s="36"/>
      <c r="O273" s="29">
        <f t="shared" si="4"/>
        <v>0</v>
      </c>
    </row>
    <row r="274" spans="1:15" x14ac:dyDescent="0.2">
      <c r="A274" s="32"/>
      <c r="B274" s="17" t="s">
        <v>20</v>
      </c>
      <c r="C274" s="28"/>
      <c r="D274" s="28"/>
      <c r="E274" s="28"/>
      <c r="F274" s="28"/>
      <c r="G274" s="33"/>
      <c r="H274" s="28"/>
      <c r="I274" s="34"/>
      <c r="J274" s="28"/>
      <c r="K274" s="28"/>
      <c r="L274" s="35"/>
      <c r="M274" s="28"/>
      <c r="N274" s="36"/>
      <c r="O274" s="29">
        <f t="shared" si="4"/>
        <v>0</v>
      </c>
    </row>
    <row r="275" spans="1:15" x14ac:dyDescent="0.2">
      <c r="A275" s="32"/>
      <c r="B275" s="17" t="s">
        <v>20</v>
      </c>
      <c r="C275" s="28"/>
      <c r="D275" s="28"/>
      <c r="E275" s="28"/>
      <c r="F275" s="28"/>
      <c r="G275" s="33"/>
      <c r="H275" s="28"/>
      <c r="I275" s="34"/>
      <c r="J275" s="28"/>
      <c r="K275" s="28"/>
      <c r="L275" s="35"/>
      <c r="M275" s="28"/>
      <c r="N275" s="36"/>
      <c r="O275" s="29">
        <f t="shared" si="4"/>
        <v>0</v>
      </c>
    </row>
    <row r="276" spans="1:15" x14ac:dyDescent="0.2">
      <c r="A276" s="32"/>
      <c r="B276" s="17" t="s">
        <v>20</v>
      </c>
      <c r="C276" s="28"/>
      <c r="D276" s="28"/>
      <c r="E276" s="28"/>
      <c r="F276" s="28"/>
      <c r="G276" s="33"/>
      <c r="H276" s="28"/>
      <c r="I276" s="34"/>
      <c r="J276" s="28"/>
      <c r="K276" s="28"/>
      <c r="L276" s="35"/>
      <c r="M276" s="28"/>
      <c r="N276" s="36"/>
      <c r="O276" s="29">
        <f t="shared" si="4"/>
        <v>0</v>
      </c>
    </row>
    <row r="277" spans="1:15" x14ac:dyDescent="0.2">
      <c r="A277" s="32"/>
      <c r="B277" s="17" t="s">
        <v>20</v>
      </c>
      <c r="C277" s="28"/>
      <c r="D277" s="28"/>
      <c r="E277" s="28"/>
      <c r="F277" s="28"/>
      <c r="G277" s="33"/>
      <c r="H277" s="28"/>
      <c r="I277" s="34"/>
      <c r="J277" s="28"/>
      <c r="K277" s="28"/>
      <c r="L277" s="35"/>
      <c r="M277" s="28"/>
      <c r="N277" s="36"/>
      <c r="O277" s="29">
        <f t="shared" si="4"/>
        <v>0</v>
      </c>
    </row>
    <row r="278" spans="1:15" x14ac:dyDescent="0.2">
      <c r="A278" s="32"/>
      <c r="B278" s="17" t="s">
        <v>20</v>
      </c>
      <c r="C278" s="28"/>
      <c r="D278" s="28"/>
      <c r="E278" s="28"/>
      <c r="F278" s="28"/>
      <c r="G278" s="33"/>
      <c r="H278" s="28"/>
      <c r="I278" s="34"/>
      <c r="J278" s="28"/>
      <c r="K278" s="28"/>
      <c r="L278" s="35"/>
      <c r="M278" s="28"/>
      <c r="N278" s="36"/>
      <c r="O278" s="29">
        <f t="shared" si="4"/>
        <v>0</v>
      </c>
    </row>
    <row r="279" spans="1:15" x14ac:dyDescent="0.2">
      <c r="A279" s="32"/>
      <c r="B279" s="17" t="s">
        <v>20</v>
      </c>
      <c r="C279" s="28"/>
      <c r="D279" s="28"/>
      <c r="E279" s="28"/>
      <c r="F279" s="28"/>
      <c r="G279" s="33"/>
      <c r="H279" s="28"/>
      <c r="I279" s="34"/>
      <c r="J279" s="28"/>
      <c r="K279" s="28"/>
      <c r="L279" s="35"/>
      <c r="M279" s="28"/>
      <c r="N279" s="36"/>
      <c r="O279" s="29">
        <f t="shared" si="4"/>
        <v>0</v>
      </c>
    </row>
    <row r="280" spans="1:15" x14ac:dyDescent="0.2">
      <c r="A280" s="32"/>
      <c r="B280" s="17" t="s">
        <v>20</v>
      </c>
      <c r="C280" s="28"/>
      <c r="D280" s="28"/>
      <c r="E280" s="28"/>
      <c r="F280" s="28"/>
      <c r="G280" s="33"/>
      <c r="H280" s="28"/>
      <c r="I280" s="34"/>
      <c r="J280" s="28"/>
      <c r="K280" s="28"/>
      <c r="L280" s="35"/>
      <c r="M280" s="28"/>
      <c r="N280" s="36"/>
      <c r="O280" s="29">
        <f t="shared" si="4"/>
        <v>0</v>
      </c>
    </row>
    <row r="281" spans="1:15" x14ac:dyDescent="0.2">
      <c r="A281" s="32"/>
      <c r="B281" s="17" t="s">
        <v>20</v>
      </c>
      <c r="C281" s="28"/>
      <c r="D281" s="28"/>
      <c r="E281" s="28"/>
      <c r="F281" s="28"/>
      <c r="G281" s="33"/>
      <c r="H281" s="28"/>
      <c r="I281" s="34"/>
      <c r="J281" s="28"/>
      <c r="K281" s="28"/>
      <c r="L281" s="35"/>
      <c r="M281" s="28"/>
      <c r="N281" s="36"/>
      <c r="O281" s="29">
        <f t="shared" si="4"/>
        <v>0</v>
      </c>
    </row>
    <row r="282" spans="1:15" x14ac:dyDescent="0.2">
      <c r="A282" s="32"/>
      <c r="B282" s="17" t="s">
        <v>20</v>
      </c>
      <c r="C282" s="28"/>
      <c r="D282" s="28"/>
      <c r="E282" s="28"/>
      <c r="F282" s="28"/>
      <c r="G282" s="33"/>
      <c r="H282" s="28"/>
      <c r="I282" s="34"/>
      <c r="J282" s="28"/>
      <c r="K282" s="28"/>
      <c r="L282" s="35"/>
      <c r="M282" s="28"/>
      <c r="N282" s="36"/>
      <c r="O282" s="29">
        <f t="shared" si="4"/>
        <v>0</v>
      </c>
    </row>
    <row r="283" spans="1:15" x14ac:dyDescent="0.2">
      <c r="A283" s="32"/>
      <c r="B283" s="17" t="s">
        <v>20</v>
      </c>
      <c r="C283" s="28"/>
      <c r="D283" s="28"/>
      <c r="E283" s="28"/>
      <c r="F283" s="28"/>
      <c r="G283" s="33"/>
      <c r="H283" s="28"/>
      <c r="I283" s="34"/>
      <c r="J283" s="28"/>
      <c r="K283" s="28"/>
      <c r="L283" s="35"/>
      <c r="M283" s="28"/>
      <c r="N283" s="36"/>
      <c r="O283" s="29">
        <f t="shared" si="4"/>
        <v>0</v>
      </c>
    </row>
    <row r="284" spans="1:15" x14ac:dyDescent="0.2">
      <c r="A284" s="32"/>
      <c r="B284" s="17" t="s">
        <v>20</v>
      </c>
      <c r="C284" s="28"/>
      <c r="D284" s="28"/>
      <c r="E284" s="28"/>
      <c r="F284" s="28"/>
      <c r="G284" s="33"/>
      <c r="H284" s="28"/>
      <c r="I284" s="34"/>
      <c r="J284" s="28"/>
      <c r="K284" s="28"/>
      <c r="L284" s="35"/>
      <c r="M284" s="28"/>
      <c r="N284" s="36"/>
      <c r="O284" s="29">
        <f t="shared" si="4"/>
        <v>0</v>
      </c>
    </row>
    <row r="285" spans="1:15" x14ac:dyDescent="0.2">
      <c r="A285" s="32"/>
      <c r="B285" s="17" t="s">
        <v>20</v>
      </c>
      <c r="C285" s="28"/>
      <c r="D285" s="28"/>
      <c r="E285" s="28"/>
      <c r="F285" s="28"/>
      <c r="G285" s="33"/>
      <c r="H285" s="28"/>
      <c r="I285" s="34"/>
      <c r="J285" s="28"/>
      <c r="K285" s="28"/>
      <c r="L285" s="35"/>
      <c r="M285" s="28"/>
      <c r="N285" s="36"/>
      <c r="O285" s="29">
        <f t="shared" si="4"/>
        <v>0</v>
      </c>
    </row>
    <row r="286" spans="1:15" x14ac:dyDescent="0.2">
      <c r="A286" s="32"/>
      <c r="B286" s="17" t="s">
        <v>20</v>
      </c>
      <c r="C286" s="28"/>
      <c r="D286" s="28"/>
      <c r="E286" s="28"/>
      <c r="F286" s="28"/>
      <c r="G286" s="33"/>
      <c r="H286" s="28"/>
      <c r="I286" s="34"/>
      <c r="J286" s="28"/>
      <c r="K286" s="28"/>
      <c r="L286" s="35"/>
      <c r="M286" s="28"/>
      <c r="N286" s="36"/>
      <c r="O286" s="29">
        <f t="shared" si="4"/>
        <v>0</v>
      </c>
    </row>
    <row r="287" spans="1:15" x14ac:dyDescent="0.2">
      <c r="A287" s="32"/>
      <c r="B287" s="17" t="s">
        <v>20</v>
      </c>
      <c r="C287" s="28"/>
      <c r="D287" s="28"/>
      <c r="E287" s="28"/>
      <c r="F287" s="28"/>
      <c r="G287" s="33"/>
      <c r="H287" s="28"/>
      <c r="I287" s="34"/>
      <c r="J287" s="28"/>
      <c r="K287" s="28"/>
      <c r="L287" s="35"/>
      <c r="M287" s="28"/>
      <c r="N287" s="36"/>
      <c r="O287" s="29">
        <f t="shared" si="4"/>
        <v>0</v>
      </c>
    </row>
    <row r="288" spans="1:15" x14ac:dyDescent="0.2">
      <c r="A288" s="32"/>
      <c r="B288" s="17" t="s">
        <v>20</v>
      </c>
      <c r="C288" s="28"/>
      <c r="D288" s="28"/>
      <c r="E288" s="28"/>
      <c r="F288" s="28"/>
      <c r="G288" s="33"/>
      <c r="H288" s="28"/>
      <c r="I288" s="34"/>
      <c r="J288" s="28"/>
      <c r="K288" s="28"/>
      <c r="L288" s="35"/>
      <c r="M288" s="28"/>
      <c r="N288" s="36"/>
      <c r="O288" s="29">
        <f t="shared" si="4"/>
        <v>0</v>
      </c>
    </row>
    <row r="289" spans="1:15" x14ac:dyDescent="0.2">
      <c r="A289" s="32"/>
      <c r="B289" s="17" t="s">
        <v>20</v>
      </c>
      <c r="C289" s="28"/>
      <c r="D289" s="28"/>
      <c r="E289" s="28"/>
      <c r="F289" s="28"/>
      <c r="G289" s="33"/>
      <c r="H289" s="28"/>
      <c r="I289" s="34"/>
      <c r="J289" s="28"/>
      <c r="K289" s="28"/>
      <c r="L289" s="35"/>
      <c r="M289" s="28"/>
      <c r="N289" s="36"/>
      <c r="O289" s="29">
        <f t="shared" si="4"/>
        <v>0</v>
      </c>
    </row>
    <row r="290" spans="1:15" x14ac:dyDescent="0.2">
      <c r="A290" s="32"/>
      <c r="B290" s="17" t="s">
        <v>20</v>
      </c>
      <c r="C290" s="28"/>
      <c r="D290" s="28"/>
      <c r="E290" s="28"/>
      <c r="F290" s="28"/>
      <c r="G290" s="33"/>
      <c r="H290" s="28"/>
      <c r="I290" s="34"/>
      <c r="J290" s="28"/>
      <c r="K290" s="28"/>
      <c r="L290" s="35"/>
      <c r="M290" s="28"/>
      <c r="N290" s="36"/>
      <c r="O290" s="29">
        <f t="shared" si="4"/>
        <v>0</v>
      </c>
    </row>
    <row r="291" spans="1:15" x14ac:dyDescent="0.2">
      <c r="A291" s="32"/>
      <c r="B291" s="17" t="s">
        <v>20</v>
      </c>
      <c r="C291" s="28"/>
      <c r="D291" s="28"/>
      <c r="E291" s="28"/>
      <c r="F291" s="28"/>
      <c r="G291" s="33"/>
      <c r="H291" s="28"/>
      <c r="I291" s="34"/>
      <c r="J291" s="28"/>
      <c r="K291" s="28"/>
      <c r="L291" s="35"/>
      <c r="M291" s="28"/>
      <c r="N291" s="36"/>
      <c r="O291" s="29">
        <f t="shared" si="4"/>
        <v>0</v>
      </c>
    </row>
    <row r="292" spans="1:15" x14ac:dyDescent="0.2">
      <c r="A292" s="32"/>
      <c r="B292" s="17" t="s">
        <v>20</v>
      </c>
      <c r="C292" s="28"/>
      <c r="D292" s="28"/>
      <c r="E292" s="28"/>
      <c r="F292" s="28"/>
      <c r="G292" s="33"/>
      <c r="H292" s="28"/>
      <c r="I292" s="34"/>
      <c r="J292" s="28"/>
      <c r="K292" s="28"/>
      <c r="L292" s="35"/>
      <c r="M292" s="28"/>
      <c r="N292" s="36"/>
      <c r="O292" s="29">
        <f t="shared" si="4"/>
        <v>0</v>
      </c>
    </row>
    <row r="293" spans="1:15" x14ac:dyDescent="0.2">
      <c r="A293" s="32"/>
      <c r="B293" s="17" t="s">
        <v>20</v>
      </c>
      <c r="C293" s="28"/>
      <c r="D293" s="28"/>
      <c r="E293" s="28"/>
      <c r="F293" s="28"/>
      <c r="G293" s="33"/>
      <c r="H293" s="28"/>
      <c r="I293" s="34"/>
      <c r="J293" s="28"/>
      <c r="K293" s="28"/>
      <c r="L293" s="35"/>
      <c r="M293" s="28"/>
      <c r="N293" s="36"/>
      <c r="O293" s="29">
        <f t="shared" si="4"/>
        <v>0</v>
      </c>
    </row>
    <row r="294" spans="1:15" x14ac:dyDescent="0.2">
      <c r="A294" s="32"/>
      <c r="B294" s="17" t="s">
        <v>20</v>
      </c>
      <c r="C294" s="28"/>
      <c r="D294" s="28"/>
      <c r="E294" s="28"/>
      <c r="F294" s="28"/>
      <c r="G294" s="33"/>
      <c r="H294" s="28"/>
      <c r="I294" s="34"/>
      <c r="J294" s="28"/>
      <c r="K294" s="28"/>
      <c r="L294" s="35"/>
      <c r="M294" s="28"/>
      <c r="N294" s="36"/>
      <c r="O294" s="29">
        <f t="shared" si="4"/>
        <v>0</v>
      </c>
    </row>
    <row r="295" spans="1:15" x14ac:dyDescent="0.2">
      <c r="A295" s="32"/>
      <c r="B295" s="17" t="s">
        <v>20</v>
      </c>
      <c r="C295" s="28"/>
      <c r="D295" s="28"/>
      <c r="E295" s="28"/>
      <c r="F295" s="28"/>
      <c r="G295" s="33"/>
      <c r="H295" s="28"/>
      <c r="I295" s="34"/>
      <c r="J295" s="28"/>
      <c r="K295" s="28"/>
      <c r="L295" s="35"/>
      <c r="M295" s="28"/>
      <c r="N295" s="36"/>
      <c r="O295" s="29">
        <f t="shared" si="4"/>
        <v>0</v>
      </c>
    </row>
    <row r="296" spans="1:15" x14ac:dyDescent="0.2">
      <c r="A296" s="32"/>
      <c r="B296" s="17" t="s">
        <v>20</v>
      </c>
      <c r="C296" s="28"/>
      <c r="D296" s="28"/>
      <c r="E296" s="28"/>
      <c r="F296" s="28"/>
      <c r="G296" s="33"/>
      <c r="H296" s="28"/>
      <c r="I296" s="34"/>
      <c r="J296" s="28"/>
      <c r="K296" s="28"/>
      <c r="L296" s="35"/>
      <c r="M296" s="28"/>
      <c r="N296" s="36"/>
      <c r="O296" s="29">
        <f t="shared" si="4"/>
        <v>0</v>
      </c>
    </row>
    <row r="297" spans="1:15" x14ac:dyDescent="0.2">
      <c r="A297" s="32"/>
      <c r="B297" s="17" t="s">
        <v>20</v>
      </c>
      <c r="C297" s="28"/>
      <c r="D297" s="28"/>
      <c r="E297" s="28"/>
      <c r="F297" s="28"/>
      <c r="G297" s="33"/>
      <c r="H297" s="28"/>
      <c r="I297" s="34"/>
      <c r="J297" s="28"/>
      <c r="K297" s="28"/>
      <c r="L297" s="35"/>
      <c r="M297" s="28"/>
      <c r="N297" s="36"/>
      <c r="O297" s="29">
        <f t="shared" si="4"/>
        <v>0</v>
      </c>
    </row>
    <row r="298" spans="1:15" x14ac:dyDescent="0.2">
      <c r="A298" s="32"/>
      <c r="B298" s="17" t="s">
        <v>20</v>
      </c>
      <c r="C298" s="28"/>
      <c r="D298" s="28"/>
      <c r="E298" s="28"/>
      <c r="F298" s="28"/>
      <c r="G298" s="35"/>
      <c r="H298" s="28"/>
      <c r="I298" s="34"/>
      <c r="J298" s="28"/>
      <c r="K298" s="28"/>
      <c r="L298" s="35"/>
      <c r="M298" s="28"/>
      <c r="N298" s="36"/>
      <c r="O298" s="29">
        <f t="shared" si="4"/>
        <v>0</v>
      </c>
    </row>
    <row r="299" spans="1:15" x14ac:dyDescent="0.2">
      <c r="A299" s="32"/>
      <c r="B299" s="17" t="s">
        <v>20</v>
      </c>
      <c r="C299" s="28"/>
      <c r="D299" s="28"/>
      <c r="E299" s="28"/>
      <c r="F299" s="28"/>
      <c r="G299" s="35"/>
      <c r="H299" s="28"/>
      <c r="I299" s="34"/>
      <c r="J299" s="28"/>
      <c r="K299" s="28"/>
      <c r="L299" s="35"/>
      <c r="M299" s="28"/>
      <c r="N299" s="36"/>
      <c r="O299" s="29">
        <f t="shared" si="4"/>
        <v>0</v>
      </c>
    </row>
    <row r="300" spans="1:15" x14ac:dyDescent="0.2">
      <c r="A300" s="32"/>
      <c r="B300" s="17" t="s">
        <v>20</v>
      </c>
      <c r="C300" s="28"/>
      <c r="D300" s="28"/>
      <c r="E300" s="28"/>
      <c r="F300" s="28"/>
      <c r="G300" s="35"/>
      <c r="H300" s="28"/>
      <c r="I300" s="34"/>
      <c r="J300" s="28"/>
      <c r="K300" s="28"/>
      <c r="L300" s="35"/>
      <c r="M300" s="28"/>
      <c r="N300" s="36"/>
      <c r="O300" s="29">
        <f t="shared" si="4"/>
        <v>0</v>
      </c>
    </row>
    <row r="301" spans="1:15" x14ac:dyDescent="0.2">
      <c r="A301" s="32"/>
      <c r="B301" s="17" t="s">
        <v>20</v>
      </c>
      <c r="C301" s="28"/>
      <c r="D301" s="28"/>
      <c r="E301" s="28"/>
      <c r="F301" s="28"/>
      <c r="G301" s="35"/>
      <c r="H301" s="28"/>
      <c r="I301" s="34"/>
      <c r="J301" s="28"/>
      <c r="K301" s="28"/>
      <c r="L301" s="35"/>
      <c r="M301" s="28"/>
      <c r="N301" s="36"/>
      <c r="O301" s="29">
        <f t="shared" si="4"/>
        <v>0</v>
      </c>
    </row>
    <row r="302" spans="1:15" x14ac:dyDescent="0.2">
      <c r="A302" s="32"/>
      <c r="B302" s="17" t="s">
        <v>20</v>
      </c>
      <c r="C302" s="28"/>
      <c r="D302" s="28"/>
      <c r="E302" s="28"/>
      <c r="F302" s="28"/>
      <c r="G302" s="35"/>
      <c r="H302" s="28"/>
      <c r="I302" s="34"/>
      <c r="J302" s="28"/>
      <c r="K302" s="28"/>
      <c r="L302" s="35"/>
      <c r="M302" s="28"/>
      <c r="N302" s="36"/>
      <c r="O302" s="29">
        <f t="shared" si="4"/>
        <v>0</v>
      </c>
    </row>
    <row r="303" spans="1:15" x14ac:dyDescent="0.2">
      <c r="A303" s="32"/>
      <c r="B303" s="17" t="s">
        <v>20</v>
      </c>
      <c r="C303" s="28"/>
      <c r="D303" s="28"/>
      <c r="E303" s="28"/>
      <c r="F303" s="28"/>
      <c r="G303" s="35"/>
      <c r="H303" s="28"/>
      <c r="I303" s="34"/>
      <c r="J303" s="28"/>
      <c r="K303" s="28"/>
      <c r="L303" s="35"/>
      <c r="M303" s="28"/>
      <c r="N303" s="36"/>
      <c r="O303" s="29">
        <f t="shared" si="4"/>
        <v>0</v>
      </c>
    </row>
    <row r="304" spans="1:15" x14ac:dyDescent="0.2">
      <c r="A304" s="32"/>
      <c r="B304" s="17" t="s">
        <v>20</v>
      </c>
      <c r="C304" s="28"/>
      <c r="D304" s="28"/>
      <c r="E304" s="28"/>
      <c r="F304" s="28"/>
      <c r="G304" s="35"/>
      <c r="H304" s="28"/>
      <c r="I304" s="34"/>
      <c r="J304" s="28"/>
      <c r="K304" s="28"/>
      <c r="L304" s="35"/>
      <c r="M304" s="28"/>
      <c r="N304" s="36"/>
      <c r="O304" s="29">
        <f t="shared" si="4"/>
        <v>0</v>
      </c>
    </row>
    <row r="305" spans="1:15" x14ac:dyDescent="0.2">
      <c r="A305" s="32"/>
      <c r="B305" s="17" t="s">
        <v>20</v>
      </c>
      <c r="C305" s="28"/>
      <c r="D305" s="28"/>
      <c r="E305" s="28"/>
      <c r="F305" s="28"/>
      <c r="G305" s="35"/>
      <c r="H305" s="28"/>
      <c r="I305" s="34"/>
      <c r="J305" s="28"/>
      <c r="K305" s="28"/>
      <c r="L305" s="35"/>
      <c r="M305" s="28"/>
      <c r="N305" s="36"/>
      <c r="O305" s="29">
        <f t="shared" si="4"/>
        <v>0</v>
      </c>
    </row>
    <row r="306" spans="1:15" x14ac:dyDescent="0.2">
      <c r="A306" s="32"/>
      <c r="B306" s="17" t="s">
        <v>20</v>
      </c>
      <c r="C306" s="28"/>
      <c r="D306" s="28"/>
      <c r="E306" s="28"/>
      <c r="F306" s="28"/>
      <c r="G306" s="35"/>
      <c r="H306" s="28"/>
      <c r="I306" s="34"/>
      <c r="J306" s="28"/>
      <c r="K306" s="28"/>
      <c r="L306" s="35"/>
      <c r="M306" s="28"/>
      <c r="N306" s="36"/>
      <c r="O306" s="29">
        <f t="shared" si="4"/>
        <v>0</v>
      </c>
    </row>
    <row r="307" spans="1:15" x14ac:dyDescent="0.2">
      <c r="A307" s="32"/>
      <c r="B307" s="17" t="s">
        <v>20</v>
      </c>
      <c r="C307" s="28"/>
      <c r="D307" s="28"/>
      <c r="E307" s="28"/>
      <c r="F307" s="28"/>
      <c r="G307" s="35"/>
      <c r="H307" s="28"/>
      <c r="I307" s="34"/>
      <c r="J307" s="28"/>
      <c r="K307" s="28"/>
      <c r="L307" s="35"/>
      <c r="M307" s="28"/>
      <c r="N307" s="36"/>
      <c r="O307" s="29">
        <f t="shared" si="4"/>
        <v>0</v>
      </c>
    </row>
    <row r="308" spans="1:15" x14ac:dyDescent="0.2">
      <c r="A308" s="32"/>
      <c r="B308" s="17" t="s">
        <v>20</v>
      </c>
      <c r="C308" s="28"/>
      <c r="D308" s="28"/>
      <c r="E308" s="28"/>
      <c r="F308" s="28"/>
      <c r="G308" s="35"/>
      <c r="H308" s="28"/>
      <c r="I308" s="34"/>
      <c r="J308" s="28"/>
      <c r="K308" s="28"/>
      <c r="L308" s="35"/>
      <c r="M308" s="28"/>
      <c r="N308" s="36"/>
      <c r="O308" s="29">
        <f t="shared" si="4"/>
        <v>0</v>
      </c>
    </row>
    <row r="309" spans="1:15" x14ac:dyDescent="0.2">
      <c r="A309" s="32"/>
      <c r="B309" s="17" t="s">
        <v>20</v>
      </c>
      <c r="C309" s="28"/>
      <c r="D309" s="28"/>
      <c r="E309" s="28"/>
      <c r="F309" s="28"/>
      <c r="G309" s="35"/>
      <c r="H309" s="28"/>
      <c r="I309" s="34"/>
      <c r="J309" s="28"/>
      <c r="K309" s="28"/>
      <c r="L309" s="35"/>
      <c r="M309" s="28"/>
      <c r="N309" s="36"/>
      <c r="O309" s="29">
        <f t="shared" si="4"/>
        <v>0</v>
      </c>
    </row>
    <row r="310" spans="1:15" x14ac:dyDescent="0.2">
      <c r="A310" s="32"/>
      <c r="B310" s="27" t="s">
        <v>21</v>
      </c>
      <c r="C310" s="28"/>
      <c r="D310" s="28"/>
      <c r="E310" s="28"/>
      <c r="F310" s="28"/>
      <c r="G310" s="35"/>
      <c r="H310" s="28"/>
      <c r="I310" s="34"/>
      <c r="J310" s="28"/>
      <c r="K310" s="28"/>
      <c r="L310" s="35"/>
      <c r="M310" s="28"/>
      <c r="N310" s="36"/>
      <c r="O310" s="29">
        <f t="shared" si="4"/>
        <v>0</v>
      </c>
    </row>
    <row r="311" spans="1:15" x14ac:dyDescent="0.2">
      <c r="A311" s="32"/>
      <c r="B311" s="27" t="s">
        <v>21</v>
      </c>
      <c r="C311" s="28"/>
      <c r="D311" s="28"/>
      <c r="E311" s="28"/>
      <c r="F311" s="28"/>
      <c r="G311" s="35"/>
      <c r="H311" s="28"/>
      <c r="I311" s="34"/>
      <c r="J311" s="28"/>
      <c r="K311" s="28"/>
      <c r="L311" s="35"/>
      <c r="M311" s="28"/>
      <c r="N311" s="36"/>
      <c r="O311" s="29">
        <f t="shared" si="4"/>
        <v>0</v>
      </c>
    </row>
    <row r="312" spans="1:15" x14ac:dyDescent="0.2">
      <c r="A312" s="41"/>
      <c r="B312" s="27" t="s">
        <v>21</v>
      </c>
      <c r="C312" s="40"/>
      <c r="D312" s="40"/>
      <c r="E312" s="40"/>
      <c r="F312" s="40"/>
      <c r="G312" s="33"/>
      <c r="H312" s="40"/>
      <c r="I312" s="42"/>
      <c r="J312" s="40"/>
      <c r="K312" s="40"/>
      <c r="L312" s="35"/>
      <c r="M312" s="28"/>
      <c r="N312" s="36"/>
      <c r="O312" s="29">
        <f t="shared" si="4"/>
        <v>0</v>
      </c>
    </row>
    <row r="313" spans="1:15" x14ac:dyDescent="0.2">
      <c r="A313" s="32"/>
      <c r="B313" s="27" t="s">
        <v>21</v>
      </c>
      <c r="C313" s="28"/>
      <c r="D313" s="28"/>
      <c r="E313" s="28"/>
      <c r="F313" s="28"/>
      <c r="G313" s="35"/>
      <c r="H313" s="28"/>
      <c r="I313" s="34"/>
      <c r="J313" s="28"/>
      <c r="K313" s="28"/>
      <c r="L313" s="35"/>
      <c r="M313" s="28"/>
      <c r="N313" s="36"/>
      <c r="O313" s="29">
        <f t="shared" si="4"/>
        <v>0</v>
      </c>
    </row>
    <row r="314" spans="1:15" x14ac:dyDescent="0.2">
      <c r="A314" s="32"/>
      <c r="B314" s="27" t="s">
        <v>21</v>
      </c>
      <c r="C314" s="28"/>
      <c r="D314" s="28"/>
      <c r="E314" s="28"/>
      <c r="F314" s="28"/>
      <c r="G314" s="35"/>
      <c r="H314" s="28"/>
      <c r="I314" s="34"/>
      <c r="J314" s="28"/>
      <c r="K314" s="28"/>
      <c r="L314" s="35"/>
      <c r="M314" s="28"/>
      <c r="N314" s="36"/>
      <c r="O314" s="29">
        <f t="shared" si="4"/>
        <v>0</v>
      </c>
    </row>
    <row r="315" spans="1:15" x14ac:dyDescent="0.2">
      <c r="A315" s="32"/>
      <c r="B315" s="27" t="s">
        <v>21</v>
      </c>
      <c r="C315" s="28"/>
      <c r="D315" s="28"/>
      <c r="E315" s="28"/>
      <c r="F315" s="28"/>
      <c r="G315" s="35"/>
      <c r="H315" s="28"/>
      <c r="I315" s="34"/>
      <c r="J315" s="28"/>
      <c r="K315" s="28"/>
      <c r="L315" s="35"/>
      <c r="M315" s="28"/>
      <c r="N315" s="36"/>
      <c r="O315" s="29">
        <f t="shared" si="4"/>
        <v>0</v>
      </c>
    </row>
    <row r="316" spans="1:15" x14ac:dyDescent="0.2">
      <c r="A316" s="32"/>
      <c r="B316" s="27" t="s">
        <v>21</v>
      </c>
      <c r="C316" s="28"/>
      <c r="D316" s="28"/>
      <c r="E316" s="28"/>
      <c r="F316" s="28"/>
      <c r="G316" s="35"/>
      <c r="H316" s="28"/>
      <c r="I316" s="34"/>
      <c r="J316" s="28"/>
      <c r="K316" s="28"/>
      <c r="L316" s="35"/>
      <c r="M316" s="28"/>
      <c r="N316" s="36"/>
      <c r="O316" s="29">
        <f t="shared" si="4"/>
        <v>0</v>
      </c>
    </row>
    <row r="317" spans="1:15" x14ac:dyDescent="0.2">
      <c r="A317" s="32"/>
      <c r="B317" s="27" t="s">
        <v>21</v>
      </c>
      <c r="C317" s="28"/>
      <c r="D317" s="28"/>
      <c r="E317" s="28"/>
      <c r="F317" s="28"/>
      <c r="G317" s="35"/>
      <c r="H317" s="28"/>
      <c r="I317" s="34"/>
      <c r="J317" s="28"/>
      <c r="K317" s="28"/>
      <c r="L317" s="35"/>
      <c r="M317" s="28"/>
      <c r="N317" s="36"/>
      <c r="O317" s="29">
        <f t="shared" si="4"/>
        <v>0</v>
      </c>
    </row>
    <row r="318" spans="1:15" x14ac:dyDescent="0.2">
      <c r="A318" s="32"/>
      <c r="B318" s="27" t="s">
        <v>21</v>
      </c>
      <c r="C318" s="28"/>
      <c r="D318" s="28"/>
      <c r="E318" s="28"/>
      <c r="F318" s="28"/>
      <c r="G318" s="35"/>
      <c r="H318" s="28"/>
      <c r="I318" s="34"/>
      <c r="J318" s="28"/>
      <c r="K318" s="28"/>
      <c r="L318" s="35"/>
      <c r="M318" s="28"/>
      <c r="N318" s="36"/>
      <c r="O318" s="29">
        <f t="shared" si="4"/>
        <v>0</v>
      </c>
    </row>
    <row r="319" spans="1:15" x14ac:dyDescent="0.2">
      <c r="A319" s="32"/>
      <c r="B319" s="27" t="s">
        <v>21</v>
      </c>
      <c r="C319" s="28"/>
      <c r="D319" s="28"/>
      <c r="E319" s="28"/>
      <c r="F319" s="28"/>
      <c r="G319" s="35"/>
      <c r="H319" s="28"/>
      <c r="I319" s="34"/>
      <c r="J319" s="28"/>
      <c r="K319" s="28"/>
      <c r="L319" s="35"/>
      <c r="M319" s="28"/>
      <c r="N319" s="36"/>
      <c r="O319" s="29">
        <f t="shared" si="4"/>
        <v>0</v>
      </c>
    </row>
    <row r="320" spans="1:15" x14ac:dyDescent="0.2">
      <c r="A320" s="32"/>
      <c r="B320" s="27" t="s">
        <v>21</v>
      </c>
      <c r="C320" s="28"/>
      <c r="D320" s="28"/>
      <c r="E320" s="28"/>
      <c r="F320" s="28"/>
      <c r="G320" s="35"/>
      <c r="H320" s="28"/>
      <c r="I320" s="34"/>
      <c r="J320" s="28"/>
      <c r="K320" s="28"/>
      <c r="L320" s="35"/>
      <c r="M320" s="28"/>
      <c r="N320" s="36"/>
      <c r="O320" s="29">
        <f t="shared" si="4"/>
        <v>0</v>
      </c>
    </row>
    <row r="321" spans="1:15" x14ac:dyDescent="0.2">
      <c r="A321" s="32"/>
      <c r="B321" s="27" t="s">
        <v>21</v>
      </c>
      <c r="C321" s="28"/>
      <c r="D321" s="28"/>
      <c r="E321" s="28"/>
      <c r="F321" s="28"/>
      <c r="G321" s="35"/>
      <c r="H321" s="28"/>
      <c r="I321" s="34"/>
      <c r="J321" s="28"/>
      <c r="K321" s="28"/>
      <c r="L321" s="35"/>
      <c r="M321" s="28"/>
      <c r="N321" s="36"/>
      <c r="O321" s="29">
        <f t="shared" si="4"/>
        <v>0</v>
      </c>
    </row>
    <row r="322" spans="1:15" x14ac:dyDescent="0.2">
      <c r="A322" s="32"/>
      <c r="B322" s="27" t="s">
        <v>21</v>
      </c>
      <c r="C322" s="28"/>
      <c r="D322" s="28"/>
      <c r="E322" s="28"/>
      <c r="F322" s="28"/>
      <c r="G322" s="35"/>
      <c r="H322" s="28"/>
      <c r="I322" s="34"/>
      <c r="J322" s="28"/>
      <c r="K322" s="28"/>
      <c r="L322" s="35"/>
      <c r="M322" s="28"/>
      <c r="N322" s="36"/>
      <c r="O322" s="29">
        <f t="shared" si="4"/>
        <v>0</v>
      </c>
    </row>
    <row r="323" spans="1:15" x14ac:dyDescent="0.2">
      <c r="A323" s="32"/>
      <c r="B323" s="27" t="s">
        <v>21</v>
      </c>
      <c r="C323" s="28"/>
      <c r="D323" s="28"/>
      <c r="E323" s="28"/>
      <c r="F323" s="28"/>
      <c r="G323" s="35"/>
      <c r="H323" s="28"/>
      <c r="I323" s="34"/>
      <c r="J323" s="28"/>
      <c r="K323" s="28"/>
      <c r="L323" s="35"/>
      <c r="M323" s="28"/>
      <c r="N323" s="36"/>
      <c r="O323" s="29">
        <f t="shared" ref="O323:O386" si="5">N323*J323</f>
        <v>0</v>
      </c>
    </row>
    <row r="324" spans="1:15" x14ac:dyDescent="0.2">
      <c r="A324" s="32"/>
      <c r="B324" s="27" t="s">
        <v>21</v>
      </c>
      <c r="C324" s="28"/>
      <c r="D324" s="28"/>
      <c r="E324" s="28"/>
      <c r="F324" s="28"/>
      <c r="G324" s="35"/>
      <c r="H324" s="28"/>
      <c r="I324" s="34"/>
      <c r="J324" s="28"/>
      <c r="K324" s="28"/>
      <c r="L324" s="35"/>
      <c r="M324" s="28"/>
      <c r="N324" s="36"/>
      <c r="O324" s="29">
        <f t="shared" si="5"/>
        <v>0</v>
      </c>
    </row>
    <row r="325" spans="1:15" x14ac:dyDescent="0.2">
      <c r="A325" s="32"/>
      <c r="B325" s="27" t="s">
        <v>21</v>
      </c>
      <c r="C325" s="28"/>
      <c r="D325" s="28"/>
      <c r="E325" s="28"/>
      <c r="F325" s="28"/>
      <c r="G325" s="35"/>
      <c r="H325" s="28"/>
      <c r="I325" s="34"/>
      <c r="J325" s="28"/>
      <c r="K325" s="28"/>
      <c r="L325" s="35"/>
      <c r="M325" s="28"/>
      <c r="N325" s="36"/>
      <c r="O325" s="29">
        <f t="shared" si="5"/>
        <v>0</v>
      </c>
    </row>
    <row r="326" spans="1:15" x14ac:dyDescent="0.2">
      <c r="A326" s="32"/>
      <c r="B326" s="27" t="s">
        <v>21</v>
      </c>
      <c r="C326" s="28"/>
      <c r="D326" s="28"/>
      <c r="E326" s="28"/>
      <c r="F326" s="28"/>
      <c r="G326" s="35"/>
      <c r="H326" s="28"/>
      <c r="I326" s="34"/>
      <c r="J326" s="28"/>
      <c r="K326" s="28"/>
      <c r="L326" s="35"/>
      <c r="M326" s="28"/>
      <c r="N326" s="36"/>
      <c r="O326" s="29">
        <f t="shared" si="5"/>
        <v>0</v>
      </c>
    </row>
    <row r="327" spans="1:15" x14ac:dyDescent="0.2">
      <c r="A327" s="32"/>
      <c r="B327" s="27" t="s">
        <v>21</v>
      </c>
      <c r="C327" s="28"/>
      <c r="D327" s="28"/>
      <c r="E327" s="28"/>
      <c r="F327" s="28"/>
      <c r="G327" s="35"/>
      <c r="H327" s="28"/>
      <c r="I327" s="34"/>
      <c r="J327" s="28"/>
      <c r="K327" s="28"/>
      <c r="L327" s="35"/>
      <c r="M327" s="28"/>
      <c r="N327" s="36"/>
      <c r="O327" s="29">
        <f t="shared" si="5"/>
        <v>0</v>
      </c>
    </row>
    <row r="328" spans="1:15" x14ac:dyDescent="0.2">
      <c r="A328" s="32"/>
      <c r="B328" s="27" t="s">
        <v>21</v>
      </c>
      <c r="C328" s="28"/>
      <c r="D328" s="28"/>
      <c r="E328" s="28"/>
      <c r="F328" s="28"/>
      <c r="G328" s="35"/>
      <c r="H328" s="28"/>
      <c r="I328" s="34"/>
      <c r="J328" s="28"/>
      <c r="K328" s="28"/>
      <c r="L328" s="35"/>
      <c r="M328" s="28"/>
      <c r="N328" s="36"/>
      <c r="O328" s="29">
        <f t="shared" si="5"/>
        <v>0</v>
      </c>
    </row>
    <row r="329" spans="1:15" x14ac:dyDescent="0.2">
      <c r="A329" s="32"/>
      <c r="B329" s="27" t="s">
        <v>21</v>
      </c>
      <c r="C329" s="28"/>
      <c r="D329" s="28"/>
      <c r="E329" s="28"/>
      <c r="F329" s="28"/>
      <c r="G329" s="35"/>
      <c r="H329" s="28"/>
      <c r="I329" s="34"/>
      <c r="J329" s="28"/>
      <c r="K329" s="28"/>
      <c r="L329" s="35"/>
      <c r="M329" s="28"/>
      <c r="N329" s="36"/>
      <c r="O329" s="29">
        <f t="shared" si="5"/>
        <v>0</v>
      </c>
    </row>
    <row r="330" spans="1:15" x14ac:dyDescent="0.2">
      <c r="A330" s="32"/>
      <c r="B330" s="27" t="s">
        <v>21</v>
      </c>
      <c r="C330" s="28"/>
      <c r="D330" s="28"/>
      <c r="E330" s="28"/>
      <c r="F330" s="28"/>
      <c r="G330" s="35"/>
      <c r="H330" s="28"/>
      <c r="I330" s="34"/>
      <c r="J330" s="28"/>
      <c r="K330" s="28"/>
      <c r="L330" s="35"/>
      <c r="M330" s="28"/>
      <c r="N330" s="36"/>
      <c r="O330" s="29">
        <f t="shared" si="5"/>
        <v>0</v>
      </c>
    </row>
    <row r="331" spans="1:15" x14ac:dyDescent="0.2">
      <c r="A331" s="32"/>
      <c r="B331" s="27" t="s">
        <v>21</v>
      </c>
      <c r="C331" s="28"/>
      <c r="D331" s="28"/>
      <c r="E331" s="28"/>
      <c r="F331" s="28"/>
      <c r="G331" s="35"/>
      <c r="H331" s="28"/>
      <c r="I331" s="34"/>
      <c r="J331" s="28"/>
      <c r="K331" s="28"/>
      <c r="L331" s="35"/>
      <c r="M331" s="28"/>
      <c r="N331" s="36"/>
      <c r="O331" s="29">
        <f t="shared" si="5"/>
        <v>0</v>
      </c>
    </row>
    <row r="332" spans="1:15" x14ac:dyDescent="0.2">
      <c r="A332" s="32"/>
      <c r="B332" s="27" t="s">
        <v>21</v>
      </c>
      <c r="C332" s="28"/>
      <c r="D332" s="28"/>
      <c r="E332" s="28"/>
      <c r="F332" s="28"/>
      <c r="G332" s="35"/>
      <c r="H332" s="28"/>
      <c r="I332" s="34"/>
      <c r="J332" s="28"/>
      <c r="K332" s="28"/>
      <c r="L332" s="35"/>
      <c r="M332" s="28"/>
      <c r="N332" s="36"/>
      <c r="O332" s="29">
        <f t="shared" si="5"/>
        <v>0</v>
      </c>
    </row>
    <row r="333" spans="1:15" x14ac:dyDescent="0.2">
      <c r="A333" s="32"/>
      <c r="B333" s="27" t="s">
        <v>21</v>
      </c>
      <c r="C333" s="28"/>
      <c r="D333" s="28"/>
      <c r="E333" s="28"/>
      <c r="F333" s="28"/>
      <c r="G333" s="35"/>
      <c r="H333" s="28"/>
      <c r="I333" s="34"/>
      <c r="J333" s="28"/>
      <c r="K333" s="28"/>
      <c r="L333" s="35"/>
      <c r="M333" s="28"/>
      <c r="N333" s="36"/>
      <c r="O333" s="29">
        <f t="shared" si="5"/>
        <v>0</v>
      </c>
    </row>
    <row r="334" spans="1:15" x14ac:dyDescent="0.2">
      <c r="A334" s="32"/>
      <c r="B334" s="27" t="s">
        <v>21</v>
      </c>
      <c r="C334" s="28"/>
      <c r="D334" s="28"/>
      <c r="E334" s="28"/>
      <c r="F334" s="28"/>
      <c r="G334" s="35"/>
      <c r="H334" s="28"/>
      <c r="I334" s="34"/>
      <c r="J334" s="28"/>
      <c r="K334" s="28"/>
      <c r="L334" s="35"/>
      <c r="M334" s="28"/>
      <c r="N334" s="36"/>
      <c r="O334" s="29">
        <f t="shared" si="5"/>
        <v>0</v>
      </c>
    </row>
    <row r="335" spans="1:15" x14ac:dyDescent="0.2">
      <c r="A335" s="32"/>
      <c r="B335" s="27" t="s">
        <v>21</v>
      </c>
      <c r="C335" s="28"/>
      <c r="D335" s="28"/>
      <c r="E335" s="28"/>
      <c r="F335" s="28"/>
      <c r="G335" s="35"/>
      <c r="H335" s="28"/>
      <c r="I335" s="34"/>
      <c r="J335" s="28"/>
      <c r="K335" s="28"/>
      <c r="L335" s="35"/>
      <c r="M335" s="28"/>
      <c r="N335" s="36"/>
      <c r="O335" s="29">
        <f t="shared" si="5"/>
        <v>0</v>
      </c>
    </row>
    <row r="336" spans="1:15" x14ac:dyDescent="0.2">
      <c r="A336" s="32"/>
      <c r="B336" s="27" t="s">
        <v>21</v>
      </c>
      <c r="C336" s="28"/>
      <c r="D336" s="28"/>
      <c r="E336" s="28"/>
      <c r="F336" s="28"/>
      <c r="G336" s="35"/>
      <c r="H336" s="28"/>
      <c r="I336" s="34"/>
      <c r="J336" s="28"/>
      <c r="K336" s="28"/>
      <c r="L336" s="35"/>
      <c r="M336" s="28"/>
      <c r="N336" s="36"/>
      <c r="O336" s="29">
        <f t="shared" si="5"/>
        <v>0</v>
      </c>
    </row>
    <row r="337" spans="1:15" x14ac:dyDescent="0.2">
      <c r="A337" s="32"/>
      <c r="B337" s="27" t="s">
        <v>21</v>
      </c>
      <c r="C337" s="28"/>
      <c r="D337" s="28"/>
      <c r="E337" s="28"/>
      <c r="F337" s="28"/>
      <c r="G337" s="35"/>
      <c r="H337" s="28"/>
      <c r="I337" s="34"/>
      <c r="J337" s="28"/>
      <c r="K337" s="28"/>
      <c r="L337" s="35"/>
      <c r="M337" s="28"/>
      <c r="N337" s="36"/>
      <c r="O337" s="29">
        <f t="shared" si="5"/>
        <v>0</v>
      </c>
    </row>
    <row r="338" spans="1:15" x14ac:dyDescent="0.2">
      <c r="A338" s="32"/>
      <c r="B338" s="27" t="s">
        <v>21</v>
      </c>
      <c r="C338" s="28"/>
      <c r="D338" s="28"/>
      <c r="E338" s="28"/>
      <c r="F338" s="28"/>
      <c r="G338" s="35"/>
      <c r="H338" s="28"/>
      <c r="I338" s="34"/>
      <c r="J338" s="28"/>
      <c r="K338" s="28"/>
      <c r="L338" s="35"/>
      <c r="M338" s="28"/>
      <c r="N338" s="36"/>
      <c r="O338" s="29">
        <f t="shared" si="5"/>
        <v>0</v>
      </c>
    </row>
    <row r="339" spans="1:15" x14ac:dyDescent="0.2">
      <c r="A339" s="32"/>
      <c r="B339" s="27" t="s">
        <v>21</v>
      </c>
      <c r="C339" s="28"/>
      <c r="D339" s="28"/>
      <c r="E339" s="28"/>
      <c r="F339" s="28"/>
      <c r="G339" s="35"/>
      <c r="H339" s="28"/>
      <c r="I339" s="34"/>
      <c r="J339" s="28"/>
      <c r="K339" s="28"/>
      <c r="L339" s="35"/>
      <c r="M339" s="28"/>
      <c r="N339" s="36"/>
      <c r="O339" s="29">
        <f t="shared" si="5"/>
        <v>0</v>
      </c>
    </row>
    <row r="340" spans="1:15" x14ac:dyDescent="0.2">
      <c r="A340" s="32"/>
      <c r="B340" s="27" t="s">
        <v>21</v>
      </c>
      <c r="C340" s="28"/>
      <c r="D340" s="28"/>
      <c r="E340" s="28"/>
      <c r="F340" s="28"/>
      <c r="G340" s="35"/>
      <c r="H340" s="28"/>
      <c r="I340" s="34"/>
      <c r="J340" s="28"/>
      <c r="K340" s="28"/>
      <c r="L340" s="35"/>
      <c r="M340" s="28"/>
      <c r="N340" s="36"/>
      <c r="O340" s="29">
        <f t="shared" si="5"/>
        <v>0</v>
      </c>
    </row>
    <row r="341" spans="1:15" x14ac:dyDescent="0.2">
      <c r="A341" s="32"/>
      <c r="B341" s="27" t="s">
        <v>21</v>
      </c>
      <c r="C341" s="28"/>
      <c r="D341" s="28"/>
      <c r="E341" s="28"/>
      <c r="F341" s="28"/>
      <c r="G341" s="35"/>
      <c r="H341" s="28"/>
      <c r="I341" s="34"/>
      <c r="J341" s="28"/>
      <c r="K341" s="28"/>
      <c r="L341" s="35"/>
      <c r="M341" s="28"/>
      <c r="N341" s="36"/>
      <c r="O341" s="29">
        <f t="shared" si="5"/>
        <v>0</v>
      </c>
    </row>
    <row r="342" spans="1:15" x14ac:dyDescent="0.2">
      <c r="A342" s="32"/>
      <c r="B342" s="27" t="s">
        <v>21</v>
      </c>
      <c r="C342" s="28"/>
      <c r="D342" s="28"/>
      <c r="E342" s="28"/>
      <c r="F342" s="28"/>
      <c r="G342" s="35"/>
      <c r="H342" s="28"/>
      <c r="I342" s="34"/>
      <c r="J342" s="28"/>
      <c r="K342" s="28"/>
      <c r="L342" s="35"/>
      <c r="M342" s="28"/>
      <c r="N342" s="36"/>
      <c r="O342" s="29">
        <f t="shared" si="5"/>
        <v>0</v>
      </c>
    </row>
    <row r="343" spans="1:15" x14ac:dyDescent="0.2">
      <c r="A343" s="32"/>
      <c r="B343" s="27" t="s">
        <v>21</v>
      </c>
      <c r="C343" s="28"/>
      <c r="D343" s="28"/>
      <c r="E343" s="28"/>
      <c r="F343" s="28"/>
      <c r="G343" s="35"/>
      <c r="H343" s="28"/>
      <c r="I343" s="34"/>
      <c r="J343" s="28"/>
      <c r="K343" s="28"/>
      <c r="L343" s="35"/>
      <c r="M343" s="28"/>
      <c r="N343" s="36"/>
      <c r="O343" s="29">
        <f t="shared" si="5"/>
        <v>0</v>
      </c>
    </row>
    <row r="344" spans="1:15" x14ac:dyDescent="0.2">
      <c r="A344" s="32"/>
      <c r="B344" s="27" t="s">
        <v>21</v>
      </c>
      <c r="C344" s="28"/>
      <c r="D344" s="28"/>
      <c r="E344" s="28"/>
      <c r="F344" s="28"/>
      <c r="G344" s="35"/>
      <c r="H344" s="28"/>
      <c r="I344" s="34"/>
      <c r="J344" s="28"/>
      <c r="K344" s="28"/>
      <c r="L344" s="35"/>
      <c r="M344" s="28"/>
      <c r="N344" s="36"/>
      <c r="O344" s="29">
        <f t="shared" si="5"/>
        <v>0</v>
      </c>
    </row>
    <row r="345" spans="1:15" x14ac:dyDescent="0.2">
      <c r="A345" s="32"/>
      <c r="B345" s="27" t="s">
        <v>21</v>
      </c>
      <c r="C345" s="28"/>
      <c r="D345" s="28"/>
      <c r="E345" s="28"/>
      <c r="F345" s="28"/>
      <c r="G345" s="35"/>
      <c r="H345" s="28"/>
      <c r="I345" s="34"/>
      <c r="J345" s="28"/>
      <c r="K345" s="28"/>
      <c r="L345" s="35"/>
      <c r="M345" s="28"/>
      <c r="N345" s="36"/>
      <c r="O345" s="29">
        <f t="shared" si="5"/>
        <v>0</v>
      </c>
    </row>
    <row r="346" spans="1:15" x14ac:dyDescent="0.2">
      <c r="A346" s="32"/>
      <c r="B346" s="27" t="s">
        <v>21</v>
      </c>
      <c r="C346" s="28"/>
      <c r="D346" s="28"/>
      <c r="E346" s="28"/>
      <c r="F346" s="28"/>
      <c r="G346" s="35"/>
      <c r="H346" s="28"/>
      <c r="I346" s="34"/>
      <c r="J346" s="28"/>
      <c r="K346" s="28"/>
      <c r="L346" s="35"/>
      <c r="M346" s="28"/>
      <c r="N346" s="36"/>
      <c r="O346" s="29">
        <f t="shared" si="5"/>
        <v>0</v>
      </c>
    </row>
    <row r="347" spans="1:15" x14ac:dyDescent="0.2">
      <c r="A347" s="41"/>
      <c r="B347" s="27" t="s">
        <v>21</v>
      </c>
      <c r="C347" s="40"/>
      <c r="D347" s="40"/>
      <c r="E347" s="40"/>
      <c r="F347" s="40"/>
      <c r="G347" s="33"/>
      <c r="H347" s="40"/>
      <c r="I347" s="42"/>
      <c r="J347" s="40"/>
      <c r="K347" s="40"/>
      <c r="L347" s="35"/>
      <c r="M347" s="28"/>
      <c r="N347" s="36"/>
      <c r="O347" s="29">
        <f t="shared" si="5"/>
        <v>0</v>
      </c>
    </row>
    <row r="348" spans="1:15" x14ac:dyDescent="0.2">
      <c r="A348" s="32"/>
      <c r="B348" s="27" t="s">
        <v>21</v>
      </c>
      <c r="C348" s="28"/>
      <c r="D348" s="28"/>
      <c r="E348" s="28"/>
      <c r="F348" s="28"/>
      <c r="G348" s="35"/>
      <c r="H348" s="28"/>
      <c r="I348" s="34"/>
      <c r="J348" s="28"/>
      <c r="K348" s="28"/>
      <c r="L348" s="35"/>
      <c r="M348" s="28"/>
      <c r="N348" s="36"/>
      <c r="O348" s="29">
        <f t="shared" si="5"/>
        <v>0</v>
      </c>
    </row>
    <row r="349" spans="1:15" x14ac:dyDescent="0.2">
      <c r="A349" s="32"/>
      <c r="B349" s="27" t="s">
        <v>21</v>
      </c>
      <c r="C349" s="28"/>
      <c r="D349" s="28"/>
      <c r="E349" s="28"/>
      <c r="F349" s="28"/>
      <c r="G349" s="35"/>
      <c r="H349" s="28"/>
      <c r="I349" s="34"/>
      <c r="J349" s="28"/>
      <c r="K349" s="28"/>
      <c r="L349" s="35"/>
      <c r="M349" s="28"/>
      <c r="N349" s="36"/>
      <c r="O349" s="29">
        <f t="shared" si="5"/>
        <v>0</v>
      </c>
    </row>
    <row r="350" spans="1:15" x14ac:dyDescent="0.2">
      <c r="A350" s="32"/>
      <c r="B350" s="27" t="s">
        <v>21</v>
      </c>
      <c r="C350" s="28"/>
      <c r="D350" s="28"/>
      <c r="E350" s="28"/>
      <c r="F350" s="28"/>
      <c r="G350" s="35"/>
      <c r="H350" s="28"/>
      <c r="I350" s="34"/>
      <c r="J350" s="28"/>
      <c r="K350" s="28"/>
      <c r="L350" s="35"/>
      <c r="M350" s="28"/>
      <c r="N350" s="36"/>
      <c r="O350" s="29">
        <f t="shared" si="5"/>
        <v>0</v>
      </c>
    </row>
    <row r="351" spans="1:15" x14ac:dyDescent="0.2">
      <c r="A351" s="32"/>
      <c r="B351" s="27" t="s">
        <v>21</v>
      </c>
      <c r="C351" s="28"/>
      <c r="D351" s="28"/>
      <c r="E351" s="28"/>
      <c r="F351" s="28"/>
      <c r="G351" s="35"/>
      <c r="H351" s="28"/>
      <c r="I351" s="34"/>
      <c r="J351" s="28"/>
      <c r="K351" s="28"/>
      <c r="L351" s="35"/>
      <c r="M351" s="28"/>
      <c r="N351" s="36"/>
      <c r="O351" s="29">
        <f t="shared" si="5"/>
        <v>0</v>
      </c>
    </row>
    <row r="352" spans="1:15" x14ac:dyDescent="0.2">
      <c r="A352" s="32"/>
      <c r="B352" s="27" t="s">
        <v>21</v>
      </c>
      <c r="C352" s="28"/>
      <c r="D352" s="28"/>
      <c r="E352" s="28"/>
      <c r="F352" s="28"/>
      <c r="G352" s="35"/>
      <c r="H352" s="28"/>
      <c r="I352" s="34"/>
      <c r="J352" s="28"/>
      <c r="K352" s="28"/>
      <c r="L352" s="35"/>
      <c r="M352" s="28"/>
      <c r="N352" s="36"/>
      <c r="O352" s="29">
        <f t="shared" si="5"/>
        <v>0</v>
      </c>
    </row>
    <row r="353" spans="1:15" x14ac:dyDescent="0.2">
      <c r="A353" s="32"/>
      <c r="B353" s="27" t="s">
        <v>21</v>
      </c>
      <c r="C353" s="28"/>
      <c r="D353" s="28"/>
      <c r="E353" s="28"/>
      <c r="F353" s="28"/>
      <c r="G353" s="35"/>
      <c r="H353" s="28"/>
      <c r="I353" s="34"/>
      <c r="J353" s="28"/>
      <c r="K353" s="28"/>
      <c r="L353" s="35"/>
      <c r="M353" s="28"/>
      <c r="N353" s="36"/>
      <c r="O353" s="29">
        <f t="shared" si="5"/>
        <v>0</v>
      </c>
    </row>
    <row r="354" spans="1:15" x14ac:dyDescent="0.2">
      <c r="A354" s="32"/>
      <c r="B354" s="27" t="s">
        <v>21</v>
      </c>
      <c r="C354" s="28"/>
      <c r="D354" s="28"/>
      <c r="E354" s="28"/>
      <c r="F354" s="28"/>
      <c r="G354" s="35"/>
      <c r="H354" s="28"/>
      <c r="I354" s="34"/>
      <c r="J354" s="28"/>
      <c r="K354" s="28"/>
      <c r="L354" s="35"/>
      <c r="M354" s="28"/>
      <c r="N354" s="36"/>
      <c r="O354" s="29">
        <f t="shared" si="5"/>
        <v>0</v>
      </c>
    </row>
    <row r="355" spans="1:15" x14ac:dyDescent="0.2">
      <c r="A355" s="32"/>
      <c r="B355" s="27" t="s">
        <v>21</v>
      </c>
      <c r="C355" s="28"/>
      <c r="D355" s="28"/>
      <c r="E355" s="28"/>
      <c r="F355" s="28"/>
      <c r="G355" s="35"/>
      <c r="H355" s="28"/>
      <c r="I355" s="34"/>
      <c r="J355" s="28"/>
      <c r="K355" s="28"/>
      <c r="L355" s="35"/>
      <c r="M355" s="28"/>
      <c r="N355" s="36"/>
      <c r="O355" s="29">
        <f t="shared" si="5"/>
        <v>0</v>
      </c>
    </row>
    <row r="356" spans="1:15" x14ac:dyDescent="0.2">
      <c r="A356" s="32"/>
      <c r="B356" s="27" t="s">
        <v>21</v>
      </c>
      <c r="C356" s="28"/>
      <c r="D356" s="28"/>
      <c r="E356" s="28"/>
      <c r="F356" s="28"/>
      <c r="G356" s="35"/>
      <c r="H356" s="28"/>
      <c r="I356" s="34"/>
      <c r="J356" s="28"/>
      <c r="K356" s="28"/>
      <c r="L356" s="35"/>
      <c r="M356" s="28"/>
      <c r="N356" s="36"/>
      <c r="O356" s="29">
        <f t="shared" si="5"/>
        <v>0</v>
      </c>
    </row>
    <row r="357" spans="1:15" x14ac:dyDescent="0.2">
      <c r="A357" s="32"/>
      <c r="B357" s="27" t="s">
        <v>21</v>
      </c>
      <c r="C357" s="28"/>
      <c r="D357" s="28"/>
      <c r="E357" s="28"/>
      <c r="F357" s="28"/>
      <c r="G357" s="35"/>
      <c r="H357" s="28"/>
      <c r="I357" s="34"/>
      <c r="J357" s="28"/>
      <c r="K357" s="28"/>
      <c r="L357" s="35"/>
      <c r="M357" s="28"/>
      <c r="N357" s="36"/>
      <c r="O357" s="29">
        <f t="shared" si="5"/>
        <v>0</v>
      </c>
    </row>
    <row r="358" spans="1:15" x14ac:dyDescent="0.2">
      <c r="A358" s="32"/>
      <c r="B358" s="27" t="s">
        <v>21</v>
      </c>
      <c r="C358" s="28"/>
      <c r="D358" s="28"/>
      <c r="E358" s="28"/>
      <c r="F358" s="28"/>
      <c r="G358" s="35"/>
      <c r="H358" s="28"/>
      <c r="I358" s="34"/>
      <c r="J358" s="28"/>
      <c r="K358" s="28"/>
      <c r="L358" s="35"/>
      <c r="M358" s="28"/>
      <c r="N358" s="36"/>
      <c r="O358" s="29">
        <f t="shared" si="5"/>
        <v>0</v>
      </c>
    </row>
    <row r="359" spans="1:15" x14ac:dyDescent="0.2">
      <c r="A359" s="32"/>
      <c r="B359" s="27" t="s">
        <v>21</v>
      </c>
      <c r="C359" s="28"/>
      <c r="D359" s="28"/>
      <c r="E359" s="28"/>
      <c r="F359" s="28"/>
      <c r="G359" s="35"/>
      <c r="H359" s="28"/>
      <c r="I359" s="34"/>
      <c r="J359" s="28"/>
      <c r="K359" s="28"/>
      <c r="L359" s="35"/>
      <c r="M359" s="28"/>
      <c r="N359" s="36"/>
      <c r="O359" s="29">
        <f t="shared" si="5"/>
        <v>0</v>
      </c>
    </row>
    <row r="360" spans="1:15" x14ac:dyDescent="0.2">
      <c r="A360" s="32"/>
      <c r="B360" s="27" t="s">
        <v>21</v>
      </c>
      <c r="C360" s="28"/>
      <c r="D360" s="28"/>
      <c r="E360" s="28"/>
      <c r="F360" s="28"/>
      <c r="G360" s="35"/>
      <c r="H360" s="28"/>
      <c r="I360" s="34"/>
      <c r="J360" s="28"/>
      <c r="K360" s="28"/>
      <c r="L360" s="35"/>
      <c r="M360" s="28"/>
      <c r="N360" s="36"/>
      <c r="O360" s="29">
        <f t="shared" si="5"/>
        <v>0</v>
      </c>
    </row>
    <row r="361" spans="1:15" x14ac:dyDescent="0.2">
      <c r="A361" s="32"/>
      <c r="B361" s="27" t="s">
        <v>21</v>
      </c>
      <c r="C361" s="28"/>
      <c r="D361" s="28"/>
      <c r="E361" s="28"/>
      <c r="F361" s="28"/>
      <c r="G361" s="35"/>
      <c r="H361" s="28"/>
      <c r="I361" s="34"/>
      <c r="J361" s="28"/>
      <c r="K361" s="28"/>
      <c r="L361" s="35"/>
      <c r="M361" s="28"/>
      <c r="N361" s="36"/>
      <c r="O361" s="29">
        <f t="shared" si="5"/>
        <v>0</v>
      </c>
    </row>
    <row r="362" spans="1:15" x14ac:dyDescent="0.2">
      <c r="A362" s="32"/>
      <c r="B362" s="27" t="s">
        <v>21</v>
      </c>
      <c r="C362" s="28"/>
      <c r="D362" s="28"/>
      <c r="E362" s="28"/>
      <c r="F362" s="28"/>
      <c r="G362" s="35"/>
      <c r="H362" s="28"/>
      <c r="I362" s="34"/>
      <c r="J362" s="28"/>
      <c r="K362" s="28"/>
      <c r="L362" s="35"/>
      <c r="M362" s="28"/>
      <c r="N362" s="36"/>
      <c r="O362" s="29">
        <f t="shared" si="5"/>
        <v>0</v>
      </c>
    </row>
    <row r="363" spans="1:15" x14ac:dyDescent="0.2">
      <c r="A363" s="32"/>
      <c r="B363" s="27" t="s">
        <v>21</v>
      </c>
      <c r="C363" s="28"/>
      <c r="D363" s="28"/>
      <c r="E363" s="28"/>
      <c r="F363" s="28"/>
      <c r="G363" s="35"/>
      <c r="H363" s="28"/>
      <c r="I363" s="34"/>
      <c r="J363" s="28"/>
      <c r="K363" s="28"/>
      <c r="L363" s="35"/>
      <c r="M363" s="28"/>
      <c r="N363" s="36"/>
      <c r="O363" s="29">
        <f t="shared" si="5"/>
        <v>0</v>
      </c>
    </row>
    <row r="364" spans="1:15" x14ac:dyDescent="0.2">
      <c r="A364" s="32"/>
      <c r="B364" s="27" t="s">
        <v>21</v>
      </c>
      <c r="C364" s="28"/>
      <c r="D364" s="28"/>
      <c r="E364" s="28"/>
      <c r="F364" s="28"/>
      <c r="G364" s="35"/>
      <c r="H364" s="28"/>
      <c r="I364" s="34"/>
      <c r="J364" s="28"/>
      <c r="K364" s="28"/>
      <c r="L364" s="35"/>
      <c r="M364" s="28"/>
      <c r="N364" s="36"/>
      <c r="O364" s="29">
        <f t="shared" si="5"/>
        <v>0</v>
      </c>
    </row>
    <row r="365" spans="1:15" x14ac:dyDescent="0.2">
      <c r="A365" s="32"/>
      <c r="B365" s="27" t="s">
        <v>21</v>
      </c>
      <c r="C365" s="28"/>
      <c r="D365" s="28"/>
      <c r="E365" s="28"/>
      <c r="F365" s="28"/>
      <c r="G365" s="35"/>
      <c r="H365" s="28"/>
      <c r="I365" s="34"/>
      <c r="J365" s="28"/>
      <c r="K365" s="28"/>
      <c r="L365" s="35"/>
      <c r="M365" s="28"/>
      <c r="N365" s="36"/>
      <c r="O365" s="29">
        <f t="shared" si="5"/>
        <v>0</v>
      </c>
    </row>
    <row r="366" spans="1:15" x14ac:dyDescent="0.2">
      <c r="A366" s="32"/>
      <c r="B366" s="27" t="s">
        <v>21</v>
      </c>
      <c r="C366" s="28"/>
      <c r="D366" s="28"/>
      <c r="E366" s="28"/>
      <c r="F366" s="28"/>
      <c r="G366" s="35"/>
      <c r="H366" s="28"/>
      <c r="I366" s="34"/>
      <c r="J366" s="28"/>
      <c r="K366" s="28"/>
      <c r="L366" s="35"/>
      <c r="M366" s="28"/>
      <c r="N366" s="36"/>
      <c r="O366" s="29">
        <f t="shared" si="5"/>
        <v>0</v>
      </c>
    </row>
    <row r="367" spans="1:15" x14ac:dyDescent="0.2">
      <c r="A367" s="32"/>
      <c r="B367" s="27" t="s">
        <v>21</v>
      </c>
      <c r="C367" s="28"/>
      <c r="D367" s="28"/>
      <c r="E367" s="28"/>
      <c r="F367" s="28"/>
      <c r="G367" s="35"/>
      <c r="H367" s="28"/>
      <c r="I367" s="34"/>
      <c r="J367" s="28"/>
      <c r="K367" s="28"/>
      <c r="L367" s="35"/>
      <c r="M367" s="28"/>
      <c r="N367" s="36"/>
      <c r="O367" s="29">
        <f t="shared" si="5"/>
        <v>0</v>
      </c>
    </row>
    <row r="368" spans="1:15" x14ac:dyDescent="0.2">
      <c r="A368" s="32"/>
      <c r="B368" s="27" t="s">
        <v>21</v>
      </c>
      <c r="C368" s="28"/>
      <c r="D368" s="28"/>
      <c r="E368" s="28"/>
      <c r="F368" s="28"/>
      <c r="G368" s="35"/>
      <c r="H368" s="28"/>
      <c r="I368" s="34"/>
      <c r="J368" s="28"/>
      <c r="K368" s="28"/>
      <c r="L368" s="35"/>
      <c r="M368" s="28"/>
      <c r="N368" s="36"/>
      <c r="O368" s="29">
        <f t="shared" si="5"/>
        <v>0</v>
      </c>
    </row>
    <row r="369" spans="1:15" x14ac:dyDescent="0.2">
      <c r="A369" s="32"/>
      <c r="B369" s="27" t="s">
        <v>21</v>
      </c>
      <c r="C369" s="28"/>
      <c r="D369" s="28"/>
      <c r="E369" s="28"/>
      <c r="F369" s="28"/>
      <c r="G369" s="35"/>
      <c r="H369" s="28"/>
      <c r="I369" s="34"/>
      <c r="J369" s="28"/>
      <c r="K369" s="28"/>
      <c r="L369" s="35"/>
      <c r="M369" s="28"/>
      <c r="N369" s="36"/>
      <c r="O369" s="29">
        <f t="shared" si="5"/>
        <v>0</v>
      </c>
    </row>
    <row r="370" spans="1:15" x14ac:dyDescent="0.2">
      <c r="A370" s="32"/>
      <c r="B370" s="27" t="s">
        <v>21</v>
      </c>
      <c r="C370" s="28"/>
      <c r="D370" s="28"/>
      <c r="E370" s="28"/>
      <c r="F370" s="28"/>
      <c r="G370" s="35"/>
      <c r="H370" s="28"/>
      <c r="I370" s="34"/>
      <c r="J370" s="28"/>
      <c r="K370" s="28"/>
      <c r="L370" s="35"/>
      <c r="M370" s="28"/>
      <c r="N370" s="36"/>
      <c r="O370" s="29">
        <f t="shared" si="5"/>
        <v>0</v>
      </c>
    </row>
    <row r="371" spans="1:15" x14ac:dyDescent="0.2">
      <c r="A371" s="32"/>
      <c r="B371" s="27" t="s">
        <v>21</v>
      </c>
      <c r="C371" s="28"/>
      <c r="D371" s="28"/>
      <c r="E371" s="28"/>
      <c r="F371" s="28"/>
      <c r="G371" s="35"/>
      <c r="H371" s="28"/>
      <c r="I371" s="34"/>
      <c r="J371" s="28"/>
      <c r="K371" s="28"/>
      <c r="L371" s="35"/>
      <c r="M371" s="28"/>
      <c r="N371" s="36"/>
      <c r="O371" s="29">
        <f t="shared" si="5"/>
        <v>0</v>
      </c>
    </row>
    <row r="372" spans="1:15" x14ac:dyDescent="0.2">
      <c r="A372" s="32"/>
      <c r="B372" s="27" t="s">
        <v>21</v>
      </c>
      <c r="C372" s="28"/>
      <c r="D372" s="28"/>
      <c r="E372" s="28"/>
      <c r="F372" s="28"/>
      <c r="G372" s="35"/>
      <c r="H372" s="28"/>
      <c r="I372" s="34"/>
      <c r="J372" s="28"/>
      <c r="K372" s="28"/>
      <c r="L372" s="35"/>
      <c r="M372" s="28"/>
      <c r="N372" s="36"/>
      <c r="O372" s="29">
        <f t="shared" si="5"/>
        <v>0</v>
      </c>
    </row>
    <row r="373" spans="1:15" x14ac:dyDescent="0.2">
      <c r="A373" s="32"/>
      <c r="B373" s="27" t="s">
        <v>21</v>
      </c>
      <c r="C373" s="28"/>
      <c r="D373" s="28"/>
      <c r="E373" s="28"/>
      <c r="F373" s="28"/>
      <c r="G373" s="35"/>
      <c r="H373" s="28"/>
      <c r="I373" s="34"/>
      <c r="J373" s="28"/>
      <c r="K373" s="28"/>
      <c r="L373" s="35"/>
      <c r="M373" s="28"/>
      <c r="N373" s="36"/>
      <c r="O373" s="29">
        <f t="shared" si="5"/>
        <v>0</v>
      </c>
    </row>
    <row r="374" spans="1:15" x14ac:dyDescent="0.2">
      <c r="A374" s="32"/>
      <c r="B374" s="27" t="s">
        <v>21</v>
      </c>
      <c r="C374" s="28"/>
      <c r="D374" s="28"/>
      <c r="E374" s="28"/>
      <c r="F374" s="28"/>
      <c r="G374" s="35"/>
      <c r="H374" s="28"/>
      <c r="I374" s="34"/>
      <c r="J374" s="28"/>
      <c r="K374" s="28"/>
      <c r="L374" s="35"/>
      <c r="M374" s="28"/>
      <c r="N374" s="36"/>
      <c r="O374" s="29">
        <f t="shared" si="5"/>
        <v>0</v>
      </c>
    </row>
    <row r="375" spans="1:15" x14ac:dyDescent="0.2">
      <c r="A375" s="32"/>
      <c r="B375" s="27" t="s">
        <v>21</v>
      </c>
      <c r="C375" s="28"/>
      <c r="D375" s="28"/>
      <c r="E375" s="28"/>
      <c r="F375" s="28"/>
      <c r="G375" s="35"/>
      <c r="H375" s="28"/>
      <c r="I375" s="34"/>
      <c r="J375" s="28"/>
      <c r="K375" s="28"/>
      <c r="L375" s="35"/>
      <c r="M375" s="28"/>
      <c r="N375" s="36"/>
      <c r="O375" s="29">
        <f t="shared" si="5"/>
        <v>0</v>
      </c>
    </row>
    <row r="376" spans="1:15" x14ac:dyDescent="0.2">
      <c r="A376" s="32"/>
      <c r="B376" s="27" t="s">
        <v>21</v>
      </c>
      <c r="C376" s="28"/>
      <c r="D376" s="28"/>
      <c r="E376" s="28"/>
      <c r="F376" s="28"/>
      <c r="G376" s="35"/>
      <c r="H376" s="28"/>
      <c r="I376" s="34"/>
      <c r="J376" s="28"/>
      <c r="K376" s="28"/>
      <c r="L376" s="35"/>
      <c r="M376" s="28"/>
      <c r="N376" s="36"/>
      <c r="O376" s="29">
        <f t="shared" si="5"/>
        <v>0</v>
      </c>
    </row>
    <row r="377" spans="1:15" x14ac:dyDescent="0.2">
      <c r="A377" s="32"/>
      <c r="B377" s="27" t="s">
        <v>21</v>
      </c>
      <c r="C377" s="28"/>
      <c r="D377" s="28"/>
      <c r="E377" s="28"/>
      <c r="F377" s="28"/>
      <c r="G377" s="35"/>
      <c r="H377" s="28"/>
      <c r="I377" s="34"/>
      <c r="J377" s="28"/>
      <c r="K377" s="28"/>
      <c r="L377" s="35"/>
      <c r="M377" s="28"/>
      <c r="N377" s="36"/>
      <c r="O377" s="29">
        <f t="shared" si="5"/>
        <v>0</v>
      </c>
    </row>
    <row r="378" spans="1:15" x14ac:dyDescent="0.2">
      <c r="A378" s="32"/>
      <c r="B378" s="27" t="s">
        <v>21</v>
      </c>
      <c r="C378" s="28"/>
      <c r="D378" s="28"/>
      <c r="E378" s="28"/>
      <c r="F378" s="28"/>
      <c r="G378" s="35"/>
      <c r="H378" s="28"/>
      <c r="I378" s="34"/>
      <c r="J378" s="28"/>
      <c r="K378" s="28"/>
      <c r="L378" s="35"/>
      <c r="M378" s="28"/>
      <c r="N378" s="36"/>
      <c r="O378" s="29">
        <f t="shared" si="5"/>
        <v>0</v>
      </c>
    </row>
    <row r="379" spans="1:15" x14ac:dyDescent="0.2">
      <c r="A379" s="32"/>
      <c r="B379" s="27" t="s">
        <v>21</v>
      </c>
      <c r="C379" s="28"/>
      <c r="D379" s="28"/>
      <c r="E379" s="28"/>
      <c r="F379" s="28"/>
      <c r="G379" s="35"/>
      <c r="H379" s="28"/>
      <c r="I379" s="34"/>
      <c r="J379" s="28"/>
      <c r="K379" s="28"/>
      <c r="L379" s="35"/>
      <c r="M379" s="28"/>
      <c r="N379" s="36"/>
      <c r="O379" s="29">
        <f t="shared" si="5"/>
        <v>0</v>
      </c>
    </row>
    <row r="380" spans="1:15" x14ac:dyDescent="0.2">
      <c r="A380" s="32"/>
      <c r="B380" s="27" t="s">
        <v>21</v>
      </c>
      <c r="C380" s="28"/>
      <c r="D380" s="28"/>
      <c r="E380" s="28"/>
      <c r="F380" s="28"/>
      <c r="G380" s="35"/>
      <c r="H380" s="28"/>
      <c r="I380" s="34"/>
      <c r="J380" s="28"/>
      <c r="K380" s="28"/>
      <c r="L380" s="35"/>
      <c r="M380" s="28"/>
      <c r="N380" s="36"/>
      <c r="O380" s="29">
        <f t="shared" si="5"/>
        <v>0</v>
      </c>
    </row>
    <row r="381" spans="1:15" x14ac:dyDescent="0.2">
      <c r="A381" s="32"/>
      <c r="B381" s="27" t="s">
        <v>21</v>
      </c>
      <c r="C381" s="28"/>
      <c r="D381" s="28"/>
      <c r="E381" s="28"/>
      <c r="F381" s="28"/>
      <c r="G381" s="35"/>
      <c r="H381" s="28"/>
      <c r="I381" s="34"/>
      <c r="J381" s="28"/>
      <c r="K381" s="28"/>
      <c r="L381" s="35"/>
      <c r="M381" s="28"/>
      <c r="N381" s="36"/>
      <c r="O381" s="29">
        <f t="shared" si="5"/>
        <v>0</v>
      </c>
    </row>
    <row r="382" spans="1:15" x14ac:dyDescent="0.2">
      <c r="A382" s="32"/>
      <c r="B382" s="27" t="s">
        <v>21</v>
      </c>
      <c r="C382" s="28"/>
      <c r="D382" s="28"/>
      <c r="E382" s="28"/>
      <c r="F382" s="28"/>
      <c r="G382" s="35"/>
      <c r="H382" s="28"/>
      <c r="I382" s="34"/>
      <c r="J382" s="28"/>
      <c r="K382" s="28"/>
      <c r="L382" s="35"/>
      <c r="M382" s="28"/>
      <c r="N382" s="36"/>
      <c r="O382" s="29">
        <f t="shared" si="5"/>
        <v>0</v>
      </c>
    </row>
    <row r="383" spans="1:15" x14ac:dyDescent="0.2">
      <c r="A383" s="32"/>
      <c r="B383" s="27" t="s">
        <v>21</v>
      </c>
      <c r="C383" s="28"/>
      <c r="D383" s="28"/>
      <c r="E383" s="28"/>
      <c r="F383" s="28"/>
      <c r="G383" s="35"/>
      <c r="H383" s="28"/>
      <c r="I383" s="34"/>
      <c r="J383" s="28"/>
      <c r="K383" s="28"/>
      <c r="L383" s="35"/>
      <c r="M383" s="28"/>
      <c r="N383" s="36"/>
      <c r="O383" s="29">
        <f t="shared" si="5"/>
        <v>0</v>
      </c>
    </row>
    <row r="384" spans="1:15" x14ac:dyDescent="0.2">
      <c r="A384" s="32"/>
      <c r="B384" s="27" t="s">
        <v>21</v>
      </c>
      <c r="C384" s="28"/>
      <c r="D384" s="28"/>
      <c r="E384" s="28"/>
      <c r="F384" s="28"/>
      <c r="G384" s="35"/>
      <c r="H384" s="28"/>
      <c r="I384" s="34"/>
      <c r="J384" s="28"/>
      <c r="K384" s="28"/>
      <c r="L384" s="35"/>
      <c r="M384" s="28"/>
      <c r="N384" s="36"/>
      <c r="O384" s="29">
        <f t="shared" si="5"/>
        <v>0</v>
      </c>
    </row>
    <row r="385" spans="1:15" x14ac:dyDescent="0.2">
      <c r="A385" s="32"/>
      <c r="B385" s="27" t="s">
        <v>21</v>
      </c>
      <c r="C385" s="28"/>
      <c r="D385" s="28"/>
      <c r="E385" s="28"/>
      <c r="F385" s="28"/>
      <c r="G385" s="35"/>
      <c r="H385" s="28"/>
      <c r="I385" s="34"/>
      <c r="J385" s="28"/>
      <c r="K385" s="28"/>
      <c r="L385" s="35"/>
      <c r="M385" s="28"/>
      <c r="N385" s="36"/>
      <c r="O385" s="29">
        <f t="shared" si="5"/>
        <v>0</v>
      </c>
    </row>
    <row r="386" spans="1:15" x14ac:dyDescent="0.2">
      <c r="A386" s="32"/>
      <c r="B386" s="27" t="s">
        <v>21</v>
      </c>
      <c r="C386" s="28"/>
      <c r="D386" s="28"/>
      <c r="E386" s="28"/>
      <c r="F386" s="28"/>
      <c r="G386" s="35"/>
      <c r="H386" s="28"/>
      <c r="I386" s="34"/>
      <c r="J386" s="28"/>
      <c r="K386" s="28"/>
      <c r="L386" s="35"/>
      <c r="M386" s="28"/>
      <c r="N386" s="36"/>
      <c r="O386" s="29">
        <f t="shared" si="5"/>
        <v>0</v>
      </c>
    </row>
    <row r="387" spans="1:15" x14ac:dyDescent="0.2">
      <c r="A387" s="32"/>
      <c r="B387" s="27" t="s">
        <v>21</v>
      </c>
      <c r="C387" s="28"/>
      <c r="D387" s="28"/>
      <c r="E387" s="28"/>
      <c r="F387" s="28"/>
      <c r="G387" s="35"/>
      <c r="H387" s="28"/>
      <c r="I387" s="34"/>
      <c r="J387" s="28"/>
      <c r="K387" s="28"/>
      <c r="L387" s="35"/>
      <c r="M387" s="28"/>
      <c r="N387" s="36"/>
      <c r="O387" s="29">
        <f t="shared" ref="O387:O450" si="6">N387*J387</f>
        <v>0</v>
      </c>
    </row>
    <row r="388" spans="1:15" x14ac:dyDescent="0.2">
      <c r="A388" s="32"/>
      <c r="B388" s="27" t="s">
        <v>21</v>
      </c>
      <c r="C388" s="28"/>
      <c r="D388" s="28"/>
      <c r="E388" s="28"/>
      <c r="F388" s="28"/>
      <c r="G388" s="35"/>
      <c r="H388" s="28"/>
      <c r="I388" s="34"/>
      <c r="J388" s="28"/>
      <c r="K388" s="28"/>
      <c r="L388" s="35"/>
      <c r="M388" s="28"/>
      <c r="N388" s="36"/>
      <c r="O388" s="29">
        <f t="shared" si="6"/>
        <v>0</v>
      </c>
    </row>
    <row r="389" spans="1:15" x14ac:dyDescent="0.2">
      <c r="A389" s="32"/>
      <c r="B389" s="27" t="s">
        <v>21</v>
      </c>
      <c r="C389" s="28"/>
      <c r="D389" s="28"/>
      <c r="E389" s="28"/>
      <c r="F389" s="28"/>
      <c r="G389" s="35"/>
      <c r="H389" s="28"/>
      <c r="I389" s="34"/>
      <c r="J389" s="28"/>
      <c r="K389" s="28"/>
      <c r="L389" s="35"/>
      <c r="M389" s="28"/>
      <c r="N389" s="36"/>
      <c r="O389" s="29">
        <f t="shared" si="6"/>
        <v>0</v>
      </c>
    </row>
    <row r="390" spans="1:15" x14ac:dyDescent="0.2">
      <c r="A390" s="32"/>
      <c r="B390" s="27" t="s">
        <v>21</v>
      </c>
      <c r="C390" s="28"/>
      <c r="D390" s="28"/>
      <c r="E390" s="28"/>
      <c r="F390" s="28"/>
      <c r="G390" s="35"/>
      <c r="H390" s="28"/>
      <c r="I390" s="34"/>
      <c r="J390" s="28"/>
      <c r="K390" s="28"/>
      <c r="L390" s="35"/>
      <c r="M390" s="28"/>
      <c r="N390" s="36"/>
      <c r="O390" s="29">
        <f t="shared" si="6"/>
        <v>0</v>
      </c>
    </row>
    <row r="391" spans="1:15" x14ac:dyDescent="0.2">
      <c r="A391" s="32"/>
      <c r="B391" s="27" t="s">
        <v>21</v>
      </c>
      <c r="C391" s="28"/>
      <c r="D391" s="28"/>
      <c r="E391" s="28"/>
      <c r="F391" s="28"/>
      <c r="G391" s="35"/>
      <c r="H391" s="28"/>
      <c r="I391" s="34"/>
      <c r="J391" s="28"/>
      <c r="K391" s="28"/>
      <c r="L391" s="35"/>
      <c r="M391" s="28"/>
      <c r="N391" s="36"/>
      <c r="O391" s="29">
        <f t="shared" si="6"/>
        <v>0</v>
      </c>
    </row>
    <row r="392" spans="1:15" x14ac:dyDescent="0.2">
      <c r="A392" s="32"/>
      <c r="B392" s="27" t="s">
        <v>21</v>
      </c>
      <c r="C392" s="28"/>
      <c r="D392" s="28"/>
      <c r="E392" s="28"/>
      <c r="F392" s="28"/>
      <c r="G392" s="35"/>
      <c r="H392" s="28"/>
      <c r="I392" s="34"/>
      <c r="J392" s="28"/>
      <c r="K392" s="28"/>
      <c r="L392" s="35"/>
      <c r="M392" s="28"/>
      <c r="N392" s="36"/>
      <c r="O392" s="29">
        <f t="shared" si="6"/>
        <v>0</v>
      </c>
    </row>
    <row r="393" spans="1:15" x14ac:dyDescent="0.2">
      <c r="A393" s="32"/>
      <c r="B393" s="27" t="s">
        <v>21</v>
      </c>
      <c r="C393" s="28"/>
      <c r="D393" s="28"/>
      <c r="E393" s="28"/>
      <c r="F393" s="28"/>
      <c r="G393" s="35"/>
      <c r="H393" s="28"/>
      <c r="I393" s="34"/>
      <c r="J393" s="28"/>
      <c r="K393" s="28"/>
      <c r="L393" s="35"/>
      <c r="M393" s="28"/>
      <c r="N393" s="36"/>
      <c r="O393" s="29">
        <f t="shared" si="6"/>
        <v>0</v>
      </c>
    </row>
    <row r="394" spans="1:15" x14ac:dyDescent="0.2">
      <c r="A394" s="32"/>
      <c r="B394" s="27" t="s">
        <v>21</v>
      </c>
      <c r="C394" s="28"/>
      <c r="D394" s="28"/>
      <c r="E394" s="28"/>
      <c r="F394" s="28"/>
      <c r="G394" s="35"/>
      <c r="H394" s="28"/>
      <c r="I394" s="34"/>
      <c r="J394" s="28"/>
      <c r="K394" s="28"/>
      <c r="L394" s="35"/>
      <c r="M394" s="28"/>
      <c r="N394" s="36"/>
      <c r="O394" s="29">
        <f t="shared" si="6"/>
        <v>0</v>
      </c>
    </row>
    <row r="395" spans="1:15" x14ac:dyDescent="0.2">
      <c r="A395" s="32"/>
      <c r="B395" s="27" t="s">
        <v>21</v>
      </c>
      <c r="C395" s="28"/>
      <c r="D395" s="28"/>
      <c r="E395" s="28"/>
      <c r="F395" s="28"/>
      <c r="G395" s="35"/>
      <c r="H395" s="28"/>
      <c r="I395" s="34"/>
      <c r="J395" s="28"/>
      <c r="K395" s="28"/>
      <c r="L395" s="35"/>
      <c r="M395" s="28"/>
      <c r="N395" s="36"/>
      <c r="O395" s="29">
        <f t="shared" si="6"/>
        <v>0</v>
      </c>
    </row>
    <row r="396" spans="1:15" x14ac:dyDescent="0.2">
      <c r="A396" s="32"/>
      <c r="B396" s="27" t="s">
        <v>21</v>
      </c>
      <c r="C396" s="28"/>
      <c r="D396" s="28"/>
      <c r="E396" s="28"/>
      <c r="F396" s="28"/>
      <c r="G396" s="35"/>
      <c r="H396" s="28"/>
      <c r="I396" s="34"/>
      <c r="J396" s="28"/>
      <c r="K396" s="28"/>
      <c r="L396" s="35"/>
      <c r="M396" s="28"/>
      <c r="N396" s="36"/>
      <c r="O396" s="29">
        <f t="shared" si="6"/>
        <v>0</v>
      </c>
    </row>
    <row r="397" spans="1:15" x14ac:dyDescent="0.2">
      <c r="A397" s="32"/>
      <c r="B397" s="27" t="s">
        <v>21</v>
      </c>
      <c r="C397" s="28"/>
      <c r="D397" s="28"/>
      <c r="E397" s="28"/>
      <c r="F397" s="28"/>
      <c r="G397" s="35"/>
      <c r="H397" s="28"/>
      <c r="I397" s="34"/>
      <c r="J397" s="28"/>
      <c r="K397" s="28"/>
      <c r="L397" s="35"/>
      <c r="M397" s="28"/>
      <c r="N397" s="36"/>
      <c r="O397" s="29">
        <f t="shared" si="6"/>
        <v>0</v>
      </c>
    </row>
    <row r="398" spans="1:15" x14ac:dyDescent="0.2">
      <c r="A398" s="32"/>
      <c r="B398" s="27" t="s">
        <v>21</v>
      </c>
      <c r="C398" s="28"/>
      <c r="D398" s="28"/>
      <c r="E398" s="28"/>
      <c r="F398" s="28"/>
      <c r="G398" s="35"/>
      <c r="H398" s="28"/>
      <c r="I398" s="34"/>
      <c r="J398" s="28"/>
      <c r="K398" s="28"/>
      <c r="L398" s="35"/>
      <c r="M398" s="28"/>
      <c r="N398" s="36"/>
      <c r="O398" s="29">
        <f t="shared" si="6"/>
        <v>0</v>
      </c>
    </row>
    <row r="399" spans="1:15" x14ac:dyDescent="0.2">
      <c r="A399" s="32"/>
      <c r="B399" s="27" t="s">
        <v>21</v>
      </c>
      <c r="C399" s="28"/>
      <c r="D399" s="28"/>
      <c r="E399" s="28"/>
      <c r="F399" s="28"/>
      <c r="G399" s="35"/>
      <c r="H399" s="28"/>
      <c r="I399" s="34"/>
      <c r="J399" s="28"/>
      <c r="K399" s="28"/>
      <c r="L399" s="35"/>
      <c r="M399" s="28"/>
      <c r="N399" s="36"/>
      <c r="O399" s="29">
        <f t="shared" si="6"/>
        <v>0</v>
      </c>
    </row>
    <row r="400" spans="1:15" x14ac:dyDescent="0.2">
      <c r="A400" s="32"/>
      <c r="B400" s="27" t="s">
        <v>21</v>
      </c>
      <c r="C400" s="28"/>
      <c r="D400" s="28"/>
      <c r="E400" s="28"/>
      <c r="F400" s="28"/>
      <c r="G400" s="35"/>
      <c r="H400" s="28"/>
      <c r="I400" s="34"/>
      <c r="J400" s="28"/>
      <c r="K400" s="28"/>
      <c r="L400" s="35"/>
      <c r="M400" s="28"/>
      <c r="N400" s="36"/>
      <c r="O400" s="29">
        <f t="shared" si="6"/>
        <v>0</v>
      </c>
    </row>
    <row r="401" spans="1:15" x14ac:dyDescent="0.2">
      <c r="A401" s="32"/>
      <c r="B401" s="27" t="s">
        <v>21</v>
      </c>
      <c r="C401" s="28"/>
      <c r="D401" s="28"/>
      <c r="E401" s="28"/>
      <c r="F401" s="28"/>
      <c r="G401" s="35"/>
      <c r="H401" s="28"/>
      <c r="I401" s="34"/>
      <c r="J401" s="28"/>
      <c r="K401" s="28"/>
      <c r="L401" s="35"/>
      <c r="M401" s="28"/>
      <c r="N401" s="36"/>
      <c r="O401" s="29">
        <f t="shared" si="6"/>
        <v>0</v>
      </c>
    </row>
    <row r="402" spans="1:15" x14ac:dyDescent="0.2">
      <c r="A402" s="32"/>
      <c r="B402" s="27" t="s">
        <v>21</v>
      </c>
      <c r="C402" s="28"/>
      <c r="D402" s="28"/>
      <c r="E402" s="28"/>
      <c r="F402" s="28"/>
      <c r="G402" s="35"/>
      <c r="H402" s="28"/>
      <c r="I402" s="34"/>
      <c r="J402" s="28"/>
      <c r="K402" s="28"/>
      <c r="L402" s="35"/>
      <c r="M402" s="28"/>
      <c r="N402" s="36"/>
      <c r="O402" s="29">
        <f t="shared" si="6"/>
        <v>0</v>
      </c>
    </row>
    <row r="403" spans="1:15" x14ac:dyDescent="0.2">
      <c r="A403" s="32"/>
      <c r="B403" s="27" t="s">
        <v>21</v>
      </c>
      <c r="C403" s="28"/>
      <c r="D403" s="28"/>
      <c r="E403" s="28"/>
      <c r="F403" s="28"/>
      <c r="G403" s="35"/>
      <c r="H403" s="28"/>
      <c r="I403" s="34"/>
      <c r="J403" s="28"/>
      <c r="K403" s="28"/>
      <c r="L403" s="35"/>
      <c r="M403" s="28"/>
      <c r="N403" s="36"/>
      <c r="O403" s="29">
        <f t="shared" si="6"/>
        <v>0</v>
      </c>
    </row>
    <row r="404" spans="1:15" x14ac:dyDescent="0.2">
      <c r="A404" s="32"/>
      <c r="B404" s="27" t="s">
        <v>21</v>
      </c>
      <c r="C404" s="28"/>
      <c r="D404" s="28"/>
      <c r="E404" s="28"/>
      <c r="F404" s="28"/>
      <c r="G404" s="35"/>
      <c r="H404" s="28"/>
      <c r="I404" s="34"/>
      <c r="J404" s="28"/>
      <c r="K404" s="28"/>
      <c r="L404" s="35"/>
      <c r="M404" s="28"/>
      <c r="N404" s="36"/>
      <c r="O404" s="29">
        <f t="shared" si="6"/>
        <v>0</v>
      </c>
    </row>
    <row r="405" spans="1:15" x14ac:dyDescent="0.2">
      <c r="A405" s="32"/>
      <c r="B405" s="27" t="s">
        <v>21</v>
      </c>
      <c r="C405" s="28"/>
      <c r="D405" s="28"/>
      <c r="E405" s="28"/>
      <c r="F405" s="28"/>
      <c r="G405" s="35"/>
      <c r="H405" s="28"/>
      <c r="I405" s="34"/>
      <c r="J405" s="28"/>
      <c r="K405" s="28"/>
      <c r="L405" s="35"/>
      <c r="M405" s="28"/>
      <c r="N405" s="36"/>
      <c r="O405" s="29">
        <f t="shared" si="6"/>
        <v>0</v>
      </c>
    </row>
    <row r="406" spans="1:15" x14ac:dyDescent="0.2">
      <c r="A406" s="32"/>
      <c r="B406" s="27" t="s">
        <v>21</v>
      </c>
      <c r="C406" s="28"/>
      <c r="D406" s="28"/>
      <c r="E406" s="28"/>
      <c r="F406" s="28"/>
      <c r="G406" s="35"/>
      <c r="H406" s="28"/>
      <c r="I406" s="34"/>
      <c r="J406" s="28"/>
      <c r="K406" s="28"/>
      <c r="L406" s="35"/>
      <c r="M406" s="28"/>
      <c r="N406" s="36"/>
      <c r="O406" s="29">
        <f t="shared" si="6"/>
        <v>0</v>
      </c>
    </row>
    <row r="407" spans="1:15" x14ac:dyDescent="0.2">
      <c r="A407" s="32"/>
      <c r="B407" s="27" t="s">
        <v>21</v>
      </c>
      <c r="C407" s="28"/>
      <c r="D407" s="28"/>
      <c r="E407" s="28"/>
      <c r="F407" s="28"/>
      <c r="G407" s="35"/>
      <c r="H407" s="28"/>
      <c r="I407" s="34"/>
      <c r="J407" s="28"/>
      <c r="K407" s="28"/>
      <c r="L407" s="35"/>
      <c r="M407" s="28"/>
      <c r="N407" s="36"/>
      <c r="O407" s="29">
        <f t="shared" si="6"/>
        <v>0</v>
      </c>
    </row>
    <row r="408" spans="1:15" x14ac:dyDescent="0.2">
      <c r="A408" s="32"/>
      <c r="B408" s="27" t="s">
        <v>21</v>
      </c>
      <c r="C408" s="28"/>
      <c r="D408" s="28"/>
      <c r="E408" s="28"/>
      <c r="F408" s="28"/>
      <c r="G408" s="35"/>
      <c r="H408" s="28"/>
      <c r="I408" s="34"/>
      <c r="J408" s="28"/>
      <c r="K408" s="28"/>
      <c r="L408" s="35"/>
      <c r="M408" s="28"/>
      <c r="N408" s="36"/>
      <c r="O408" s="29">
        <f t="shared" si="6"/>
        <v>0</v>
      </c>
    </row>
    <row r="409" spans="1:15" x14ac:dyDescent="0.2">
      <c r="A409" s="32"/>
      <c r="B409" s="27" t="s">
        <v>21</v>
      </c>
      <c r="C409" s="28"/>
      <c r="D409" s="28"/>
      <c r="E409" s="28"/>
      <c r="F409" s="28"/>
      <c r="G409" s="35"/>
      <c r="H409" s="28"/>
      <c r="I409" s="34"/>
      <c r="J409" s="28"/>
      <c r="K409" s="28"/>
      <c r="L409" s="35"/>
      <c r="M409" s="28"/>
      <c r="N409" s="36"/>
      <c r="O409" s="29">
        <f t="shared" si="6"/>
        <v>0</v>
      </c>
    </row>
    <row r="410" spans="1:15" x14ac:dyDescent="0.2">
      <c r="A410" s="32"/>
      <c r="B410" s="27" t="s">
        <v>21</v>
      </c>
      <c r="C410" s="28"/>
      <c r="D410" s="28"/>
      <c r="E410" s="28"/>
      <c r="F410" s="28"/>
      <c r="G410" s="35"/>
      <c r="H410" s="28"/>
      <c r="I410" s="34"/>
      <c r="J410" s="28"/>
      <c r="K410" s="28"/>
      <c r="L410" s="35"/>
      <c r="M410" s="28"/>
      <c r="N410" s="36"/>
      <c r="O410" s="29">
        <f t="shared" si="6"/>
        <v>0</v>
      </c>
    </row>
    <row r="411" spans="1:15" x14ac:dyDescent="0.2">
      <c r="A411" s="32"/>
      <c r="B411" s="27" t="s">
        <v>21</v>
      </c>
      <c r="C411" s="28"/>
      <c r="D411" s="28"/>
      <c r="E411" s="28"/>
      <c r="F411" s="28"/>
      <c r="G411" s="35"/>
      <c r="H411" s="28"/>
      <c r="I411" s="34"/>
      <c r="J411" s="28"/>
      <c r="K411" s="28"/>
      <c r="L411" s="35"/>
      <c r="M411" s="28"/>
      <c r="N411" s="36"/>
      <c r="O411" s="29">
        <f t="shared" si="6"/>
        <v>0</v>
      </c>
    </row>
    <row r="412" spans="1:15" x14ac:dyDescent="0.2">
      <c r="A412" s="32"/>
      <c r="B412" s="27" t="s">
        <v>21</v>
      </c>
      <c r="C412" s="28"/>
      <c r="D412" s="28"/>
      <c r="E412" s="28"/>
      <c r="F412" s="28"/>
      <c r="G412" s="35"/>
      <c r="H412" s="28"/>
      <c r="I412" s="34"/>
      <c r="J412" s="28"/>
      <c r="K412" s="28"/>
      <c r="L412" s="35"/>
      <c r="M412" s="28"/>
      <c r="N412" s="36"/>
      <c r="O412" s="29">
        <f t="shared" si="6"/>
        <v>0</v>
      </c>
    </row>
    <row r="413" spans="1:15" x14ac:dyDescent="0.2">
      <c r="A413" s="32"/>
      <c r="B413" s="27" t="s">
        <v>21</v>
      </c>
      <c r="C413" s="28"/>
      <c r="D413" s="28"/>
      <c r="E413" s="28"/>
      <c r="F413" s="28"/>
      <c r="G413" s="35"/>
      <c r="H413" s="28"/>
      <c r="I413" s="34"/>
      <c r="J413" s="28"/>
      <c r="K413" s="28"/>
      <c r="L413" s="35"/>
      <c r="M413" s="28"/>
      <c r="N413" s="36"/>
      <c r="O413" s="29">
        <f t="shared" si="6"/>
        <v>0</v>
      </c>
    </row>
    <row r="414" spans="1:15" x14ac:dyDescent="0.2">
      <c r="A414" s="32"/>
      <c r="B414" s="27" t="s">
        <v>21</v>
      </c>
      <c r="C414" s="28"/>
      <c r="D414" s="28"/>
      <c r="E414" s="28"/>
      <c r="F414" s="28"/>
      <c r="G414" s="35"/>
      <c r="H414" s="28"/>
      <c r="I414" s="34"/>
      <c r="J414" s="28"/>
      <c r="K414" s="28"/>
      <c r="L414" s="35"/>
      <c r="M414" s="28"/>
      <c r="N414" s="36"/>
      <c r="O414" s="29">
        <f t="shared" si="6"/>
        <v>0</v>
      </c>
    </row>
    <row r="415" spans="1:15" x14ac:dyDescent="0.2">
      <c r="A415" s="32"/>
      <c r="B415" s="27" t="s">
        <v>21</v>
      </c>
      <c r="C415" s="28"/>
      <c r="D415" s="28"/>
      <c r="E415" s="28"/>
      <c r="F415" s="28"/>
      <c r="G415" s="35"/>
      <c r="H415" s="28"/>
      <c r="I415" s="34"/>
      <c r="J415" s="28"/>
      <c r="K415" s="28"/>
      <c r="L415" s="35"/>
      <c r="M415" s="28"/>
      <c r="N415" s="36"/>
      <c r="O415" s="29">
        <f t="shared" si="6"/>
        <v>0</v>
      </c>
    </row>
    <row r="416" spans="1:15" x14ac:dyDescent="0.2">
      <c r="A416" s="32"/>
      <c r="B416" s="27" t="s">
        <v>21</v>
      </c>
      <c r="C416" s="28"/>
      <c r="D416" s="28"/>
      <c r="E416" s="28"/>
      <c r="F416" s="28"/>
      <c r="G416" s="35"/>
      <c r="H416" s="28"/>
      <c r="I416" s="34"/>
      <c r="J416" s="28"/>
      <c r="K416" s="28"/>
      <c r="L416" s="35"/>
      <c r="M416" s="28"/>
      <c r="N416" s="36"/>
      <c r="O416" s="29">
        <f t="shared" si="6"/>
        <v>0</v>
      </c>
    </row>
    <row r="417" spans="1:15" x14ac:dyDescent="0.2">
      <c r="A417" s="32"/>
      <c r="B417" s="27" t="s">
        <v>21</v>
      </c>
      <c r="C417" s="28"/>
      <c r="D417" s="28"/>
      <c r="E417" s="28"/>
      <c r="F417" s="28"/>
      <c r="G417" s="35"/>
      <c r="H417" s="28"/>
      <c r="I417" s="34"/>
      <c r="J417" s="28"/>
      <c r="K417" s="28"/>
      <c r="L417" s="35"/>
      <c r="M417" s="28"/>
      <c r="N417" s="36"/>
      <c r="O417" s="29">
        <f t="shared" si="6"/>
        <v>0</v>
      </c>
    </row>
    <row r="418" spans="1:15" x14ac:dyDescent="0.2">
      <c r="A418" s="32"/>
      <c r="B418" s="27" t="s">
        <v>21</v>
      </c>
      <c r="C418" s="28"/>
      <c r="D418" s="28"/>
      <c r="E418" s="28"/>
      <c r="F418" s="28"/>
      <c r="G418" s="35"/>
      <c r="H418" s="28"/>
      <c r="I418" s="34"/>
      <c r="J418" s="28"/>
      <c r="K418" s="28"/>
      <c r="L418" s="35"/>
      <c r="M418" s="28"/>
      <c r="N418" s="36"/>
      <c r="O418" s="29">
        <f t="shared" si="6"/>
        <v>0</v>
      </c>
    </row>
    <row r="419" spans="1:15" x14ac:dyDescent="0.2">
      <c r="A419" s="32"/>
      <c r="B419" s="27" t="s">
        <v>21</v>
      </c>
      <c r="C419" s="28"/>
      <c r="D419" s="28"/>
      <c r="E419" s="28"/>
      <c r="F419" s="28"/>
      <c r="G419" s="35"/>
      <c r="H419" s="28"/>
      <c r="I419" s="34"/>
      <c r="J419" s="28"/>
      <c r="K419" s="28"/>
      <c r="L419" s="35"/>
      <c r="M419" s="28"/>
      <c r="N419" s="36"/>
      <c r="O419" s="29">
        <f t="shared" si="6"/>
        <v>0</v>
      </c>
    </row>
    <row r="420" spans="1:15" x14ac:dyDescent="0.2">
      <c r="A420" s="32"/>
      <c r="B420" s="27" t="s">
        <v>21</v>
      </c>
      <c r="C420" s="28"/>
      <c r="D420" s="28"/>
      <c r="E420" s="28"/>
      <c r="F420" s="28"/>
      <c r="G420" s="35"/>
      <c r="H420" s="28"/>
      <c r="I420" s="34"/>
      <c r="J420" s="28"/>
      <c r="K420" s="28"/>
      <c r="L420" s="35"/>
      <c r="M420" s="28"/>
      <c r="N420" s="36"/>
      <c r="O420" s="29">
        <f t="shared" si="6"/>
        <v>0</v>
      </c>
    </row>
    <row r="421" spans="1:15" x14ac:dyDescent="0.2">
      <c r="A421" s="32"/>
      <c r="B421" s="27" t="s">
        <v>21</v>
      </c>
      <c r="C421" s="28"/>
      <c r="D421" s="28"/>
      <c r="E421" s="28"/>
      <c r="F421" s="28"/>
      <c r="G421" s="35"/>
      <c r="H421" s="28"/>
      <c r="I421" s="34"/>
      <c r="J421" s="28"/>
      <c r="K421" s="28"/>
      <c r="L421" s="35"/>
      <c r="M421" s="28"/>
      <c r="N421" s="36"/>
      <c r="O421" s="29">
        <f t="shared" si="6"/>
        <v>0</v>
      </c>
    </row>
    <row r="422" spans="1:15" x14ac:dyDescent="0.2">
      <c r="A422" s="32"/>
      <c r="B422" s="27" t="s">
        <v>21</v>
      </c>
      <c r="C422" s="28"/>
      <c r="D422" s="28"/>
      <c r="E422" s="28"/>
      <c r="F422" s="28"/>
      <c r="G422" s="35"/>
      <c r="H422" s="28"/>
      <c r="I422" s="34"/>
      <c r="J422" s="28"/>
      <c r="K422" s="28"/>
      <c r="L422" s="35"/>
      <c r="M422" s="28"/>
      <c r="N422" s="36"/>
      <c r="O422" s="29">
        <f t="shared" si="6"/>
        <v>0</v>
      </c>
    </row>
    <row r="423" spans="1:15" x14ac:dyDescent="0.2">
      <c r="A423" s="32"/>
      <c r="B423" s="27" t="s">
        <v>21</v>
      </c>
      <c r="C423" s="28"/>
      <c r="D423" s="28"/>
      <c r="E423" s="28"/>
      <c r="F423" s="28"/>
      <c r="G423" s="35"/>
      <c r="H423" s="28"/>
      <c r="I423" s="34"/>
      <c r="J423" s="28"/>
      <c r="K423" s="28"/>
      <c r="L423" s="35"/>
      <c r="M423" s="28"/>
      <c r="N423" s="36"/>
      <c r="O423" s="29">
        <f t="shared" si="6"/>
        <v>0</v>
      </c>
    </row>
    <row r="424" spans="1:15" x14ac:dyDescent="0.2">
      <c r="A424" s="32"/>
      <c r="B424" s="27" t="s">
        <v>21</v>
      </c>
      <c r="C424" s="28"/>
      <c r="D424" s="28"/>
      <c r="E424" s="28"/>
      <c r="F424" s="28"/>
      <c r="G424" s="35"/>
      <c r="H424" s="28"/>
      <c r="I424" s="34"/>
      <c r="J424" s="28"/>
      <c r="K424" s="28"/>
      <c r="L424" s="35"/>
      <c r="M424" s="28"/>
      <c r="N424" s="36"/>
      <c r="O424" s="29">
        <f t="shared" si="6"/>
        <v>0</v>
      </c>
    </row>
    <row r="425" spans="1:15" x14ac:dyDescent="0.2">
      <c r="A425" s="32"/>
      <c r="B425" s="27"/>
      <c r="C425" s="28"/>
      <c r="D425" s="28"/>
      <c r="E425" s="28"/>
      <c r="F425" s="28"/>
      <c r="G425" s="35"/>
      <c r="H425" s="28"/>
      <c r="I425" s="34"/>
      <c r="J425" s="28"/>
      <c r="K425" s="28"/>
      <c r="L425" s="35"/>
      <c r="M425" s="28"/>
      <c r="N425" s="36"/>
      <c r="O425" s="29">
        <f t="shared" si="6"/>
        <v>0</v>
      </c>
    </row>
    <row r="426" spans="1:15" x14ac:dyDescent="0.2">
      <c r="A426" s="32"/>
      <c r="B426" s="27"/>
      <c r="C426" s="28"/>
      <c r="D426" s="28"/>
      <c r="E426" s="28"/>
      <c r="F426" s="28"/>
      <c r="G426" s="35"/>
      <c r="H426" s="28"/>
      <c r="I426" s="34"/>
      <c r="J426" s="28"/>
      <c r="K426" s="28"/>
      <c r="L426" s="35"/>
      <c r="M426" s="28"/>
      <c r="N426" s="36"/>
      <c r="O426" s="29">
        <f t="shared" si="6"/>
        <v>0</v>
      </c>
    </row>
    <row r="427" spans="1:15" x14ac:dyDescent="0.2">
      <c r="A427" s="32"/>
      <c r="B427" s="27"/>
      <c r="C427" s="28"/>
      <c r="D427" s="28"/>
      <c r="E427" s="28"/>
      <c r="F427" s="28"/>
      <c r="G427" s="35"/>
      <c r="H427" s="28"/>
      <c r="I427" s="34"/>
      <c r="J427" s="28"/>
      <c r="K427" s="28"/>
      <c r="L427" s="35"/>
      <c r="M427" s="28"/>
      <c r="N427" s="36"/>
      <c r="O427" s="29">
        <f t="shared" si="6"/>
        <v>0</v>
      </c>
    </row>
    <row r="428" spans="1:15" x14ac:dyDescent="0.2">
      <c r="A428" s="32"/>
      <c r="B428" s="27"/>
      <c r="C428" s="28"/>
      <c r="D428" s="28"/>
      <c r="E428" s="28"/>
      <c r="F428" s="28"/>
      <c r="G428" s="35"/>
      <c r="H428" s="28"/>
      <c r="I428" s="34"/>
      <c r="J428" s="28"/>
      <c r="K428" s="28"/>
      <c r="L428" s="35"/>
      <c r="M428" s="28"/>
      <c r="N428" s="36"/>
      <c r="O428" s="29">
        <f t="shared" si="6"/>
        <v>0</v>
      </c>
    </row>
    <row r="429" spans="1:15" x14ac:dyDescent="0.2">
      <c r="A429" s="32"/>
      <c r="B429" s="27"/>
      <c r="C429" s="28"/>
      <c r="D429" s="28"/>
      <c r="E429" s="28"/>
      <c r="F429" s="28"/>
      <c r="G429" s="35"/>
      <c r="H429" s="28"/>
      <c r="I429" s="34"/>
      <c r="J429" s="28"/>
      <c r="K429" s="28"/>
      <c r="L429" s="35"/>
      <c r="M429" s="28"/>
      <c r="N429" s="36"/>
      <c r="O429" s="29">
        <f t="shared" si="6"/>
        <v>0</v>
      </c>
    </row>
    <row r="430" spans="1:15" x14ac:dyDescent="0.2">
      <c r="A430" s="32"/>
      <c r="B430" s="27"/>
      <c r="C430" s="28"/>
      <c r="D430" s="28"/>
      <c r="E430" s="28"/>
      <c r="F430" s="28"/>
      <c r="G430" s="35"/>
      <c r="H430" s="28"/>
      <c r="I430" s="34"/>
      <c r="J430" s="28"/>
      <c r="K430" s="28"/>
      <c r="L430" s="35"/>
      <c r="M430" s="28"/>
      <c r="N430" s="36"/>
      <c r="O430" s="29">
        <f t="shared" si="6"/>
        <v>0</v>
      </c>
    </row>
    <row r="431" spans="1:15" x14ac:dyDescent="0.2">
      <c r="A431" s="32"/>
      <c r="B431" s="27"/>
      <c r="C431" s="28"/>
      <c r="D431" s="28"/>
      <c r="E431" s="28"/>
      <c r="F431" s="28"/>
      <c r="G431" s="35"/>
      <c r="H431" s="28"/>
      <c r="I431" s="34"/>
      <c r="J431" s="28"/>
      <c r="K431" s="28"/>
      <c r="L431" s="35"/>
      <c r="M431" s="28"/>
      <c r="N431" s="36"/>
      <c r="O431" s="29">
        <f t="shared" si="6"/>
        <v>0</v>
      </c>
    </row>
    <row r="432" spans="1:15" x14ac:dyDescent="0.2">
      <c r="A432" s="32"/>
      <c r="B432" s="27"/>
      <c r="C432" s="28"/>
      <c r="D432" s="28"/>
      <c r="E432" s="28"/>
      <c r="F432" s="28"/>
      <c r="G432" s="35"/>
      <c r="H432" s="28"/>
      <c r="I432" s="34"/>
      <c r="J432" s="28"/>
      <c r="K432" s="28"/>
      <c r="L432" s="35"/>
      <c r="M432" s="28"/>
      <c r="N432" s="36"/>
      <c r="O432" s="29">
        <f t="shared" si="6"/>
        <v>0</v>
      </c>
    </row>
    <row r="433" spans="1:15" x14ac:dyDescent="0.2">
      <c r="A433" s="32"/>
      <c r="B433" s="27"/>
      <c r="C433" s="28"/>
      <c r="D433" s="28"/>
      <c r="E433" s="28"/>
      <c r="F433" s="28"/>
      <c r="G433" s="35"/>
      <c r="H433" s="28"/>
      <c r="I433" s="34"/>
      <c r="J433" s="28"/>
      <c r="K433" s="28"/>
      <c r="L433" s="35"/>
      <c r="M433" s="28"/>
      <c r="N433" s="36"/>
      <c r="O433" s="29">
        <f t="shared" si="6"/>
        <v>0</v>
      </c>
    </row>
    <row r="434" spans="1:15" x14ac:dyDescent="0.2">
      <c r="A434" s="32"/>
      <c r="B434" s="27"/>
      <c r="C434" s="28"/>
      <c r="D434" s="28"/>
      <c r="E434" s="28"/>
      <c r="F434" s="28"/>
      <c r="G434" s="35"/>
      <c r="H434" s="28"/>
      <c r="I434" s="34"/>
      <c r="J434" s="28"/>
      <c r="K434" s="28"/>
      <c r="L434" s="35"/>
      <c r="M434" s="28"/>
      <c r="N434" s="36"/>
      <c r="O434" s="29">
        <f t="shared" si="6"/>
        <v>0</v>
      </c>
    </row>
    <row r="435" spans="1:15" x14ac:dyDescent="0.2">
      <c r="A435" s="32"/>
      <c r="B435" s="27"/>
      <c r="C435" s="28"/>
      <c r="D435" s="28"/>
      <c r="E435" s="28"/>
      <c r="F435" s="28"/>
      <c r="G435" s="35"/>
      <c r="H435" s="28"/>
      <c r="I435" s="34"/>
      <c r="J435" s="28"/>
      <c r="K435" s="28"/>
      <c r="L435" s="35"/>
      <c r="M435" s="28"/>
      <c r="N435" s="36"/>
      <c r="O435" s="29">
        <f t="shared" si="6"/>
        <v>0</v>
      </c>
    </row>
    <row r="436" spans="1:15" x14ac:dyDescent="0.2">
      <c r="A436" s="32"/>
      <c r="B436" s="27"/>
      <c r="C436" s="28"/>
      <c r="D436" s="28"/>
      <c r="E436" s="28"/>
      <c r="F436" s="28"/>
      <c r="G436" s="35"/>
      <c r="H436" s="28"/>
      <c r="I436" s="34"/>
      <c r="J436" s="28"/>
      <c r="K436" s="28"/>
      <c r="L436" s="35"/>
      <c r="M436" s="28"/>
      <c r="N436" s="36"/>
      <c r="O436" s="29">
        <f t="shared" si="6"/>
        <v>0</v>
      </c>
    </row>
    <row r="437" spans="1:15" x14ac:dyDescent="0.2">
      <c r="A437" s="32"/>
      <c r="B437" s="27"/>
      <c r="C437" s="28"/>
      <c r="D437" s="28"/>
      <c r="E437" s="28"/>
      <c r="F437" s="28"/>
      <c r="G437" s="35"/>
      <c r="H437" s="28"/>
      <c r="I437" s="34"/>
      <c r="J437" s="28"/>
      <c r="K437" s="28"/>
      <c r="L437" s="35"/>
      <c r="M437" s="28"/>
      <c r="N437" s="36"/>
      <c r="O437" s="29">
        <f t="shared" si="6"/>
        <v>0</v>
      </c>
    </row>
    <row r="438" spans="1:15" x14ac:dyDescent="0.2">
      <c r="A438" s="32"/>
      <c r="B438" s="27"/>
      <c r="C438" s="28"/>
      <c r="D438" s="28"/>
      <c r="E438" s="28"/>
      <c r="F438" s="28"/>
      <c r="G438" s="35"/>
      <c r="H438" s="28"/>
      <c r="I438" s="34"/>
      <c r="J438" s="28"/>
      <c r="K438" s="28"/>
      <c r="L438" s="35"/>
      <c r="M438" s="28"/>
      <c r="N438" s="36"/>
      <c r="O438" s="29">
        <f t="shared" si="6"/>
        <v>0</v>
      </c>
    </row>
    <row r="439" spans="1:15" x14ac:dyDescent="0.2">
      <c r="A439" s="32"/>
      <c r="B439" s="27"/>
      <c r="C439" s="28"/>
      <c r="D439" s="28"/>
      <c r="E439" s="28"/>
      <c r="F439" s="28"/>
      <c r="G439" s="35"/>
      <c r="H439" s="28"/>
      <c r="I439" s="34"/>
      <c r="J439" s="28"/>
      <c r="K439" s="28"/>
      <c r="L439" s="35"/>
      <c r="M439" s="28"/>
      <c r="N439" s="36"/>
      <c r="O439" s="29">
        <f t="shared" si="6"/>
        <v>0</v>
      </c>
    </row>
    <row r="440" spans="1:15" x14ac:dyDescent="0.2">
      <c r="A440" s="32"/>
      <c r="B440" s="27"/>
      <c r="C440" s="28"/>
      <c r="D440" s="28"/>
      <c r="E440" s="28"/>
      <c r="F440" s="28"/>
      <c r="G440" s="35"/>
      <c r="H440" s="28"/>
      <c r="I440" s="34"/>
      <c r="J440" s="28"/>
      <c r="K440" s="28"/>
      <c r="L440" s="35"/>
      <c r="M440" s="28"/>
      <c r="N440" s="36"/>
      <c r="O440" s="29">
        <f t="shared" si="6"/>
        <v>0</v>
      </c>
    </row>
    <row r="441" spans="1:15" x14ac:dyDescent="0.2">
      <c r="A441" s="32"/>
      <c r="B441" s="27"/>
      <c r="C441" s="28"/>
      <c r="D441" s="28"/>
      <c r="E441" s="28"/>
      <c r="F441" s="28"/>
      <c r="G441" s="35"/>
      <c r="H441" s="28"/>
      <c r="I441" s="34"/>
      <c r="J441" s="28"/>
      <c r="K441" s="28"/>
      <c r="L441" s="35"/>
      <c r="M441" s="28"/>
      <c r="N441" s="36"/>
      <c r="O441" s="29">
        <f t="shared" si="6"/>
        <v>0</v>
      </c>
    </row>
    <row r="442" spans="1:15" x14ac:dyDescent="0.2">
      <c r="A442" s="32"/>
      <c r="B442" s="27"/>
      <c r="C442" s="28"/>
      <c r="D442" s="28"/>
      <c r="E442" s="28"/>
      <c r="F442" s="28"/>
      <c r="G442" s="35"/>
      <c r="H442" s="28"/>
      <c r="I442" s="34"/>
      <c r="J442" s="28"/>
      <c r="K442" s="28"/>
      <c r="L442" s="35"/>
      <c r="M442" s="28"/>
      <c r="N442" s="36"/>
      <c r="O442" s="29">
        <f t="shared" si="6"/>
        <v>0</v>
      </c>
    </row>
    <row r="443" spans="1:15" x14ac:dyDescent="0.2">
      <c r="A443" s="32"/>
      <c r="B443" s="27"/>
      <c r="C443" s="28"/>
      <c r="D443" s="28"/>
      <c r="E443" s="28"/>
      <c r="F443" s="28"/>
      <c r="G443" s="35"/>
      <c r="H443" s="28"/>
      <c r="I443" s="34"/>
      <c r="J443" s="28"/>
      <c r="K443" s="28"/>
      <c r="L443" s="35"/>
      <c r="M443" s="28"/>
      <c r="N443" s="36"/>
      <c r="O443" s="29">
        <f t="shared" si="6"/>
        <v>0</v>
      </c>
    </row>
    <row r="444" spans="1:15" x14ac:dyDescent="0.2">
      <c r="A444" s="32"/>
      <c r="B444" s="27"/>
      <c r="C444" s="28"/>
      <c r="D444" s="28"/>
      <c r="E444" s="28"/>
      <c r="F444" s="28"/>
      <c r="G444" s="35"/>
      <c r="H444" s="28"/>
      <c r="I444" s="34"/>
      <c r="J444" s="28"/>
      <c r="K444" s="28"/>
      <c r="L444" s="35"/>
      <c r="M444" s="28"/>
      <c r="N444" s="36"/>
      <c r="O444" s="29">
        <f t="shared" si="6"/>
        <v>0</v>
      </c>
    </row>
    <row r="445" spans="1:15" x14ac:dyDescent="0.2">
      <c r="A445" s="32"/>
      <c r="B445" s="27"/>
      <c r="C445" s="28"/>
      <c r="D445" s="28"/>
      <c r="E445" s="28"/>
      <c r="F445" s="28"/>
      <c r="G445" s="35"/>
      <c r="H445" s="28"/>
      <c r="I445" s="34"/>
      <c r="J445" s="28"/>
      <c r="K445" s="28"/>
      <c r="L445" s="35"/>
      <c r="M445" s="28"/>
      <c r="N445" s="36"/>
      <c r="O445" s="29">
        <f t="shared" si="6"/>
        <v>0</v>
      </c>
    </row>
    <row r="446" spans="1:15" x14ac:dyDescent="0.2">
      <c r="A446" s="32"/>
      <c r="B446" s="27"/>
      <c r="C446" s="28"/>
      <c r="D446" s="28"/>
      <c r="E446" s="28"/>
      <c r="F446" s="28"/>
      <c r="G446" s="35"/>
      <c r="H446" s="28"/>
      <c r="I446" s="34"/>
      <c r="J446" s="28"/>
      <c r="K446" s="28"/>
      <c r="L446" s="35"/>
      <c r="M446" s="28"/>
      <c r="N446" s="36"/>
      <c r="O446" s="29">
        <f t="shared" si="6"/>
        <v>0</v>
      </c>
    </row>
    <row r="447" spans="1:15" x14ac:dyDescent="0.2">
      <c r="A447" s="32"/>
      <c r="B447" s="27"/>
      <c r="C447" s="28"/>
      <c r="D447" s="28"/>
      <c r="E447" s="28"/>
      <c r="F447" s="28"/>
      <c r="G447" s="35"/>
      <c r="H447" s="28"/>
      <c r="I447" s="34"/>
      <c r="J447" s="28"/>
      <c r="K447" s="28"/>
      <c r="L447" s="35"/>
      <c r="M447" s="28"/>
      <c r="N447" s="36"/>
      <c r="O447" s="29">
        <f t="shared" si="6"/>
        <v>0</v>
      </c>
    </row>
    <row r="448" spans="1:15" x14ac:dyDescent="0.2">
      <c r="A448" s="32"/>
      <c r="B448" s="27"/>
      <c r="C448" s="28"/>
      <c r="D448" s="28"/>
      <c r="E448" s="28"/>
      <c r="F448" s="28"/>
      <c r="G448" s="35"/>
      <c r="H448" s="28"/>
      <c r="I448" s="34"/>
      <c r="J448" s="28"/>
      <c r="K448" s="28"/>
      <c r="L448" s="35"/>
      <c r="M448" s="28"/>
      <c r="N448" s="36"/>
      <c r="O448" s="29">
        <f t="shared" si="6"/>
        <v>0</v>
      </c>
    </row>
    <row r="449" spans="1:15" x14ac:dyDescent="0.2">
      <c r="A449" s="32"/>
      <c r="B449" s="27"/>
      <c r="C449" s="28"/>
      <c r="D449" s="28"/>
      <c r="E449" s="28"/>
      <c r="F449" s="28"/>
      <c r="G449" s="35"/>
      <c r="H449" s="28"/>
      <c r="I449" s="34"/>
      <c r="J449" s="28"/>
      <c r="K449" s="28"/>
      <c r="L449" s="35"/>
      <c r="M449" s="28"/>
      <c r="N449" s="36"/>
      <c r="O449" s="29">
        <f t="shared" si="6"/>
        <v>0</v>
      </c>
    </row>
    <row r="450" spans="1:15" x14ac:dyDescent="0.2">
      <c r="A450" s="32"/>
      <c r="B450" s="27"/>
      <c r="C450" s="28"/>
      <c r="D450" s="28"/>
      <c r="E450" s="28"/>
      <c r="F450" s="28"/>
      <c r="G450" s="35"/>
      <c r="H450" s="28"/>
      <c r="I450" s="34"/>
      <c r="J450" s="28"/>
      <c r="K450" s="28"/>
      <c r="L450" s="35"/>
      <c r="M450" s="28"/>
      <c r="N450" s="36"/>
      <c r="O450" s="29">
        <f t="shared" si="6"/>
        <v>0</v>
      </c>
    </row>
    <row r="451" spans="1:15" x14ac:dyDescent="0.2">
      <c r="A451" s="32"/>
      <c r="B451" s="27"/>
      <c r="C451" s="28"/>
      <c r="D451" s="28"/>
      <c r="E451" s="28"/>
      <c r="F451" s="28"/>
      <c r="G451" s="35"/>
      <c r="H451" s="28"/>
      <c r="I451" s="34"/>
      <c r="J451" s="28"/>
      <c r="K451" s="28"/>
      <c r="L451" s="35"/>
      <c r="M451" s="28"/>
      <c r="N451" s="36"/>
      <c r="O451" s="29">
        <f t="shared" ref="O451:O514" si="7">N451*J451</f>
        <v>0</v>
      </c>
    </row>
    <row r="452" spans="1:15" x14ac:dyDescent="0.2">
      <c r="A452" s="32"/>
      <c r="B452" s="27"/>
      <c r="C452" s="28"/>
      <c r="D452" s="28"/>
      <c r="E452" s="28"/>
      <c r="F452" s="28"/>
      <c r="G452" s="35"/>
      <c r="H452" s="28"/>
      <c r="I452" s="34"/>
      <c r="J452" s="28"/>
      <c r="K452" s="28"/>
      <c r="L452" s="35"/>
      <c r="M452" s="28"/>
      <c r="N452" s="36"/>
      <c r="O452" s="29">
        <f t="shared" si="7"/>
        <v>0</v>
      </c>
    </row>
    <row r="453" spans="1:15" x14ac:dyDescent="0.2">
      <c r="A453" s="32"/>
      <c r="B453" s="27"/>
      <c r="C453" s="28"/>
      <c r="D453" s="28"/>
      <c r="E453" s="28"/>
      <c r="F453" s="28"/>
      <c r="G453" s="35"/>
      <c r="H453" s="28"/>
      <c r="I453" s="34"/>
      <c r="J453" s="28"/>
      <c r="K453" s="28"/>
      <c r="L453" s="35"/>
      <c r="M453" s="28"/>
      <c r="N453" s="36"/>
      <c r="O453" s="29">
        <f t="shared" si="7"/>
        <v>0</v>
      </c>
    </row>
    <row r="454" spans="1:15" x14ac:dyDescent="0.2">
      <c r="A454" s="32"/>
      <c r="B454" s="27"/>
      <c r="C454" s="28"/>
      <c r="D454" s="28"/>
      <c r="E454" s="28"/>
      <c r="F454" s="28"/>
      <c r="G454" s="35"/>
      <c r="H454" s="28"/>
      <c r="I454" s="34"/>
      <c r="J454" s="28"/>
      <c r="K454" s="28"/>
      <c r="L454" s="35"/>
      <c r="M454" s="28"/>
      <c r="N454" s="36"/>
      <c r="O454" s="29">
        <f t="shared" si="7"/>
        <v>0</v>
      </c>
    </row>
    <row r="455" spans="1:15" x14ac:dyDescent="0.2">
      <c r="A455" s="32"/>
      <c r="B455" s="27"/>
      <c r="C455" s="28"/>
      <c r="D455" s="28"/>
      <c r="E455" s="28"/>
      <c r="F455" s="28"/>
      <c r="G455" s="35"/>
      <c r="H455" s="28"/>
      <c r="I455" s="34"/>
      <c r="J455" s="28"/>
      <c r="K455" s="28"/>
      <c r="L455" s="35"/>
      <c r="M455" s="28"/>
      <c r="N455" s="36"/>
      <c r="O455" s="29">
        <f t="shared" si="7"/>
        <v>0</v>
      </c>
    </row>
    <row r="456" spans="1:15" x14ac:dyDescent="0.2">
      <c r="A456" s="32"/>
      <c r="B456" s="27"/>
      <c r="C456" s="28"/>
      <c r="D456" s="28"/>
      <c r="E456" s="28"/>
      <c r="F456" s="28"/>
      <c r="G456" s="35"/>
      <c r="H456" s="28"/>
      <c r="I456" s="34"/>
      <c r="J456" s="28"/>
      <c r="K456" s="28"/>
      <c r="L456" s="35"/>
      <c r="M456" s="28"/>
      <c r="N456" s="36"/>
      <c r="O456" s="29">
        <f t="shared" si="7"/>
        <v>0</v>
      </c>
    </row>
    <row r="457" spans="1:15" x14ac:dyDescent="0.2">
      <c r="A457" s="32"/>
      <c r="B457" s="27"/>
      <c r="C457" s="28"/>
      <c r="D457" s="28"/>
      <c r="E457" s="28"/>
      <c r="F457" s="28"/>
      <c r="G457" s="35"/>
      <c r="H457" s="28"/>
      <c r="I457" s="34"/>
      <c r="J457" s="28"/>
      <c r="K457" s="28"/>
      <c r="L457" s="35"/>
      <c r="M457" s="28"/>
      <c r="N457" s="36"/>
      <c r="O457" s="29">
        <f t="shared" si="7"/>
        <v>0</v>
      </c>
    </row>
    <row r="458" spans="1:15" x14ac:dyDescent="0.2">
      <c r="A458" s="32"/>
      <c r="B458" s="27"/>
      <c r="C458" s="28"/>
      <c r="D458" s="28"/>
      <c r="E458" s="28"/>
      <c r="F458" s="28"/>
      <c r="G458" s="35"/>
      <c r="H458" s="28"/>
      <c r="I458" s="34"/>
      <c r="J458" s="28"/>
      <c r="K458" s="28"/>
      <c r="L458" s="35"/>
      <c r="M458" s="28"/>
      <c r="N458" s="36"/>
      <c r="O458" s="29">
        <f t="shared" si="7"/>
        <v>0</v>
      </c>
    </row>
    <row r="459" spans="1:15" x14ac:dyDescent="0.2">
      <c r="A459" s="32"/>
      <c r="B459" s="27"/>
      <c r="C459" s="28"/>
      <c r="D459" s="28"/>
      <c r="E459" s="28"/>
      <c r="F459" s="28"/>
      <c r="G459" s="35"/>
      <c r="H459" s="28"/>
      <c r="I459" s="34"/>
      <c r="J459" s="28"/>
      <c r="K459" s="28"/>
      <c r="L459" s="35"/>
      <c r="M459" s="28"/>
      <c r="N459" s="36"/>
      <c r="O459" s="29">
        <f t="shared" si="7"/>
        <v>0</v>
      </c>
    </row>
    <row r="460" spans="1:15" x14ac:dyDescent="0.2">
      <c r="A460" s="32"/>
      <c r="B460" s="27"/>
      <c r="C460" s="28"/>
      <c r="D460" s="28"/>
      <c r="E460" s="28"/>
      <c r="F460" s="28"/>
      <c r="G460" s="35"/>
      <c r="H460" s="28"/>
      <c r="I460" s="34"/>
      <c r="J460" s="28"/>
      <c r="K460" s="28"/>
      <c r="L460" s="35"/>
      <c r="M460" s="28"/>
      <c r="N460" s="36"/>
      <c r="O460" s="29">
        <f t="shared" si="7"/>
        <v>0</v>
      </c>
    </row>
    <row r="461" spans="1:15" x14ac:dyDescent="0.2">
      <c r="A461" s="32"/>
      <c r="B461" s="27"/>
      <c r="C461" s="28"/>
      <c r="D461" s="28"/>
      <c r="E461" s="28"/>
      <c r="F461" s="28"/>
      <c r="G461" s="35"/>
      <c r="H461" s="28"/>
      <c r="I461" s="34"/>
      <c r="J461" s="28"/>
      <c r="K461" s="28"/>
      <c r="L461" s="35"/>
      <c r="M461" s="28"/>
      <c r="N461" s="36"/>
      <c r="O461" s="29">
        <f t="shared" si="7"/>
        <v>0</v>
      </c>
    </row>
    <row r="462" spans="1:15" x14ac:dyDescent="0.2">
      <c r="A462" s="32"/>
      <c r="B462" s="27"/>
      <c r="C462" s="28"/>
      <c r="D462" s="28"/>
      <c r="E462" s="28"/>
      <c r="F462" s="28"/>
      <c r="G462" s="35"/>
      <c r="H462" s="28"/>
      <c r="I462" s="34"/>
      <c r="J462" s="28"/>
      <c r="K462" s="28"/>
      <c r="L462" s="35"/>
      <c r="M462" s="28"/>
      <c r="N462" s="36"/>
      <c r="O462" s="29">
        <f t="shared" si="7"/>
        <v>0</v>
      </c>
    </row>
    <row r="463" spans="1:15" x14ac:dyDescent="0.2">
      <c r="A463" s="32"/>
      <c r="B463" s="27"/>
      <c r="C463" s="28"/>
      <c r="D463" s="28"/>
      <c r="E463" s="28"/>
      <c r="F463" s="28"/>
      <c r="G463" s="35"/>
      <c r="H463" s="28"/>
      <c r="I463" s="34"/>
      <c r="J463" s="28"/>
      <c r="K463" s="28"/>
      <c r="L463" s="35"/>
      <c r="M463" s="28"/>
      <c r="N463" s="36"/>
      <c r="O463" s="29">
        <f t="shared" si="7"/>
        <v>0</v>
      </c>
    </row>
    <row r="464" spans="1:15" x14ac:dyDescent="0.2">
      <c r="A464" s="32"/>
      <c r="B464" s="27"/>
      <c r="C464" s="28"/>
      <c r="D464" s="28"/>
      <c r="E464" s="28"/>
      <c r="F464" s="28"/>
      <c r="G464" s="35"/>
      <c r="H464" s="28"/>
      <c r="I464" s="34"/>
      <c r="J464" s="28"/>
      <c r="K464" s="28"/>
      <c r="L464" s="35"/>
      <c r="M464" s="28"/>
      <c r="N464" s="36"/>
      <c r="O464" s="29">
        <f t="shared" si="7"/>
        <v>0</v>
      </c>
    </row>
    <row r="465" spans="1:15" x14ac:dyDescent="0.2">
      <c r="A465" s="32"/>
      <c r="B465" s="27"/>
      <c r="C465" s="28"/>
      <c r="D465" s="28"/>
      <c r="E465" s="28"/>
      <c r="F465" s="28"/>
      <c r="G465" s="35"/>
      <c r="H465" s="28"/>
      <c r="I465" s="34"/>
      <c r="J465" s="28"/>
      <c r="K465" s="28"/>
      <c r="L465" s="35"/>
      <c r="M465" s="28"/>
      <c r="N465" s="36"/>
      <c r="O465" s="29">
        <f t="shared" si="7"/>
        <v>0</v>
      </c>
    </row>
    <row r="466" spans="1:15" x14ac:dyDescent="0.2">
      <c r="A466" s="32"/>
      <c r="B466" s="27"/>
      <c r="C466" s="28"/>
      <c r="D466" s="28"/>
      <c r="E466" s="28"/>
      <c r="F466" s="28"/>
      <c r="G466" s="35"/>
      <c r="H466" s="28"/>
      <c r="I466" s="34"/>
      <c r="J466" s="28"/>
      <c r="K466" s="28"/>
      <c r="L466" s="35"/>
      <c r="M466" s="28"/>
      <c r="N466" s="36"/>
      <c r="O466" s="29">
        <f t="shared" si="7"/>
        <v>0</v>
      </c>
    </row>
    <row r="467" spans="1:15" x14ac:dyDescent="0.2">
      <c r="A467" s="32"/>
      <c r="B467" s="27"/>
      <c r="C467" s="28"/>
      <c r="D467" s="28"/>
      <c r="E467" s="28"/>
      <c r="F467" s="28"/>
      <c r="G467" s="35"/>
      <c r="H467" s="28"/>
      <c r="I467" s="34"/>
      <c r="J467" s="28"/>
      <c r="K467" s="28"/>
      <c r="L467" s="35"/>
      <c r="M467" s="28"/>
      <c r="N467" s="36"/>
      <c r="O467" s="29">
        <f t="shared" si="7"/>
        <v>0</v>
      </c>
    </row>
    <row r="468" spans="1:15" x14ac:dyDescent="0.2">
      <c r="A468" s="32"/>
      <c r="B468" s="27"/>
      <c r="C468" s="28"/>
      <c r="D468" s="28"/>
      <c r="E468" s="28"/>
      <c r="F468" s="28"/>
      <c r="G468" s="35"/>
      <c r="H468" s="28"/>
      <c r="I468" s="34"/>
      <c r="J468" s="28"/>
      <c r="K468" s="28"/>
      <c r="L468" s="35"/>
      <c r="M468" s="28"/>
      <c r="N468" s="36"/>
      <c r="O468" s="29">
        <f t="shared" si="7"/>
        <v>0</v>
      </c>
    </row>
    <row r="469" spans="1:15" x14ac:dyDescent="0.2">
      <c r="A469" s="32"/>
      <c r="B469" s="27"/>
      <c r="C469" s="28"/>
      <c r="D469" s="28"/>
      <c r="E469" s="28"/>
      <c r="F469" s="28"/>
      <c r="G469" s="35"/>
      <c r="H469" s="28"/>
      <c r="I469" s="34"/>
      <c r="J469" s="28"/>
      <c r="K469" s="28"/>
      <c r="L469" s="35"/>
      <c r="M469" s="28"/>
      <c r="N469" s="36"/>
      <c r="O469" s="29">
        <f t="shared" si="7"/>
        <v>0</v>
      </c>
    </row>
    <row r="470" spans="1:15" x14ac:dyDescent="0.2">
      <c r="A470" s="32"/>
      <c r="B470" s="27"/>
      <c r="C470" s="28"/>
      <c r="D470" s="28"/>
      <c r="E470" s="28"/>
      <c r="F470" s="28"/>
      <c r="G470" s="35"/>
      <c r="H470" s="28"/>
      <c r="I470" s="34"/>
      <c r="J470" s="28"/>
      <c r="K470" s="28"/>
      <c r="L470" s="35"/>
      <c r="M470" s="28"/>
      <c r="N470" s="36"/>
      <c r="O470" s="29">
        <f t="shared" si="7"/>
        <v>0</v>
      </c>
    </row>
    <row r="471" spans="1:15" x14ac:dyDescent="0.2">
      <c r="A471" s="32"/>
      <c r="B471" s="27"/>
      <c r="C471" s="28"/>
      <c r="D471" s="28"/>
      <c r="E471" s="28"/>
      <c r="F471" s="28"/>
      <c r="G471" s="35"/>
      <c r="H471" s="28"/>
      <c r="I471" s="34"/>
      <c r="J471" s="28"/>
      <c r="K471" s="28"/>
      <c r="L471" s="35"/>
      <c r="M471" s="28"/>
      <c r="N471" s="36"/>
      <c r="O471" s="29">
        <f t="shared" si="7"/>
        <v>0</v>
      </c>
    </row>
    <row r="472" spans="1:15" x14ac:dyDescent="0.2">
      <c r="A472" s="32"/>
      <c r="B472" s="27"/>
      <c r="C472" s="28"/>
      <c r="D472" s="28"/>
      <c r="E472" s="28"/>
      <c r="F472" s="28"/>
      <c r="G472" s="35"/>
      <c r="H472" s="28"/>
      <c r="I472" s="34"/>
      <c r="J472" s="28"/>
      <c r="K472" s="28"/>
      <c r="L472" s="35"/>
      <c r="M472" s="28"/>
      <c r="N472" s="36"/>
      <c r="O472" s="29">
        <f t="shared" si="7"/>
        <v>0</v>
      </c>
    </row>
    <row r="473" spans="1:15" x14ac:dyDescent="0.2">
      <c r="A473" s="32"/>
      <c r="B473" s="27"/>
      <c r="C473" s="28"/>
      <c r="D473" s="28"/>
      <c r="E473" s="28"/>
      <c r="F473" s="28"/>
      <c r="G473" s="35"/>
      <c r="H473" s="28"/>
      <c r="I473" s="34"/>
      <c r="J473" s="28"/>
      <c r="K473" s="28"/>
      <c r="L473" s="35"/>
      <c r="M473" s="28"/>
      <c r="N473" s="36"/>
      <c r="O473" s="29">
        <f t="shared" si="7"/>
        <v>0</v>
      </c>
    </row>
    <row r="474" spans="1:15" x14ac:dyDescent="0.2">
      <c r="A474" s="32"/>
      <c r="B474" s="27"/>
      <c r="C474" s="28"/>
      <c r="D474" s="28"/>
      <c r="E474" s="28"/>
      <c r="F474" s="28"/>
      <c r="G474" s="35"/>
      <c r="H474" s="28"/>
      <c r="I474" s="34"/>
      <c r="J474" s="28"/>
      <c r="K474" s="28"/>
      <c r="L474" s="35"/>
      <c r="M474" s="28"/>
      <c r="N474" s="36"/>
      <c r="O474" s="29">
        <f t="shared" si="7"/>
        <v>0</v>
      </c>
    </row>
    <row r="475" spans="1:15" x14ac:dyDescent="0.2">
      <c r="A475" s="32"/>
      <c r="B475" s="27"/>
      <c r="C475" s="28"/>
      <c r="D475" s="28"/>
      <c r="E475" s="28"/>
      <c r="F475" s="28"/>
      <c r="G475" s="35"/>
      <c r="H475" s="28"/>
      <c r="I475" s="34"/>
      <c r="J475" s="28"/>
      <c r="K475" s="28"/>
      <c r="L475" s="35"/>
      <c r="M475" s="28"/>
      <c r="N475" s="36"/>
      <c r="O475" s="29">
        <f t="shared" si="7"/>
        <v>0</v>
      </c>
    </row>
    <row r="476" spans="1:15" x14ac:dyDescent="0.2">
      <c r="A476" s="32"/>
      <c r="B476" s="27"/>
      <c r="C476" s="28"/>
      <c r="D476" s="28"/>
      <c r="E476" s="28"/>
      <c r="F476" s="28"/>
      <c r="G476" s="35"/>
      <c r="H476" s="28"/>
      <c r="I476" s="34"/>
      <c r="J476" s="28"/>
      <c r="K476" s="28"/>
      <c r="L476" s="35"/>
      <c r="M476" s="28"/>
      <c r="N476" s="36"/>
      <c r="O476" s="29">
        <f t="shared" si="7"/>
        <v>0</v>
      </c>
    </row>
    <row r="477" spans="1:15" x14ac:dyDescent="0.2">
      <c r="A477" s="32"/>
      <c r="B477" s="27"/>
      <c r="C477" s="28"/>
      <c r="D477" s="28"/>
      <c r="E477" s="28"/>
      <c r="F477" s="28"/>
      <c r="G477" s="35"/>
      <c r="H477" s="28"/>
      <c r="I477" s="34"/>
      <c r="J477" s="28"/>
      <c r="K477" s="28"/>
      <c r="L477" s="35"/>
      <c r="M477" s="28"/>
      <c r="N477" s="36"/>
      <c r="O477" s="29">
        <f t="shared" si="7"/>
        <v>0</v>
      </c>
    </row>
    <row r="478" spans="1:15" x14ac:dyDescent="0.2">
      <c r="A478" s="32"/>
      <c r="B478" s="27"/>
      <c r="C478" s="28"/>
      <c r="D478" s="28"/>
      <c r="E478" s="28"/>
      <c r="F478" s="28"/>
      <c r="G478" s="35"/>
      <c r="H478" s="28"/>
      <c r="I478" s="34"/>
      <c r="J478" s="28"/>
      <c r="K478" s="28"/>
      <c r="L478" s="35"/>
      <c r="M478" s="28"/>
      <c r="N478" s="36"/>
      <c r="O478" s="29">
        <f t="shared" si="7"/>
        <v>0</v>
      </c>
    </row>
    <row r="479" spans="1:15" x14ac:dyDescent="0.2">
      <c r="A479" s="32"/>
      <c r="B479" s="27"/>
      <c r="C479" s="28"/>
      <c r="D479" s="28"/>
      <c r="E479" s="28"/>
      <c r="F479" s="28"/>
      <c r="G479" s="35"/>
      <c r="H479" s="28"/>
      <c r="I479" s="34"/>
      <c r="J479" s="28"/>
      <c r="K479" s="28"/>
      <c r="L479" s="35"/>
      <c r="M479" s="28"/>
      <c r="N479" s="36"/>
      <c r="O479" s="29">
        <f t="shared" si="7"/>
        <v>0</v>
      </c>
    </row>
    <row r="480" spans="1:15" x14ac:dyDescent="0.2">
      <c r="A480" s="32"/>
      <c r="B480" s="27"/>
      <c r="C480" s="28"/>
      <c r="D480" s="28"/>
      <c r="E480" s="28"/>
      <c r="F480" s="28"/>
      <c r="G480" s="35"/>
      <c r="H480" s="28"/>
      <c r="I480" s="34"/>
      <c r="J480" s="28"/>
      <c r="K480" s="28"/>
      <c r="L480" s="35"/>
      <c r="M480" s="28"/>
      <c r="N480" s="36"/>
      <c r="O480" s="29">
        <f t="shared" si="7"/>
        <v>0</v>
      </c>
    </row>
    <row r="481" spans="1:15" x14ac:dyDescent="0.2">
      <c r="A481" s="32"/>
      <c r="B481" s="27"/>
      <c r="C481" s="28"/>
      <c r="D481" s="28"/>
      <c r="E481" s="28"/>
      <c r="F481" s="28"/>
      <c r="G481" s="35"/>
      <c r="H481" s="28"/>
      <c r="I481" s="34"/>
      <c r="J481" s="28"/>
      <c r="K481" s="28"/>
      <c r="L481" s="35"/>
      <c r="M481" s="28"/>
      <c r="N481" s="36"/>
      <c r="O481" s="29">
        <f t="shared" si="7"/>
        <v>0</v>
      </c>
    </row>
    <row r="482" spans="1:15" x14ac:dyDescent="0.2">
      <c r="A482" s="32"/>
      <c r="B482" s="27"/>
      <c r="C482" s="28"/>
      <c r="D482" s="28"/>
      <c r="E482" s="28"/>
      <c r="F482" s="28"/>
      <c r="G482" s="35"/>
      <c r="H482" s="28"/>
      <c r="I482" s="34"/>
      <c r="J482" s="28"/>
      <c r="K482" s="28"/>
      <c r="L482" s="35"/>
      <c r="M482" s="28"/>
      <c r="N482" s="36"/>
      <c r="O482" s="29">
        <f t="shared" si="7"/>
        <v>0</v>
      </c>
    </row>
    <row r="483" spans="1:15" x14ac:dyDescent="0.2">
      <c r="A483" s="32"/>
      <c r="B483" s="27"/>
      <c r="C483" s="28"/>
      <c r="D483" s="28"/>
      <c r="E483" s="28"/>
      <c r="F483" s="28"/>
      <c r="G483" s="35"/>
      <c r="H483" s="28"/>
      <c r="I483" s="34"/>
      <c r="J483" s="28"/>
      <c r="K483" s="28"/>
      <c r="L483" s="35"/>
      <c r="M483" s="28"/>
      <c r="N483" s="36"/>
      <c r="O483" s="29">
        <f t="shared" si="7"/>
        <v>0</v>
      </c>
    </row>
    <row r="484" spans="1:15" x14ac:dyDescent="0.2">
      <c r="A484" s="32"/>
      <c r="B484" s="27"/>
      <c r="C484" s="28"/>
      <c r="D484" s="28"/>
      <c r="E484" s="28"/>
      <c r="F484" s="28"/>
      <c r="G484" s="35"/>
      <c r="H484" s="28"/>
      <c r="I484" s="34"/>
      <c r="J484" s="28"/>
      <c r="K484" s="28"/>
      <c r="L484" s="35"/>
      <c r="M484" s="28"/>
      <c r="N484" s="36"/>
      <c r="O484" s="29">
        <f t="shared" si="7"/>
        <v>0</v>
      </c>
    </row>
    <row r="485" spans="1:15" x14ac:dyDescent="0.2">
      <c r="A485" s="32"/>
      <c r="B485" s="27"/>
      <c r="C485" s="28"/>
      <c r="D485" s="28"/>
      <c r="E485" s="28"/>
      <c r="F485" s="28"/>
      <c r="G485" s="35"/>
      <c r="H485" s="28"/>
      <c r="I485" s="34"/>
      <c r="J485" s="28"/>
      <c r="K485" s="28"/>
      <c r="L485" s="35"/>
      <c r="M485" s="28"/>
      <c r="N485" s="36"/>
      <c r="O485" s="29">
        <f t="shared" si="7"/>
        <v>0</v>
      </c>
    </row>
    <row r="486" spans="1:15" x14ac:dyDescent="0.2">
      <c r="A486" s="32"/>
      <c r="B486" s="27"/>
      <c r="C486" s="28"/>
      <c r="D486" s="28"/>
      <c r="E486" s="28"/>
      <c r="F486" s="28"/>
      <c r="G486" s="35"/>
      <c r="H486" s="28"/>
      <c r="I486" s="34"/>
      <c r="J486" s="28"/>
      <c r="K486" s="28"/>
      <c r="L486" s="35"/>
      <c r="M486" s="28"/>
      <c r="N486" s="36"/>
      <c r="O486" s="29">
        <f t="shared" si="7"/>
        <v>0</v>
      </c>
    </row>
    <row r="487" spans="1:15" x14ac:dyDescent="0.2">
      <c r="A487" s="32"/>
      <c r="B487" s="27"/>
      <c r="C487" s="28"/>
      <c r="D487" s="28"/>
      <c r="E487" s="28"/>
      <c r="F487" s="28"/>
      <c r="G487" s="35"/>
      <c r="H487" s="28"/>
      <c r="I487" s="34"/>
      <c r="J487" s="28"/>
      <c r="K487" s="28"/>
      <c r="L487" s="35"/>
      <c r="M487" s="28"/>
      <c r="N487" s="36"/>
      <c r="O487" s="29">
        <f t="shared" si="7"/>
        <v>0</v>
      </c>
    </row>
    <row r="488" spans="1:15" x14ac:dyDescent="0.2">
      <c r="A488" s="32"/>
      <c r="B488" s="27"/>
      <c r="C488" s="28"/>
      <c r="D488" s="28"/>
      <c r="E488" s="28"/>
      <c r="F488" s="28"/>
      <c r="G488" s="35"/>
      <c r="H488" s="28"/>
      <c r="I488" s="34"/>
      <c r="J488" s="28"/>
      <c r="K488" s="28"/>
      <c r="L488" s="35"/>
      <c r="M488" s="28"/>
      <c r="N488" s="36"/>
      <c r="O488" s="29">
        <f t="shared" si="7"/>
        <v>0</v>
      </c>
    </row>
    <row r="489" spans="1:15" x14ac:dyDescent="0.2">
      <c r="A489" s="32"/>
      <c r="B489" s="27"/>
      <c r="C489" s="28"/>
      <c r="D489" s="28"/>
      <c r="E489" s="28"/>
      <c r="F489" s="28"/>
      <c r="G489" s="35"/>
      <c r="H489" s="28"/>
      <c r="I489" s="34"/>
      <c r="J489" s="28"/>
      <c r="K489" s="28"/>
      <c r="L489" s="35"/>
      <c r="M489" s="28"/>
      <c r="N489" s="36"/>
      <c r="O489" s="29">
        <f t="shared" si="7"/>
        <v>0</v>
      </c>
    </row>
    <row r="490" spans="1:15" x14ac:dyDescent="0.2">
      <c r="A490" s="32"/>
      <c r="B490" s="27"/>
      <c r="C490" s="28"/>
      <c r="D490" s="28"/>
      <c r="E490" s="28"/>
      <c r="F490" s="28"/>
      <c r="G490" s="35"/>
      <c r="H490" s="28"/>
      <c r="I490" s="34"/>
      <c r="J490" s="28"/>
      <c r="K490" s="28"/>
      <c r="L490" s="35"/>
      <c r="M490" s="28"/>
      <c r="N490" s="36"/>
      <c r="O490" s="29">
        <f t="shared" si="7"/>
        <v>0</v>
      </c>
    </row>
    <row r="491" spans="1:15" x14ac:dyDescent="0.2">
      <c r="A491" s="32"/>
      <c r="B491" s="27"/>
      <c r="C491" s="28"/>
      <c r="D491" s="28"/>
      <c r="E491" s="28"/>
      <c r="F491" s="28"/>
      <c r="G491" s="35"/>
      <c r="H491" s="28"/>
      <c r="I491" s="34"/>
      <c r="J491" s="28"/>
      <c r="K491" s="28"/>
      <c r="L491" s="35"/>
      <c r="M491" s="28"/>
      <c r="N491" s="36"/>
      <c r="O491" s="29">
        <f t="shared" si="7"/>
        <v>0</v>
      </c>
    </row>
    <row r="492" spans="1:15" x14ac:dyDescent="0.2">
      <c r="A492" s="32"/>
      <c r="B492" s="27"/>
      <c r="C492" s="28"/>
      <c r="D492" s="28"/>
      <c r="E492" s="28"/>
      <c r="F492" s="28"/>
      <c r="G492" s="35"/>
      <c r="H492" s="28"/>
      <c r="I492" s="34"/>
      <c r="J492" s="28"/>
      <c r="K492" s="28"/>
      <c r="L492" s="35"/>
      <c r="M492" s="28"/>
      <c r="N492" s="36"/>
      <c r="O492" s="29">
        <f t="shared" si="7"/>
        <v>0</v>
      </c>
    </row>
    <row r="493" spans="1:15" x14ac:dyDescent="0.2">
      <c r="A493" s="32"/>
      <c r="B493" s="27"/>
      <c r="C493" s="28"/>
      <c r="D493" s="28"/>
      <c r="E493" s="28"/>
      <c r="F493" s="28"/>
      <c r="G493" s="35"/>
      <c r="H493" s="28"/>
      <c r="I493" s="34"/>
      <c r="J493" s="28"/>
      <c r="K493" s="28"/>
      <c r="L493" s="35"/>
      <c r="M493" s="28"/>
      <c r="N493" s="36"/>
      <c r="O493" s="29">
        <f t="shared" si="7"/>
        <v>0</v>
      </c>
    </row>
    <row r="494" spans="1:15" x14ac:dyDescent="0.2">
      <c r="A494" s="32"/>
      <c r="B494" s="27"/>
      <c r="C494" s="28"/>
      <c r="D494" s="28"/>
      <c r="E494" s="28"/>
      <c r="F494" s="28"/>
      <c r="G494" s="35"/>
      <c r="H494" s="28"/>
      <c r="I494" s="34"/>
      <c r="J494" s="28"/>
      <c r="K494" s="28"/>
      <c r="L494" s="35"/>
      <c r="M494" s="28"/>
      <c r="N494" s="36"/>
      <c r="O494" s="29">
        <f t="shared" si="7"/>
        <v>0</v>
      </c>
    </row>
    <row r="495" spans="1:15" x14ac:dyDescent="0.2">
      <c r="A495" s="32"/>
      <c r="B495" s="27"/>
      <c r="C495" s="28"/>
      <c r="D495" s="28"/>
      <c r="E495" s="28"/>
      <c r="F495" s="28"/>
      <c r="G495" s="35"/>
      <c r="H495" s="28"/>
      <c r="I495" s="34"/>
      <c r="J495" s="28"/>
      <c r="K495" s="28"/>
      <c r="L495" s="35"/>
      <c r="M495" s="28"/>
      <c r="N495" s="36"/>
      <c r="O495" s="29">
        <f t="shared" si="7"/>
        <v>0</v>
      </c>
    </row>
    <row r="496" spans="1:15" x14ac:dyDescent="0.2">
      <c r="A496" s="32"/>
      <c r="B496" s="27"/>
      <c r="C496" s="28"/>
      <c r="D496" s="28"/>
      <c r="E496" s="28"/>
      <c r="F496" s="28"/>
      <c r="G496" s="35"/>
      <c r="H496" s="28"/>
      <c r="I496" s="34"/>
      <c r="J496" s="28"/>
      <c r="K496" s="28"/>
      <c r="L496" s="28"/>
      <c r="M496" s="28"/>
      <c r="N496" s="36"/>
      <c r="O496" s="29">
        <f t="shared" si="7"/>
        <v>0</v>
      </c>
    </row>
    <row r="497" spans="1:15" x14ac:dyDescent="0.2">
      <c r="A497" s="28"/>
      <c r="B497" s="27"/>
      <c r="C497" s="28"/>
      <c r="D497" s="28"/>
      <c r="E497" s="28"/>
      <c r="F497" s="28"/>
      <c r="G497" s="35"/>
      <c r="H497" s="28"/>
      <c r="I497" s="34"/>
      <c r="J497" s="28"/>
      <c r="K497" s="28"/>
      <c r="L497" s="28"/>
      <c r="M497" s="28"/>
      <c r="N497" s="36"/>
      <c r="O497" s="29">
        <f t="shared" si="7"/>
        <v>0</v>
      </c>
    </row>
    <row r="498" spans="1:15" x14ac:dyDescent="0.2">
      <c r="A498" s="28"/>
      <c r="B498" s="27"/>
      <c r="C498" s="28"/>
      <c r="D498" s="28"/>
      <c r="E498" s="28"/>
      <c r="F498" s="28"/>
      <c r="G498" s="35"/>
      <c r="H498" s="28"/>
      <c r="I498" s="34"/>
      <c r="J498" s="28"/>
      <c r="K498" s="28"/>
      <c r="L498" s="28"/>
      <c r="M498" s="28"/>
      <c r="N498" s="36"/>
      <c r="O498" s="29">
        <f t="shared" si="7"/>
        <v>0</v>
      </c>
    </row>
    <row r="499" spans="1:15" x14ac:dyDescent="0.2">
      <c r="A499" s="28"/>
      <c r="B499" s="27"/>
      <c r="C499" s="28"/>
      <c r="D499" s="28"/>
      <c r="E499" s="28"/>
      <c r="F499" s="28"/>
      <c r="G499" s="35"/>
      <c r="H499" s="28"/>
      <c r="I499" s="34"/>
      <c r="J499" s="28"/>
      <c r="K499" s="28"/>
      <c r="L499" s="28"/>
      <c r="M499" s="28"/>
      <c r="N499" s="36"/>
      <c r="O499" s="29">
        <f t="shared" si="7"/>
        <v>0</v>
      </c>
    </row>
    <row r="500" spans="1:15" x14ac:dyDescent="0.2">
      <c r="A500" s="28"/>
      <c r="B500" s="27"/>
      <c r="C500" s="28"/>
      <c r="D500" s="28"/>
      <c r="E500" s="28"/>
      <c r="F500" s="28"/>
      <c r="G500" s="35"/>
      <c r="H500" s="28"/>
      <c r="I500" s="34"/>
      <c r="J500" s="28"/>
      <c r="K500" s="28"/>
      <c r="L500" s="28"/>
      <c r="M500" s="28"/>
      <c r="N500" s="36"/>
      <c r="O500" s="29">
        <f t="shared" si="7"/>
        <v>0</v>
      </c>
    </row>
    <row r="501" spans="1:15" x14ac:dyDescent="0.2">
      <c r="A501" s="28"/>
      <c r="B501" s="27"/>
      <c r="C501" s="28"/>
      <c r="D501" s="28"/>
      <c r="E501" s="28"/>
      <c r="F501" s="28"/>
      <c r="G501" s="35"/>
      <c r="H501" s="28"/>
      <c r="I501" s="34"/>
      <c r="J501" s="28"/>
      <c r="K501" s="28"/>
      <c r="L501" s="28"/>
      <c r="M501" s="28"/>
      <c r="N501" s="36"/>
      <c r="O501" s="29">
        <f t="shared" si="7"/>
        <v>0</v>
      </c>
    </row>
    <row r="502" spans="1:15" x14ac:dyDescent="0.2">
      <c r="A502" s="28"/>
      <c r="B502" s="27"/>
      <c r="C502" s="28"/>
      <c r="D502" s="28"/>
      <c r="E502" s="28"/>
      <c r="F502" s="28"/>
      <c r="G502" s="35"/>
      <c r="H502" s="28"/>
      <c r="I502" s="34"/>
      <c r="J502" s="28"/>
      <c r="K502" s="28"/>
      <c r="L502" s="28"/>
      <c r="M502" s="28"/>
      <c r="N502" s="36"/>
      <c r="O502" s="29">
        <f t="shared" si="7"/>
        <v>0</v>
      </c>
    </row>
    <row r="503" spans="1:15" x14ac:dyDescent="0.2">
      <c r="A503" s="28"/>
      <c r="B503" s="27"/>
      <c r="C503" s="28"/>
      <c r="D503" s="28"/>
      <c r="E503" s="28"/>
      <c r="F503" s="28"/>
      <c r="G503" s="35"/>
      <c r="H503" s="28"/>
      <c r="I503" s="34"/>
      <c r="J503" s="28"/>
      <c r="K503" s="28"/>
      <c r="L503" s="28"/>
      <c r="M503" s="28"/>
      <c r="N503" s="36"/>
      <c r="O503" s="29">
        <f t="shared" si="7"/>
        <v>0</v>
      </c>
    </row>
    <row r="504" spans="1:15" x14ac:dyDescent="0.2">
      <c r="A504" s="28"/>
      <c r="B504" s="27"/>
      <c r="C504" s="28"/>
      <c r="D504" s="28"/>
      <c r="E504" s="28"/>
      <c r="F504" s="28"/>
      <c r="G504" s="35"/>
      <c r="H504" s="28"/>
      <c r="I504" s="34"/>
      <c r="J504" s="28"/>
      <c r="K504" s="28"/>
      <c r="L504" s="28"/>
      <c r="M504" s="28"/>
      <c r="N504" s="36"/>
      <c r="O504" s="29">
        <f t="shared" si="7"/>
        <v>0</v>
      </c>
    </row>
    <row r="505" spans="1:15" x14ac:dyDescent="0.2">
      <c r="A505" s="28"/>
      <c r="B505" s="27"/>
      <c r="C505" s="28"/>
      <c r="D505" s="28"/>
      <c r="E505" s="28"/>
      <c r="F505" s="28"/>
      <c r="G505" s="35"/>
      <c r="H505" s="28"/>
      <c r="I505" s="34"/>
      <c r="J505" s="28"/>
      <c r="K505" s="28"/>
      <c r="L505" s="28"/>
      <c r="M505" s="28"/>
      <c r="N505" s="36"/>
      <c r="O505" s="29">
        <f t="shared" si="7"/>
        <v>0</v>
      </c>
    </row>
    <row r="506" spans="1:15" x14ac:dyDescent="0.2">
      <c r="A506" s="28"/>
      <c r="B506" s="27"/>
      <c r="C506" s="28"/>
      <c r="D506" s="28"/>
      <c r="E506" s="28"/>
      <c r="F506" s="28"/>
      <c r="G506" s="35"/>
      <c r="H506" s="28"/>
      <c r="I506" s="34"/>
      <c r="J506" s="28"/>
      <c r="K506" s="28"/>
      <c r="L506" s="28"/>
      <c r="M506" s="28"/>
      <c r="N506" s="36"/>
      <c r="O506" s="29">
        <f t="shared" si="7"/>
        <v>0</v>
      </c>
    </row>
    <row r="507" spans="1:15" x14ac:dyDescent="0.2">
      <c r="A507" s="28"/>
      <c r="B507" s="27"/>
      <c r="C507" s="28"/>
      <c r="D507" s="28"/>
      <c r="E507" s="28"/>
      <c r="F507" s="28"/>
      <c r="G507" s="35"/>
      <c r="H507" s="28"/>
      <c r="I507" s="34"/>
      <c r="J507" s="28"/>
      <c r="K507" s="28"/>
      <c r="L507" s="28"/>
      <c r="M507" s="28"/>
      <c r="N507" s="36"/>
      <c r="O507" s="29">
        <f t="shared" si="7"/>
        <v>0</v>
      </c>
    </row>
    <row r="508" spans="1:15" x14ac:dyDescent="0.2">
      <c r="A508" s="28"/>
      <c r="B508" s="27"/>
      <c r="C508" s="28"/>
      <c r="D508" s="28"/>
      <c r="E508" s="28"/>
      <c r="F508" s="28"/>
      <c r="G508" s="35"/>
      <c r="H508" s="28"/>
      <c r="I508" s="34"/>
      <c r="J508" s="28"/>
      <c r="K508" s="28"/>
      <c r="L508" s="28"/>
      <c r="M508" s="28"/>
      <c r="N508" s="36"/>
      <c r="O508" s="29">
        <f t="shared" si="7"/>
        <v>0</v>
      </c>
    </row>
    <row r="509" spans="1:15" x14ac:dyDescent="0.2">
      <c r="A509" s="28"/>
      <c r="B509" s="27"/>
      <c r="C509" s="28"/>
      <c r="D509" s="28"/>
      <c r="E509" s="28"/>
      <c r="F509" s="28"/>
      <c r="G509" s="35"/>
      <c r="H509" s="28"/>
      <c r="I509" s="34"/>
      <c r="J509" s="28"/>
      <c r="K509" s="28"/>
      <c r="L509" s="28"/>
      <c r="M509" s="28"/>
      <c r="N509" s="36"/>
      <c r="O509" s="29">
        <f t="shared" si="7"/>
        <v>0</v>
      </c>
    </row>
    <row r="510" spans="1:15" x14ac:dyDescent="0.2">
      <c r="A510" s="28"/>
      <c r="B510" s="27"/>
      <c r="C510" s="28"/>
      <c r="D510" s="28"/>
      <c r="E510" s="28"/>
      <c r="F510" s="28"/>
      <c r="G510" s="35"/>
      <c r="H510" s="28"/>
      <c r="I510" s="34"/>
      <c r="J510" s="28"/>
      <c r="K510" s="28"/>
      <c r="L510" s="28"/>
      <c r="M510" s="28"/>
      <c r="N510" s="36"/>
      <c r="O510" s="29">
        <f t="shared" si="7"/>
        <v>0</v>
      </c>
    </row>
    <row r="511" spans="1:15" x14ac:dyDescent="0.2">
      <c r="A511" s="28"/>
      <c r="B511" s="27"/>
      <c r="C511" s="28"/>
      <c r="D511" s="28"/>
      <c r="E511" s="28"/>
      <c r="F511" s="28"/>
      <c r="G511" s="35"/>
      <c r="H511" s="28"/>
      <c r="I511" s="34"/>
      <c r="J511" s="28"/>
      <c r="K511" s="28"/>
      <c r="L511" s="28"/>
      <c r="M511" s="28"/>
      <c r="N511" s="36"/>
      <c r="O511" s="29">
        <f t="shared" si="7"/>
        <v>0</v>
      </c>
    </row>
    <row r="512" spans="1:15" x14ac:dyDescent="0.2">
      <c r="A512" s="28"/>
      <c r="B512" s="27"/>
      <c r="C512" s="28"/>
      <c r="D512" s="28"/>
      <c r="E512" s="28"/>
      <c r="F512" s="28"/>
      <c r="G512" s="35"/>
      <c r="H512" s="28"/>
      <c r="I512" s="34"/>
      <c r="J512" s="28"/>
      <c r="K512" s="28"/>
      <c r="L512" s="28"/>
      <c r="M512" s="28"/>
      <c r="N512" s="36"/>
      <c r="O512" s="29">
        <f t="shared" si="7"/>
        <v>0</v>
      </c>
    </row>
    <row r="513" spans="1:15" x14ac:dyDescent="0.2">
      <c r="A513" s="28"/>
      <c r="B513" s="27"/>
      <c r="C513" s="28"/>
      <c r="D513" s="28"/>
      <c r="E513" s="28"/>
      <c r="F513" s="28"/>
      <c r="G513" s="35"/>
      <c r="H513" s="28"/>
      <c r="I513" s="34"/>
      <c r="J513" s="28"/>
      <c r="K513" s="28"/>
      <c r="L513" s="28"/>
      <c r="M513" s="28"/>
      <c r="N513" s="36"/>
      <c r="O513" s="29">
        <f t="shared" si="7"/>
        <v>0</v>
      </c>
    </row>
    <row r="514" spans="1:15" x14ac:dyDescent="0.2">
      <c r="A514" s="28"/>
      <c r="B514" s="27"/>
      <c r="C514" s="28"/>
      <c r="D514" s="28"/>
      <c r="E514" s="28"/>
      <c r="F514" s="28"/>
      <c r="G514" s="35"/>
      <c r="H514" s="28"/>
      <c r="I514" s="34"/>
      <c r="J514" s="28"/>
      <c r="K514" s="28"/>
      <c r="L514" s="28"/>
      <c r="M514" s="28"/>
      <c r="N514" s="36"/>
      <c r="O514" s="29">
        <f t="shared" si="7"/>
        <v>0</v>
      </c>
    </row>
    <row r="515" spans="1:15" x14ac:dyDescent="0.2">
      <c r="A515" s="28"/>
      <c r="B515" s="27"/>
      <c r="C515" s="28"/>
      <c r="D515" s="28"/>
      <c r="E515" s="28"/>
      <c r="F515" s="28"/>
      <c r="G515" s="35"/>
      <c r="H515" s="28"/>
      <c r="I515" s="34"/>
      <c r="J515" s="28"/>
      <c r="K515" s="28"/>
      <c r="L515" s="28"/>
      <c r="M515" s="28"/>
      <c r="N515" s="36"/>
      <c r="O515" s="29">
        <f t="shared" ref="O515:O578" si="8">N515*J515</f>
        <v>0</v>
      </c>
    </row>
    <row r="516" spans="1:15" x14ac:dyDescent="0.2">
      <c r="A516" s="28"/>
      <c r="B516" s="27"/>
      <c r="C516" s="28"/>
      <c r="D516" s="28"/>
      <c r="E516" s="28"/>
      <c r="F516" s="28"/>
      <c r="G516" s="35"/>
      <c r="H516" s="28"/>
      <c r="I516" s="34"/>
      <c r="J516" s="28"/>
      <c r="K516" s="28"/>
      <c r="L516" s="28"/>
      <c r="M516" s="28"/>
      <c r="N516" s="36"/>
      <c r="O516" s="29">
        <f t="shared" si="8"/>
        <v>0</v>
      </c>
    </row>
    <row r="517" spans="1:15" x14ac:dyDescent="0.2">
      <c r="A517" s="28"/>
      <c r="B517" s="27"/>
      <c r="C517" s="28"/>
      <c r="D517" s="28"/>
      <c r="E517" s="28"/>
      <c r="F517" s="28"/>
      <c r="G517" s="35"/>
      <c r="H517" s="28"/>
      <c r="I517" s="34"/>
      <c r="J517" s="28"/>
      <c r="K517" s="28"/>
      <c r="L517" s="28"/>
      <c r="M517" s="28"/>
      <c r="N517" s="36"/>
      <c r="O517" s="29">
        <f t="shared" si="8"/>
        <v>0</v>
      </c>
    </row>
    <row r="518" spans="1:15" x14ac:dyDescent="0.2">
      <c r="A518" s="28"/>
      <c r="B518" s="27"/>
      <c r="C518" s="28"/>
      <c r="D518" s="28"/>
      <c r="E518" s="28"/>
      <c r="F518" s="28"/>
      <c r="G518" s="35"/>
      <c r="H518" s="28"/>
      <c r="I518" s="34"/>
      <c r="J518" s="28"/>
      <c r="K518" s="28"/>
      <c r="L518" s="28"/>
      <c r="M518" s="28"/>
      <c r="N518" s="36"/>
      <c r="O518" s="29">
        <f t="shared" si="8"/>
        <v>0</v>
      </c>
    </row>
    <row r="519" spans="1:15" x14ac:dyDescent="0.2">
      <c r="A519" s="28"/>
      <c r="B519" s="27"/>
      <c r="C519" s="28"/>
      <c r="D519" s="28"/>
      <c r="E519" s="28"/>
      <c r="F519" s="28"/>
      <c r="G519" s="35"/>
      <c r="H519" s="28"/>
      <c r="I519" s="34"/>
      <c r="J519" s="28"/>
      <c r="K519" s="28"/>
      <c r="L519" s="28"/>
      <c r="M519" s="28"/>
      <c r="N519" s="36"/>
      <c r="O519" s="29">
        <f t="shared" si="8"/>
        <v>0</v>
      </c>
    </row>
    <row r="520" spans="1:15" x14ac:dyDescent="0.2">
      <c r="A520" s="28"/>
      <c r="B520" s="27"/>
      <c r="C520" s="28"/>
      <c r="D520" s="28"/>
      <c r="E520" s="28"/>
      <c r="F520" s="28"/>
      <c r="G520" s="35"/>
      <c r="H520" s="28"/>
      <c r="I520" s="34"/>
      <c r="J520" s="28"/>
      <c r="K520" s="28"/>
      <c r="L520" s="28"/>
      <c r="M520" s="28"/>
      <c r="N520" s="36"/>
      <c r="O520" s="29">
        <f t="shared" si="8"/>
        <v>0</v>
      </c>
    </row>
    <row r="521" spans="1:15" x14ac:dyDescent="0.2">
      <c r="A521" s="28"/>
      <c r="B521" s="27"/>
      <c r="C521" s="28"/>
      <c r="D521" s="28"/>
      <c r="E521" s="28"/>
      <c r="F521" s="28"/>
      <c r="G521" s="35"/>
      <c r="H521" s="28"/>
      <c r="I521" s="34"/>
      <c r="J521" s="28"/>
      <c r="K521" s="28"/>
      <c r="L521" s="28"/>
      <c r="M521" s="28"/>
      <c r="N521" s="36"/>
      <c r="O521" s="29">
        <f t="shared" si="8"/>
        <v>0</v>
      </c>
    </row>
    <row r="522" spans="1:15" x14ac:dyDescent="0.2">
      <c r="A522" s="28"/>
      <c r="B522" s="27"/>
      <c r="C522" s="28"/>
      <c r="D522" s="28"/>
      <c r="E522" s="28"/>
      <c r="F522" s="28"/>
      <c r="G522" s="35"/>
      <c r="H522" s="28"/>
      <c r="I522" s="34"/>
      <c r="J522" s="28"/>
      <c r="K522" s="28"/>
      <c r="L522" s="28"/>
      <c r="M522" s="28"/>
      <c r="N522" s="36"/>
      <c r="O522" s="29">
        <f t="shared" si="8"/>
        <v>0</v>
      </c>
    </row>
    <row r="523" spans="1:15" x14ac:dyDescent="0.2">
      <c r="A523" s="28"/>
      <c r="B523" s="27"/>
      <c r="C523" s="28"/>
      <c r="D523" s="28"/>
      <c r="E523" s="28"/>
      <c r="F523" s="28"/>
      <c r="G523" s="35"/>
      <c r="H523" s="28"/>
      <c r="I523" s="34"/>
      <c r="J523" s="28"/>
      <c r="K523" s="28"/>
      <c r="L523" s="28"/>
      <c r="M523" s="28"/>
      <c r="N523" s="36"/>
      <c r="O523" s="29">
        <f t="shared" si="8"/>
        <v>0</v>
      </c>
    </row>
    <row r="524" spans="1:15" x14ac:dyDescent="0.2">
      <c r="A524" s="28"/>
      <c r="B524" s="27"/>
      <c r="C524" s="28"/>
      <c r="D524" s="28"/>
      <c r="E524" s="28"/>
      <c r="F524" s="28"/>
      <c r="G524" s="35"/>
      <c r="H524" s="28"/>
      <c r="I524" s="34"/>
      <c r="J524" s="28"/>
      <c r="K524" s="28"/>
      <c r="L524" s="28"/>
      <c r="M524" s="28"/>
      <c r="N524" s="36"/>
      <c r="O524" s="29">
        <f t="shared" si="8"/>
        <v>0</v>
      </c>
    </row>
    <row r="525" spans="1:15" x14ac:dyDescent="0.2">
      <c r="A525" s="28"/>
      <c r="B525" s="27"/>
      <c r="C525" s="28"/>
      <c r="D525" s="28"/>
      <c r="E525" s="28"/>
      <c r="F525" s="28"/>
      <c r="G525" s="35"/>
      <c r="H525" s="28"/>
      <c r="I525" s="34"/>
      <c r="J525" s="28"/>
      <c r="K525" s="28"/>
      <c r="L525" s="28"/>
      <c r="M525" s="28"/>
      <c r="N525" s="36"/>
      <c r="O525" s="29">
        <f t="shared" si="8"/>
        <v>0</v>
      </c>
    </row>
    <row r="526" spans="1:15" x14ac:dyDescent="0.2">
      <c r="A526" s="28"/>
      <c r="B526" s="27"/>
      <c r="C526" s="28"/>
      <c r="D526" s="28"/>
      <c r="E526" s="28"/>
      <c r="F526" s="28"/>
      <c r="G526" s="35"/>
      <c r="H526" s="28"/>
      <c r="I526" s="34"/>
      <c r="J526" s="28"/>
      <c r="K526" s="28"/>
      <c r="L526" s="28"/>
      <c r="M526" s="28"/>
      <c r="N526" s="36"/>
      <c r="O526" s="29">
        <f t="shared" si="8"/>
        <v>0</v>
      </c>
    </row>
    <row r="527" spans="1:15" x14ac:dyDescent="0.2">
      <c r="A527" s="28"/>
      <c r="B527" s="27"/>
      <c r="C527" s="28"/>
      <c r="D527" s="28"/>
      <c r="E527" s="28"/>
      <c r="F527" s="28"/>
      <c r="G527" s="35"/>
      <c r="H527" s="28"/>
      <c r="I527" s="34"/>
      <c r="J527" s="28"/>
      <c r="K527" s="28"/>
      <c r="L527" s="28"/>
      <c r="M527" s="28"/>
      <c r="N527" s="36"/>
      <c r="O527" s="29">
        <f t="shared" si="8"/>
        <v>0</v>
      </c>
    </row>
    <row r="528" spans="1:15" x14ac:dyDescent="0.2">
      <c r="A528" s="28"/>
      <c r="B528" s="27"/>
      <c r="C528" s="28"/>
      <c r="D528" s="28"/>
      <c r="E528" s="28"/>
      <c r="F528" s="28"/>
      <c r="G528" s="35"/>
      <c r="H528" s="28"/>
      <c r="I528" s="34"/>
      <c r="J528" s="28"/>
      <c r="K528" s="28"/>
      <c r="L528" s="28"/>
      <c r="M528" s="28"/>
      <c r="N528" s="36"/>
      <c r="O528" s="29">
        <f t="shared" si="8"/>
        <v>0</v>
      </c>
    </row>
    <row r="529" spans="1:15" x14ac:dyDescent="0.2">
      <c r="A529" s="28"/>
      <c r="B529" s="27"/>
      <c r="C529" s="28"/>
      <c r="D529" s="28"/>
      <c r="E529" s="28"/>
      <c r="F529" s="28"/>
      <c r="G529" s="35"/>
      <c r="H529" s="28"/>
      <c r="I529" s="34"/>
      <c r="J529" s="28"/>
      <c r="K529" s="28"/>
      <c r="L529" s="28"/>
      <c r="M529" s="28"/>
      <c r="N529" s="36"/>
      <c r="O529" s="29">
        <f t="shared" si="8"/>
        <v>0</v>
      </c>
    </row>
    <row r="530" spans="1:15" x14ac:dyDescent="0.2">
      <c r="A530" s="28"/>
      <c r="B530" s="27"/>
      <c r="C530" s="28"/>
      <c r="D530" s="28"/>
      <c r="E530" s="28"/>
      <c r="F530" s="28"/>
      <c r="G530" s="35"/>
      <c r="H530" s="28"/>
      <c r="I530" s="34"/>
      <c r="J530" s="28"/>
      <c r="K530" s="28"/>
      <c r="L530" s="28"/>
      <c r="M530" s="28"/>
      <c r="N530" s="36"/>
      <c r="O530" s="29">
        <f t="shared" si="8"/>
        <v>0</v>
      </c>
    </row>
    <row r="531" spans="1:15" x14ac:dyDescent="0.2">
      <c r="A531" s="28"/>
      <c r="B531" s="27"/>
      <c r="C531" s="28"/>
      <c r="D531" s="28"/>
      <c r="E531" s="28"/>
      <c r="F531" s="28"/>
      <c r="G531" s="35"/>
      <c r="H531" s="28"/>
      <c r="I531" s="34"/>
      <c r="J531" s="28"/>
      <c r="K531" s="28"/>
      <c r="L531" s="28"/>
      <c r="M531" s="28"/>
      <c r="N531" s="36"/>
      <c r="O531" s="29">
        <f t="shared" si="8"/>
        <v>0</v>
      </c>
    </row>
    <row r="532" spans="1:15" x14ac:dyDescent="0.2">
      <c r="A532" s="28"/>
      <c r="B532" s="27"/>
      <c r="C532" s="28"/>
      <c r="D532" s="28"/>
      <c r="E532" s="28"/>
      <c r="F532" s="28"/>
      <c r="G532" s="35"/>
      <c r="H532" s="28"/>
      <c r="I532" s="34"/>
      <c r="J532" s="28"/>
      <c r="K532" s="28"/>
      <c r="L532" s="28"/>
      <c r="M532" s="28"/>
      <c r="N532" s="36"/>
      <c r="O532" s="29">
        <f t="shared" si="8"/>
        <v>0</v>
      </c>
    </row>
    <row r="533" spans="1:15" x14ac:dyDescent="0.2">
      <c r="A533" s="28"/>
      <c r="B533" s="27"/>
      <c r="C533" s="28"/>
      <c r="D533" s="28"/>
      <c r="E533" s="28"/>
      <c r="F533" s="28"/>
      <c r="G533" s="35"/>
      <c r="H533" s="28"/>
      <c r="I533" s="34"/>
      <c r="J533" s="28"/>
      <c r="K533" s="28"/>
      <c r="L533" s="28"/>
      <c r="M533" s="28"/>
      <c r="N533" s="36"/>
      <c r="O533" s="29">
        <f t="shared" si="8"/>
        <v>0</v>
      </c>
    </row>
    <row r="534" spans="1:15" x14ac:dyDescent="0.2">
      <c r="A534" s="28"/>
      <c r="B534" s="27"/>
      <c r="C534" s="28"/>
      <c r="D534" s="28"/>
      <c r="E534" s="28"/>
      <c r="F534" s="28"/>
      <c r="G534" s="35"/>
      <c r="H534" s="28"/>
      <c r="I534" s="34"/>
      <c r="J534" s="28"/>
      <c r="K534" s="28"/>
      <c r="L534" s="28"/>
      <c r="M534" s="28"/>
      <c r="N534" s="36"/>
      <c r="O534" s="29">
        <f t="shared" si="8"/>
        <v>0</v>
      </c>
    </row>
    <row r="535" spans="1:15" x14ac:dyDescent="0.2">
      <c r="A535" s="28"/>
      <c r="B535" s="27"/>
      <c r="C535" s="28"/>
      <c r="D535" s="28"/>
      <c r="E535" s="28"/>
      <c r="F535" s="28"/>
      <c r="G535" s="35"/>
      <c r="H535" s="28"/>
      <c r="I535" s="34"/>
      <c r="J535" s="28"/>
      <c r="K535" s="28"/>
      <c r="L535" s="28"/>
      <c r="M535" s="28"/>
      <c r="N535" s="36"/>
      <c r="O535" s="29">
        <f t="shared" si="8"/>
        <v>0</v>
      </c>
    </row>
    <row r="536" spans="1:15" x14ac:dyDescent="0.2">
      <c r="A536" s="28"/>
      <c r="B536" s="27"/>
      <c r="C536" s="28"/>
      <c r="D536" s="28"/>
      <c r="E536" s="28"/>
      <c r="F536" s="28"/>
      <c r="G536" s="35"/>
      <c r="H536" s="28"/>
      <c r="I536" s="34"/>
      <c r="J536" s="28"/>
      <c r="K536" s="28"/>
      <c r="L536" s="28"/>
      <c r="M536" s="28"/>
      <c r="N536" s="36"/>
      <c r="O536" s="29">
        <f t="shared" si="8"/>
        <v>0</v>
      </c>
    </row>
    <row r="537" spans="1:15" x14ac:dyDescent="0.2">
      <c r="A537" s="28"/>
      <c r="B537" s="27"/>
      <c r="C537" s="28"/>
      <c r="D537" s="28"/>
      <c r="E537" s="28"/>
      <c r="F537" s="28"/>
      <c r="G537" s="35"/>
      <c r="H537" s="28"/>
      <c r="I537" s="34"/>
      <c r="J537" s="28"/>
      <c r="K537" s="28"/>
      <c r="L537" s="28"/>
      <c r="M537" s="28"/>
      <c r="N537" s="36"/>
      <c r="O537" s="29">
        <f t="shared" si="8"/>
        <v>0</v>
      </c>
    </row>
    <row r="538" spans="1:15" x14ac:dyDescent="0.2">
      <c r="A538" s="28"/>
      <c r="B538" s="27"/>
      <c r="C538" s="28"/>
      <c r="D538" s="28"/>
      <c r="E538" s="28"/>
      <c r="F538" s="28"/>
      <c r="G538" s="35"/>
      <c r="H538" s="28"/>
      <c r="I538" s="34"/>
      <c r="J538" s="28"/>
      <c r="K538" s="28"/>
      <c r="L538" s="28"/>
      <c r="M538" s="28"/>
      <c r="N538" s="36"/>
      <c r="O538" s="29">
        <f t="shared" si="8"/>
        <v>0</v>
      </c>
    </row>
    <row r="539" spans="1:15" x14ac:dyDescent="0.2">
      <c r="A539" s="28"/>
      <c r="B539" s="27"/>
      <c r="C539" s="28"/>
      <c r="D539" s="28"/>
      <c r="E539" s="28"/>
      <c r="F539" s="28"/>
      <c r="G539" s="35"/>
      <c r="H539" s="28"/>
      <c r="I539" s="34"/>
      <c r="J539" s="28"/>
      <c r="K539" s="28"/>
      <c r="L539" s="28"/>
      <c r="M539" s="28"/>
      <c r="N539" s="36"/>
      <c r="O539" s="29">
        <f t="shared" si="8"/>
        <v>0</v>
      </c>
    </row>
    <row r="540" spans="1:15" x14ac:dyDescent="0.2">
      <c r="A540" s="28"/>
      <c r="B540" s="27"/>
      <c r="C540" s="28"/>
      <c r="D540" s="28"/>
      <c r="E540" s="28"/>
      <c r="F540" s="28"/>
      <c r="G540" s="35"/>
      <c r="H540" s="28"/>
      <c r="I540" s="34"/>
      <c r="J540" s="28"/>
      <c r="K540" s="28"/>
      <c r="L540" s="28"/>
      <c r="M540" s="28"/>
      <c r="N540" s="36"/>
      <c r="O540" s="29">
        <f t="shared" si="8"/>
        <v>0</v>
      </c>
    </row>
    <row r="541" spans="1:15" x14ac:dyDescent="0.2">
      <c r="A541" s="28"/>
      <c r="B541" s="27"/>
      <c r="C541" s="28"/>
      <c r="D541" s="28"/>
      <c r="E541" s="28"/>
      <c r="F541" s="28"/>
      <c r="G541" s="35"/>
      <c r="H541" s="28"/>
      <c r="I541" s="34"/>
      <c r="J541" s="28"/>
      <c r="K541" s="28"/>
      <c r="L541" s="28"/>
      <c r="M541" s="28"/>
      <c r="N541" s="36"/>
      <c r="O541" s="29">
        <f t="shared" si="8"/>
        <v>0</v>
      </c>
    </row>
    <row r="542" spans="1:15" x14ac:dyDescent="0.2">
      <c r="A542" s="28"/>
      <c r="B542" s="27"/>
      <c r="C542" s="28"/>
      <c r="D542" s="28"/>
      <c r="E542" s="28"/>
      <c r="F542" s="28"/>
      <c r="G542" s="35"/>
      <c r="H542" s="28"/>
      <c r="I542" s="34"/>
      <c r="J542" s="28"/>
      <c r="K542" s="28"/>
      <c r="L542" s="28"/>
      <c r="M542" s="28"/>
      <c r="N542" s="36"/>
      <c r="O542" s="29">
        <f t="shared" si="8"/>
        <v>0</v>
      </c>
    </row>
    <row r="543" spans="1:15" x14ac:dyDescent="0.2">
      <c r="A543" s="28"/>
      <c r="B543" s="27"/>
      <c r="C543" s="28"/>
      <c r="D543" s="28"/>
      <c r="E543" s="28"/>
      <c r="F543" s="28"/>
      <c r="G543" s="35"/>
      <c r="H543" s="28"/>
      <c r="I543" s="34"/>
      <c r="J543" s="28"/>
      <c r="K543" s="28"/>
      <c r="L543" s="28"/>
      <c r="M543" s="28"/>
      <c r="N543" s="36"/>
      <c r="O543" s="29">
        <f t="shared" si="8"/>
        <v>0</v>
      </c>
    </row>
    <row r="544" spans="1:15" x14ac:dyDescent="0.2">
      <c r="A544" s="28"/>
      <c r="B544" s="27"/>
      <c r="C544" s="28"/>
      <c r="D544" s="28"/>
      <c r="E544" s="28"/>
      <c r="F544" s="28"/>
      <c r="G544" s="35"/>
      <c r="H544" s="28"/>
      <c r="I544" s="34"/>
      <c r="J544" s="28"/>
      <c r="K544" s="28"/>
      <c r="L544" s="28"/>
      <c r="M544" s="28"/>
      <c r="N544" s="36"/>
      <c r="O544" s="29">
        <f t="shared" si="8"/>
        <v>0</v>
      </c>
    </row>
    <row r="545" spans="1:15" x14ac:dyDescent="0.2">
      <c r="A545" s="28"/>
      <c r="B545" s="27"/>
      <c r="C545" s="28"/>
      <c r="D545" s="28"/>
      <c r="E545" s="28"/>
      <c r="F545" s="28"/>
      <c r="G545" s="35"/>
      <c r="H545" s="28"/>
      <c r="I545" s="34"/>
      <c r="J545" s="28"/>
      <c r="K545" s="28"/>
      <c r="L545" s="28"/>
      <c r="M545" s="28"/>
      <c r="N545" s="36"/>
      <c r="O545" s="29">
        <f t="shared" si="8"/>
        <v>0</v>
      </c>
    </row>
    <row r="546" spans="1:15" x14ac:dyDescent="0.2">
      <c r="A546" s="28"/>
      <c r="B546" s="27"/>
      <c r="C546" s="28"/>
      <c r="D546" s="28"/>
      <c r="E546" s="28"/>
      <c r="F546" s="28"/>
      <c r="G546" s="35"/>
      <c r="H546" s="28"/>
      <c r="I546" s="34"/>
      <c r="J546" s="28"/>
      <c r="K546" s="28"/>
      <c r="L546" s="28"/>
      <c r="M546" s="28"/>
      <c r="N546" s="36"/>
      <c r="O546" s="29">
        <f t="shared" si="8"/>
        <v>0</v>
      </c>
    </row>
    <row r="547" spans="1:15" x14ac:dyDescent="0.2">
      <c r="A547" s="28"/>
      <c r="B547" s="27"/>
      <c r="C547" s="28"/>
      <c r="D547" s="28"/>
      <c r="E547" s="28"/>
      <c r="F547" s="28"/>
      <c r="G547" s="35"/>
      <c r="H547" s="28"/>
      <c r="I547" s="34"/>
      <c r="J547" s="28"/>
      <c r="K547" s="28"/>
      <c r="L547" s="28"/>
      <c r="M547" s="28"/>
      <c r="N547" s="36"/>
      <c r="O547" s="29">
        <f t="shared" si="8"/>
        <v>0</v>
      </c>
    </row>
    <row r="548" spans="1:15" x14ac:dyDescent="0.2">
      <c r="A548" s="28"/>
      <c r="B548" s="27"/>
      <c r="C548" s="28"/>
      <c r="D548" s="28"/>
      <c r="E548" s="28"/>
      <c r="F548" s="28"/>
      <c r="G548" s="35"/>
      <c r="H548" s="28"/>
      <c r="I548" s="34"/>
      <c r="J548" s="28"/>
      <c r="K548" s="28"/>
      <c r="L548" s="28"/>
      <c r="M548" s="28"/>
      <c r="N548" s="36"/>
      <c r="O548" s="29">
        <f t="shared" si="8"/>
        <v>0</v>
      </c>
    </row>
    <row r="549" spans="1:15" x14ac:dyDescent="0.2">
      <c r="A549" s="28"/>
      <c r="B549" s="27"/>
      <c r="C549" s="28"/>
      <c r="D549" s="28"/>
      <c r="E549" s="28"/>
      <c r="F549" s="28"/>
      <c r="G549" s="35"/>
      <c r="H549" s="28"/>
      <c r="I549" s="34"/>
      <c r="J549" s="28"/>
      <c r="K549" s="28"/>
      <c r="L549" s="28"/>
      <c r="M549" s="28"/>
      <c r="N549" s="36"/>
      <c r="O549" s="29">
        <f t="shared" si="8"/>
        <v>0</v>
      </c>
    </row>
    <row r="550" spans="1:15" x14ac:dyDescent="0.2">
      <c r="A550" s="28"/>
      <c r="B550" s="27"/>
      <c r="C550" s="28"/>
      <c r="D550" s="28"/>
      <c r="E550" s="28"/>
      <c r="F550" s="28"/>
      <c r="G550" s="35"/>
      <c r="H550" s="28"/>
      <c r="I550" s="34"/>
      <c r="J550" s="28"/>
      <c r="K550" s="28"/>
      <c r="L550" s="28"/>
      <c r="M550" s="28"/>
      <c r="N550" s="36"/>
      <c r="O550" s="29">
        <f t="shared" si="8"/>
        <v>0</v>
      </c>
    </row>
    <row r="551" spans="1:15" x14ac:dyDescent="0.2">
      <c r="A551" s="28"/>
      <c r="B551" s="27"/>
      <c r="C551" s="28"/>
      <c r="D551" s="28"/>
      <c r="E551" s="28"/>
      <c r="F551" s="28"/>
      <c r="G551" s="35"/>
      <c r="H551" s="28"/>
      <c r="I551" s="34"/>
      <c r="J551" s="28"/>
      <c r="K551" s="28"/>
      <c r="L551" s="28"/>
      <c r="M551" s="28"/>
      <c r="N551" s="36"/>
      <c r="O551" s="29">
        <f t="shared" si="8"/>
        <v>0</v>
      </c>
    </row>
    <row r="552" spans="1:15" x14ac:dyDescent="0.2">
      <c r="A552" s="28"/>
      <c r="B552" s="27"/>
      <c r="C552" s="28"/>
      <c r="D552" s="28"/>
      <c r="E552" s="28"/>
      <c r="F552" s="28"/>
      <c r="G552" s="35"/>
      <c r="H552" s="28"/>
      <c r="I552" s="34"/>
      <c r="J552" s="28"/>
      <c r="K552" s="28"/>
      <c r="L552" s="28"/>
      <c r="M552" s="28"/>
      <c r="N552" s="36"/>
      <c r="O552" s="29">
        <f t="shared" si="8"/>
        <v>0</v>
      </c>
    </row>
    <row r="553" spans="1:15" x14ac:dyDescent="0.2">
      <c r="A553" s="28"/>
      <c r="B553" s="27"/>
      <c r="C553" s="28"/>
      <c r="D553" s="28"/>
      <c r="E553" s="28"/>
      <c r="F553" s="28"/>
      <c r="G553" s="35"/>
      <c r="H553" s="28"/>
      <c r="I553" s="34"/>
      <c r="J553" s="28"/>
      <c r="K553" s="28"/>
      <c r="L553" s="28"/>
      <c r="M553" s="28"/>
      <c r="N553" s="36"/>
      <c r="O553" s="29">
        <f t="shared" si="8"/>
        <v>0</v>
      </c>
    </row>
    <row r="554" spans="1:15" x14ac:dyDescent="0.2">
      <c r="A554" s="28"/>
      <c r="B554" s="27"/>
      <c r="C554" s="28"/>
      <c r="D554" s="28"/>
      <c r="E554" s="28"/>
      <c r="F554" s="28"/>
      <c r="G554" s="35"/>
      <c r="H554" s="28"/>
      <c r="I554" s="34"/>
      <c r="J554" s="28"/>
      <c r="K554" s="28"/>
      <c r="L554" s="28"/>
      <c r="M554" s="28"/>
      <c r="N554" s="36"/>
      <c r="O554" s="29">
        <f t="shared" si="8"/>
        <v>0</v>
      </c>
    </row>
    <row r="555" spans="1:15" x14ac:dyDescent="0.2">
      <c r="A555" s="28"/>
      <c r="B555" s="27"/>
      <c r="C555" s="28"/>
      <c r="D555" s="28"/>
      <c r="E555" s="28"/>
      <c r="F555" s="28"/>
      <c r="G555" s="35"/>
      <c r="H555" s="28"/>
      <c r="I555" s="34"/>
      <c r="J555" s="28"/>
      <c r="K555" s="28"/>
      <c r="L555" s="28"/>
      <c r="M555" s="28"/>
      <c r="N555" s="36"/>
      <c r="O555" s="29">
        <f t="shared" si="8"/>
        <v>0</v>
      </c>
    </row>
    <row r="556" spans="1:15" x14ac:dyDescent="0.2">
      <c r="A556" s="28"/>
      <c r="B556" s="27"/>
      <c r="C556" s="28"/>
      <c r="D556" s="28"/>
      <c r="E556" s="28"/>
      <c r="F556" s="28"/>
      <c r="G556" s="35"/>
      <c r="H556" s="28"/>
      <c r="I556" s="34"/>
      <c r="J556" s="28"/>
      <c r="K556" s="28"/>
      <c r="L556" s="28"/>
      <c r="M556" s="28"/>
      <c r="N556" s="36"/>
      <c r="O556" s="29">
        <f t="shared" si="8"/>
        <v>0</v>
      </c>
    </row>
    <row r="557" spans="1:15" x14ac:dyDescent="0.2">
      <c r="A557" s="28"/>
      <c r="B557" s="27"/>
      <c r="C557" s="28"/>
      <c r="D557" s="28"/>
      <c r="E557" s="28"/>
      <c r="F557" s="28"/>
      <c r="G557" s="35"/>
      <c r="H557" s="28"/>
      <c r="I557" s="34"/>
      <c r="J557" s="28"/>
      <c r="K557" s="28"/>
      <c r="L557" s="28"/>
      <c r="M557" s="28"/>
      <c r="N557" s="36"/>
      <c r="O557" s="29">
        <f t="shared" si="8"/>
        <v>0</v>
      </c>
    </row>
    <row r="558" spans="1:15" x14ac:dyDescent="0.2">
      <c r="A558" s="28"/>
      <c r="B558" s="27"/>
      <c r="C558" s="28"/>
      <c r="D558" s="28"/>
      <c r="E558" s="28"/>
      <c r="F558" s="28"/>
      <c r="G558" s="35"/>
      <c r="H558" s="28"/>
      <c r="I558" s="34"/>
      <c r="J558" s="28"/>
      <c r="K558" s="28"/>
      <c r="L558" s="28"/>
      <c r="M558" s="28"/>
      <c r="N558" s="36"/>
      <c r="O558" s="29">
        <f t="shared" si="8"/>
        <v>0</v>
      </c>
    </row>
    <row r="559" spans="1:15" x14ac:dyDescent="0.2">
      <c r="A559" s="28"/>
      <c r="B559" s="27"/>
      <c r="C559" s="28"/>
      <c r="D559" s="28"/>
      <c r="E559" s="28"/>
      <c r="F559" s="28"/>
      <c r="G559" s="35"/>
      <c r="H559" s="28"/>
      <c r="I559" s="34"/>
      <c r="J559" s="28"/>
      <c r="K559" s="28"/>
      <c r="L559" s="28"/>
      <c r="M559" s="28"/>
      <c r="N559" s="36"/>
      <c r="O559" s="29">
        <f t="shared" si="8"/>
        <v>0</v>
      </c>
    </row>
    <row r="560" spans="1:15" x14ac:dyDescent="0.2">
      <c r="A560" s="28"/>
      <c r="B560" s="27"/>
      <c r="C560" s="28"/>
      <c r="D560" s="28"/>
      <c r="E560" s="28"/>
      <c r="F560" s="28"/>
      <c r="G560" s="35"/>
      <c r="H560" s="28"/>
      <c r="I560" s="34"/>
      <c r="J560" s="28"/>
      <c r="K560" s="28"/>
      <c r="L560" s="28"/>
      <c r="M560" s="28"/>
      <c r="N560" s="36"/>
      <c r="O560" s="29">
        <f t="shared" si="8"/>
        <v>0</v>
      </c>
    </row>
    <row r="561" spans="1:15" x14ac:dyDescent="0.2">
      <c r="A561" s="28"/>
      <c r="B561" s="27"/>
      <c r="C561" s="28"/>
      <c r="D561" s="28"/>
      <c r="E561" s="28"/>
      <c r="F561" s="28"/>
      <c r="G561" s="35"/>
      <c r="H561" s="28"/>
      <c r="I561" s="34"/>
      <c r="J561" s="28"/>
      <c r="K561" s="28"/>
      <c r="L561" s="28"/>
      <c r="M561" s="28"/>
      <c r="N561" s="36"/>
      <c r="O561" s="29">
        <f t="shared" si="8"/>
        <v>0</v>
      </c>
    </row>
    <row r="562" spans="1:15" x14ac:dyDescent="0.2">
      <c r="A562" s="28"/>
      <c r="B562" s="27"/>
      <c r="C562" s="28"/>
      <c r="D562" s="28"/>
      <c r="E562" s="28"/>
      <c r="F562" s="28"/>
      <c r="G562" s="35"/>
      <c r="H562" s="28"/>
      <c r="I562" s="34"/>
      <c r="J562" s="28"/>
      <c r="K562" s="28"/>
      <c r="L562" s="28"/>
      <c r="M562" s="28"/>
      <c r="N562" s="36"/>
      <c r="O562" s="29">
        <f t="shared" si="8"/>
        <v>0</v>
      </c>
    </row>
    <row r="563" spans="1:15" x14ac:dyDescent="0.2">
      <c r="A563" s="28"/>
      <c r="B563" s="27"/>
      <c r="C563" s="28"/>
      <c r="D563" s="28"/>
      <c r="E563" s="28"/>
      <c r="F563" s="28"/>
      <c r="G563" s="35"/>
      <c r="H563" s="28"/>
      <c r="I563" s="34"/>
      <c r="J563" s="28"/>
      <c r="K563" s="28"/>
      <c r="L563" s="28"/>
      <c r="M563" s="28"/>
      <c r="N563" s="36"/>
      <c r="O563" s="29">
        <f t="shared" si="8"/>
        <v>0</v>
      </c>
    </row>
    <row r="564" spans="1:15" x14ac:dyDescent="0.2">
      <c r="A564" s="28"/>
      <c r="B564" s="27"/>
      <c r="C564" s="28"/>
      <c r="D564" s="28"/>
      <c r="E564" s="28"/>
      <c r="F564" s="28"/>
      <c r="G564" s="35"/>
      <c r="H564" s="28"/>
      <c r="I564" s="34"/>
      <c r="J564" s="28"/>
      <c r="K564" s="28"/>
      <c r="L564" s="28"/>
      <c r="M564" s="28"/>
      <c r="N564" s="36"/>
      <c r="O564" s="29">
        <f t="shared" si="8"/>
        <v>0</v>
      </c>
    </row>
    <row r="565" spans="1:15" x14ac:dyDescent="0.2">
      <c r="A565" s="28"/>
      <c r="B565" s="27"/>
      <c r="C565" s="28"/>
      <c r="D565" s="28"/>
      <c r="E565" s="28"/>
      <c r="F565" s="28"/>
      <c r="G565" s="35"/>
      <c r="H565" s="28"/>
      <c r="I565" s="34"/>
      <c r="J565" s="28"/>
      <c r="K565" s="28"/>
      <c r="L565" s="28"/>
      <c r="M565" s="28"/>
      <c r="N565" s="36"/>
      <c r="O565" s="29">
        <f t="shared" si="8"/>
        <v>0</v>
      </c>
    </row>
    <row r="566" spans="1:15" x14ac:dyDescent="0.2">
      <c r="A566" s="28"/>
      <c r="B566" s="27"/>
      <c r="C566" s="28"/>
      <c r="D566" s="28"/>
      <c r="E566" s="28"/>
      <c r="F566" s="28"/>
      <c r="G566" s="35"/>
      <c r="H566" s="28"/>
      <c r="I566" s="34"/>
      <c r="J566" s="28"/>
      <c r="K566" s="28"/>
      <c r="L566" s="28"/>
      <c r="M566" s="28"/>
      <c r="N566" s="36"/>
      <c r="O566" s="29">
        <f t="shared" si="8"/>
        <v>0</v>
      </c>
    </row>
    <row r="567" spans="1:15" x14ac:dyDescent="0.2">
      <c r="N567" s="36"/>
      <c r="O567" s="29">
        <f t="shared" si="8"/>
        <v>0</v>
      </c>
    </row>
    <row r="568" spans="1:15" x14ac:dyDescent="0.2">
      <c r="N568" s="36"/>
      <c r="O568" s="29">
        <f t="shared" si="8"/>
        <v>0</v>
      </c>
    </row>
    <row r="569" spans="1:15" x14ac:dyDescent="0.2">
      <c r="N569" s="36"/>
      <c r="O569" s="29">
        <f t="shared" si="8"/>
        <v>0</v>
      </c>
    </row>
    <row r="570" spans="1:15" x14ac:dyDescent="0.2">
      <c r="N570" s="36"/>
      <c r="O570" s="29">
        <f t="shared" si="8"/>
        <v>0</v>
      </c>
    </row>
    <row r="571" spans="1:15" x14ac:dyDescent="0.2">
      <c r="N571" s="36"/>
      <c r="O571" s="29">
        <f t="shared" si="8"/>
        <v>0</v>
      </c>
    </row>
    <row r="572" spans="1:15" x14ac:dyDescent="0.2">
      <c r="N572" s="36"/>
      <c r="O572" s="29">
        <f t="shared" si="8"/>
        <v>0</v>
      </c>
    </row>
    <row r="573" spans="1:15" x14ac:dyDescent="0.2">
      <c r="N573" s="36"/>
      <c r="O573" s="29">
        <f t="shared" si="8"/>
        <v>0</v>
      </c>
    </row>
    <row r="574" spans="1:15" x14ac:dyDescent="0.2">
      <c r="N574" s="36"/>
      <c r="O574" s="29">
        <f t="shared" si="8"/>
        <v>0</v>
      </c>
    </row>
    <row r="575" spans="1:15" x14ac:dyDescent="0.2">
      <c r="N575" s="36"/>
      <c r="O575" s="29">
        <f t="shared" si="8"/>
        <v>0</v>
      </c>
    </row>
    <row r="576" spans="1:15" x14ac:dyDescent="0.2">
      <c r="N576" s="36"/>
      <c r="O576" s="29">
        <f t="shared" si="8"/>
        <v>0</v>
      </c>
    </row>
    <row r="577" spans="14:15" x14ac:dyDescent="0.2">
      <c r="N577" s="36"/>
      <c r="O577" s="29">
        <f t="shared" si="8"/>
        <v>0</v>
      </c>
    </row>
    <row r="578" spans="14:15" x14ac:dyDescent="0.2">
      <c r="N578" s="36"/>
      <c r="O578" s="29">
        <f t="shared" si="8"/>
        <v>0</v>
      </c>
    </row>
    <row r="579" spans="14:15" x14ac:dyDescent="0.2">
      <c r="N579" s="36"/>
      <c r="O579" s="29">
        <f t="shared" ref="O579:O642" si="9">N579*J579</f>
        <v>0</v>
      </c>
    </row>
    <row r="580" spans="14:15" x14ac:dyDescent="0.2">
      <c r="N580" s="36"/>
      <c r="O580" s="29">
        <f t="shared" si="9"/>
        <v>0</v>
      </c>
    </row>
    <row r="581" spans="14:15" x14ac:dyDescent="0.2">
      <c r="N581" s="36"/>
      <c r="O581" s="29">
        <f t="shared" si="9"/>
        <v>0</v>
      </c>
    </row>
    <row r="582" spans="14:15" x14ac:dyDescent="0.2">
      <c r="N582" s="36"/>
      <c r="O582" s="29">
        <f t="shared" si="9"/>
        <v>0</v>
      </c>
    </row>
    <row r="583" spans="14:15" x14ac:dyDescent="0.2">
      <c r="N583" s="36"/>
      <c r="O583" s="29">
        <f t="shared" si="9"/>
        <v>0</v>
      </c>
    </row>
    <row r="584" spans="14:15" x14ac:dyDescent="0.2">
      <c r="N584" s="36"/>
      <c r="O584" s="29">
        <f t="shared" si="9"/>
        <v>0</v>
      </c>
    </row>
    <row r="585" spans="14:15" x14ac:dyDescent="0.2">
      <c r="N585" s="36"/>
      <c r="O585" s="29">
        <f t="shared" si="9"/>
        <v>0</v>
      </c>
    </row>
    <row r="586" spans="14:15" x14ac:dyDescent="0.2">
      <c r="O586" s="29">
        <f t="shared" si="9"/>
        <v>0</v>
      </c>
    </row>
    <row r="587" spans="14:15" x14ac:dyDescent="0.2">
      <c r="O587" s="29">
        <f t="shared" si="9"/>
        <v>0</v>
      </c>
    </row>
    <row r="588" spans="14:15" x14ac:dyDescent="0.2">
      <c r="O588" s="29">
        <f t="shared" si="9"/>
        <v>0</v>
      </c>
    </row>
    <row r="589" spans="14:15" x14ac:dyDescent="0.2">
      <c r="O589" s="29">
        <f t="shared" si="9"/>
        <v>0</v>
      </c>
    </row>
    <row r="590" spans="14:15" x14ac:dyDescent="0.2">
      <c r="O590" s="29">
        <f t="shared" si="9"/>
        <v>0</v>
      </c>
    </row>
    <row r="591" spans="14:15" x14ac:dyDescent="0.2">
      <c r="O591" s="29">
        <f t="shared" si="9"/>
        <v>0</v>
      </c>
    </row>
    <row r="592" spans="14:15" x14ac:dyDescent="0.2">
      <c r="O592" s="29">
        <f t="shared" si="9"/>
        <v>0</v>
      </c>
    </row>
    <row r="593" spans="15:15" x14ac:dyDescent="0.2">
      <c r="O593" s="29">
        <f t="shared" si="9"/>
        <v>0</v>
      </c>
    </row>
    <row r="594" spans="15:15" x14ac:dyDescent="0.2">
      <c r="O594" s="29">
        <f t="shared" si="9"/>
        <v>0</v>
      </c>
    </row>
    <row r="595" spans="15:15" x14ac:dyDescent="0.2">
      <c r="O595" s="29">
        <f t="shared" si="9"/>
        <v>0</v>
      </c>
    </row>
    <row r="596" spans="15:15" x14ac:dyDescent="0.2">
      <c r="O596" s="29">
        <f t="shared" si="9"/>
        <v>0</v>
      </c>
    </row>
    <row r="597" spans="15:15" x14ac:dyDescent="0.2">
      <c r="O597" s="29">
        <f t="shared" si="9"/>
        <v>0</v>
      </c>
    </row>
    <row r="598" spans="15:15" x14ac:dyDescent="0.2">
      <c r="O598" s="29">
        <f t="shared" si="9"/>
        <v>0</v>
      </c>
    </row>
    <row r="599" spans="15:15" x14ac:dyDescent="0.2">
      <c r="O599" s="29">
        <f t="shared" si="9"/>
        <v>0</v>
      </c>
    </row>
    <row r="600" spans="15:15" x14ac:dyDescent="0.2">
      <c r="O600" s="29">
        <f t="shared" si="9"/>
        <v>0</v>
      </c>
    </row>
    <row r="601" spans="15:15" x14ac:dyDescent="0.2">
      <c r="O601" s="29">
        <f t="shared" si="9"/>
        <v>0</v>
      </c>
    </row>
    <row r="602" spans="15:15" x14ac:dyDescent="0.2">
      <c r="O602" s="29">
        <f t="shared" si="9"/>
        <v>0</v>
      </c>
    </row>
    <row r="603" spans="15:15" x14ac:dyDescent="0.2">
      <c r="O603" s="29">
        <f t="shared" si="9"/>
        <v>0</v>
      </c>
    </row>
    <row r="604" spans="15:15" x14ac:dyDescent="0.2">
      <c r="O604" s="29">
        <f t="shared" si="9"/>
        <v>0</v>
      </c>
    </row>
    <row r="605" spans="15:15" x14ac:dyDescent="0.2">
      <c r="O605" s="29">
        <f t="shared" si="9"/>
        <v>0</v>
      </c>
    </row>
    <row r="606" spans="15:15" x14ac:dyDescent="0.2">
      <c r="O606" s="29">
        <f t="shared" si="9"/>
        <v>0</v>
      </c>
    </row>
    <row r="607" spans="15:15" x14ac:dyDescent="0.2">
      <c r="O607" s="29">
        <f t="shared" si="9"/>
        <v>0</v>
      </c>
    </row>
    <row r="608" spans="15:15" x14ac:dyDescent="0.2">
      <c r="O608" s="29">
        <f t="shared" si="9"/>
        <v>0</v>
      </c>
    </row>
    <row r="609" spans="15:15" x14ac:dyDescent="0.2">
      <c r="O609" s="29">
        <f t="shared" si="9"/>
        <v>0</v>
      </c>
    </row>
    <row r="610" spans="15:15" x14ac:dyDescent="0.2">
      <c r="O610" s="29">
        <f t="shared" si="9"/>
        <v>0</v>
      </c>
    </row>
    <row r="611" spans="15:15" x14ac:dyDescent="0.2">
      <c r="O611" s="29">
        <f t="shared" si="9"/>
        <v>0</v>
      </c>
    </row>
    <row r="612" spans="15:15" x14ac:dyDescent="0.2">
      <c r="O612" s="29">
        <f t="shared" si="9"/>
        <v>0</v>
      </c>
    </row>
    <row r="613" spans="15:15" x14ac:dyDescent="0.2">
      <c r="O613" s="29">
        <f t="shared" si="9"/>
        <v>0</v>
      </c>
    </row>
    <row r="614" spans="15:15" x14ac:dyDescent="0.2">
      <c r="O614" s="29">
        <f t="shared" si="9"/>
        <v>0</v>
      </c>
    </row>
    <row r="615" spans="15:15" x14ac:dyDescent="0.2">
      <c r="O615" s="29">
        <f t="shared" si="9"/>
        <v>0</v>
      </c>
    </row>
    <row r="616" spans="15:15" x14ac:dyDescent="0.2">
      <c r="O616" s="29">
        <f t="shared" si="9"/>
        <v>0</v>
      </c>
    </row>
    <row r="617" spans="15:15" x14ac:dyDescent="0.2">
      <c r="O617" s="29">
        <f t="shared" si="9"/>
        <v>0</v>
      </c>
    </row>
    <row r="618" spans="15:15" x14ac:dyDescent="0.2">
      <c r="O618" s="29">
        <f t="shared" si="9"/>
        <v>0</v>
      </c>
    </row>
    <row r="619" spans="15:15" x14ac:dyDescent="0.2">
      <c r="O619" s="29">
        <f t="shared" si="9"/>
        <v>0</v>
      </c>
    </row>
    <row r="620" spans="15:15" x14ac:dyDescent="0.2">
      <c r="O620" s="29">
        <f t="shared" si="9"/>
        <v>0</v>
      </c>
    </row>
    <row r="621" spans="15:15" x14ac:dyDescent="0.2">
      <c r="O621" s="29">
        <f t="shared" si="9"/>
        <v>0</v>
      </c>
    </row>
    <row r="622" spans="15:15" x14ac:dyDescent="0.2">
      <c r="O622" s="29">
        <f t="shared" si="9"/>
        <v>0</v>
      </c>
    </row>
    <row r="623" spans="15:15" x14ac:dyDescent="0.2">
      <c r="O623" s="29">
        <f t="shared" si="9"/>
        <v>0</v>
      </c>
    </row>
    <row r="624" spans="15:15" x14ac:dyDescent="0.2">
      <c r="O624" s="29">
        <f t="shared" si="9"/>
        <v>0</v>
      </c>
    </row>
    <row r="625" spans="15:15" x14ac:dyDescent="0.2">
      <c r="O625" s="29">
        <f t="shared" si="9"/>
        <v>0</v>
      </c>
    </row>
    <row r="626" spans="15:15" x14ac:dyDescent="0.2">
      <c r="O626" s="29">
        <f t="shared" si="9"/>
        <v>0</v>
      </c>
    </row>
    <row r="627" spans="15:15" x14ac:dyDescent="0.2">
      <c r="O627" s="29">
        <f t="shared" si="9"/>
        <v>0</v>
      </c>
    </row>
    <row r="628" spans="15:15" x14ac:dyDescent="0.2">
      <c r="O628" s="29">
        <f t="shared" si="9"/>
        <v>0</v>
      </c>
    </row>
    <row r="629" spans="15:15" x14ac:dyDescent="0.2">
      <c r="O629" s="29">
        <f t="shared" si="9"/>
        <v>0</v>
      </c>
    </row>
    <row r="630" spans="15:15" x14ac:dyDescent="0.2">
      <c r="O630" s="29">
        <f t="shared" si="9"/>
        <v>0</v>
      </c>
    </row>
    <row r="631" spans="15:15" x14ac:dyDescent="0.2">
      <c r="O631" s="29">
        <f t="shared" si="9"/>
        <v>0</v>
      </c>
    </row>
    <row r="632" spans="15:15" x14ac:dyDescent="0.2">
      <c r="O632" s="29">
        <f t="shared" si="9"/>
        <v>0</v>
      </c>
    </row>
    <row r="633" spans="15:15" x14ac:dyDescent="0.2">
      <c r="O633" s="29">
        <f t="shared" si="9"/>
        <v>0</v>
      </c>
    </row>
    <row r="634" spans="15:15" x14ac:dyDescent="0.2">
      <c r="O634" s="29">
        <f t="shared" si="9"/>
        <v>0</v>
      </c>
    </row>
    <row r="635" spans="15:15" x14ac:dyDescent="0.2">
      <c r="O635" s="29">
        <f t="shared" si="9"/>
        <v>0</v>
      </c>
    </row>
    <row r="636" spans="15:15" x14ac:dyDescent="0.2">
      <c r="O636" s="29">
        <f t="shared" si="9"/>
        <v>0</v>
      </c>
    </row>
    <row r="637" spans="15:15" x14ac:dyDescent="0.2">
      <c r="O637" s="29">
        <f t="shared" si="9"/>
        <v>0</v>
      </c>
    </row>
    <row r="638" spans="15:15" x14ac:dyDescent="0.2">
      <c r="O638" s="29">
        <f t="shared" si="9"/>
        <v>0</v>
      </c>
    </row>
    <row r="639" spans="15:15" x14ac:dyDescent="0.2">
      <c r="O639" s="29">
        <f t="shared" si="9"/>
        <v>0</v>
      </c>
    </row>
    <row r="640" spans="15:15" x14ac:dyDescent="0.2">
      <c r="O640" s="29">
        <f t="shared" si="9"/>
        <v>0</v>
      </c>
    </row>
    <row r="641" spans="15:15" x14ac:dyDescent="0.2">
      <c r="O641" s="29">
        <f t="shared" si="9"/>
        <v>0</v>
      </c>
    </row>
    <row r="642" spans="15:15" x14ac:dyDescent="0.2">
      <c r="O642" s="29">
        <f t="shared" si="9"/>
        <v>0</v>
      </c>
    </row>
    <row r="643" spans="15:15" x14ac:dyDescent="0.2">
      <c r="O643" s="29">
        <f t="shared" ref="O643:O704" si="10">N643*J643</f>
        <v>0</v>
      </c>
    </row>
    <row r="644" spans="15:15" x14ac:dyDescent="0.2">
      <c r="O644" s="29">
        <f t="shared" si="10"/>
        <v>0</v>
      </c>
    </row>
    <row r="645" spans="15:15" x14ac:dyDescent="0.2">
      <c r="O645" s="29">
        <f t="shared" si="10"/>
        <v>0</v>
      </c>
    </row>
    <row r="646" spans="15:15" x14ac:dyDescent="0.2">
      <c r="O646" s="29">
        <f t="shared" si="10"/>
        <v>0</v>
      </c>
    </row>
    <row r="647" spans="15:15" x14ac:dyDescent="0.2">
      <c r="O647" s="29">
        <f t="shared" si="10"/>
        <v>0</v>
      </c>
    </row>
    <row r="648" spans="15:15" x14ac:dyDescent="0.2">
      <c r="O648" s="29">
        <f t="shared" si="10"/>
        <v>0</v>
      </c>
    </row>
    <row r="649" spans="15:15" x14ac:dyDescent="0.2">
      <c r="O649" s="29">
        <f t="shared" si="10"/>
        <v>0</v>
      </c>
    </row>
    <row r="650" spans="15:15" x14ac:dyDescent="0.2">
      <c r="O650" s="29">
        <f t="shared" si="10"/>
        <v>0</v>
      </c>
    </row>
    <row r="651" spans="15:15" x14ac:dyDescent="0.2">
      <c r="O651" s="29">
        <f t="shared" si="10"/>
        <v>0</v>
      </c>
    </row>
    <row r="652" spans="15:15" x14ac:dyDescent="0.2">
      <c r="O652" s="29">
        <f t="shared" si="10"/>
        <v>0</v>
      </c>
    </row>
    <row r="653" spans="15:15" x14ac:dyDescent="0.2">
      <c r="O653" s="29">
        <f t="shared" si="10"/>
        <v>0</v>
      </c>
    </row>
    <row r="654" spans="15:15" x14ac:dyDescent="0.2">
      <c r="O654" s="29">
        <f t="shared" si="10"/>
        <v>0</v>
      </c>
    </row>
    <row r="655" spans="15:15" x14ac:dyDescent="0.2">
      <c r="O655" s="29">
        <f t="shared" si="10"/>
        <v>0</v>
      </c>
    </row>
    <row r="656" spans="15:15" x14ac:dyDescent="0.2">
      <c r="O656" s="29">
        <f t="shared" si="10"/>
        <v>0</v>
      </c>
    </row>
    <row r="657" spans="15:15" x14ac:dyDescent="0.2">
      <c r="O657" s="29">
        <f t="shared" si="10"/>
        <v>0</v>
      </c>
    </row>
    <row r="658" spans="15:15" x14ac:dyDescent="0.2">
      <c r="O658" s="29">
        <f t="shared" si="10"/>
        <v>0</v>
      </c>
    </row>
    <row r="659" spans="15:15" x14ac:dyDescent="0.2">
      <c r="O659" s="29">
        <f t="shared" si="10"/>
        <v>0</v>
      </c>
    </row>
    <row r="660" spans="15:15" x14ac:dyDescent="0.2">
      <c r="O660" s="29">
        <f t="shared" si="10"/>
        <v>0</v>
      </c>
    </row>
    <row r="661" spans="15:15" x14ac:dyDescent="0.2">
      <c r="O661" s="29">
        <f t="shared" si="10"/>
        <v>0</v>
      </c>
    </row>
    <row r="662" spans="15:15" x14ac:dyDescent="0.2">
      <c r="O662" s="29">
        <f t="shared" si="10"/>
        <v>0</v>
      </c>
    </row>
    <row r="663" spans="15:15" x14ac:dyDescent="0.2">
      <c r="O663" s="29">
        <f t="shared" si="10"/>
        <v>0</v>
      </c>
    </row>
    <row r="664" spans="15:15" x14ac:dyDescent="0.2">
      <c r="O664" s="29">
        <f t="shared" si="10"/>
        <v>0</v>
      </c>
    </row>
    <row r="665" spans="15:15" x14ac:dyDescent="0.2">
      <c r="O665" s="29">
        <f t="shared" si="10"/>
        <v>0</v>
      </c>
    </row>
    <row r="666" spans="15:15" x14ac:dyDescent="0.2">
      <c r="O666" s="29">
        <f t="shared" si="10"/>
        <v>0</v>
      </c>
    </row>
    <row r="667" spans="15:15" x14ac:dyDescent="0.2">
      <c r="O667" s="29">
        <f t="shared" si="10"/>
        <v>0</v>
      </c>
    </row>
    <row r="668" spans="15:15" x14ac:dyDescent="0.2">
      <c r="O668" s="29">
        <f t="shared" si="10"/>
        <v>0</v>
      </c>
    </row>
    <row r="669" spans="15:15" x14ac:dyDescent="0.2">
      <c r="O669" s="29">
        <f t="shared" si="10"/>
        <v>0</v>
      </c>
    </row>
    <row r="670" spans="15:15" x14ac:dyDescent="0.2">
      <c r="O670" s="29">
        <f t="shared" si="10"/>
        <v>0</v>
      </c>
    </row>
    <row r="671" spans="15:15" x14ac:dyDescent="0.2">
      <c r="O671" s="29">
        <f t="shared" si="10"/>
        <v>0</v>
      </c>
    </row>
    <row r="672" spans="15:15" x14ac:dyDescent="0.2">
      <c r="O672" s="29">
        <f t="shared" si="10"/>
        <v>0</v>
      </c>
    </row>
    <row r="673" spans="15:15" x14ac:dyDescent="0.2">
      <c r="O673" s="29">
        <f t="shared" si="10"/>
        <v>0</v>
      </c>
    </row>
    <row r="674" spans="15:15" x14ac:dyDescent="0.2">
      <c r="O674" s="29">
        <f t="shared" si="10"/>
        <v>0</v>
      </c>
    </row>
    <row r="675" spans="15:15" x14ac:dyDescent="0.2">
      <c r="O675" s="29">
        <f t="shared" si="10"/>
        <v>0</v>
      </c>
    </row>
    <row r="676" spans="15:15" x14ac:dyDescent="0.2">
      <c r="O676" s="29">
        <f t="shared" si="10"/>
        <v>0</v>
      </c>
    </row>
    <row r="677" spans="15:15" x14ac:dyDescent="0.2">
      <c r="O677" s="29">
        <f t="shared" si="10"/>
        <v>0</v>
      </c>
    </row>
    <row r="678" spans="15:15" x14ac:dyDescent="0.2">
      <c r="O678" s="29">
        <f t="shared" si="10"/>
        <v>0</v>
      </c>
    </row>
    <row r="679" spans="15:15" x14ac:dyDescent="0.2">
      <c r="O679" s="29">
        <f t="shared" si="10"/>
        <v>0</v>
      </c>
    </row>
    <row r="680" spans="15:15" x14ac:dyDescent="0.2">
      <c r="O680" s="29">
        <f t="shared" si="10"/>
        <v>0</v>
      </c>
    </row>
    <row r="681" spans="15:15" x14ac:dyDescent="0.2">
      <c r="O681" s="29">
        <f t="shared" si="10"/>
        <v>0</v>
      </c>
    </row>
    <row r="682" spans="15:15" x14ac:dyDescent="0.2">
      <c r="O682" s="29">
        <f t="shared" si="10"/>
        <v>0</v>
      </c>
    </row>
    <row r="683" spans="15:15" x14ac:dyDescent="0.2">
      <c r="O683" s="29">
        <f t="shared" si="10"/>
        <v>0</v>
      </c>
    </row>
    <row r="684" spans="15:15" x14ac:dyDescent="0.2">
      <c r="O684" s="29">
        <f t="shared" si="10"/>
        <v>0</v>
      </c>
    </row>
    <row r="685" spans="15:15" x14ac:dyDescent="0.2">
      <c r="O685" s="29">
        <f t="shared" si="10"/>
        <v>0</v>
      </c>
    </row>
    <row r="686" spans="15:15" x14ac:dyDescent="0.2">
      <c r="O686" s="29">
        <f t="shared" si="10"/>
        <v>0</v>
      </c>
    </row>
    <row r="687" spans="15:15" x14ac:dyDescent="0.2">
      <c r="O687" s="29">
        <f t="shared" si="10"/>
        <v>0</v>
      </c>
    </row>
    <row r="688" spans="15:15" x14ac:dyDescent="0.2">
      <c r="O688" s="29">
        <f t="shared" si="10"/>
        <v>0</v>
      </c>
    </row>
    <row r="689" spans="15:15" x14ac:dyDescent="0.2">
      <c r="O689" s="29">
        <f t="shared" si="10"/>
        <v>0</v>
      </c>
    </row>
    <row r="690" spans="15:15" x14ac:dyDescent="0.2">
      <c r="O690" s="29">
        <f t="shared" si="10"/>
        <v>0</v>
      </c>
    </row>
    <row r="691" spans="15:15" x14ac:dyDescent="0.2">
      <c r="O691" s="29">
        <f t="shared" si="10"/>
        <v>0</v>
      </c>
    </row>
    <row r="692" spans="15:15" x14ac:dyDescent="0.2">
      <c r="O692" s="29">
        <f t="shared" si="10"/>
        <v>0</v>
      </c>
    </row>
    <row r="693" spans="15:15" x14ac:dyDescent="0.2">
      <c r="O693" s="29">
        <f t="shared" si="10"/>
        <v>0</v>
      </c>
    </row>
    <row r="694" spans="15:15" x14ac:dyDescent="0.2">
      <c r="O694" s="29">
        <f t="shared" si="10"/>
        <v>0</v>
      </c>
    </row>
    <row r="695" spans="15:15" x14ac:dyDescent="0.2">
      <c r="O695" s="29">
        <f t="shared" si="10"/>
        <v>0</v>
      </c>
    </row>
    <row r="696" spans="15:15" x14ac:dyDescent="0.2">
      <c r="O696" s="29">
        <f t="shared" si="10"/>
        <v>0</v>
      </c>
    </row>
    <row r="697" spans="15:15" x14ac:dyDescent="0.2">
      <c r="O697" s="29">
        <f t="shared" si="10"/>
        <v>0</v>
      </c>
    </row>
    <row r="698" spans="15:15" x14ac:dyDescent="0.2">
      <c r="O698" s="29">
        <f t="shared" si="10"/>
        <v>0</v>
      </c>
    </row>
    <row r="699" spans="15:15" x14ac:dyDescent="0.2">
      <c r="O699" s="29">
        <f t="shared" si="10"/>
        <v>0</v>
      </c>
    </row>
    <row r="700" spans="15:15" x14ac:dyDescent="0.2">
      <c r="O700" s="29">
        <f t="shared" si="10"/>
        <v>0</v>
      </c>
    </row>
    <row r="701" spans="15:15" x14ac:dyDescent="0.2">
      <c r="O701" s="29">
        <f t="shared" si="10"/>
        <v>0</v>
      </c>
    </row>
    <row r="702" spans="15:15" x14ac:dyDescent="0.2">
      <c r="O702" s="29">
        <f t="shared" si="10"/>
        <v>0</v>
      </c>
    </row>
    <row r="703" spans="15:15" x14ac:dyDescent="0.2">
      <c r="O703" s="29">
        <f t="shared" si="10"/>
        <v>0</v>
      </c>
    </row>
    <row r="704" spans="15:15" x14ac:dyDescent="0.2">
      <c r="O704" s="29">
        <f t="shared" si="10"/>
        <v>0</v>
      </c>
    </row>
    <row r="705" spans="15:15" x14ac:dyDescent="0.2">
      <c r="O705" s="5" t="e">
        <f>N705*#REF!</f>
        <v>#REF!</v>
      </c>
    </row>
    <row r="706" spans="15:15" x14ac:dyDescent="0.2">
      <c r="O706" s="5" t="e">
        <f>N706*#REF!</f>
        <v>#REF!</v>
      </c>
    </row>
    <row r="707" spans="15:15" x14ac:dyDescent="0.2">
      <c r="O707" s="5" t="e">
        <f>N707*#REF!</f>
        <v>#REF!</v>
      </c>
    </row>
    <row r="708" spans="15:15" x14ac:dyDescent="0.2">
      <c r="O708" s="5" t="e">
        <f>N708*#REF!</f>
        <v>#REF!</v>
      </c>
    </row>
    <row r="709" spans="15:15" x14ac:dyDescent="0.2">
      <c r="O709" s="5" t="e">
        <f>N709*#REF!</f>
        <v>#REF!</v>
      </c>
    </row>
    <row r="710" spans="15:15" x14ac:dyDescent="0.2">
      <c r="O710" s="5" t="e">
        <f>N710*#REF!</f>
        <v>#REF!</v>
      </c>
    </row>
  </sheetData>
  <mergeCells count="1">
    <mergeCell ref="N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66"/>
  </sheetPr>
  <dimension ref="A1:IA655"/>
  <sheetViews>
    <sheetView zoomScale="65" zoomScaleNormal="65" workbookViewId="0">
      <pane ySplit="2" topLeftCell="A3" activePane="bottomLeft" state="frozen"/>
      <selection pane="bottomLeft" activeCell="G18" sqref="G18"/>
    </sheetView>
  </sheetViews>
  <sheetFormatPr baseColWidth="10" defaultColWidth="8.83203125" defaultRowHeight="15" x14ac:dyDescent="0.2"/>
  <cols>
    <col min="1" max="1" width="15.33203125" style="1" customWidth="1"/>
    <col min="2" max="2" width="13.5" style="1" customWidth="1"/>
    <col min="3" max="3" width="18.83203125" style="1" customWidth="1"/>
    <col min="4" max="4" width="9.83203125" style="1" customWidth="1"/>
    <col min="5" max="5" width="15.33203125" style="1" customWidth="1"/>
    <col min="6" max="6" width="14.5" style="1" customWidth="1"/>
    <col min="7" max="7" width="14" style="2" customWidth="1"/>
    <col min="8" max="8" width="13.5" style="1" customWidth="1"/>
    <col min="9" max="9" width="10.5" style="1" customWidth="1"/>
    <col min="10" max="10" width="13.83203125" style="1" customWidth="1"/>
    <col min="11" max="11" width="12.1640625" style="1" customWidth="1"/>
    <col min="12" max="12" width="13.33203125" style="1" customWidth="1"/>
    <col min="13" max="13" width="11" style="1" customWidth="1"/>
    <col min="14" max="14" width="10.5" style="43" customWidth="1"/>
    <col min="15" max="15" width="10.6640625" style="44" customWidth="1"/>
    <col min="16" max="16" width="8.83203125" style="1"/>
    <col min="17" max="17" width="12.83203125" style="45" hidden="1" customWidth="1"/>
    <col min="18" max="18" width="9.1640625" hidden="1" customWidth="1"/>
  </cols>
  <sheetData>
    <row r="1" spans="1:235" ht="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208" t="s">
        <v>13</v>
      </c>
      <c r="O1" s="208"/>
      <c r="P1" s="10" t="s">
        <v>14</v>
      </c>
      <c r="Q1" s="46" t="s">
        <v>22</v>
      </c>
    </row>
    <row r="2" spans="1:235" ht="74.25" customHeight="1" x14ac:dyDescent="0.25">
      <c r="A2" s="47" t="s">
        <v>15</v>
      </c>
      <c r="B2" s="47"/>
      <c r="C2" s="47"/>
      <c r="D2" s="47"/>
      <c r="E2" s="47"/>
      <c r="F2" s="47">
        <f>SUM(F3:F430)</f>
        <v>0</v>
      </c>
      <c r="G2" s="13">
        <f>SUM(G3:G430)</f>
        <v>0</v>
      </c>
      <c r="H2" s="47"/>
      <c r="I2" s="47"/>
      <c r="J2" s="47"/>
      <c r="K2" s="47"/>
      <c r="L2" s="13">
        <f>SUM(L3:L430)</f>
        <v>0</v>
      </c>
      <c r="M2" s="13"/>
      <c r="N2" s="48" t="s">
        <v>16</v>
      </c>
      <c r="O2" s="48" t="s">
        <v>17</v>
      </c>
      <c r="P2" s="49"/>
      <c r="Q2" s="50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</row>
    <row r="3" spans="1:235" s="6" customFormat="1" x14ac:dyDescent="0.2">
      <c r="A3" s="16"/>
      <c r="B3" s="17" t="s">
        <v>23</v>
      </c>
      <c r="C3" s="28"/>
      <c r="D3" s="28"/>
      <c r="E3" s="37"/>
      <c r="F3" s="28"/>
      <c r="G3" s="33"/>
      <c r="H3" s="51"/>
      <c r="I3" s="52"/>
      <c r="J3" s="28"/>
      <c r="K3" s="28"/>
      <c r="L3" s="35"/>
      <c r="M3" s="28">
        <v>-15</v>
      </c>
      <c r="N3" s="53"/>
      <c r="O3" s="54">
        <f t="shared" ref="O3:O66" si="0">N3*J3</f>
        <v>0</v>
      </c>
      <c r="P3" s="1"/>
      <c r="Q3" s="45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</row>
    <row r="4" spans="1:235" s="6" customFormat="1" x14ac:dyDescent="0.2">
      <c r="A4" s="16"/>
      <c r="B4" s="17" t="s">
        <v>23</v>
      </c>
      <c r="C4" s="28"/>
      <c r="D4" s="28"/>
      <c r="E4" s="37"/>
      <c r="F4" s="28"/>
      <c r="G4" s="33"/>
      <c r="H4" s="51"/>
      <c r="I4" s="52"/>
      <c r="J4" s="28"/>
      <c r="K4" s="28"/>
      <c r="L4" s="35"/>
      <c r="M4" s="28">
        <v>-15</v>
      </c>
      <c r="N4" s="53"/>
      <c r="O4" s="54">
        <f t="shared" si="0"/>
        <v>0</v>
      </c>
      <c r="P4" s="1"/>
      <c r="Q4" s="45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</row>
    <row r="5" spans="1:235" x14ac:dyDescent="0.2">
      <c r="A5" s="16"/>
      <c r="B5" s="17" t="s">
        <v>23</v>
      </c>
      <c r="C5" s="28"/>
      <c r="D5" s="28"/>
      <c r="E5" s="37"/>
      <c r="F5" s="28"/>
      <c r="G5" s="33"/>
      <c r="H5" s="51"/>
      <c r="I5" s="52"/>
      <c r="J5" s="28"/>
      <c r="K5" s="28"/>
      <c r="L5" s="35"/>
      <c r="M5" s="28">
        <v>-15</v>
      </c>
      <c r="N5" s="53"/>
      <c r="O5" s="54">
        <f t="shared" si="0"/>
        <v>0</v>
      </c>
      <c r="R5" s="6"/>
    </row>
    <row r="6" spans="1:235" x14ac:dyDescent="0.2">
      <c r="A6" s="16"/>
      <c r="B6" s="17" t="s">
        <v>23</v>
      </c>
      <c r="C6" s="28"/>
      <c r="D6" s="28"/>
      <c r="E6" s="37"/>
      <c r="F6" s="28"/>
      <c r="G6" s="33"/>
      <c r="H6" s="51"/>
      <c r="I6" s="52"/>
      <c r="J6" s="28"/>
      <c r="K6" s="52"/>
      <c r="L6" s="35"/>
      <c r="M6" s="28">
        <v>-15</v>
      </c>
      <c r="N6" s="53"/>
      <c r="O6" s="54">
        <f t="shared" si="0"/>
        <v>0</v>
      </c>
      <c r="R6" s="6"/>
    </row>
    <row r="7" spans="1:235" x14ac:dyDescent="0.2">
      <c r="A7" s="16"/>
      <c r="B7" s="17" t="s">
        <v>23</v>
      </c>
      <c r="C7" s="28"/>
      <c r="D7" s="28"/>
      <c r="E7" s="37"/>
      <c r="F7" s="28"/>
      <c r="G7" s="33"/>
      <c r="H7" s="51"/>
      <c r="I7" s="52"/>
      <c r="J7" s="51"/>
      <c r="K7" s="28"/>
      <c r="L7" s="35"/>
      <c r="M7" s="28">
        <v>-15</v>
      </c>
      <c r="N7" s="53"/>
      <c r="O7" s="54">
        <f t="shared" si="0"/>
        <v>0</v>
      </c>
      <c r="R7" s="6"/>
    </row>
    <row r="8" spans="1:235" x14ac:dyDescent="0.2">
      <c r="A8" s="16"/>
      <c r="B8" s="17" t="s">
        <v>23</v>
      </c>
      <c r="C8" s="28"/>
      <c r="D8" s="28"/>
      <c r="E8" s="37"/>
      <c r="F8" s="28"/>
      <c r="G8" s="33"/>
      <c r="H8" s="51"/>
      <c r="I8" s="52"/>
      <c r="J8" s="28"/>
      <c r="K8" s="28"/>
      <c r="L8" s="35"/>
      <c r="M8" s="28">
        <v>-15</v>
      </c>
      <c r="N8" s="53"/>
      <c r="O8" s="54">
        <f t="shared" si="0"/>
        <v>0</v>
      </c>
      <c r="R8" s="6"/>
    </row>
    <row r="9" spans="1:235" x14ac:dyDescent="0.2">
      <c r="A9" s="32"/>
      <c r="B9" s="17" t="s">
        <v>23</v>
      </c>
      <c r="C9" s="28"/>
      <c r="D9" s="28"/>
      <c r="E9" s="37"/>
      <c r="F9" s="28"/>
      <c r="G9" s="33"/>
      <c r="H9" s="51"/>
      <c r="I9" s="52"/>
      <c r="J9" s="28"/>
      <c r="K9" s="28"/>
      <c r="L9" s="35"/>
      <c r="M9" s="28">
        <v>-15</v>
      </c>
      <c r="N9" s="53"/>
      <c r="O9" s="54">
        <f t="shared" si="0"/>
        <v>0</v>
      </c>
      <c r="R9" s="6"/>
    </row>
    <row r="10" spans="1:235" x14ac:dyDescent="0.2">
      <c r="A10" s="32"/>
      <c r="B10" s="17" t="s">
        <v>23</v>
      </c>
      <c r="C10" s="28"/>
      <c r="D10" s="28"/>
      <c r="E10" s="37"/>
      <c r="F10" s="28"/>
      <c r="G10" s="33"/>
      <c r="H10" s="28"/>
      <c r="I10" s="28"/>
      <c r="J10" s="28"/>
      <c r="K10" s="28"/>
      <c r="L10" s="35"/>
      <c r="M10" s="28">
        <v>-15</v>
      </c>
      <c r="N10" s="53"/>
      <c r="O10" s="54">
        <f t="shared" si="0"/>
        <v>0</v>
      </c>
      <c r="R10" s="6"/>
    </row>
    <row r="11" spans="1:235" x14ac:dyDescent="0.2">
      <c r="A11" s="32"/>
      <c r="B11" s="17" t="s">
        <v>23</v>
      </c>
      <c r="C11" s="28"/>
      <c r="D11" s="28"/>
      <c r="E11" s="37"/>
      <c r="F11" s="28"/>
      <c r="G11" s="33"/>
      <c r="H11" s="28"/>
      <c r="I11" s="28"/>
      <c r="J11" s="28"/>
      <c r="K11" s="28"/>
      <c r="L11" s="35"/>
      <c r="M11" s="28">
        <v>-15</v>
      </c>
      <c r="N11" s="53"/>
      <c r="O11" s="54">
        <f t="shared" si="0"/>
        <v>0</v>
      </c>
      <c r="R11" s="6"/>
    </row>
    <row r="12" spans="1:235" x14ac:dyDescent="0.2">
      <c r="A12" s="32"/>
      <c r="B12" s="17" t="s">
        <v>23</v>
      </c>
      <c r="C12" s="28"/>
      <c r="D12" s="28"/>
      <c r="E12" s="37"/>
      <c r="F12" s="28"/>
      <c r="G12" s="33"/>
      <c r="H12" s="28"/>
      <c r="I12" s="28"/>
      <c r="J12" s="28"/>
      <c r="K12" s="28"/>
      <c r="L12" s="35"/>
      <c r="M12" s="28">
        <v>-15</v>
      </c>
      <c r="N12" s="53"/>
      <c r="O12" s="54">
        <f t="shared" si="0"/>
        <v>0</v>
      </c>
      <c r="R12" s="6"/>
    </row>
    <row r="13" spans="1:235" x14ac:dyDescent="0.2">
      <c r="A13" s="32"/>
      <c r="B13" s="17" t="s">
        <v>23</v>
      </c>
      <c r="C13" s="28"/>
      <c r="D13" s="28"/>
      <c r="E13" s="37"/>
      <c r="F13" s="28"/>
      <c r="G13" s="33"/>
      <c r="H13" s="28"/>
      <c r="I13" s="28"/>
      <c r="J13" s="28"/>
      <c r="K13" s="28"/>
      <c r="L13" s="35"/>
      <c r="M13" s="28">
        <v>-15</v>
      </c>
      <c r="N13" s="53"/>
      <c r="O13" s="54">
        <f t="shared" si="0"/>
        <v>0</v>
      </c>
      <c r="R13" s="6"/>
    </row>
    <row r="14" spans="1:235" x14ac:dyDescent="0.2">
      <c r="A14" s="32"/>
      <c r="B14" s="17" t="s">
        <v>23</v>
      </c>
      <c r="C14" s="28"/>
      <c r="D14" s="28"/>
      <c r="E14" s="37"/>
      <c r="F14" s="28"/>
      <c r="G14" s="33"/>
      <c r="H14" s="28"/>
      <c r="I14" s="28"/>
      <c r="J14" s="28"/>
      <c r="K14" s="28"/>
      <c r="L14" s="35"/>
      <c r="M14" s="28">
        <v>-15</v>
      </c>
      <c r="N14" s="53"/>
      <c r="O14" s="54">
        <f t="shared" si="0"/>
        <v>0</v>
      </c>
      <c r="R14" s="6"/>
    </row>
    <row r="15" spans="1:235" x14ac:dyDescent="0.2">
      <c r="A15" s="32"/>
      <c r="B15" s="17" t="s">
        <v>23</v>
      </c>
      <c r="C15" s="28"/>
      <c r="D15" s="28"/>
      <c r="E15" s="37"/>
      <c r="F15" s="28"/>
      <c r="G15" s="33"/>
      <c r="H15" s="28"/>
      <c r="I15" s="28"/>
      <c r="J15" s="28"/>
      <c r="K15" s="28"/>
      <c r="L15" s="35"/>
      <c r="M15" s="28">
        <v>-15</v>
      </c>
      <c r="N15" s="53"/>
      <c r="O15" s="54">
        <f t="shared" si="0"/>
        <v>0</v>
      </c>
      <c r="R15" s="6"/>
    </row>
    <row r="16" spans="1:235" x14ac:dyDescent="0.2">
      <c r="A16" s="32"/>
      <c r="B16" s="17" t="s">
        <v>23</v>
      </c>
      <c r="C16" s="28"/>
      <c r="D16" s="28"/>
      <c r="E16" s="37"/>
      <c r="F16" s="28"/>
      <c r="G16" s="33"/>
      <c r="H16" s="28"/>
      <c r="I16" s="28"/>
      <c r="J16" s="28"/>
      <c r="K16" s="28"/>
      <c r="L16" s="35"/>
      <c r="M16" s="28">
        <v>-15</v>
      </c>
      <c r="N16" s="53"/>
      <c r="O16" s="54">
        <f t="shared" si="0"/>
        <v>0</v>
      </c>
      <c r="R16" s="6"/>
    </row>
    <row r="17" spans="1:18" x14ac:dyDescent="0.2">
      <c r="A17" s="32"/>
      <c r="B17" s="17" t="s">
        <v>23</v>
      </c>
      <c r="C17" s="28"/>
      <c r="D17" s="28"/>
      <c r="E17" s="37"/>
      <c r="F17" s="28"/>
      <c r="G17" s="33"/>
      <c r="H17" s="28"/>
      <c r="I17" s="28"/>
      <c r="J17" s="28"/>
      <c r="K17" s="28"/>
      <c r="L17" s="35"/>
      <c r="M17" s="28">
        <v>-15</v>
      </c>
      <c r="N17" s="53"/>
      <c r="O17" s="54">
        <f t="shared" si="0"/>
        <v>0</v>
      </c>
      <c r="R17" s="6"/>
    </row>
    <row r="18" spans="1:18" x14ac:dyDescent="0.2">
      <c r="A18" s="32"/>
      <c r="B18" s="17" t="s">
        <v>23</v>
      </c>
      <c r="C18" s="28"/>
      <c r="D18" s="28"/>
      <c r="E18" s="37"/>
      <c r="F18" s="28"/>
      <c r="G18" s="33"/>
      <c r="H18" s="28"/>
      <c r="I18" s="28"/>
      <c r="J18" s="28"/>
      <c r="K18" s="28"/>
      <c r="L18" s="35"/>
      <c r="M18" s="28">
        <v>-15</v>
      </c>
      <c r="N18" s="53"/>
      <c r="O18" s="54">
        <f t="shared" si="0"/>
        <v>0</v>
      </c>
      <c r="R18" s="6"/>
    </row>
    <row r="19" spans="1:18" x14ac:dyDescent="0.2">
      <c r="A19" s="32"/>
      <c r="B19" s="17" t="s">
        <v>23</v>
      </c>
      <c r="C19" s="28"/>
      <c r="D19" s="28"/>
      <c r="E19" s="37"/>
      <c r="F19" s="28"/>
      <c r="G19" s="33"/>
      <c r="H19" s="28"/>
      <c r="I19" s="28"/>
      <c r="J19" s="28"/>
      <c r="K19" s="28"/>
      <c r="L19" s="35"/>
      <c r="M19" s="28">
        <v>-15</v>
      </c>
      <c r="N19" s="53"/>
      <c r="O19" s="54">
        <f t="shared" si="0"/>
        <v>0</v>
      </c>
      <c r="R19" s="6"/>
    </row>
    <row r="20" spans="1:18" x14ac:dyDescent="0.2">
      <c r="A20" s="32"/>
      <c r="B20" s="17" t="s">
        <v>23</v>
      </c>
      <c r="C20" s="28"/>
      <c r="D20" s="28"/>
      <c r="E20" s="37"/>
      <c r="F20" s="28"/>
      <c r="G20" s="33"/>
      <c r="H20" s="28"/>
      <c r="I20" s="28"/>
      <c r="J20" s="28"/>
      <c r="K20" s="28"/>
      <c r="L20" s="35"/>
      <c r="M20" s="28">
        <v>-15</v>
      </c>
      <c r="N20" s="53"/>
      <c r="O20" s="54">
        <f t="shared" si="0"/>
        <v>0</v>
      </c>
      <c r="R20" s="6"/>
    </row>
    <row r="21" spans="1:18" x14ac:dyDescent="0.2">
      <c r="A21" s="32"/>
      <c r="B21" s="17" t="s">
        <v>23</v>
      </c>
      <c r="C21" s="28"/>
      <c r="D21" s="28"/>
      <c r="E21" s="37"/>
      <c r="F21" s="28"/>
      <c r="G21" s="33"/>
      <c r="H21" s="28"/>
      <c r="I21" s="28"/>
      <c r="J21" s="28"/>
      <c r="K21" s="28"/>
      <c r="L21" s="35"/>
      <c r="M21" s="28">
        <v>-15</v>
      </c>
      <c r="N21" s="53"/>
      <c r="O21" s="54">
        <f t="shared" si="0"/>
        <v>0</v>
      </c>
      <c r="R21" s="6"/>
    </row>
    <row r="22" spans="1:18" x14ac:dyDescent="0.2">
      <c r="A22" s="32"/>
      <c r="B22" s="17" t="s">
        <v>23</v>
      </c>
      <c r="C22" s="28"/>
      <c r="D22" s="28"/>
      <c r="E22" s="37"/>
      <c r="F22" s="28"/>
      <c r="G22" s="33"/>
      <c r="H22" s="28"/>
      <c r="I22" s="28"/>
      <c r="J22" s="28"/>
      <c r="K22" s="28"/>
      <c r="L22" s="35"/>
      <c r="M22" s="28">
        <v>-15</v>
      </c>
      <c r="N22" s="53"/>
      <c r="O22" s="54">
        <f t="shared" si="0"/>
        <v>0</v>
      </c>
      <c r="R22" s="6"/>
    </row>
    <row r="23" spans="1:18" x14ac:dyDescent="0.2">
      <c r="A23" s="32"/>
      <c r="B23" s="17" t="s">
        <v>23</v>
      </c>
      <c r="C23" s="28"/>
      <c r="D23" s="28"/>
      <c r="E23" s="37"/>
      <c r="F23" s="28"/>
      <c r="G23" s="33"/>
      <c r="H23" s="28"/>
      <c r="I23" s="28"/>
      <c r="J23" s="28"/>
      <c r="K23" s="28"/>
      <c r="L23" s="35"/>
      <c r="M23" s="28">
        <v>-15</v>
      </c>
      <c r="N23" s="53"/>
      <c r="O23" s="54">
        <f t="shared" si="0"/>
        <v>0</v>
      </c>
      <c r="R23" s="6"/>
    </row>
    <row r="24" spans="1:18" x14ac:dyDescent="0.2">
      <c r="A24" s="32"/>
      <c r="B24" s="17" t="s">
        <v>23</v>
      </c>
      <c r="C24" s="28"/>
      <c r="D24" s="28"/>
      <c r="E24" s="37"/>
      <c r="F24" s="28"/>
      <c r="G24" s="33"/>
      <c r="H24" s="28"/>
      <c r="I24" s="28"/>
      <c r="J24" s="28"/>
      <c r="K24" s="28"/>
      <c r="L24" s="35"/>
      <c r="M24" s="28">
        <v>-15</v>
      </c>
      <c r="N24" s="53"/>
      <c r="O24" s="54">
        <f t="shared" si="0"/>
        <v>0</v>
      </c>
      <c r="R24" s="6"/>
    </row>
    <row r="25" spans="1:18" x14ac:dyDescent="0.2">
      <c r="A25" s="32"/>
      <c r="B25" s="17" t="s">
        <v>23</v>
      </c>
      <c r="C25" s="28"/>
      <c r="D25" s="28"/>
      <c r="E25" s="37"/>
      <c r="F25" s="28"/>
      <c r="G25" s="33"/>
      <c r="H25" s="28"/>
      <c r="I25" s="28"/>
      <c r="J25" s="28"/>
      <c r="K25" s="28"/>
      <c r="L25" s="35"/>
      <c r="M25" s="28">
        <v>-15</v>
      </c>
      <c r="N25" s="53"/>
      <c r="O25" s="54">
        <f t="shared" si="0"/>
        <v>0</v>
      </c>
      <c r="R25" s="6"/>
    </row>
    <row r="26" spans="1:18" x14ac:dyDescent="0.2">
      <c r="A26" s="32"/>
      <c r="B26" s="17" t="s">
        <v>23</v>
      </c>
      <c r="C26" s="28"/>
      <c r="D26" s="28"/>
      <c r="E26" s="37"/>
      <c r="F26" s="28"/>
      <c r="G26" s="33"/>
      <c r="H26" s="28"/>
      <c r="I26" s="28"/>
      <c r="J26" s="28"/>
      <c r="K26" s="52"/>
      <c r="L26" s="35"/>
      <c r="M26" s="28"/>
      <c r="N26" s="53"/>
      <c r="O26" s="54">
        <f t="shared" si="0"/>
        <v>0</v>
      </c>
      <c r="R26" s="6"/>
    </row>
    <row r="27" spans="1:18" x14ac:dyDescent="0.2">
      <c r="A27" s="32"/>
      <c r="B27" s="17" t="s">
        <v>23</v>
      </c>
      <c r="C27" s="28"/>
      <c r="D27" s="28"/>
      <c r="E27" s="37"/>
      <c r="F27" s="28"/>
      <c r="G27" s="33"/>
      <c r="H27" s="28"/>
      <c r="I27" s="28"/>
      <c r="J27" s="28"/>
      <c r="K27" s="28"/>
      <c r="L27" s="35"/>
      <c r="M27" s="28"/>
      <c r="N27" s="53"/>
      <c r="O27" s="54">
        <f t="shared" si="0"/>
        <v>0</v>
      </c>
      <c r="R27" s="6"/>
    </row>
    <row r="28" spans="1:18" x14ac:dyDescent="0.2">
      <c r="A28" s="32"/>
      <c r="B28" s="17" t="s">
        <v>23</v>
      </c>
      <c r="C28" s="28"/>
      <c r="D28" s="28"/>
      <c r="E28" s="37"/>
      <c r="F28" s="28"/>
      <c r="G28" s="33"/>
      <c r="H28" s="28"/>
      <c r="I28" s="28"/>
      <c r="J28" s="28"/>
      <c r="K28" s="28"/>
      <c r="L28" s="35"/>
      <c r="M28" s="28"/>
      <c r="N28" s="53"/>
      <c r="O28" s="54">
        <f t="shared" si="0"/>
        <v>0</v>
      </c>
      <c r="R28" s="6"/>
    </row>
    <row r="29" spans="1:18" x14ac:dyDescent="0.2">
      <c r="A29" s="32"/>
      <c r="B29" s="17" t="s">
        <v>23</v>
      </c>
      <c r="C29" s="28"/>
      <c r="D29" s="28"/>
      <c r="E29" s="37"/>
      <c r="F29" s="28"/>
      <c r="G29" s="33"/>
      <c r="H29" s="28"/>
      <c r="I29" s="28"/>
      <c r="J29" s="28"/>
      <c r="K29" s="28"/>
      <c r="L29" s="35"/>
      <c r="M29" s="28"/>
      <c r="N29" s="53"/>
      <c r="O29" s="54">
        <f t="shared" si="0"/>
        <v>0</v>
      </c>
      <c r="R29" s="6"/>
    </row>
    <row r="30" spans="1:18" x14ac:dyDescent="0.2">
      <c r="A30" s="32"/>
      <c r="B30" s="17" t="s">
        <v>23</v>
      </c>
      <c r="C30" s="28"/>
      <c r="D30" s="28"/>
      <c r="E30" s="37"/>
      <c r="F30" s="28"/>
      <c r="G30" s="33"/>
      <c r="H30" s="28"/>
      <c r="I30" s="28"/>
      <c r="J30" s="28"/>
      <c r="K30" s="28"/>
      <c r="L30" s="35"/>
      <c r="M30" s="28"/>
      <c r="N30" s="53"/>
      <c r="O30" s="54">
        <f t="shared" si="0"/>
        <v>0</v>
      </c>
      <c r="R30" s="6"/>
    </row>
    <row r="31" spans="1:18" x14ac:dyDescent="0.2">
      <c r="A31" s="32"/>
      <c r="B31" s="17" t="s">
        <v>23</v>
      </c>
      <c r="C31" s="28"/>
      <c r="D31" s="28"/>
      <c r="E31" s="37"/>
      <c r="F31" s="28"/>
      <c r="G31" s="33"/>
      <c r="H31" s="28"/>
      <c r="I31" s="28"/>
      <c r="J31" s="28"/>
      <c r="K31" s="28"/>
      <c r="L31" s="55"/>
      <c r="M31" s="28"/>
      <c r="N31" s="53"/>
      <c r="O31" s="54">
        <f t="shared" si="0"/>
        <v>0</v>
      </c>
      <c r="R31" s="6"/>
    </row>
    <row r="32" spans="1:18" x14ac:dyDescent="0.2">
      <c r="A32" s="32"/>
      <c r="B32" s="17" t="s">
        <v>23</v>
      </c>
      <c r="C32" s="28"/>
      <c r="D32" s="28"/>
      <c r="E32" s="37"/>
      <c r="F32" s="28"/>
      <c r="G32" s="33"/>
      <c r="H32" s="28"/>
      <c r="I32" s="28"/>
      <c r="J32" s="28"/>
      <c r="K32" s="28"/>
      <c r="L32" s="35"/>
      <c r="M32" s="28"/>
      <c r="N32" s="53"/>
      <c r="O32" s="54">
        <f t="shared" si="0"/>
        <v>0</v>
      </c>
      <c r="R32" s="6"/>
    </row>
    <row r="33" spans="1:18" x14ac:dyDescent="0.2">
      <c r="A33" s="32"/>
      <c r="B33" s="17" t="s">
        <v>23</v>
      </c>
      <c r="C33" s="28"/>
      <c r="D33" s="28"/>
      <c r="E33" s="37"/>
      <c r="F33" s="28"/>
      <c r="G33" s="33"/>
      <c r="H33" s="28"/>
      <c r="I33" s="28"/>
      <c r="J33" s="28"/>
      <c r="K33" s="28"/>
      <c r="L33" s="35"/>
      <c r="M33" s="28"/>
      <c r="N33" s="53"/>
      <c r="O33" s="54">
        <f t="shared" si="0"/>
        <v>0</v>
      </c>
      <c r="R33" s="6"/>
    </row>
    <row r="34" spans="1:18" x14ac:dyDescent="0.2">
      <c r="A34" s="32"/>
      <c r="B34" s="17" t="s">
        <v>23</v>
      </c>
      <c r="C34" s="28"/>
      <c r="D34" s="28"/>
      <c r="E34" s="37"/>
      <c r="F34" s="28"/>
      <c r="G34" s="33"/>
      <c r="H34" s="28"/>
      <c r="I34" s="28"/>
      <c r="J34" s="28"/>
      <c r="K34" s="28"/>
      <c r="L34" s="35"/>
      <c r="M34" s="28"/>
      <c r="N34" s="53"/>
      <c r="O34" s="54">
        <f t="shared" si="0"/>
        <v>0</v>
      </c>
      <c r="R34" s="6"/>
    </row>
    <row r="35" spans="1:18" x14ac:dyDescent="0.2">
      <c r="A35" s="32"/>
      <c r="B35" s="17" t="s">
        <v>23</v>
      </c>
      <c r="C35" s="28"/>
      <c r="D35" s="28"/>
      <c r="E35" s="37"/>
      <c r="F35" s="28"/>
      <c r="G35" s="33"/>
      <c r="H35" s="28"/>
      <c r="I35" s="28"/>
      <c r="J35" s="28"/>
      <c r="K35" s="28"/>
      <c r="L35" s="35"/>
      <c r="M35" s="28"/>
      <c r="N35" s="53"/>
      <c r="O35" s="54">
        <f t="shared" si="0"/>
        <v>0</v>
      </c>
      <c r="R35" s="6"/>
    </row>
    <row r="36" spans="1:18" x14ac:dyDescent="0.2">
      <c r="A36" s="32"/>
      <c r="B36" s="17" t="s">
        <v>23</v>
      </c>
      <c r="C36" s="28"/>
      <c r="D36" s="28"/>
      <c r="E36" s="37"/>
      <c r="F36" s="28"/>
      <c r="G36" s="33"/>
      <c r="H36" s="28"/>
      <c r="I36" s="28"/>
      <c r="J36" s="28"/>
      <c r="K36" s="28"/>
      <c r="L36" s="35"/>
      <c r="M36" s="28"/>
      <c r="N36" s="53"/>
      <c r="O36" s="54">
        <f t="shared" si="0"/>
        <v>0</v>
      </c>
      <c r="R36" s="6"/>
    </row>
    <row r="37" spans="1:18" x14ac:dyDescent="0.2">
      <c r="A37" s="32"/>
      <c r="B37" s="17" t="s">
        <v>23</v>
      </c>
      <c r="C37" s="28"/>
      <c r="D37" s="28"/>
      <c r="E37" s="37"/>
      <c r="F37" s="28"/>
      <c r="G37" s="33"/>
      <c r="H37" s="28"/>
      <c r="I37" s="28"/>
      <c r="J37" s="28"/>
      <c r="K37" s="28"/>
      <c r="L37" s="35"/>
      <c r="M37" s="28"/>
      <c r="N37" s="53"/>
      <c r="O37" s="54">
        <f t="shared" si="0"/>
        <v>0</v>
      </c>
      <c r="R37" s="6"/>
    </row>
    <row r="38" spans="1:18" x14ac:dyDescent="0.2">
      <c r="A38" s="32"/>
      <c r="B38" s="17" t="s">
        <v>23</v>
      </c>
      <c r="C38" s="28"/>
      <c r="D38" s="28"/>
      <c r="E38" s="37"/>
      <c r="F38" s="28"/>
      <c r="G38" s="33"/>
      <c r="H38" s="28"/>
      <c r="I38" s="28"/>
      <c r="J38" s="28"/>
      <c r="K38" s="28"/>
      <c r="L38" s="35"/>
      <c r="M38" s="28"/>
      <c r="N38" s="53"/>
      <c r="O38" s="54">
        <f t="shared" si="0"/>
        <v>0</v>
      </c>
      <c r="R38" s="6"/>
    </row>
    <row r="39" spans="1:18" x14ac:dyDescent="0.2">
      <c r="A39" s="32"/>
      <c r="B39" s="17" t="s">
        <v>23</v>
      </c>
      <c r="C39" s="28"/>
      <c r="D39" s="28"/>
      <c r="E39" s="37"/>
      <c r="F39" s="28"/>
      <c r="G39" s="33"/>
      <c r="H39" s="28"/>
      <c r="I39" s="28"/>
      <c r="J39" s="28"/>
      <c r="K39" s="28"/>
      <c r="L39" s="35"/>
      <c r="M39" s="28"/>
      <c r="N39" s="53"/>
      <c r="O39" s="54">
        <f t="shared" si="0"/>
        <v>0</v>
      </c>
      <c r="R39" s="6"/>
    </row>
    <row r="40" spans="1:18" x14ac:dyDescent="0.2">
      <c r="A40" s="32"/>
      <c r="B40" s="17" t="s">
        <v>23</v>
      </c>
      <c r="C40" s="28"/>
      <c r="D40" s="28"/>
      <c r="E40" s="28"/>
      <c r="F40" s="28"/>
      <c r="G40" s="33"/>
      <c r="H40" s="28"/>
      <c r="I40" s="28"/>
      <c r="J40" s="28"/>
      <c r="K40" s="28"/>
      <c r="L40" s="35"/>
      <c r="M40" s="28"/>
      <c r="N40" s="53"/>
      <c r="O40" s="54">
        <f t="shared" si="0"/>
        <v>0</v>
      </c>
      <c r="R40" s="6"/>
    </row>
    <row r="41" spans="1:18" x14ac:dyDescent="0.2">
      <c r="A41" s="32"/>
      <c r="B41" s="17" t="s">
        <v>23</v>
      </c>
      <c r="C41" s="28"/>
      <c r="D41" s="28"/>
      <c r="E41" s="28"/>
      <c r="F41" s="28"/>
      <c r="G41" s="33"/>
      <c r="H41" s="28"/>
      <c r="I41" s="28"/>
      <c r="J41" s="28"/>
      <c r="K41" s="28"/>
      <c r="L41" s="35"/>
      <c r="M41" s="28"/>
      <c r="N41" s="53"/>
      <c r="O41" s="54">
        <f t="shared" si="0"/>
        <v>0</v>
      </c>
      <c r="R41" s="6"/>
    </row>
    <row r="42" spans="1:18" x14ac:dyDescent="0.2">
      <c r="A42" s="32"/>
      <c r="B42" s="17" t="s">
        <v>23</v>
      </c>
      <c r="C42" s="28"/>
      <c r="D42" s="28"/>
      <c r="E42" s="28"/>
      <c r="F42" s="28"/>
      <c r="G42" s="33"/>
      <c r="H42" s="28"/>
      <c r="I42" s="28"/>
      <c r="J42" s="28"/>
      <c r="K42" s="28"/>
      <c r="L42" s="35"/>
      <c r="M42" s="28"/>
      <c r="N42" s="53"/>
      <c r="O42" s="54">
        <f t="shared" si="0"/>
        <v>0</v>
      </c>
      <c r="R42" s="6"/>
    </row>
    <row r="43" spans="1:18" x14ac:dyDescent="0.2">
      <c r="A43" s="32"/>
      <c r="B43" s="17" t="s">
        <v>23</v>
      </c>
      <c r="C43" s="28"/>
      <c r="D43" s="28"/>
      <c r="E43" s="28"/>
      <c r="F43" s="28"/>
      <c r="G43" s="33"/>
      <c r="H43" s="28"/>
      <c r="I43" s="28"/>
      <c r="J43" s="28"/>
      <c r="K43" s="28"/>
      <c r="L43" s="35"/>
      <c r="M43" s="28"/>
      <c r="N43" s="53"/>
      <c r="O43" s="54">
        <f t="shared" si="0"/>
        <v>0</v>
      </c>
      <c r="R43" s="6"/>
    </row>
    <row r="44" spans="1:18" x14ac:dyDescent="0.2">
      <c r="A44" s="32"/>
      <c r="B44" s="17" t="s">
        <v>23</v>
      </c>
      <c r="C44" s="28"/>
      <c r="D44" s="28"/>
      <c r="E44" s="28"/>
      <c r="F44" s="28"/>
      <c r="G44" s="33"/>
      <c r="H44" s="28"/>
      <c r="I44" s="28"/>
      <c r="J44" s="28"/>
      <c r="K44" s="28"/>
      <c r="L44" s="35"/>
      <c r="M44" s="28"/>
      <c r="N44" s="53"/>
      <c r="O44" s="54">
        <f t="shared" si="0"/>
        <v>0</v>
      </c>
      <c r="R44" s="6"/>
    </row>
    <row r="45" spans="1:18" x14ac:dyDescent="0.2">
      <c r="A45" s="32"/>
      <c r="B45" s="17" t="s">
        <v>23</v>
      </c>
      <c r="C45" s="28"/>
      <c r="D45" s="28"/>
      <c r="E45" s="28"/>
      <c r="F45" s="28"/>
      <c r="G45" s="33"/>
      <c r="H45" s="28"/>
      <c r="I45" s="28"/>
      <c r="J45" s="28"/>
      <c r="K45" s="28"/>
      <c r="L45" s="35"/>
      <c r="M45" s="28"/>
      <c r="N45" s="53"/>
      <c r="O45" s="54">
        <f t="shared" si="0"/>
        <v>0</v>
      </c>
      <c r="R45" s="6"/>
    </row>
    <row r="46" spans="1:18" x14ac:dyDescent="0.2">
      <c r="A46" s="32"/>
      <c r="B46" s="17" t="s">
        <v>23</v>
      </c>
      <c r="C46" s="28"/>
      <c r="D46" s="28"/>
      <c r="E46" s="28"/>
      <c r="F46" s="28"/>
      <c r="G46" s="33"/>
      <c r="H46" s="28"/>
      <c r="I46" s="28"/>
      <c r="J46" s="28"/>
      <c r="K46" s="28"/>
      <c r="L46" s="35"/>
      <c r="M46" s="28"/>
      <c r="N46" s="53"/>
      <c r="O46" s="54">
        <f t="shared" si="0"/>
        <v>0</v>
      </c>
      <c r="R46" s="6"/>
    </row>
    <row r="47" spans="1:18" x14ac:dyDescent="0.2">
      <c r="A47" s="32"/>
      <c r="B47" s="17" t="s">
        <v>23</v>
      </c>
      <c r="C47" s="28"/>
      <c r="D47" s="28"/>
      <c r="E47" s="28"/>
      <c r="F47" s="28"/>
      <c r="G47" s="33"/>
      <c r="H47" s="28"/>
      <c r="I47" s="28"/>
      <c r="J47" s="28"/>
      <c r="K47" s="28"/>
      <c r="L47" s="35"/>
      <c r="M47" s="28"/>
      <c r="N47" s="53"/>
      <c r="O47" s="54">
        <f t="shared" si="0"/>
        <v>0</v>
      </c>
      <c r="R47" s="6"/>
    </row>
    <row r="48" spans="1:18" x14ac:dyDescent="0.2">
      <c r="A48" s="32"/>
      <c r="B48" s="17" t="s">
        <v>23</v>
      </c>
      <c r="C48" s="28"/>
      <c r="D48" s="28"/>
      <c r="E48" s="28"/>
      <c r="F48" s="28"/>
      <c r="G48" s="33"/>
      <c r="H48" s="28"/>
      <c r="I48" s="28"/>
      <c r="J48" s="28"/>
      <c r="K48" s="28"/>
      <c r="L48" s="35"/>
      <c r="M48" s="28"/>
      <c r="N48" s="53"/>
      <c r="O48" s="54">
        <f t="shared" si="0"/>
        <v>0</v>
      </c>
      <c r="R48" s="6"/>
    </row>
    <row r="49" spans="1:18" x14ac:dyDescent="0.2">
      <c r="A49" s="32"/>
      <c r="B49" s="17" t="s">
        <v>23</v>
      </c>
      <c r="C49" s="28"/>
      <c r="D49" s="28"/>
      <c r="E49" s="28"/>
      <c r="F49" s="28"/>
      <c r="G49" s="33"/>
      <c r="H49" s="28"/>
      <c r="I49" s="28"/>
      <c r="J49" s="28"/>
      <c r="K49" s="28"/>
      <c r="L49" s="35"/>
      <c r="M49" s="28"/>
      <c r="N49" s="53"/>
      <c r="O49" s="54">
        <f t="shared" si="0"/>
        <v>0</v>
      </c>
      <c r="R49" s="6"/>
    </row>
    <row r="50" spans="1:18" x14ac:dyDescent="0.2">
      <c r="A50" s="32"/>
      <c r="B50" s="17" t="s">
        <v>23</v>
      </c>
      <c r="C50" s="28"/>
      <c r="D50" s="28"/>
      <c r="E50" s="28"/>
      <c r="F50" s="28"/>
      <c r="G50" s="33"/>
      <c r="H50" s="28"/>
      <c r="I50" s="28"/>
      <c r="J50" s="28"/>
      <c r="K50" s="28"/>
      <c r="L50" s="35"/>
      <c r="M50" s="28"/>
      <c r="N50" s="53"/>
      <c r="O50" s="54">
        <f t="shared" si="0"/>
        <v>0</v>
      </c>
      <c r="R50" s="6"/>
    </row>
    <row r="51" spans="1:18" x14ac:dyDescent="0.2">
      <c r="A51" s="32"/>
      <c r="B51" s="17" t="s">
        <v>23</v>
      </c>
      <c r="C51" s="28"/>
      <c r="D51" s="28"/>
      <c r="E51" s="28"/>
      <c r="F51" s="28"/>
      <c r="G51" s="33"/>
      <c r="H51" s="28"/>
      <c r="I51" s="28"/>
      <c r="J51" s="28"/>
      <c r="K51" s="28"/>
      <c r="L51" s="35"/>
      <c r="M51" s="28"/>
      <c r="N51" s="53"/>
      <c r="O51" s="54">
        <f t="shared" si="0"/>
        <v>0</v>
      </c>
      <c r="R51" s="6"/>
    </row>
    <row r="52" spans="1:18" x14ac:dyDescent="0.2">
      <c r="A52" s="32"/>
      <c r="B52" s="17" t="s">
        <v>23</v>
      </c>
      <c r="C52" s="28"/>
      <c r="D52" s="28"/>
      <c r="E52" s="28"/>
      <c r="F52" s="28"/>
      <c r="G52" s="33"/>
      <c r="H52" s="28"/>
      <c r="I52" s="28"/>
      <c r="J52" s="28"/>
      <c r="K52" s="28"/>
      <c r="L52" s="35"/>
      <c r="M52" s="28"/>
      <c r="N52" s="53"/>
      <c r="O52" s="54">
        <f t="shared" si="0"/>
        <v>0</v>
      </c>
      <c r="R52" s="6"/>
    </row>
    <row r="53" spans="1:18" x14ac:dyDescent="0.2">
      <c r="A53" s="32"/>
      <c r="B53" s="17" t="s">
        <v>23</v>
      </c>
      <c r="C53" s="28"/>
      <c r="D53" s="28"/>
      <c r="E53" s="28"/>
      <c r="F53" s="28"/>
      <c r="G53" s="33"/>
      <c r="H53" s="28"/>
      <c r="I53" s="28"/>
      <c r="J53" s="28"/>
      <c r="K53" s="28"/>
      <c r="L53" s="35"/>
      <c r="M53" s="28"/>
      <c r="N53" s="53"/>
      <c r="O53" s="54">
        <f t="shared" si="0"/>
        <v>0</v>
      </c>
      <c r="R53" s="6"/>
    </row>
    <row r="54" spans="1:18" x14ac:dyDescent="0.2">
      <c r="A54" s="32"/>
      <c r="B54" s="17" t="s">
        <v>23</v>
      </c>
      <c r="C54" s="28"/>
      <c r="D54" s="28"/>
      <c r="E54" s="28"/>
      <c r="F54" s="28"/>
      <c r="G54" s="33"/>
      <c r="H54" s="28"/>
      <c r="I54" s="28"/>
      <c r="J54" s="28"/>
      <c r="K54" s="28"/>
      <c r="L54" s="35"/>
      <c r="M54" s="28"/>
      <c r="N54" s="53"/>
      <c r="O54" s="54">
        <f t="shared" si="0"/>
        <v>0</v>
      </c>
      <c r="R54" s="6"/>
    </row>
    <row r="55" spans="1:18" x14ac:dyDescent="0.2">
      <c r="A55" s="32"/>
      <c r="B55" s="17" t="s">
        <v>23</v>
      </c>
      <c r="C55" s="28"/>
      <c r="D55" s="28"/>
      <c r="E55" s="28"/>
      <c r="F55" s="28"/>
      <c r="G55" s="33"/>
      <c r="H55" s="28"/>
      <c r="I55" s="28"/>
      <c r="J55" s="28"/>
      <c r="K55" s="28"/>
      <c r="L55" s="35"/>
      <c r="M55" s="28"/>
      <c r="N55" s="53"/>
      <c r="O55" s="54">
        <f t="shared" si="0"/>
        <v>0</v>
      </c>
      <c r="R55" s="6"/>
    </row>
    <row r="56" spans="1:18" x14ac:dyDescent="0.2">
      <c r="A56" s="32"/>
      <c r="B56" s="17" t="s">
        <v>23</v>
      </c>
      <c r="C56" s="28"/>
      <c r="D56" s="28"/>
      <c r="E56" s="28"/>
      <c r="F56" s="28"/>
      <c r="G56" s="33"/>
      <c r="H56" s="28"/>
      <c r="I56" s="28"/>
      <c r="J56" s="28"/>
      <c r="K56" s="28"/>
      <c r="L56" s="35"/>
      <c r="M56" s="28"/>
      <c r="N56" s="53"/>
      <c r="O56" s="54">
        <f t="shared" si="0"/>
        <v>0</v>
      </c>
      <c r="R56" s="6"/>
    </row>
    <row r="57" spans="1:18" x14ac:dyDescent="0.2">
      <c r="A57" s="32"/>
      <c r="B57" s="17" t="s">
        <v>23</v>
      </c>
      <c r="C57" s="28"/>
      <c r="D57" s="28"/>
      <c r="E57" s="28"/>
      <c r="F57" s="28"/>
      <c r="G57" s="33"/>
      <c r="H57" s="28"/>
      <c r="I57" s="28"/>
      <c r="J57" s="28"/>
      <c r="K57" s="28"/>
      <c r="L57" s="35"/>
      <c r="M57" s="28"/>
      <c r="N57" s="53"/>
      <c r="O57" s="54">
        <f t="shared" si="0"/>
        <v>0</v>
      </c>
      <c r="R57" s="6"/>
    </row>
    <row r="58" spans="1:18" x14ac:dyDescent="0.2">
      <c r="A58" s="32"/>
      <c r="B58" s="17" t="s">
        <v>23</v>
      </c>
      <c r="C58" s="28"/>
      <c r="D58" s="28"/>
      <c r="E58" s="28"/>
      <c r="F58" s="28"/>
      <c r="G58" s="33"/>
      <c r="H58" s="28"/>
      <c r="I58" s="28"/>
      <c r="J58" s="28"/>
      <c r="K58" s="28"/>
      <c r="L58" s="35"/>
      <c r="M58" s="28"/>
      <c r="N58" s="53"/>
      <c r="O58" s="54">
        <f t="shared" si="0"/>
        <v>0</v>
      </c>
      <c r="R58" s="6"/>
    </row>
    <row r="59" spans="1:18" x14ac:dyDescent="0.2">
      <c r="A59" s="32"/>
      <c r="B59" s="17" t="s">
        <v>23</v>
      </c>
      <c r="C59" s="28"/>
      <c r="D59" s="28"/>
      <c r="E59" s="28"/>
      <c r="F59" s="28"/>
      <c r="G59" s="33"/>
      <c r="H59" s="28"/>
      <c r="I59" s="28"/>
      <c r="J59" s="28"/>
      <c r="K59" s="28"/>
      <c r="L59" s="35"/>
      <c r="M59" s="28"/>
      <c r="N59" s="53"/>
      <c r="O59" s="54">
        <f t="shared" si="0"/>
        <v>0</v>
      </c>
      <c r="R59" s="6"/>
    </row>
    <row r="60" spans="1:18" x14ac:dyDescent="0.2">
      <c r="A60" s="32"/>
      <c r="B60" s="17" t="s">
        <v>23</v>
      </c>
      <c r="C60" s="28"/>
      <c r="D60" s="28"/>
      <c r="E60" s="28"/>
      <c r="F60" s="28"/>
      <c r="G60" s="33"/>
      <c r="H60" s="28"/>
      <c r="I60" s="28"/>
      <c r="J60" s="28"/>
      <c r="K60" s="28"/>
      <c r="L60" s="35"/>
      <c r="M60" s="28"/>
      <c r="N60" s="53"/>
      <c r="O60" s="54">
        <f t="shared" si="0"/>
        <v>0</v>
      </c>
      <c r="R60" s="6"/>
    </row>
    <row r="61" spans="1:18" x14ac:dyDescent="0.2">
      <c r="A61" s="32"/>
      <c r="B61" s="17" t="s">
        <v>23</v>
      </c>
      <c r="C61" s="28"/>
      <c r="D61" s="28"/>
      <c r="E61" s="28"/>
      <c r="F61" s="28"/>
      <c r="G61" s="33"/>
      <c r="H61" s="28"/>
      <c r="I61" s="28"/>
      <c r="J61" s="28"/>
      <c r="K61" s="28"/>
      <c r="L61" s="35"/>
      <c r="M61" s="28"/>
      <c r="N61" s="53"/>
      <c r="O61" s="54">
        <f t="shared" si="0"/>
        <v>0</v>
      </c>
      <c r="R61" s="6"/>
    </row>
    <row r="62" spans="1:18" x14ac:dyDescent="0.2">
      <c r="A62" s="32"/>
      <c r="B62" s="17" t="s">
        <v>23</v>
      </c>
      <c r="C62" s="28"/>
      <c r="D62" s="28"/>
      <c r="E62" s="28"/>
      <c r="F62" s="28"/>
      <c r="G62" s="33"/>
      <c r="H62" s="28"/>
      <c r="I62" s="28"/>
      <c r="J62" s="28"/>
      <c r="K62" s="28"/>
      <c r="L62" s="35"/>
      <c r="M62" s="28"/>
      <c r="N62" s="53"/>
      <c r="O62" s="54">
        <f t="shared" si="0"/>
        <v>0</v>
      </c>
      <c r="R62" s="6"/>
    </row>
    <row r="63" spans="1:18" x14ac:dyDescent="0.2">
      <c r="A63" s="32"/>
      <c r="B63" s="17" t="s">
        <v>23</v>
      </c>
      <c r="C63" s="28"/>
      <c r="D63" s="28"/>
      <c r="E63" s="28"/>
      <c r="F63" s="28"/>
      <c r="G63" s="33"/>
      <c r="H63" s="28"/>
      <c r="I63" s="28"/>
      <c r="J63" s="28"/>
      <c r="K63" s="28"/>
      <c r="L63" s="35"/>
      <c r="M63" s="28"/>
      <c r="N63" s="53"/>
      <c r="O63" s="54">
        <f t="shared" si="0"/>
        <v>0</v>
      </c>
      <c r="R63" s="6"/>
    </row>
    <row r="64" spans="1:18" x14ac:dyDescent="0.2">
      <c r="A64" s="32"/>
      <c r="B64" s="17" t="s">
        <v>23</v>
      </c>
      <c r="C64" s="28"/>
      <c r="D64" s="28"/>
      <c r="E64" s="28"/>
      <c r="F64" s="28"/>
      <c r="G64" s="33"/>
      <c r="H64" s="28"/>
      <c r="I64" s="28"/>
      <c r="J64" s="28"/>
      <c r="K64" s="28"/>
      <c r="L64" s="35"/>
      <c r="M64" s="28"/>
      <c r="N64" s="53"/>
      <c r="O64" s="54">
        <f t="shared" si="0"/>
        <v>0</v>
      </c>
      <c r="R64" s="6"/>
    </row>
    <row r="65" spans="1:18" x14ac:dyDescent="0.2">
      <c r="A65" s="32"/>
      <c r="B65" s="17" t="s">
        <v>23</v>
      </c>
      <c r="C65" s="28"/>
      <c r="D65" s="28"/>
      <c r="E65" s="28"/>
      <c r="F65" s="28"/>
      <c r="G65" s="33"/>
      <c r="H65" s="28"/>
      <c r="I65" s="28"/>
      <c r="J65" s="28"/>
      <c r="K65" s="28"/>
      <c r="L65" s="35"/>
      <c r="M65" s="28"/>
      <c r="N65" s="53"/>
      <c r="O65" s="54">
        <f t="shared" si="0"/>
        <v>0</v>
      </c>
      <c r="R65" s="6"/>
    </row>
    <row r="66" spans="1:18" x14ac:dyDescent="0.2">
      <c r="A66" s="32"/>
      <c r="B66" s="17" t="s">
        <v>23</v>
      </c>
      <c r="C66" s="28"/>
      <c r="D66" s="28"/>
      <c r="E66" s="28"/>
      <c r="F66" s="28"/>
      <c r="G66" s="33"/>
      <c r="H66" s="28"/>
      <c r="I66" s="28"/>
      <c r="J66" s="28"/>
      <c r="K66" s="28"/>
      <c r="L66" s="35"/>
      <c r="M66" s="28"/>
      <c r="N66" s="53"/>
      <c r="O66" s="54">
        <f t="shared" si="0"/>
        <v>0</v>
      </c>
      <c r="R66" s="6"/>
    </row>
    <row r="67" spans="1:18" x14ac:dyDescent="0.2">
      <c r="A67" s="32"/>
      <c r="B67" s="17" t="s">
        <v>23</v>
      </c>
      <c r="C67" s="28"/>
      <c r="D67" s="28"/>
      <c r="E67" s="28"/>
      <c r="F67" s="28"/>
      <c r="G67" s="33"/>
      <c r="H67" s="28"/>
      <c r="I67" s="28"/>
      <c r="J67" s="28"/>
      <c r="K67" s="28"/>
      <c r="L67" s="35"/>
      <c r="M67" s="28"/>
      <c r="N67" s="53"/>
      <c r="O67" s="54">
        <f t="shared" ref="O67:O130" si="1">N67*J67</f>
        <v>0</v>
      </c>
      <c r="R67" s="6"/>
    </row>
    <row r="68" spans="1:18" x14ac:dyDescent="0.2">
      <c r="A68" s="32"/>
      <c r="B68" s="17" t="s">
        <v>23</v>
      </c>
      <c r="C68" s="28"/>
      <c r="D68" s="28"/>
      <c r="E68" s="28"/>
      <c r="F68" s="28"/>
      <c r="G68" s="33"/>
      <c r="H68" s="28"/>
      <c r="I68" s="28"/>
      <c r="J68" s="28"/>
      <c r="K68" s="28"/>
      <c r="L68" s="35"/>
      <c r="M68" s="28"/>
      <c r="N68" s="53"/>
      <c r="O68" s="54">
        <f t="shared" si="1"/>
        <v>0</v>
      </c>
      <c r="R68" s="6"/>
    </row>
    <row r="69" spans="1:18" x14ac:dyDescent="0.2">
      <c r="A69" s="32"/>
      <c r="B69" s="17" t="s">
        <v>23</v>
      </c>
      <c r="C69" s="28"/>
      <c r="D69" s="28"/>
      <c r="E69" s="28"/>
      <c r="F69" s="28"/>
      <c r="G69" s="33"/>
      <c r="H69" s="28"/>
      <c r="I69" s="28"/>
      <c r="J69" s="28"/>
      <c r="K69" s="28"/>
      <c r="L69" s="35"/>
      <c r="M69" s="28"/>
      <c r="N69" s="53"/>
      <c r="O69" s="54">
        <f t="shared" si="1"/>
        <v>0</v>
      </c>
      <c r="R69" s="6"/>
    </row>
    <row r="70" spans="1:18" x14ac:dyDescent="0.2">
      <c r="A70" s="32"/>
      <c r="B70" s="17"/>
      <c r="C70" s="28"/>
      <c r="D70" s="28"/>
      <c r="E70" s="28"/>
      <c r="F70" s="28"/>
      <c r="G70" s="33"/>
      <c r="H70" s="28"/>
      <c r="I70" s="28"/>
      <c r="J70" s="28"/>
      <c r="K70" s="28"/>
      <c r="L70" s="35"/>
      <c r="M70" s="28"/>
      <c r="N70" s="53"/>
      <c r="O70" s="54">
        <f t="shared" si="1"/>
        <v>0</v>
      </c>
      <c r="R70" s="6"/>
    </row>
    <row r="71" spans="1:18" x14ac:dyDescent="0.2">
      <c r="A71" s="32"/>
      <c r="B71" s="17"/>
      <c r="C71" s="28"/>
      <c r="D71" s="28"/>
      <c r="E71" s="28"/>
      <c r="F71" s="28"/>
      <c r="G71" s="33"/>
      <c r="H71" s="28"/>
      <c r="I71" s="28"/>
      <c r="J71" s="28"/>
      <c r="K71" s="28"/>
      <c r="L71" s="35"/>
      <c r="M71" s="28"/>
      <c r="N71" s="53"/>
      <c r="O71" s="54">
        <f t="shared" si="1"/>
        <v>0</v>
      </c>
      <c r="R71" s="6"/>
    </row>
    <row r="72" spans="1:18" x14ac:dyDescent="0.2">
      <c r="A72" s="32"/>
      <c r="B72" s="17"/>
      <c r="C72" s="28"/>
      <c r="D72" s="28"/>
      <c r="E72" s="28"/>
      <c r="F72" s="28"/>
      <c r="G72" s="33"/>
      <c r="H72" s="28"/>
      <c r="I72" s="28"/>
      <c r="J72" s="28"/>
      <c r="K72" s="28"/>
      <c r="L72" s="35"/>
      <c r="M72" s="28"/>
      <c r="N72" s="53"/>
      <c r="O72" s="54">
        <f t="shared" si="1"/>
        <v>0</v>
      </c>
      <c r="R72" s="6"/>
    </row>
    <row r="73" spans="1:18" x14ac:dyDescent="0.2">
      <c r="A73" s="32"/>
      <c r="B73" s="17"/>
      <c r="C73" s="28"/>
      <c r="D73" s="28"/>
      <c r="E73" s="28"/>
      <c r="F73" s="28"/>
      <c r="G73" s="33"/>
      <c r="H73" s="28"/>
      <c r="I73" s="28"/>
      <c r="J73" s="28"/>
      <c r="K73" s="28"/>
      <c r="L73" s="35"/>
      <c r="M73" s="28"/>
      <c r="N73" s="53"/>
      <c r="O73" s="54">
        <f t="shared" si="1"/>
        <v>0</v>
      </c>
      <c r="R73" s="6"/>
    </row>
    <row r="74" spans="1:18" x14ac:dyDescent="0.2">
      <c r="A74" s="32"/>
      <c r="B74" s="17"/>
      <c r="C74" s="28"/>
      <c r="D74" s="28"/>
      <c r="E74" s="28"/>
      <c r="F74" s="28"/>
      <c r="G74" s="33"/>
      <c r="H74" s="28"/>
      <c r="I74" s="28"/>
      <c r="J74" s="28"/>
      <c r="K74" s="28"/>
      <c r="L74" s="35"/>
      <c r="M74" s="28"/>
      <c r="N74" s="53"/>
      <c r="O74" s="54">
        <f t="shared" si="1"/>
        <v>0</v>
      </c>
      <c r="R74" s="6"/>
    </row>
    <row r="75" spans="1:18" x14ac:dyDescent="0.2">
      <c r="A75" s="32"/>
      <c r="B75" s="17"/>
      <c r="C75" s="28"/>
      <c r="D75" s="28"/>
      <c r="E75" s="28"/>
      <c r="F75" s="28"/>
      <c r="G75" s="33"/>
      <c r="H75" s="28"/>
      <c r="I75" s="28"/>
      <c r="J75" s="28"/>
      <c r="K75" s="28"/>
      <c r="L75" s="35"/>
      <c r="M75" s="28"/>
      <c r="N75" s="53"/>
      <c r="O75" s="54">
        <f t="shared" si="1"/>
        <v>0</v>
      </c>
      <c r="R75" s="6"/>
    </row>
    <row r="76" spans="1:18" x14ac:dyDescent="0.2">
      <c r="A76" s="32"/>
      <c r="B76" s="17"/>
      <c r="C76" s="28"/>
      <c r="D76" s="28"/>
      <c r="E76" s="28"/>
      <c r="F76" s="28"/>
      <c r="G76" s="33"/>
      <c r="H76" s="28"/>
      <c r="I76" s="28"/>
      <c r="J76" s="28"/>
      <c r="K76" s="28"/>
      <c r="L76" s="35"/>
      <c r="M76" s="28"/>
      <c r="N76" s="53"/>
      <c r="O76" s="54">
        <f t="shared" si="1"/>
        <v>0</v>
      </c>
      <c r="R76" s="6"/>
    </row>
    <row r="77" spans="1:18" x14ac:dyDescent="0.2">
      <c r="A77" s="32"/>
      <c r="B77" s="17"/>
      <c r="C77" s="28"/>
      <c r="D77" s="28"/>
      <c r="E77" s="28"/>
      <c r="F77" s="28"/>
      <c r="G77" s="33"/>
      <c r="H77" s="28"/>
      <c r="I77" s="28"/>
      <c r="J77" s="28"/>
      <c r="K77" s="28"/>
      <c r="L77" s="35"/>
      <c r="M77" s="28"/>
      <c r="N77" s="53"/>
      <c r="O77" s="54">
        <f t="shared" si="1"/>
        <v>0</v>
      </c>
      <c r="R77" s="6"/>
    </row>
    <row r="78" spans="1:18" x14ac:dyDescent="0.2">
      <c r="A78" s="32"/>
      <c r="B78" s="17"/>
      <c r="C78" s="28"/>
      <c r="D78" s="28"/>
      <c r="E78" s="28"/>
      <c r="F78" s="28"/>
      <c r="G78" s="33"/>
      <c r="H78" s="28"/>
      <c r="I78" s="28"/>
      <c r="J78" s="28"/>
      <c r="K78" s="28"/>
      <c r="L78" s="35"/>
      <c r="M78" s="28"/>
      <c r="N78" s="53"/>
      <c r="O78" s="54">
        <f t="shared" si="1"/>
        <v>0</v>
      </c>
      <c r="R78" s="6"/>
    </row>
    <row r="79" spans="1:18" x14ac:dyDescent="0.2">
      <c r="A79" s="32"/>
      <c r="B79" s="17"/>
      <c r="C79" s="28"/>
      <c r="D79" s="28"/>
      <c r="E79" s="28"/>
      <c r="F79" s="28"/>
      <c r="G79" s="33"/>
      <c r="H79" s="28"/>
      <c r="I79" s="28"/>
      <c r="J79" s="28"/>
      <c r="K79" s="28"/>
      <c r="L79" s="35"/>
      <c r="M79" s="28"/>
      <c r="N79" s="53"/>
      <c r="O79" s="54">
        <f t="shared" si="1"/>
        <v>0</v>
      </c>
      <c r="R79" s="6"/>
    </row>
    <row r="80" spans="1:18" x14ac:dyDescent="0.2">
      <c r="A80" s="32"/>
      <c r="B80" s="17"/>
      <c r="C80" s="28"/>
      <c r="D80" s="28"/>
      <c r="E80" s="28"/>
      <c r="F80" s="28"/>
      <c r="G80" s="33"/>
      <c r="H80" s="28"/>
      <c r="I80" s="28"/>
      <c r="J80" s="28"/>
      <c r="K80" s="28"/>
      <c r="L80" s="35"/>
      <c r="M80" s="28"/>
      <c r="N80" s="53"/>
      <c r="O80" s="54">
        <f t="shared" si="1"/>
        <v>0</v>
      </c>
      <c r="R80" s="6"/>
    </row>
    <row r="81" spans="1:18" x14ac:dyDescent="0.2">
      <c r="A81" s="32"/>
      <c r="B81" s="17"/>
      <c r="C81" s="28"/>
      <c r="D81" s="28"/>
      <c r="E81" s="28"/>
      <c r="F81" s="28"/>
      <c r="G81" s="33"/>
      <c r="H81" s="28"/>
      <c r="I81" s="28"/>
      <c r="J81" s="28"/>
      <c r="K81" s="28"/>
      <c r="L81" s="35"/>
      <c r="M81" s="28"/>
      <c r="N81" s="53"/>
      <c r="O81" s="54">
        <f t="shared" si="1"/>
        <v>0</v>
      </c>
      <c r="R81" s="6"/>
    </row>
    <row r="82" spans="1:18" x14ac:dyDescent="0.2">
      <c r="A82" s="32"/>
      <c r="B82" s="17"/>
      <c r="C82" s="28"/>
      <c r="D82" s="28"/>
      <c r="E82" s="28"/>
      <c r="F82" s="28"/>
      <c r="G82" s="33"/>
      <c r="H82" s="28"/>
      <c r="I82" s="28"/>
      <c r="J82" s="28"/>
      <c r="K82" s="28"/>
      <c r="L82" s="35"/>
      <c r="M82" s="28"/>
      <c r="N82" s="53"/>
      <c r="O82" s="54">
        <f t="shared" si="1"/>
        <v>0</v>
      </c>
      <c r="R82" s="6"/>
    </row>
    <row r="83" spans="1:18" x14ac:dyDescent="0.2">
      <c r="A83" s="32"/>
      <c r="B83" s="17"/>
      <c r="C83" s="28"/>
      <c r="D83" s="28"/>
      <c r="E83" s="28"/>
      <c r="F83" s="28"/>
      <c r="G83" s="33"/>
      <c r="H83" s="28"/>
      <c r="I83" s="28"/>
      <c r="J83" s="28"/>
      <c r="K83" s="28"/>
      <c r="L83" s="35"/>
      <c r="M83" s="28"/>
      <c r="N83" s="53"/>
      <c r="O83" s="54">
        <f t="shared" si="1"/>
        <v>0</v>
      </c>
      <c r="R83" s="6"/>
    </row>
    <row r="84" spans="1:18" x14ac:dyDescent="0.2">
      <c r="A84" s="32"/>
      <c r="B84" s="17"/>
      <c r="C84" s="28"/>
      <c r="D84" s="28"/>
      <c r="E84" s="28"/>
      <c r="F84" s="28"/>
      <c r="G84" s="33"/>
      <c r="H84" s="28"/>
      <c r="I84" s="28"/>
      <c r="J84" s="28"/>
      <c r="K84" s="28"/>
      <c r="L84" s="35"/>
      <c r="M84" s="28"/>
      <c r="N84" s="53"/>
      <c r="O84" s="54">
        <f t="shared" si="1"/>
        <v>0</v>
      </c>
      <c r="R84" s="6"/>
    </row>
    <row r="85" spans="1:18" x14ac:dyDescent="0.2">
      <c r="A85" s="32"/>
      <c r="B85" s="17"/>
      <c r="C85" s="28"/>
      <c r="D85" s="28"/>
      <c r="E85" s="28"/>
      <c r="F85" s="28"/>
      <c r="G85" s="33"/>
      <c r="H85" s="28"/>
      <c r="I85" s="28"/>
      <c r="J85" s="28"/>
      <c r="K85" s="28"/>
      <c r="L85" s="35"/>
      <c r="M85" s="28"/>
      <c r="N85" s="53"/>
      <c r="O85" s="54">
        <f t="shared" si="1"/>
        <v>0</v>
      </c>
      <c r="R85" s="6"/>
    </row>
    <row r="86" spans="1:18" x14ac:dyDescent="0.2">
      <c r="A86" s="32"/>
      <c r="B86" s="17"/>
      <c r="C86" s="28"/>
      <c r="D86" s="28"/>
      <c r="E86" s="28"/>
      <c r="F86" s="28"/>
      <c r="G86" s="33"/>
      <c r="H86" s="28"/>
      <c r="I86" s="28"/>
      <c r="J86" s="28"/>
      <c r="K86" s="28"/>
      <c r="L86" s="35"/>
      <c r="M86" s="28"/>
      <c r="N86" s="53"/>
      <c r="O86" s="54">
        <f t="shared" si="1"/>
        <v>0</v>
      </c>
      <c r="R86" s="6"/>
    </row>
    <row r="87" spans="1:18" x14ac:dyDescent="0.2">
      <c r="A87" s="32"/>
      <c r="B87" s="17"/>
      <c r="C87" s="28"/>
      <c r="D87" s="28"/>
      <c r="E87" s="28"/>
      <c r="F87" s="28"/>
      <c r="G87" s="33"/>
      <c r="H87" s="28"/>
      <c r="I87" s="28"/>
      <c r="J87" s="28"/>
      <c r="K87" s="28"/>
      <c r="L87" s="35"/>
      <c r="M87" s="28"/>
      <c r="N87" s="53"/>
      <c r="O87" s="54">
        <f t="shared" si="1"/>
        <v>0</v>
      </c>
      <c r="R87" s="6"/>
    </row>
    <row r="88" spans="1:18" x14ac:dyDescent="0.2">
      <c r="A88" s="32"/>
      <c r="B88" s="17"/>
      <c r="C88" s="28"/>
      <c r="D88" s="28"/>
      <c r="E88" s="28"/>
      <c r="F88" s="28"/>
      <c r="G88" s="33"/>
      <c r="H88" s="28"/>
      <c r="I88" s="28"/>
      <c r="J88" s="28"/>
      <c r="K88" s="28"/>
      <c r="L88" s="35"/>
      <c r="M88" s="28"/>
      <c r="N88" s="53"/>
      <c r="O88" s="54">
        <f t="shared" si="1"/>
        <v>0</v>
      </c>
      <c r="R88" s="6"/>
    </row>
    <row r="89" spans="1:18" x14ac:dyDescent="0.2">
      <c r="A89" s="32"/>
      <c r="B89" s="17" t="s">
        <v>24</v>
      </c>
      <c r="C89" s="28"/>
      <c r="D89" s="28"/>
      <c r="E89" s="28"/>
      <c r="F89" s="28"/>
      <c r="G89" s="33"/>
      <c r="H89" s="28"/>
      <c r="I89" s="28"/>
      <c r="J89" s="28"/>
      <c r="K89" s="28"/>
      <c r="L89" s="35"/>
      <c r="M89" s="28"/>
      <c r="N89" s="53"/>
      <c r="O89" s="54">
        <f t="shared" si="1"/>
        <v>0</v>
      </c>
      <c r="R89" s="6"/>
    </row>
    <row r="90" spans="1:18" x14ac:dyDescent="0.2">
      <c r="A90" s="32"/>
      <c r="B90" s="17" t="s">
        <v>24</v>
      </c>
      <c r="C90" s="28"/>
      <c r="D90" s="28"/>
      <c r="E90" s="28"/>
      <c r="F90" s="28"/>
      <c r="G90" s="33"/>
      <c r="H90" s="28"/>
      <c r="I90" s="28"/>
      <c r="J90" s="28"/>
      <c r="K90" s="28"/>
      <c r="L90" s="35"/>
      <c r="M90" s="28"/>
      <c r="N90" s="53"/>
      <c r="O90" s="54">
        <f t="shared" si="1"/>
        <v>0</v>
      </c>
      <c r="R90" s="6"/>
    </row>
    <row r="91" spans="1:18" x14ac:dyDescent="0.2">
      <c r="A91" s="32"/>
      <c r="B91" s="17" t="s">
        <v>24</v>
      </c>
      <c r="C91" s="28"/>
      <c r="D91" s="28"/>
      <c r="E91" s="28"/>
      <c r="F91" s="28"/>
      <c r="G91" s="33"/>
      <c r="H91" s="28"/>
      <c r="I91" s="28"/>
      <c r="J91" s="28"/>
      <c r="K91" s="28"/>
      <c r="L91" s="35"/>
      <c r="M91" s="28"/>
      <c r="N91" s="53"/>
      <c r="O91" s="54">
        <f t="shared" si="1"/>
        <v>0</v>
      </c>
      <c r="R91" s="6"/>
    </row>
    <row r="92" spans="1:18" x14ac:dyDescent="0.2">
      <c r="A92" s="32"/>
      <c r="B92" s="17" t="s">
        <v>24</v>
      </c>
      <c r="C92" s="28"/>
      <c r="D92" s="28"/>
      <c r="E92" s="28"/>
      <c r="F92" s="28"/>
      <c r="G92" s="33"/>
      <c r="H92" s="28"/>
      <c r="I92" s="28"/>
      <c r="J92" s="28"/>
      <c r="K92" s="28"/>
      <c r="L92" s="35"/>
      <c r="M92" s="28"/>
      <c r="N92" s="53"/>
      <c r="O92" s="54">
        <f t="shared" si="1"/>
        <v>0</v>
      </c>
      <c r="R92" s="6"/>
    </row>
    <row r="93" spans="1:18" x14ac:dyDescent="0.2">
      <c r="A93" s="32"/>
      <c r="B93" s="17" t="s">
        <v>24</v>
      </c>
      <c r="C93" s="28"/>
      <c r="D93" s="28"/>
      <c r="E93" s="28"/>
      <c r="F93" s="28"/>
      <c r="G93" s="33"/>
      <c r="H93" s="28"/>
      <c r="I93" s="28"/>
      <c r="J93" s="28"/>
      <c r="K93" s="28"/>
      <c r="L93" s="35"/>
      <c r="M93" s="28"/>
      <c r="N93" s="53"/>
      <c r="O93" s="54">
        <f t="shared" si="1"/>
        <v>0</v>
      </c>
      <c r="R93" s="6"/>
    </row>
    <row r="94" spans="1:18" x14ac:dyDescent="0.2">
      <c r="A94" s="32"/>
      <c r="B94" s="17" t="s">
        <v>24</v>
      </c>
      <c r="C94" s="28"/>
      <c r="D94" s="28"/>
      <c r="E94" s="28"/>
      <c r="F94" s="28"/>
      <c r="G94" s="33"/>
      <c r="H94" s="28"/>
      <c r="I94" s="28"/>
      <c r="J94" s="28"/>
      <c r="K94" s="28"/>
      <c r="L94" s="35"/>
      <c r="M94" s="28"/>
      <c r="N94" s="53"/>
      <c r="O94" s="54">
        <f t="shared" si="1"/>
        <v>0</v>
      </c>
      <c r="R94" s="6"/>
    </row>
    <row r="95" spans="1:18" x14ac:dyDescent="0.2">
      <c r="A95" s="32"/>
      <c r="B95" s="27" t="s">
        <v>23</v>
      </c>
      <c r="C95" s="28"/>
      <c r="D95" s="28"/>
      <c r="E95" s="28"/>
      <c r="F95" s="28"/>
      <c r="G95" s="33"/>
      <c r="H95" s="28"/>
      <c r="I95" s="28"/>
      <c r="J95" s="28"/>
      <c r="K95" s="28"/>
      <c r="L95" s="35"/>
      <c r="M95" s="28"/>
      <c r="N95" s="53"/>
      <c r="O95" s="54">
        <f t="shared" si="1"/>
        <v>0</v>
      </c>
      <c r="R95" s="6"/>
    </row>
    <row r="96" spans="1:18" x14ac:dyDescent="0.2">
      <c r="A96" s="32"/>
      <c r="B96" s="27" t="s">
        <v>23</v>
      </c>
      <c r="C96" s="28"/>
      <c r="D96" s="28"/>
      <c r="E96" s="28"/>
      <c r="F96" s="28"/>
      <c r="G96" s="33"/>
      <c r="H96" s="28"/>
      <c r="I96" s="28"/>
      <c r="J96" s="28"/>
      <c r="K96" s="28"/>
      <c r="L96" s="35"/>
      <c r="M96" s="28"/>
      <c r="N96" s="53"/>
      <c r="O96" s="54">
        <f t="shared" si="1"/>
        <v>0</v>
      </c>
      <c r="R96" s="6"/>
    </row>
    <row r="97" spans="1:18" x14ac:dyDescent="0.2">
      <c r="A97" s="32"/>
      <c r="B97" s="27" t="s">
        <v>23</v>
      </c>
      <c r="C97" s="28"/>
      <c r="D97" s="28"/>
      <c r="E97" s="28"/>
      <c r="F97" s="28"/>
      <c r="G97" s="33"/>
      <c r="H97" s="28"/>
      <c r="I97" s="28"/>
      <c r="J97" s="28"/>
      <c r="K97" s="28"/>
      <c r="L97" s="35"/>
      <c r="M97" s="28"/>
      <c r="N97" s="53"/>
      <c r="O97" s="54">
        <f t="shared" si="1"/>
        <v>0</v>
      </c>
      <c r="R97" s="6"/>
    </row>
    <row r="98" spans="1:18" x14ac:dyDescent="0.2">
      <c r="A98" s="32"/>
      <c r="B98" s="27" t="s">
        <v>23</v>
      </c>
      <c r="C98" s="28"/>
      <c r="D98" s="28"/>
      <c r="E98" s="28"/>
      <c r="F98" s="28"/>
      <c r="G98" s="33"/>
      <c r="H98" s="28"/>
      <c r="I98" s="28"/>
      <c r="J98" s="28"/>
      <c r="K98" s="28"/>
      <c r="L98" s="35"/>
      <c r="M98" s="28"/>
      <c r="N98" s="53"/>
      <c r="O98" s="54">
        <f t="shared" si="1"/>
        <v>0</v>
      </c>
      <c r="R98" s="6"/>
    </row>
    <row r="99" spans="1:18" x14ac:dyDescent="0.2">
      <c r="A99" s="32"/>
      <c r="B99" s="27" t="s">
        <v>23</v>
      </c>
      <c r="C99" s="28"/>
      <c r="D99" s="28"/>
      <c r="E99" s="28"/>
      <c r="F99" s="28"/>
      <c r="G99" s="33"/>
      <c r="H99" s="28"/>
      <c r="I99" s="28"/>
      <c r="J99" s="28"/>
      <c r="K99" s="28"/>
      <c r="L99" s="35"/>
      <c r="M99" s="28"/>
      <c r="N99" s="53"/>
      <c r="O99" s="54">
        <f t="shared" si="1"/>
        <v>0</v>
      </c>
      <c r="R99" s="6"/>
    </row>
    <row r="100" spans="1:18" x14ac:dyDescent="0.2">
      <c r="A100" s="32"/>
      <c r="B100" s="27" t="s">
        <v>23</v>
      </c>
      <c r="C100" s="28"/>
      <c r="D100" s="28"/>
      <c r="E100" s="28"/>
      <c r="F100" s="28"/>
      <c r="G100" s="33"/>
      <c r="H100" s="28"/>
      <c r="I100" s="28"/>
      <c r="J100" s="28"/>
      <c r="K100" s="28"/>
      <c r="L100" s="35"/>
      <c r="M100" s="28"/>
      <c r="N100" s="53"/>
      <c r="O100" s="54">
        <f t="shared" si="1"/>
        <v>0</v>
      </c>
      <c r="R100" s="6"/>
    </row>
    <row r="101" spans="1:18" x14ac:dyDescent="0.2">
      <c r="A101" s="32"/>
      <c r="B101" s="27" t="s">
        <v>23</v>
      </c>
      <c r="C101" s="28"/>
      <c r="D101" s="28"/>
      <c r="E101" s="28"/>
      <c r="F101" s="28"/>
      <c r="G101" s="33"/>
      <c r="H101" s="28"/>
      <c r="I101" s="28"/>
      <c r="J101" s="28"/>
      <c r="K101" s="28"/>
      <c r="L101" s="35"/>
      <c r="M101" s="28"/>
      <c r="N101" s="53"/>
      <c r="O101" s="54">
        <f t="shared" si="1"/>
        <v>0</v>
      </c>
      <c r="Q101" s="56"/>
    </row>
    <row r="102" spans="1:18" x14ac:dyDescent="0.2">
      <c r="A102" s="32"/>
      <c r="B102" s="27" t="s">
        <v>23</v>
      </c>
      <c r="C102" s="28"/>
      <c r="D102" s="28"/>
      <c r="E102" s="28"/>
      <c r="F102" s="28"/>
      <c r="G102" s="35"/>
      <c r="H102" s="28"/>
      <c r="I102" s="28"/>
      <c r="J102" s="28"/>
      <c r="K102" s="28"/>
      <c r="L102" s="35"/>
      <c r="M102" s="28"/>
      <c r="N102" s="53"/>
      <c r="O102" s="54">
        <f t="shared" si="1"/>
        <v>0</v>
      </c>
    </row>
    <row r="103" spans="1:18" x14ac:dyDescent="0.2">
      <c r="A103" s="32"/>
      <c r="B103" s="27" t="s">
        <v>23</v>
      </c>
      <c r="C103" s="28"/>
      <c r="D103" s="28"/>
      <c r="E103" s="28"/>
      <c r="F103" s="28"/>
      <c r="G103" s="33"/>
      <c r="H103" s="28"/>
      <c r="I103" s="28"/>
      <c r="J103" s="28"/>
      <c r="K103" s="28"/>
      <c r="L103" s="35"/>
      <c r="M103" s="28"/>
      <c r="N103" s="53"/>
      <c r="O103" s="54">
        <f t="shared" si="1"/>
        <v>0</v>
      </c>
    </row>
    <row r="104" spans="1:18" x14ac:dyDescent="0.2">
      <c r="A104" s="32"/>
      <c r="B104" s="27" t="s">
        <v>23</v>
      </c>
      <c r="C104" s="28"/>
      <c r="D104" s="28"/>
      <c r="E104" s="28"/>
      <c r="F104" s="28"/>
      <c r="G104" s="33"/>
      <c r="H104" s="28"/>
      <c r="I104" s="28"/>
      <c r="J104" s="28"/>
      <c r="K104" s="28"/>
      <c r="L104" s="35"/>
      <c r="M104" s="28"/>
      <c r="N104" s="53"/>
      <c r="O104" s="54">
        <f t="shared" si="1"/>
        <v>0</v>
      </c>
    </row>
    <row r="105" spans="1:18" x14ac:dyDescent="0.2">
      <c r="A105" s="32"/>
      <c r="B105" s="27" t="s">
        <v>23</v>
      </c>
      <c r="C105" s="28"/>
      <c r="D105" s="28"/>
      <c r="E105" s="28"/>
      <c r="F105" s="28"/>
      <c r="G105" s="33"/>
      <c r="H105" s="28"/>
      <c r="I105" s="28"/>
      <c r="J105" s="28"/>
      <c r="K105" s="28"/>
      <c r="L105" s="35"/>
      <c r="M105" s="28"/>
      <c r="N105" s="53"/>
      <c r="O105" s="54">
        <f t="shared" si="1"/>
        <v>0</v>
      </c>
    </row>
    <row r="106" spans="1:18" x14ac:dyDescent="0.2">
      <c r="A106" s="32"/>
      <c r="B106" s="27" t="s">
        <v>23</v>
      </c>
      <c r="C106" s="28"/>
      <c r="D106" s="28"/>
      <c r="E106" s="28"/>
      <c r="F106" s="28"/>
      <c r="G106" s="33"/>
      <c r="H106" s="28"/>
      <c r="I106" s="28"/>
      <c r="J106" s="28"/>
      <c r="K106" s="28"/>
      <c r="L106" s="35"/>
      <c r="M106" s="28"/>
      <c r="N106" s="53"/>
      <c r="O106" s="54">
        <f t="shared" si="1"/>
        <v>0</v>
      </c>
    </row>
    <row r="107" spans="1:18" x14ac:dyDescent="0.2">
      <c r="A107" s="32"/>
      <c r="B107" s="17" t="s">
        <v>23</v>
      </c>
      <c r="C107" s="28"/>
      <c r="D107" s="28"/>
      <c r="E107" s="28"/>
      <c r="F107" s="28"/>
      <c r="G107" s="33"/>
      <c r="H107" s="28"/>
      <c r="I107" s="28"/>
      <c r="J107" s="28"/>
      <c r="K107" s="28"/>
      <c r="L107" s="35"/>
      <c r="M107" s="28"/>
      <c r="N107" s="53"/>
      <c r="O107" s="54">
        <f t="shared" si="1"/>
        <v>0</v>
      </c>
    </row>
    <row r="108" spans="1:18" x14ac:dyDescent="0.2">
      <c r="A108" s="32"/>
      <c r="B108" s="17" t="s">
        <v>23</v>
      </c>
      <c r="C108" s="28"/>
      <c r="D108" s="28"/>
      <c r="E108" s="28"/>
      <c r="F108" s="28"/>
      <c r="G108" s="33"/>
      <c r="H108" s="28"/>
      <c r="I108" s="28"/>
      <c r="J108" s="28"/>
      <c r="K108" s="28"/>
      <c r="L108" s="35"/>
      <c r="M108" s="28"/>
      <c r="N108" s="53"/>
      <c r="O108" s="54">
        <f t="shared" si="1"/>
        <v>0</v>
      </c>
    </row>
    <row r="109" spans="1:18" x14ac:dyDescent="0.2">
      <c r="A109" s="32"/>
      <c r="B109" s="17" t="s">
        <v>23</v>
      </c>
      <c r="C109" s="28"/>
      <c r="D109" s="28"/>
      <c r="E109" s="28"/>
      <c r="F109" s="28"/>
      <c r="G109" s="33"/>
      <c r="H109" s="28"/>
      <c r="I109" s="28"/>
      <c r="J109" s="28"/>
      <c r="K109" s="28"/>
      <c r="L109" s="35"/>
      <c r="M109" s="28"/>
      <c r="N109" s="53"/>
      <c r="O109" s="54">
        <f t="shared" si="1"/>
        <v>0</v>
      </c>
    </row>
    <row r="110" spans="1:18" x14ac:dyDescent="0.2">
      <c r="A110" s="32"/>
      <c r="B110" s="27"/>
      <c r="C110" s="28"/>
      <c r="D110" s="28"/>
      <c r="E110" s="28"/>
      <c r="F110" s="28"/>
      <c r="G110" s="33"/>
      <c r="H110" s="28"/>
      <c r="I110" s="28"/>
      <c r="J110" s="28"/>
      <c r="K110" s="28"/>
      <c r="L110" s="35"/>
      <c r="M110" s="28"/>
      <c r="N110" s="53"/>
      <c r="O110" s="54">
        <f t="shared" si="1"/>
        <v>0</v>
      </c>
    </row>
    <row r="111" spans="1:18" x14ac:dyDescent="0.2">
      <c r="A111" s="32"/>
      <c r="B111" s="27"/>
      <c r="C111" s="28"/>
      <c r="D111" s="28"/>
      <c r="E111" s="28"/>
      <c r="F111" s="28"/>
      <c r="G111" s="33"/>
      <c r="H111" s="28"/>
      <c r="I111" s="28"/>
      <c r="J111" s="28"/>
      <c r="K111" s="28"/>
      <c r="L111" s="35"/>
      <c r="M111" s="28"/>
      <c r="N111" s="53"/>
      <c r="O111" s="54">
        <f t="shared" si="1"/>
        <v>0</v>
      </c>
    </row>
    <row r="112" spans="1:18" x14ac:dyDescent="0.2">
      <c r="A112" s="32"/>
      <c r="B112" s="27"/>
      <c r="C112" s="28"/>
      <c r="D112" s="28"/>
      <c r="E112" s="28"/>
      <c r="F112" s="28"/>
      <c r="G112" s="33"/>
      <c r="H112" s="28"/>
      <c r="I112" s="28"/>
      <c r="J112" s="28"/>
      <c r="K112" s="28"/>
      <c r="L112" s="35"/>
      <c r="M112" s="28"/>
      <c r="N112" s="53"/>
      <c r="O112" s="54">
        <f t="shared" si="1"/>
        <v>0</v>
      </c>
    </row>
    <row r="113" spans="1:16" x14ac:dyDescent="0.2">
      <c r="A113" s="32"/>
      <c r="B113" s="27"/>
      <c r="C113" s="28"/>
      <c r="D113" s="28"/>
      <c r="E113" s="28"/>
      <c r="F113" s="28"/>
      <c r="G113" s="33"/>
      <c r="H113" s="28"/>
      <c r="I113" s="28"/>
      <c r="J113" s="28"/>
      <c r="K113" s="28"/>
      <c r="L113" s="35"/>
      <c r="M113" s="28"/>
      <c r="N113" s="53"/>
      <c r="O113" s="54">
        <f t="shared" si="1"/>
        <v>0</v>
      </c>
    </row>
    <row r="114" spans="1:16" x14ac:dyDescent="0.2">
      <c r="A114" s="32"/>
      <c r="B114" s="27"/>
      <c r="C114" s="28"/>
      <c r="D114" s="28"/>
      <c r="E114" s="28"/>
      <c r="F114" s="28"/>
      <c r="G114" s="33"/>
      <c r="H114" s="28"/>
      <c r="I114" s="28"/>
      <c r="J114" s="28"/>
      <c r="K114" s="28"/>
      <c r="L114" s="35"/>
      <c r="M114" s="28"/>
      <c r="N114" s="53"/>
      <c r="O114" s="54">
        <f t="shared" si="1"/>
        <v>0</v>
      </c>
    </row>
    <row r="115" spans="1:16" x14ac:dyDescent="0.2">
      <c r="A115" s="32"/>
      <c r="B115" s="27"/>
      <c r="C115" s="28"/>
      <c r="D115" s="28"/>
      <c r="E115" s="28"/>
      <c r="F115" s="28"/>
      <c r="G115" s="33"/>
      <c r="H115" s="28"/>
      <c r="I115" s="28"/>
      <c r="J115" s="28"/>
      <c r="K115" s="28"/>
      <c r="L115" s="35"/>
      <c r="M115" s="28"/>
      <c r="N115" s="53"/>
      <c r="O115" s="54">
        <f t="shared" si="1"/>
        <v>0</v>
      </c>
    </row>
    <row r="116" spans="1:16" x14ac:dyDescent="0.2">
      <c r="A116" s="32"/>
      <c r="B116" s="27"/>
      <c r="C116" s="28"/>
      <c r="D116" s="28"/>
      <c r="E116" s="28"/>
      <c r="F116" s="28"/>
      <c r="G116" s="33"/>
      <c r="H116" s="28"/>
      <c r="I116" s="28"/>
      <c r="J116" s="28"/>
      <c r="K116" s="28"/>
      <c r="L116" s="35"/>
      <c r="M116" s="28"/>
      <c r="N116" s="53"/>
      <c r="O116" s="54">
        <f t="shared" si="1"/>
        <v>0</v>
      </c>
    </row>
    <row r="117" spans="1:16" x14ac:dyDescent="0.2">
      <c r="A117" s="32"/>
      <c r="B117" s="27"/>
      <c r="C117" s="28"/>
      <c r="D117" s="28"/>
      <c r="E117" s="28"/>
      <c r="F117" s="28"/>
      <c r="G117" s="33"/>
      <c r="H117" s="28"/>
      <c r="I117" s="28"/>
      <c r="J117" s="28"/>
      <c r="K117" s="28"/>
      <c r="L117" s="35"/>
      <c r="M117" s="28"/>
      <c r="N117" s="53"/>
      <c r="O117" s="54">
        <f t="shared" si="1"/>
        <v>0</v>
      </c>
    </row>
    <row r="118" spans="1:16" x14ac:dyDescent="0.2">
      <c r="A118" s="32"/>
      <c r="B118" s="27"/>
      <c r="C118" s="28"/>
      <c r="D118" s="28"/>
      <c r="E118" s="28"/>
      <c r="F118" s="28"/>
      <c r="G118" s="33"/>
      <c r="H118" s="28"/>
      <c r="I118" s="28"/>
      <c r="J118" s="28"/>
      <c r="K118" s="28"/>
      <c r="L118" s="35"/>
      <c r="M118" s="28"/>
      <c r="N118" s="53"/>
      <c r="O118" s="54">
        <f t="shared" si="1"/>
        <v>0</v>
      </c>
    </row>
    <row r="119" spans="1:16" x14ac:dyDescent="0.2">
      <c r="A119" s="32"/>
      <c r="B119" s="27"/>
      <c r="C119" s="28"/>
      <c r="D119" s="28"/>
      <c r="E119" s="28"/>
      <c r="F119" s="28"/>
      <c r="G119" s="33"/>
      <c r="H119" s="28"/>
      <c r="I119" s="28"/>
      <c r="J119" s="28"/>
      <c r="K119" s="28"/>
      <c r="L119" s="35"/>
      <c r="M119" s="28"/>
      <c r="N119" s="53"/>
      <c r="O119" s="54">
        <f t="shared" si="1"/>
        <v>0</v>
      </c>
    </row>
    <row r="120" spans="1:16" x14ac:dyDescent="0.2">
      <c r="A120" s="32"/>
      <c r="B120" s="27"/>
      <c r="C120" s="28"/>
      <c r="D120" s="28"/>
      <c r="E120" s="28"/>
      <c r="F120" s="28"/>
      <c r="G120" s="33"/>
      <c r="H120" s="28"/>
      <c r="I120" s="28"/>
      <c r="J120" s="28"/>
      <c r="K120" s="28"/>
      <c r="L120" s="35"/>
      <c r="M120" s="28"/>
      <c r="N120" s="53"/>
      <c r="O120" s="54">
        <f t="shared" si="1"/>
        <v>0</v>
      </c>
    </row>
    <row r="121" spans="1:16" x14ac:dyDescent="0.2">
      <c r="A121" s="32"/>
      <c r="B121" s="27"/>
      <c r="C121" s="28"/>
      <c r="D121" s="28"/>
      <c r="E121" s="28"/>
      <c r="F121" s="28"/>
      <c r="G121" s="33"/>
      <c r="H121" s="28"/>
      <c r="I121" s="28"/>
      <c r="J121" s="28"/>
      <c r="K121" s="28"/>
      <c r="L121" s="35"/>
      <c r="M121" s="28"/>
      <c r="N121" s="53"/>
      <c r="O121" s="54">
        <f t="shared" si="1"/>
        <v>0</v>
      </c>
    </row>
    <row r="122" spans="1:16" x14ac:dyDescent="0.2">
      <c r="A122" s="32"/>
      <c r="B122" s="27"/>
      <c r="C122" s="28"/>
      <c r="D122" s="28"/>
      <c r="E122" s="28"/>
      <c r="F122" s="28"/>
      <c r="G122" s="33"/>
      <c r="H122" s="28"/>
      <c r="I122" s="28"/>
      <c r="J122" s="28"/>
      <c r="K122" s="28"/>
      <c r="L122" s="35"/>
      <c r="M122" s="28"/>
      <c r="N122" s="53"/>
      <c r="O122" s="54">
        <f t="shared" si="1"/>
        <v>0</v>
      </c>
    </row>
    <row r="123" spans="1:16" x14ac:dyDescent="0.2">
      <c r="A123" s="32"/>
      <c r="B123" s="27"/>
      <c r="C123" s="28"/>
      <c r="D123" s="28"/>
      <c r="E123" s="28"/>
      <c r="F123" s="28"/>
      <c r="G123" s="33"/>
      <c r="H123" s="28"/>
      <c r="I123" s="28"/>
      <c r="J123" s="28"/>
      <c r="K123" s="28"/>
      <c r="L123" s="35"/>
      <c r="M123" s="28"/>
      <c r="N123" s="57"/>
      <c r="O123" s="58">
        <f t="shared" si="1"/>
        <v>0</v>
      </c>
      <c r="P123" s="57"/>
    </row>
    <row r="124" spans="1:16" x14ac:dyDescent="0.2">
      <c r="A124" s="32"/>
      <c r="B124" s="27"/>
      <c r="C124" s="28"/>
      <c r="D124" s="28"/>
      <c r="E124" s="28"/>
      <c r="F124" s="28"/>
      <c r="G124" s="33"/>
      <c r="H124" s="28"/>
      <c r="I124" s="28"/>
      <c r="J124" s="28"/>
      <c r="K124" s="28"/>
      <c r="L124" s="35"/>
      <c r="M124" s="28"/>
      <c r="N124" s="57"/>
      <c r="O124" s="58">
        <f t="shared" si="1"/>
        <v>0</v>
      </c>
      <c r="P124" s="57"/>
    </row>
    <row r="125" spans="1:16" x14ac:dyDescent="0.2">
      <c r="A125" s="32"/>
      <c r="B125" s="27"/>
      <c r="C125" s="28"/>
      <c r="D125" s="28"/>
      <c r="E125" s="28"/>
      <c r="F125" s="28"/>
      <c r="G125" s="33"/>
      <c r="H125" s="28"/>
      <c r="I125" s="28"/>
      <c r="J125" s="28"/>
      <c r="K125" s="28"/>
      <c r="L125" s="35"/>
      <c r="M125" s="28"/>
      <c r="N125" s="57"/>
      <c r="O125" s="58">
        <f t="shared" si="1"/>
        <v>0</v>
      </c>
      <c r="P125" s="57"/>
    </row>
    <row r="126" spans="1:16" x14ac:dyDescent="0.2">
      <c r="A126" s="32"/>
      <c r="B126" s="27"/>
      <c r="C126" s="28"/>
      <c r="D126" s="28"/>
      <c r="E126" s="28"/>
      <c r="F126" s="28"/>
      <c r="G126" s="33"/>
      <c r="H126" s="28"/>
      <c r="I126" s="28"/>
      <c r="J126" s="28"/>
      <c r="K126" s="28"/>
      <c r="L126" s="35"/>
      <c r="M126" s="28"/>
      <c r="N126" s="53"/>
      <c r="O126" s="54">
        <f t="shared" si="1"/>
        <v>0</v>
      </c>
    </row>
    <row r="127" spans="1:16" x14ac:dyDescent="0.2">
      <c r="A127" s="32"/>
      <c r="B127" s="27"/>
      <c r="C127" s="28"/>
      <c r="D127" s="28"/>
      <c r="E127" s="28"/>
      <c r="F127" s="28"/>
      <c r="G127" s="33"/>
      <c r="H127" s="28"/>
      <c r="I127" s="28"/>
      <c r="J127" s="28"/>
      <c r="K127" s="28"/>
      <c r="L127" s="35"/>
      <c r="M127" s="28"/>
      <c r="N127" s="53"/>
      <c r="O127" s="54">
        <f t="shared" si="1"/>
        <v>0</v>
      </c>
    </row>
    <row r="128" spans="1:16" x14ac:dyDescent="0.2">
      <c r="A128" s="32"/>
      <c r="B128" s="27"/>
      <c r="C128" s="28"/>
      <c r="D128" s="28"/>
      <c r="E128" s="28"/>
      <c r="F128" s="28"/>
      <c r="G128" s="33"/>
      <c r="H128" s="28"/>
      <c r="I128" s="28"/>
      <c r="J128" s="28"/>
      <c r="K128" s="28"/>
      <c r="L128" s="35"/>
      <c r="M128" s="28"/>
      <c r="N128" s="53"/>
      <c r="O128" s="54">
        <f t="shared" si="1"/>
        <v>0</v>
      </c>
    </row>
    <row r="129" spans="1:16" x14ac:dyDescent="0.2">
      <c r="A129" s="32"/>
      <c r="B129" s="27"/>
      <c r="C129" s="28"/>
      <c r="D129" s="28"/>
      <c r="E129" s="28"/>
      <c r="F129" s="28"/>
      <c r="G129" s="33"/>
      <c r="H129" s="28"/>
      <c r="I129" s="28"/>
      <c r="J129" s="28"/>
      <c r="K129" s="28"/>
      <c r="L129" s="35"/>
      <c r="M129" s="28"/>
      <c r="N129" s="53"/>
      <c r="O129" s="54">
        <f t="shared" si="1"/>
        <v>0</v>
      </c>
    </row>
    <row r="130" spans="1:16" x14ac:dyDescent="0.2">
      <c r="A130" s="32"/>
      <c r="B130" s="27"/>
      <c r="C130" s="28"/>
      <c r="D130" s="28"/>
      <c r="E130" s="28"/>
      <c r="F130" s="28"/>
      <c r="G130" s="33"/>
      <c r="H130" s="28"/>
      <c r="I130" s="28"/>
      <c r="J130" s="28"/>
      <c r="K130" s="28"/>
      <c r="L130" s="35"/>
      <c r="M130" s="28"/>
      <c r="N130" s="53"/>
      <c r="O130" s="54">
        <f t="shared" si="1"/>
        <v>0</v>
      </c>
    </row>
    <row r="131" spans="1:16" x14ac:dyDescent="0.2">
      <c r="A131" s="32"/>
      <c r="B131" s="27"/>
      <c r="C131" s="28"/>
      <c r="D131" s="28"/>
      <c r="E131" s="28"/>
      <c r="F131" s="28"/>
      <c r="G131" s="33"/>
      <c r="H131" s="28"/>
      <c r="I131" s="28"/>
      <c r="J131" s="28"/>
      <c r="K131" s="28"/>
      <c r="L131" s="35"/>
      <c r="M131" s="28"/>
      <c r="N131" s="53"/>
      <c r="O131" s="54">
        <f t="shared" ref="O131:O194" si="2">N131*J131</f>
        <v>0</v>
      </c>
    </row>
    <row r="132" spans="1:16" x14ac:dyDescent="0.2">
      <c r="A132" s="32"/>
      <c r="B132" s="27"/>
      <c r="C132" s="28"/>
      <c r="D132" s="28"/>
      <c r="E132" s="28"/>
      <c r="F132" s="28"/>
      <c r="G132" s="33"/>
      <c r="H132" s="28"/>
      <c r="I132" s="28"/>
      <c r="J132" s="28"/>
      <c r="K132" s="28"/>
      <c r="L132" s="35"/>
      <c r="M132" s="28"/>
      <c r="N132" s="53"/>
      <c r="O132" s="54">
        <f t="shared" si="2"/>
        <v>0</v>
      </c>
    </row>
    <row r="133" spans="1:16" x14ac:dyDescent="0.2">
      <c r="A133" s="32"/>
      <c r="B133" s="27"/>
      <c r="C133" s="28"/>
      <c r="D133" s="28"/>
      <c r="E133" s="28"/>
      <c r="F133" s="28"/>
      <c r="G133" s="33"/>
      <c r="H133" s="28"/>
      <c r="I133" s="28"/>
      <c r="J133" s="28"/>
      <c r="K133" s="28"/>
      <c r="L133" s="35"/>
      <c r="M133" s="28"/>
      <c r="N133" s="53"/>
      <c r="O133" s="54">
        <f t="shared" si="2"/>
        <v>0</v>
      </c>
    </row>
    <row r="134" spans="1:16" x14ac:dyDescent="0.2">
      <c r="A134" s="32"/>
      <c r="B134" s="27"/>
      <c r="C134" s="28"/>
      <c r="D134" s="28"/>
      <c r="E134" s="28"/>
      <c r="F134" s="28"/>
      <c r="G134" s="33"/>
      <c r="H134" s="28"/>
      <c r="I134" s="28"/>
      <c r="J134" s="28"/>
      <c r="K134" s="28"/>
      <c r="L134" s="35"/>
      <c r="M134" s="28"/>
      <c r="N134" s="57"/>
      <c r="O134" s="58">
        <f t="shared" si="2"/>
        <v>0</v>
      </c>
      <c r="P134" s="57"/>
    </row>
    <row r="135" spans="1:16" x14ac:dyDescent="0.2">
      <c r="A135" s="32"/>
      <c r="B135" s="27"/>
      <c r="C135" s="28"/>
      <c r="D135" s="28"/>
      <c r="E135" s="28"/>
      <c r="F135" s="28"/>
      <c r="G135" s="33"/>
      <c r="H135" s="28"/>
      <c r="I135" s="28"/>
      <c r="J135" s="28"/>
      <c r="K135" s="28"/>
      <c r="L135" s="35"/>
      <c r="M135" s="28"/>
      <c r="N135" s="57"/>
      <c r="O135" s="58">
        <f t="shared" si="2"/>
        <v>0</v>
      </c>
      <c r="P135" s="57"/>
    </row>
    <row r="136" spans="1:16" x14ac:dyDescent="0.2">
      <c r="A136" s="32"/>
      <c r="B136" s="27"/>
      <c r="C136" s="28"/>
      <c r="D136" s="28"/>
      <c r="E136" s="28"/>
      <c r="F136" s="28"/>
      <c r="G136" s="33"/>
      <c r="H136" s="28"/>
      <c r="I136" s="28"/>
      <c r="J136" s="28"/>
      <c r="K136" s="28"/>
      <c r="L136" s="35"/>
      <c r="M136" s="28"/>
      <c r="N136" s="57"/>
      <c r="O136" s="58">
        <f t="shared" si="2"/>
        <v>0</v>
      </c>
      <c r="P136" s="57"/>
    </row>
    <row r="137" spans="1:16" x14ac:dyDescent="0.2">
      <c r="A137" s="32"/>
      <c r="B137" s="27"/>
      <c r="C137" s="32"/>
      <c r="D137" s="28"/>
      <c r="E137" s="28"/>
      <c r="F137" s="28"/>
      <c r="G137" s="33"/>
      <c r="H137" s="28"/>
      <c r="I137" s="28"/>
      <c r="J137" s="28"/>
      <c r="K137" s="28"/>
      <c r="L137" s="35"/>
      <c r="M137" s="28"/>
      <c r="N137" s="57"/>
      <c r="O137" s="58">
        <f t="shared" si="2"/>
        <v>0</v>
      </c>
      <c r="P137" s="57"/>
    </row>
    <row r="138" spans="1:16" x14ac:dyDescent="0.2">
      <c r="A138" s="32"/>
      <c r="B138" s="27"/>
      <c r="C138" s="28"/>
      <c r="D138" s="28"/>
      <c r="E138" s="28"/>
      <c r="F138" s="28"/>
      <c r="G138" s="33"/>
      <c r="H138" s="28"/>
      <c r="I138" s="28"/>
      <c r="J138" s="28"/>
      <c r="K138" s="28"/>
      <c r="L138" s="35"/>
      <c r="M138" s="28"/>
      <c r="N138" s="53"/>
      <c r="O138" s="54">
        <f t="shared" si="2"/>
        <v>0</v>
      </c>
    </row>
    <row r="139" spans="1:16" x14ac:dyDescent="0.2">
      <c r="A139" s="32"/>
      <c r="B139" s="27"/>
      <c r="C139" s="28"/>
      <c r="D139" s="28"/>
      <c r="E139" s="28"/>
      <c r="F139" s="28"/>
      <c r="G139" s="33"/>
      <c r="H139" s="28"/>
      <c r="I139" s="28"/>
      <c r="J139" s="28"/>
      <c r="K139" s="28"/>
      <c r="L139" s="35"/>
      <c r="M139" s="28"/>
      <c r="N139" s="53"/>
      <c r="O139" s="54">
        <f t="shared" si="2"/>
        <v>0</v>
      </c>
    </row>
    <row r="140" spans="1:16" x14ac:dyDescent="0.2">
      <c r="A140" s="32"/>
      <c r="B140" s="27"/>
      <c r="C140" s="28"/>
      <c r="D140" s="28"/>
      <c r="E140" s="28"/>
      <c r="F140" s="28"/>
      <c r="G140" s="33"/>
      <c r="H140" s="28"/>
      <c r="I140" s="28"/>
      <c r="J140" s="28"/>
      <c r="K140" s="28"/>
      <c r="L140" s="35"/>
      <c r="M140" s="28"/>
      <c r="N140" s="53"/>
      <c r="O140" s="54">
        <f t="shared" si="2"/>
        <v>0</v>
      </c>
    </row>
    <row r="141" spans="1:16" x14ac:dyDescent="0.2">
      <c r="A141" s="32"/>
      <c r="B141" s="27"/>
      <c r="C141" s="28"/>
      <c r="D141" s="28"/>
      <c r="E141" s="28"/>
      <c r="F141" s="28"/>
      <c r="G141" s="33"/>
      <c r="H141" s="28"/>
      <c r="I141" s="28"/>
      <c r="J141" s="28"/>
      <c r="K141" s="28"/>
      <c r="L141" s="35"/>
      <c r="M141" s="28"/>
      <c r="N141" s="57"/>
      <c r="O141" s="58">
        <f t="shared" si="2"/>
        <v>0</v>
      </c>
      <c r="P141" s="57"/>
    </row>
    <row r="142" spans="1:16" x14ac:dyDescent="0.2">
      <c r="A142" s="32"/>
      <c r="B142" s="27"/>
      <c r="C142" s="28"/>
      <c r="D142" s="28"/>
      <c r="E142" s="28"/>
      <c r="F142" s="28"/>
      <c r="G142" s="33"/>
      <c r="H142" s="28"/>
      <c r="I142" s="28"/>
      <c r="J142" s="28"/>
      <c r="K142" s="28"/>
      <c r="L142" s="35"/>
      <c r="M142" s="28"/>
      <c r="N142" s="57"/>
      <c r="O142" s="58">
        <f t="shared" si="2"/>
        <v>0</v>
      </c>
      <c r="P142" s="57"/>
    </row>
    <row r="143" spans="1:16" x14ac:dyDescent="0.2">
      <c r="A143" s="32"/>
      <c r="B143" s="27"/>
      <c r="C143" s="32"/>
      <c r="D143" s="28"/>
      <c r="E143" s="28"/>
      <c r="F143" s="28"/>
      <c r="G143" s="33"/>
      <c r="H143" s="28"/>
      <c r="I143" s="28"/>
      <c r="J143" s="28"/>
      <c r="K143" s="28"/>
      <c r="L143" s="35"/>
      <c r="M143" s="28"/>
      <c r="N143" s="57"/>
      <c r="O143" s="58">
        <f t="shared" si="2"/>
        <v>0</v>
      </c>
      <c r="P143" s="57"/>
    </row>
    <row r="144" spans="1:16" x14ac:dyDescent="0.2">
      <c r="A144" s="32"/>
      <c r="B144" s="27"/>
      <c r="C144" s="28"/>
      <c r="D144" s="28"/>
      <c r="E144" s="28"/>
      <c r="F144" s="28"/>
      <c r="G144" s="33"/>
      <c r="H144" s="28"/>
      <c r="I144" s="28"/>
      <c r="J144" s="28"/>
      <c r="K144" s="28"/>
      <c r="L144" s="35"/>
      <c r="M144" s="28"/>
      <c r="N144" s="53"/>
      <c r="O144" s="54">
        <f t="shared" si="2"/>
        <v>0</v>
      </c>
    </row>
    <row r="145" spans="1:16" x14ac:dyDescent="0.2">
      <c r="A145" s="32"/>
      <c r="B145" s="27"/>
      <c r="C145" s="40"/>
      <c r="D145" s="40"/>
      <c r="E145" s="40"/>
      <c r="F145" s="33"/>
      <c r="G145" s="33"/>
      <c r="H145" s="28"/>
      <c r="I145" s="28"/>
      <c r="J145" s="28"/>
      <c r="K145" s="28"/>
      <c r="L145" s="35"/>
      <c r="M145" s="28"/>
      <c r="N145" s="53"/>
      <c r="O145" s="54">
        <f t="shared" si="2"/>
        <v>0</v>
      </c>
    </row>
    <row r="146" spans="1:16" x14ac:dyDescent="0.2">
      <c r="A146" s="32"/>
      <c r="B146" s="27"/>
      <c r="C146" s="28"/>
      <c r="D146" s="28"/>
      <c r="E146" s="28"/>
      <c r="F146" s="28"/>
      <c r="G146" s="33"/>
      <c r="H146" s="28"/>
      <c r="I146" s="28"/>
      <c r="J146" s="28"/>
      <c r="K146" s="28"/>
      <c r="L146" s="35"/>
      <c r="M146" s="28"/>
      <c r="N146" s="53"/>
      <c r="O146" s="54">
        <f t="shared" si="2"/>
        <v>0</v>
      </c>
    </row>
    <row r="147" spans="1:16" x14ac:dyDescent="0.2">
      <c r="A147" s="32"/>
      <c r="B147" s="27"/>
      <c r="C147" s="28"/>
      <c r="D147" s="28"/>
      <c r="E147" s="28"/>
      <c r="F147" s="28"/>
      <c r="G147" s="33"/>
      <c r="H147" s="28"/>
      <c r="I147" s="28"/>
      <c r="J147" s="28"/>
      <c r="K147" s="28"/>
      <c r="L147" s="35"/>
      <c r="M147" s="28"/>
      <c r="N147" s="53"/>
      <c r="O147" s="54">
        <f t="shared" si="2"/>
        <v>0</v>
      </c>
    </row>
    <row r="148" spans="1:16" x14ac:dyDescent="0.2">
      <c r="A148" s="32"/>
      <c r="B148" s="27"/>
      <c r="C148" s="28"/>
      <c r="D148" s="28"/>
      <c r="E148" s="28"/>
      <c r="F148" s="28"/>
      <c r="G148" s="33"/>
      <c r="H148" s="28"/>
      <c r="I148" s="28"/>
      <c r="J148" s="28"/>
      <c r="K148" s="28"/>
      <c r="L148" s="35"/>
      <c r="M148" s="28"/>
      <c r="N148" s="53"/>
      <c r="O148" s="54">
        <f t="shared" si="2"/>
        <v>0</v>
      </c>
    </row>
    <row r="149" spans="1:16" x14ac:dyDescent="0.2">
      <c r="A149" s="32"/>
      <c r="B149" s="27"/>
      <c r="C149" s="28"/>
      <c r="D149" s="28"/>
      <c r="E149" s="28"/>
      <c r="F149" s="28"/>
      <c r="G149" s="33"/>
      <c r="H149" s="28"/>
      <c r="I149" s="28"/>
      <c r="J149" s="28"/>
      <c r="K149" s="28"/>
      <c r="L149" s="35"/>
      <c r="M149" s="28"/>
      <c r="N149" s="57"/>
      <c r="O149" s="58">
        <f t="shared" si="2"/>
        <v>0</v>
      </c>
      <c r="P149" s="57"/>
    </row>
    <row r="150" spans="1:16" x14ac:dyDescent="0.2">
      <c r="A150" s="32"/>
      <c r="B150" s="27"/>
      <c r="C150" s="28"/>
      <c r="D150" s="28"/>
      <c r="E150" s="28"/>
      <c r="F150" s="28"/>
      <c r="G150" s="33"/>
      <c r="H150" s="28"/>
      <c r="I150" s="28"/>
      <c r="J150" s="28"/>
      <c r="K150" s="28"/>
      <c r="L150" s="35"/>
      <c r="M150" s="28"/>
      <c r="N150" s="57"/>
      <c r="O150" s="58">
        <f t="shared" si="2"/>
        <v>0</v>
      </c>
      <c r="P150" s="57"/>
    </row>
    <row r="151" spans="1:16" x14ac:dyDescent="0.2">
      <c r="A151" s="32"/>
      <c r="B151" s="27"/>
      <c r="C151" s="28"/>
      <c r="D151" s="28"/>
      <c r="E151" s="28"/>
      <c r="F151" s="28"/>
      <c r="G151" s="33"/>
      <c r="H151" s="28"/>
      <c r="I151" s="28"/>
      <c r="J151" s="28"/>
      <c r="K151" s="28"/>
      <c r="L151" s="35"/>
      <c r="M151" s="28"/>
      <c r="N151" s="57"/>
      <c r="O151" s="58">
        <f t="shared" si="2"/>
        <v>0</v>
      </c>
      <c r="P151" s="57"/>
    </row>
    <row r="152" spans="1:16" x14ac:dyDescent="0.2">
      <c r="A152" s="32"/>
      <c r="B152" s="27"/>
      <c r="C152" s="28"/>
      <c r="D152" s="28"/>
      <c r="E152" s="28"/>
      <c r="F152" s="28"/>
      <c r="G152" s="33"/>
      <c r="H152" s="28"/>
      <c r="I152" s="28"/>
      <c r="J152" s="28"/>
      <c r="K152" s="28"/>
      <c r="L152" s="35"/>
      <c r="M152" s="28"/>
      <c r="N152" s="53"/>
      <c r="O152" s="54">
        <f t="shared" si="2"/>
        <v>0</v>
      </c>
    </row>
    <row r="153" spans="1:16" x14ac:dyDescent="0.2">
      <c r="A153" s="32"/>
      <c r="B153" s="27"/>
      <c r="C153" s="28"/>
      <c r="D153" s="28"/>
      <c r="E153" s="28"/>
      <c r="F153" s="28"/>
      <c r="G153" s="33"/>
      <c r="H153" s="28"/>
      <c r="I153" s="28"/>
      <c r="J153" s="28"/>
      <c r="K153" s="28"/>
      <c r="L153" s="35"/>
      <c r="M153" s="28"/>
      <c r="N153" s="53"/>
      <c r="O153" s="54">
        <f t="shared" si="2"/>
        <v>0</v>
      </c>
    </row>
    <row r="154" spans="1:16" x14ac:dyDescent="0.2">
      <c r="A154" s="32"/>
      <c r="B154" s="27"/>
      <c r="C154" s="28"/>
      <c r="D154" s="28"/>
      <c r="E154" s="28"/>
      <c r="F154" s="28"/>
      <c r="G154" s="33"/>
      <c r="H154" s="28"/>
      <c r="I154" s="28"/>
      <c r="J154" s="28"/>
      <c r="K154" s="28"/>
      <c r="L154" s="35"/>
      <c r="M154" s="28"/>
      <c r="N154" s="53"/>
      <c r="O154" s="54">
        <f t="shared" si="2"/>
        <v>0</v>
      </c>
    </row>
    <row r="155" spans="1:16" x14ac:dyDescent="0.2">
      <c r="A155" s="32"/>
      <c r="B155" s="27"/>
      <c r="C155" s="28"/>
      <c r="D155" s="28"/>
      <c r="E155" s="28"/>
      <c r="F155" s="28"/>
      <c r="G155" s="33"/>
      <c r="H155" s="28"/>
      <c r="I155" s="28"/>
      <c r="J155" s="28"/>
      <c r="K155" s="28"/>
      <c r="L155" s="35"/>
      <c r="M155" s="28"/>
      <c r="N155" s="53"/>
      <c r="O155" s="54">
        <f t="shared" si="2"/>
        <v>0</v>
      </c>
    </row>
    <row r="156" spans="1:16" x14ac:dyDescent="0.2">
      <c r="A156" s="32"/>
      <c r="B156" s="27"/>
      <c r="C156" s="28"/>
      <c r="D156" s="28"/>
      <c r="E156" s="28"/>
      <c r="F156" s="28"/>
      <c r="G156" s="33"/>
      <c r="H156" s="28"/>
      <c r="I156" s="28"/>
      <c r="J156" s="28"/>
      <c r="K156" s="28"/>
      <c r="L156" s="35"/>
      <c r="M156" s="28"/>
      <c r="N156" s="53"/>
      <c r="O156" s="54">
        <f t="shared" si="2"/>
        <v>0</v>
      </c>
    </row>
    <row r="157" spans="1:16" x14ac:dyDescent="0.2">
      <c r="A157" s="32"/>
      <c r="B157" s="27"/>
      <c r="C157" s="28"/>
      <c r="D157" s="28"/>
      <c r="E157" s="28"/>
      <c r="F157" s="28"/>
      <c r="G157" s="33"/>
      <c r="H157" s="28"/>
      <c r="I157" s="28"/>
      <c r="J157" s="28"/>
      <c r="K157" s="28"/>
      <c r="L157" s="35"/>
      <c r="M157" s="28"/>
      <c r="N157" s="57"/>
      <c r="O157" s="58">
        <f t="shared" si="2"/>
        <v>0</v>
      </c>
      <c r="P157" s="57"/>
    </row>
    <row r="158" spans="1:16" x14ac:dyDescent="0.2">
      <c r="A158" s="32"/>
      <c r="B158" s="27"/>
      <c r="C158" s="28"/>
      <c r="D158" s="28"/>
      <c r="E158" s="28"/>
      <c r="F158" s="28"/>
      <c r="G158" s="33"/>
      <c r="H158" s="28"/>
      <c r="I158" s="28"/>
      <c r="J158" s="28"/>
      <c r="K158" s="28"/>
      <c r="L158" s="35"/>
      <c r="M158" s="28"/>
      <c r="N158" s="57"/>
      <c r="O158" s="58">
        <f t="shared" si="2"/>
        <v>0</v>
      </c>
      <c r="P158" s="57"/>
    </row>
    <row r="159" spans="1:16" x14ac:dyDescent="0.2">
      <c r="A159" s="32"/>
      <c r="B159" s="27"/>
      <c r="C159" s="28"/>
      <c r="D159" s="28"/>
      <c r="E159" s="28"/>
      <c r="F159" s="28"/>
      <c r="G159" s="33"/>
      <c r="H159" s="28"/>
      <c r="I159" s="28"/>
      <c r="J159" s="28"/>
      <c r="K159" s="28"/>
      <c r="L159" s="35"/>
      <c r="M159" s="28"/>
      <c r="N159" s="57"/>
      <c r="O159" s="58">
        <f t="shared" si="2"/>
        <v>0</v>
      </c>
      <c r="P159" s="57"/>
    </row>
    <row r="160" spans="1:16" x14ac:dyDescent="0.2">
      <c r="A160" s="32"/>
      <c r="B160" s="27"/>
      <c r="C160" s="28"/>
      <c r="D160" s="28"/>
      <c r="E160" s="28"/>
      <c r="F160" s="28"/>
      <c r="G160" s="33"/>
      <c r="H160" s="28"/>
      <c r="I160" s="28"/>
      <c r="J160" s="28"/>
      <c r="K160" s="28"/>
      <c r="L160" s="35"/>
      <c r="M160" s="28"/>
      <c r="N160" s="53"/>
      <c r="O160" s="54">
        <f t="shared" si="2"/>
        <v>0</v>
      </c>
    </row>
    <row r="161" spans="1:16" x14ac:dyDescent="0.2">
      <c r="A161" s="32"/>
      <c r="B161" s="27"/>
      <c r="C161" s="28"/>
      <c r="D161" s="28"/>
      <c r="E161" s="28"/>
      <c r="F161" s="28"/>
      <c r="G161" s="33"/>
      <c r="H161" s="28"/>
      <c r="I161" s="28"/>
      <c r="J161" s="28"/>
      <c r="K161" s="28"/>
      <c r="L161" s="35"/>
      <c r="M161" s="28"/>
      <c r="N161" s="53"/>
      <c r="O161" s="54">
        <f t="shared" si="2"/>
        <v>0</v>
      </c>
    </row>
    <row r="162" spans="1:16" x14ac:dyDescent="0.2">
      <c r="A162" s="32"/>
      <c r="B162" s="27"/>
      <c r="C162" s="28"/>
      <c r="D162" s="28"/>
      <c r="E162" s="28"/>
      <c r="F162" s="28"/>
      <c r="G162" s="33"/>
      <c r="H162" s="28"/>
      <c r="I162" s="28"/>
      <c r="J162" s="28"/>
      <c r="K162" s="28"/>
      <c r="L162" s="35"/>
      <c r="M162" s="28"/>
      <c r="N162" s="53"/>
      <c r="O162" s="54">
        <f t="shared" si="2"/>
        <v>0</v>
      </c>
    </row>
    <row r="163" spans="1:16" x14ac:dyDescent="0.2">
      <c r="A163" s="32"/>
      <c r="B163" s="27"/>
      <c r="C163" s="28"/>
      <c r="D163" s="28"/>
      <c r="E163" s="28"/>
      <c r="F163" s="28"/>
      <c r="G163" s="33"/>
      <c r="H163" s="28"/>
      <c r="I163" s="28"/>
      <c r="J163" s="28"/>
      <c r="K163" s="28"/>
      <c r="L163" s="35"/>
      <c r="M163" s="28"/>
      <c r="N163" s="53"/>
      <c r="O163" s="54">
        <f t="shared" si="2"/>
        <v>0</v>
      </c>
    </row>
    <row r="164" spans="1:16" x14ac:dyDescent="0.2">
      <c r="A164" s="32"/>
      <c r="B164" s="27"/>
      <c r="C164" s="28"/>
      <c r="D164" s="28"/>
      <c r="E164" s="28"/>
      <c r="F164" s="28"/>
      <c r="G164" s="33"/>
      <c r="H164" s="28"/>
      <c r="I164" s="28"/>
      <c r="J164" s="28"/>
      <c r="K164" s="28"/>
      <c r="L164" s="35"/>
      <c r="M164" s="28"/>
      <c r="N164" s="53"/>
      <c r="O164" s="54">
        <f t="shared" si="2"/>
        <v>0</v>
      </c>
    </row>
    <row r="165" spans="1:16" x14ac:dyDescent="0.2">
      <c r="A165" s="32"/>
      <c r="B165" s="27" t="s">
        <v>21</v>
      </c>
      <c r="C165" s="28"/>
      <c r="D165" s="28"/>
      <c r="E165" s="28"/>
      <c r="F165" s="28"/>
      <c r="G165" s="33"/>
      <c r="H165" s="28"/>
      <c r="I165" s="28"/>
      <c r="J165" s="28"/>
      <c r="K165" s="28"/>
      <c r="L165" s="35"/>
      <c r="M165" s="28"/>
      <c r="N165" s="53"/>
      <c r="O165" s="54">
        <f t="shared" si="2"/>
        <v>0</v>
      </c>
    </row>
    <row r="166" spans="1:16" x14ac:dyDescent="0.2">
      <c r="A166" s="32"/>
      <c r="B166" s="27" t="s">
        <v>21</v>
      </c>
      <c r="C166" s="28"/>
      <c r="D166" s="28"/>
      <c r="E166" s="28"/>
      <c r="F166" s="28"/>
      <c r="G166" s="33"/>
      <c r="H166" s="28"/>
      <c r="I166" s="28"/>
      <c r="J166" s="28"/>
      <c r="K166" s="28"/>
      <c r="L166" s="35"/>
      <c r="M166" s="28"/>
      <c r="N166" s="53"/>
      <c r="O166" s="54">
        <f t="shared" si="2"/>
        <v>0</v>
      </c>
    </row>
    <row r="167" spans="1:16" x14ac:dyDescent="0.2">
      <c r="A167" s="32"/>
      <c r="B167" s="27" t="s">
        <v>21</v>
      </c>
      <c r="C167" s="28"/>
      <c r="D167" s="28"/>
      <c r="E167" s="28"/>
      <c r="F167" s="28"/>
      <c r="G167" s="33"/>
      <c r="H167" s="28"/>
      <c r="I167" s="28"/>
      <c r="J167" s="28"/>
      <c r="K167" s="28"/>
      <c r="L167" s="35"/>
      <c r="M167" s="28"/>
      <c r="N167" s="57"/>
      <c r="O167" s="58">
        <f t="shared" si="2"/>
        <v>0</v>
      </c>
      <c r="P167" s="57"/>
    </row>
    <row r="168" spans="1:16" x14ac:dyDescent="0.2">
      <c r="A168" s="32"/>
      <c r="B168" s="27" t="s">
        <v>21</v>
      </c>
      <c r="C168" s="28"/>
      <c r="D168" s="28"/>
      <c r="E168" s="28"/>
      <c r="F168" s="28"/>
      <c r="G168" s="33"/>
      <c r="H168" s="28"/>
      <c r="I168" s="28"/>
      <c r="J168" s="28"/>
      <c r="K168" s="28"/>
      <c r="L168" s="35"/>
      <c r="M168" s="28"/>
      <c r="N168" s="57"/>
      <c r="O168" s="58">
        <f t="shared" si="2"/>
        <v>0</v>
      </c>
      <c r="P168" s="57"/>
    </row>
    <row r="169" spans="1:16" x14ac:dyDescent="0.2">
      <c r="A169" s="32"/>
      <c r="B169" s="27" t="s">
        <v>21</v>
      </c>
      <c r="C169" s="28"/>
      <c r="D169" s="28"/>
      <c r="E169" s="28"/>
      <c r="F169" s="28"/>
      <c r="G169" s="33"/>
      <c r="H169" s="28"/>
      <c r="I169" s="28"/>
      <c r="J169" s="28"/>
      <c r="K169" s="28"/>
      <c r="L169" s="35"/>
      <c r="M169" s="28"/>
      <c r="N169" s="57"/>
      <c r="O169" s="58">
        <f t="shared" si="2"/>
        <v>0</v>
      </c>
      <c r="P169" s="57"/>
    </row>
    <row r="170" spans="1:16" x14ac:dyDescent="0.2">
      <c r="A170" s="32"/>
      <c r="B170" s="27" t="s">
        <v>21</v>
      </c>
      <c r="C170" s="28"/>
      <c r="D170" s="28"/>
      <c r="E170" s="28"/>
      <c r="F170" s="28"/>
      <c r="G170" s="33"/>
      <c r="H170" s="28"/>
      <c r="I170" s="28"/>
      <c r="J170" s="28"/>
      <c r="K170" s="28"/>
      <c r="L170" s="35"/>
      <c r="M170" s="28"/>
      <c r="N170" s="53"/>
      <c r="O170" s="54">
        <f t="shared" si="2"/>
        <v>0</v>
      </c>
    </row>
    <row r="171" spans="1:16" x14ac:dyDescent="0.2">
      <c r="A171" s="32"/>
      <c r="B171" s="27" t="s">
        <v>21</v>
      </c>
      <c r="C171" s="28"/>
      <c r="D171" s="28"/>
      <c r="E171" s="28"/>
      <c r="F171" s="28"/>
      <c r="G171" s="33"/>
      <c r="H171" s="28"/>
      <c r="I171" s="28"/>
      <c r="J171" s="28"/>
      <c r="K171" s="28"/>
      <c r="L171" s="35"/>
      <c r="M171" s="28"/>
      <c r="N171" s="53"/>
      <c r="O171" s="54">
        <f t="shared" si="2"/>
        <v>0</v>
      </c>
    </row>
    <row r="172" spans="1:16" x14ac:dyDescent="0.2">
      <c r="A172" s="32"/>
      <c r="B172" s="27" t="s">
        <v>21</v>
      </c>
      <c r="C172" s="28"/>
      <c r="D172" s="28"/>
      <c r="E172" s="28"/>
      <c r="F172" s="28"/>
      <c r="G172" s="33"/>
      <c r="H172" s="28"/>
      <c r="I172" s="28"/>
      <c r="J172" s="28"/>
      <c r="K172" s="28"/>
      <c r="L172" s="35"/>
      <c r="M172" s="28"/>
      <c r="N172" s="53"/>
      <c r="O172" s="54">
        <f t="shared" si="2"/>
        <v>0</v>
      </c>
    </row>
    <row r="173" spans="1:16" x14ac:dyDescent="0.2">
      <c r="A173" s="32"/>
      <c r="B173" s="27" t="s">
        <v>21</v>
      </c>
      <c r="C173" s="28"/>
      <c r="D173" s="28"/>
      <c r="E173" s="28"/>
      <c r="F173" s="28"/>
      <c r="G173" s="33"/>
      <c r="H173" s="28"/>
      <c r="I173" s="28"/>
      <c r="J173" s="28"/>
      <c r="K173" s="28"/>
      <c r="L173" s="35"/>
      <c r="M173" s="28"/>
      <c r="N173" s="53"/>
      <c r="O173" s="54">
        <f t="shared" si="2"/>
        <v>0</v>
      </c>
    </row>
    <row r="174" spans="1:16" x14ac:dyDescent="0.2">
      <c r="A174" s="32"/>
      <c r="B174" s="27" t="s">
        <v>21</v>
      </c>
      <c r="C174" s="28"/>
      <c r="D174" s="28"/>
      <c r="E174" s="28"/>
      <c r="F174" s="28"/>
      <c r="G174" s="33"/>
      <c r="H174" s="28"/>
      <c r="I174" s="28"/>
      <c r="J174" s="28"/>
      <c r="K174" s="28"/>
      <c r="L174" s="35"/>
      <c r="M174" s="28"/>
      <c r="N174" s="53"/>
      <c r="O174" s="54">
        <f t="shared" si="2"/>
        <v>0</v>
      </c>
    </row>
    <row r="175" spans="1:16" x14ac:dyDescent="0.2">
      <c r="A175" s="32"/>
      <c r="B175" s="27"/>
      <c r="C175" s="28"/>
      <c r="D175" s="28"/>
      <c r="E175" s="28"/>
      <c r="F175" s="28"/>
      <c r="G175" s="33"/>
      <c r="H175" s="28"/>
      <c r="I175" s="28"/>
      <c r="J175" s="28"/>
      <c r="K175" s="28"/>
      <c r="L175" s="35"/>
      <c r="M175" s="28"/>
      <c r="N175" s="53"/>
      <c r="O175" s="54">
        <f t="shared" si="2"/>
        <v>0</v>
      </c>
    </row>
    <row r="176" spans="1:16" x14ac:dyDescent="0.2">
      <c r="A176" s="32"/>
      <c r="B176" s="27" t="s">
        <v>21</v>
      </c>
      <c r="C176" s="28"/>
      <c r="D176" s="28"/>
      <c r="E176" s="28"/>
      <c r="F176" s="28"/>
      <c r="G176" s="33"/>
      <c r="H176" s="28"/>
      <c r="I176" s="28"/>
      <c r="J176" s="28"/>
      <c r="K176" s="28"/>
      <c r="L176" s="35"/>
      <c r="M176" s="28"/>
      <c r="N176" s="53"/>
      <c r="O176" s="54">
        <f t="shared" si="2"/>
        <v>0</v>
      </c>
    </row>
    <row r="177" spans="1:15" x14ac:dyDescent="0.2">
      <c r="A177" s="32"/>
      <c r="B177" s="27" t="s">
        <v>21</v>
      </c>
      <c r="C177" s="28"/>
      <c r="D177" s="28"/>
      <c r="E177" s="28"/>
      <c r="F177" s="28"/>
      <c r="G177" s="33"/>
      <c r="H177" s="28"/>
      <c r="I177" s="28"/>
      <c r="J177" s="28"/>
      <c r="K177" s="28"/>
      <c r="L177" s="35"/>
      <c r="M177" s="28"/>
      <c r="N177" s="53"/>
      <c r="O177" s="54">
        <f t="shared" si="2"/>
        <v>0</v>
      </c>
    </row>
    <row r="178" spans="1:15" x14ac:dyDescent="0.2">
      <c r="A178" s="32"/>
      <c r="B178" s="27" t="s">
        <v>21</v>
      </c>
      <c r="C178" s="28"/>
      <c r="D178" s="28"/>
      <c r="E178" s="28"/>
      <c r="F178" s="28"/>
      <c r="G178" s="33"/>
      <c r="H178" s="28"/>
      <c r="I178" s="28"/>
      <c r="J178" s="28"/>
      <c r="K178" s="28"/>
      <c r="L178" s="35"/>
      <c r="M178" s="28"/>
      <c r="N178" s="53"/>
      <c r="O178" s="54">
        <f t="shared" si="2"/>
        <v>0</v>
      </c>
    </row>
    <row r="179" spans="1:15" x14ac:dyDescent="0.2">
      <c r="A179" s="32"/>
      <c r="B179" s="27" t="s">
        <v>21</v>
      </c>
      <c r="C179" s="28"/>
      <c r="D179" s="28"/>
      <c r="E179" s="28"/>
      <c r="F179" s="28"/>
      <c r="G179" s="33"/>
      <c r="H179" s="28"/>
      <c r="I179" s="28"/>
      <c r="J179" s="28"/>
      <c r="K179" s="28"/>
      <c r="L179" s="35"/>
      <c r="M179" s="28"/>
      <c r="N179" s="53"/>
      <c r="O179" s="54">
        <f t="shared" si="2"/>
        <v>0</v>
      </c>
    </row>
    <row r="180" spans="1:15" x14ac:dyDescent="0.2">
      <c r="A180" s="32"/>
      <c r="B180" s="27" t="s">
        <v>21</v>
      </c>
      <c r="C180" s="28"/>
      <c r="D180" s="28"/>
      <c r="E180" s="28"/>
      <c r="F180" s="28"/>
      <c r="G180" s="33"/>
      <c r="H180" s="28"/>
      <c r="I180" s="28"/>
      <c r="J180" s="28"/>
      <c r="K180" s="28"/>
      <c r="L180" s="35"/>
      <c r="M180" s="28"/>
      <c r="N180" s="53"/>
      <c r="O180" s="54">
        <f t="shared" si="2"/>
        <v>0</v>
      </c>
    </row>
    <row r="181" spans="1:15" x14ac:dyDescent="0.2">
      <c r="A181" s="32"/>
      <c r="B181" s="27" t="s">
        <v>21</v>
      </c>
      <c r="C181" s="28"/>
      <c r="D181" s="28"/>
      <c r="E181" s="28"/>
      <c r="F181" s="28"/>
      <c r="G181" s="33"/>
      <c r="H181" s="28"/>
      <c r="I181" s="28"/>
      <c r="J181" s="28"/>
      <c r="K181" s="28"/>
      <c r="L181" s="35"/>
      <c r="M181" s="28"/>
      <c r="N181" s="53"/>
      <c r="O181" s="54">
        <f t="shared" si="2"/>
        <v>0</v>
      </c>
    </row>
    <row r="182" spans="1:15" x14ac:dyDescent="0.2">
      <c r="A182" s="32"/>
      <c r="B182" s="27" t="s">
        <v>21</v>
      </c>
      <c r="C182" s="28"/>
      <c r="D182" s="28"/>
      <c r="E182" s="28"/>
      <c r="F182" s="28"/>
      <c r="G182" s="33"/>
      <c r="H182" s="28"/>
      <c r="I182" s="28"/>
      <c r="J182" s="28"/>
      <c r="K182" s="28"/>
      <c r="L182" s="35"/>
      <c r="M182" s="28"/>
      <c r="N182" s="53"/>
      <c r="O182" s="54">
        <f t="shared" si="2"/>
        <v>0</v>
      </c>
    </row>
    <row r="183" spans="1:15" x14ac:dyDescent="0.2">
      <c r="A183" s="32"/>
      <c r="B183" s="27" t="s">
        <v>21</v>
      </c>
      <c r="C183" s="28"/>
      <c r="D183" s="28"/>
      <c r="E183" s="28"/>
      <c r="F183" s="28"/>
      <c r="G183" s="33"/>
      <c r="H183" s="28"/>
      <c r="I183" s="28"/>
      <c r="J183" s="28"/>
      <c r="K183" s="28"/>
      <c r="L183" s="35"/>
      <c r="M183" s="28"/>
      <c r="N183" s="53"/>
      <c r="O183" s="54">
        <f t="shared" si="2"/>
        <v>0</v>
      </c>
    </row>
    <row r="184" spans="1:15" x14ac:dyDescent="0.2">
      <c r="A184" s="32"/>
      <c r="B184" s="27" t="s">
        <v>21</v>
      </c>
      <c r="C184" s="28"/>
      <c r="D184" s="28"/>
      <c r="E184" s="28"/>
      <c r="F184" s="28"/>
      <c r="G184" s="33"/>
      <c r="H184" s="28"/>
      <c r="I184" s="28"/>
      <c r="J184" s="28"/>
      <c r="K184" s="28"/>
      <c r="L184" s="35"/>
      <c r="M184" s="28"/>
      <c r="N184" s="53"/>
      <c r="O184" s="54">
        <f t="shared" si="2"/>
        <v>0</v>
      </c>
    </row>
    <row r="185" spans="1:15" x14ac:dyDescent="0.2">
      <c r="A185" s="32"/>
      <c r="B185" s="27" t="s">
        <v>21</v>
      </c>
      <c r="C185" s="28"/>
      <c r="D185" s="28"/>
      <c r="E185" s="28"/>
      <c r="F185" s="28"/>
      <c r="G185" s="33"/>
      <c r="H185" s="28"/>
      <c r="I185" s="28"/>
      <c r="J185" s="28"/>
      <c r="K185" s="28"/>
      <c r="L185" s="35"/>
      <c r="M185" s="28"/>
      <c r="N185" s="53"/>
      <c r="O185" s="54">
        <f t="shared" si="2"/>
        <v>0</v>
      </c>
    </row>
    <row r="186" spans="1:15" x14ac:dyDescent="0.2">
      <c r="A186" s="32"/>
      <c r="B186" s="27" t="s">
        <v>21</v>
      </c>
      <c r="C186" s="28"/>
      <c r="D186" s="28"/>
      <c r="E186" s="28"/>
      <c r="F186" s="28"/>
      <c r="G186" s="33"/>
      <c r="H186" s="28"/>
      <c r="I186" s="28"/>
      <c r="J186" s="28"/>
      <c r="K186" s="28"/>
      <c r="L186" s="35"/>
      <c r="M186" s="28"/>
      <c r="N186" s="53"/>
      <c r="O186" s="54">
        <f t="shared" si="2"/>
        <v>0</v>
      </c>
    </row>
    <row r="187" spans="1:15" x14ac:dyDescent="0.2">
      <c r="A187" s="32"/>
      <c r="B187" s="27" t="s">
        <v>21</v>
      </c>
      <c r="C187" s="28"/>
      <c r="D187" s="28"/>
      <c r="E187" s="28"/>
      <c r="F187" s="28"/>
      <c r="G187" s="33"/>
      <c r="H187" s="28"/>
      <c r="I187" s="28"/>
      <c r="J187" s="28"/>
      <c r="K187" s="28"/>
      <c r="L187" s="35"/>
      <c r="M187" s="28"/>
      <c r="N187" s="53"/>
      <c r="O187" s="54">
        <f t="shared" si="2"/>
        <v>0</v>
      </c>
    </row>
    <row r="188" spans="1:15" x14ac:dyDescent="0.2">
      <c r="A188" s="32"/>
      <c r="B188" s="27" t="s">
        <v>21</v>
      </c>
      <c r="C188" s="28"/>
      <c r="D188" s="28"/>
      <c r="E188" s="28"/>
      <c r="F188" s="28"/>
      <c r="G188" s="33"/>
      <c r="H188" s="28"/>
      <c r="I188" s="28"/>
      <c r="J188" s="28"/>
      <c r="K188" s="28"/>
      <c r="L188" s="35"/>
      <c r="M188" s="28"/>
      <c r="N188" s="53"/>
      <c r="O188" s="54">
        <f t="shared" si="2"/>
        <v>0</v>
      </c>
    </row>
    <row r="189" spans="1:15" x14ac:dyDescent="0.2">
      <c r="A189" s="32"/>
      <c r="B189" s="27" t="s">
        <v>21</v>
      </c>
      <c r="C189" s="28"/>
      <c r="D189" s="28"/>
      <c r="E189" s="28"/>
      <c r="F189" s="28"/>
      <c r="G189" s="33"/>
      <c r="H189" s="28"/>
      <c r="I189" s="28"/>
      <c r="J189" s="28"/>
      <c r="K189" s="28"/>
      <c r="L189" s="35"/>
      <c r="M189" s="28"/>
      <c r="N189" s="53"/>
      <c r="O189" s="54">
        <f t="shared" si="2"/>
        <v>0</v>
      </c>
    </row>
    <row r="190" spans="1:15" x14ac:dyDescent="0.2">
      <c r="A190" s="32"/>
      <c r="B190" s="27" t="s">
        <v>21</v>
      </c>
      <c r="C190" s="28"/>
      <c r="D190" s="28"/>
      <c r="E190" s="28"/>
      <c r="F190" s="28"/>
      <c r="G190" s="33"/>
      <c r="H190" s="28"/>
      <c r="I190" s="28"/>
      <c r="J190" s="28"/>
      <c r="K190" s="28"/>
      <c r="L190" s="35"/>
      <c r="M190" s="28"/>
      <c r="N190" s="53"/>
      <c r="O190" s="54">
        <f t="shared" si="2"/>
        <v>0</v>
      </c>
    </row>
    <row r="191" spans="1:15" x14ac:dyDescent="0.2">
      <c r="A191" s="32"/>
      <c r="B191" s="27" t="s">
        <v>21</v>
      </c>
      <c r="C191" s="28"/>
      <c r="D191" s="28"/>
      <c r="E191" s="28"/>
      <c r="F191" s="28"/>
      <c r="G191" s="33"/>
      <c r="H191" s="28"/>
      <c r="I191" s="28"/>
      <c r="J191" s="28"/>
      <c r="K191" s="28"/>
      <c r="L191" s="35"/>
      <c r="M191" s="28"/>
      <c r="N191" s="53"/>
      <c r="O191" s="54">
        <f t="shared" si="2"/>
        <v>0</v>
      </c>
    </row>
    <row r="192" spans="1:15" x14ac:dyDescent="0.2">
      <c r="A192" s="32"/>
      <c r="B192" s="27" t="s">
        <v>21</v>
      </c>
      <c r="C192" s="28"/>
      <c r="D192" s="28"/>
      <c r="E192" s="28"/>
      <c r="F192" s="28"/>
      <c r="G192" s="33"/>
      <c r="H192" s="28"/>
      <c r="I192" s="28"/>
      <c r="J192" s="28"/>
      <c r="K192" s="28"/>
      <c r="L192" s="35"/>
      <c r="M192" s="28"/>
      <c r="N192" s="53"/>
      <c r="O192" s="54">
        <f t="shared" si="2"/>
        <v>0</v>
      </c>
    </row>
    <row r="193" spans="1:15" x14ac:dyDescent="0.2">
      <c r="A193" s="32"/>
      <c r="B193" s="27" t="s">
        <v>21</v>
      </c>
      <c r="C193" s="28"/>
      <c r="D193" s="28"/>
      <c r="E193" s="28"/>
      <c r="F193" s="28"/>
      <c r="G193" s="33"/>
      <c r="H193" s="28"/>
      <c r="I193" s="28"/>
      <c r="J193" s="28"/>
      <c r="K193" s="28"/>
      <c r="L193" s="35"/>
      <c r="M193" s="28"/>
      <c r="N193" s="53"/>
      <c r="O193" s="54">
        <f t="shared" si="2"/>
        <v>0</v>
      </c>
    </row>
    <row r="194" spans="1:15" x14ac:dyDescent="0.2">
      <c r="A194" s="32"/>
      <c r="B194" s="27" t="s">
        <v>21</v>
      </c>
      <c r="C194" s="28"/>
      <c r="D194" s="28"/>
      <c r="E194" s="28"/>
      <c r="F194" s="28"/>
      <c r="G194" s="33"/>
      <c r="H194" s="28"/>
      <c r="I194" s="28"/>
      <c r="J194" s="28"/>
      <c r="K194" s="28"/>
      <c r="L194" s="35"/>
      <c r="M194" s="28"/>
      <c r="N194" s="53"/>
      <c r="O194" s="54">
        <f t="shared" si="2"/>
        <v>0</v>
      </c>
    </row>
    <row r="195" spans="1:15" x14ac:dyDescent="0.2">
      <c r="A195" s="32"/>
      <c r="B195" s="27" t="s">
        <v>21</v>
      </c>
      <c r="C195" s="28"/>
      <c r="D195" s="28"/>
      <c r="E195" s="28"/>
      <c r="F195" s="28"/>
      <c r="G195" s="33"/>
      <c r="H195" s="28"/>
      <c r="I195" s="28"/>
      <c r="J195" s="28"/>
      <c r="K195" s="28"/>
      <c r="L195" s="35"/>
      <c r="M195" s="28"/>
      <c r="N195" s="53"/>
      <c r="O195" s="54">
        <f t="shared" ref="O195:O258" si="3">N195*J195</f>
        <v>0</v>
      </c>
    </row>
    <row r="196" spans="1:15" x14ac:dyDescent="0.2">
      <c r="A196" s="32"/>
      <c r="B196" s="27" t="s">
        <v>21</v>
      </c>
      <c r="C196" s="28"/>
      <c r="D196" s="28"/>
      <c r="E196" s="28"/>
      <c r="F196" s="28"/>
      <c r="G196" s="33"/>
      <c r="H196" s="28"/>
      <c r="I196" s="28"/>
      <c r="J196" s="28"/>
      <c r="K196" s="28"/>
      <c r="L196" s="35"/>
      <c r="M196" s="28"/>
      <c r="N196" s="53"/>
      <c r="O196" s="54">
        <f t="shared" si="3"/>
        <v>0</v>
      </c>
    </row>
    <row r="197" spans="1:15" x14ac:dyDescent="0.2">
      <c r="A197" s="32"/>
      <c r="B197" s="27"/>
      <c r="C197" s="28"/>
      <c r="D197" s="28"/>
      <c r="E197" s="28"/>
      <c r="F197" s="28"/>
      <c r="G197" s="33"/>
      <c r="H197" s="28"/>
      <c r="I197" s="28"/>
      <c r="J197" s="28"/>
      <c r="K197" s="28"/>
      <c r="L197" s="35"/>
      <c r="M197" s="28"/>
      <c r="N197" s="53"/>
      <c r="O197" s="54">
        <f t="shared" si="3"/>
        <v>0</v>
      </c>
    </row>
    <row r="198" spans="1:15" x14ac:dyDescent="0.2">
      <c r="A198" s="32"/>
      <c r="B198" s="27" t="s">
        <v>21</v>
      </c>
      <c r="C198" s="28"/>
      <c r="D198" s="28"/>
      <c r="E198" s="28"/>
      <c r="F198" s="28"/>
      <c r="G198" s="33"/>
      <c r="H198" s="28"/>
      <c r="I198" s="28"/>
      <c r="J198" s="28"/>
      <c r="K198" s="28"/>
      <c r="L198" s="35"/>
      <c r="M198" s="28"/>
      <c r="N198" s="53"/>
      <c r="O198" s="54">
        <f t="shared" si="3"/>
        <v>0</v>
      </c>
    </row>
    <row r="199" spans="1:15" x14ac:dyDescent="0.2">
      <c r="A199" s="32"/>
      <c r="B199" s="27" t="s">
        <v>21</v>
      </c>
      <c r="C199" s="28"/>
      <c r="D199" s="28"/>
      <c r="E199" s="28"/>
      <c r="F199" s="28"/>
      <c r="G199" s="33"/>
      <c r="H199" s="28"/>
      <c r="I199" s="28"/>
      <c r="J199" s="28"/>
      <c r="K199" s="28"/>
      <c r="L199" s="35"/>
      <c r="M199" s="28"/>
      <c r="N199" s="53"/>
      <c r="O199" s="54">
        <f t="shared" si="3"/>
        <v>0</v>
      </c>
    </row>
    <row r="200" spans="1:15" x14ac:dyDescent="0.2">
      <c r="A200" s="32"/>
      <c r="B200" s="27" t="s">
        <v>21</v>
      </c>
      <c r="C200" s="28"/>
      <c r="D200" s="28"/>
      <c r="E200" s="28"/>
      <c r="F200" s="28"/>
      <c r="G200" s="33"/>
      <c r="H200" s="28"/>
      <c r="I200" s="28"/>
      <c r="J200" s="28"/>
      <c r="K200" s="28"/>
      <c r="L200" s="35"/>
      <c r="M200" s="28"/>
      <c r="N200" s="53"/>
      <c r="O200" s="54">
        <f t="shared" si="3"/>
        <v>0</v>
      </c>
    </row>
    <row r="201" spans="1:15" x14ac:dyDescent="0.2">
      <c r="A201" s="32"/>
      <c r="B201" s="27" t="s">
        <v>21</v>
      </c>
      <c r="C201" s="28"/>
      <c r="D201" s="28"/>
      <c r="E201" s="28"/>
      <c r="F201" s="28"/>
      <c r="G201" s="33"/>
      <c r="H201" s="28"/>
      <c r="I201" s="28"/>
      <c r="J201" s="28"/>
      <c r="K201" s="28"/>
      <c r="L201" s="35"/>
      <c r="M201" s="28"/>
      <c r="N201" s="53"/>
      <c r="O201" s="54">
        <f t="shared" si="3"/>
        <v>0</v>
      </c>
    </row>
    <row r="202" spans="1:15" x14ac:dyDescent="0.2">
      <c r="A202" s="32"/>
      <c r="B202" s="27" t="s">
        <v>21</v>
      </c>
      <c r="C202" s="28"/>
      <c r="D202" s="28"/>
      <c r="E202" s="28"/>
      <c r="F202" s="28"/>
      <c r="G202" s="33"/>
      <c r="H202" s="28"/>
      <c r="I202" s="28"/>
      <c r="J202" s="28"/>
      <c r="K202" s="28"/>
      <c r="L202" s="35"/>
      <c r="M202" s="28"/>
      <c r="N202" s="53"/>
      <c r="O202" s="54">
        <f t="shared" si="3"/>
        <v>0</v>
      </c>
    </row>
    <row r="203" spans="1:15" x14ac:dyDescent="0.2">
      <c r="A203" s="32"/>
      <c r="B203" s="27" t="s">
        <v>21</v>
      </c>
      <c r="C203" s="28"/>
      <c r="D203" s="28"/>
      <c r="E203" s="28"/>
      <c r="F203" s="28"/>
      <c r="G203" s="33"/>
      <c r="H203" s="28"/>
      <c r="I203" s="28"/>
      <c r="J203" s="28"/>
      <c r="K203" s="28"/>
      <c r="L203" s="35"/>
      <c r="M203" s="28"/>
      <c r="N203" s="53"/>
      <c r="O203" s="54">
        <f t="shared" si="3"/>
        <v>0</v>
      </c>
    </row>
    <row r="204" spans="1:15" x14ac:dyDescent="0.2">
      <c r="A204" s="32"/>
      <c r="B204" s="27" t="s">
        <v>21</v>
      </c>
      <c r="C204" s="28"/>
      <c r="D204" s="28"/>
      <c r="E204" s="28"/>
      <c r="F204" s="28"/>
      <c r="G204" s="33"/>
      <c r="H204" s="28"/>
      <c r="I204" s="28"/>
      <c r="J204" s="28"/>
      <c r="K204" s="28"/>
      <c r="L204" s="35"/>
      <c r="M204" s="28"/>
      <c r="N204" s="53"/>
      <c r="O204" s="54">
        <f t="shared" si="3"/>
        <v>0</v>
      </c>
    </row>
    <row r="205" spans="1:15" x14ac:dyDescent="0.2">
      <c r="A205" s="32"/>
      <c r="B205" s="27" t="s">
        <v>21</v>
      </c>
      <c r="C205" s="28"/>
      <c r="D205" s="28"/>
      <c r="E205" s="28"/>
      <c r="F205" s="28"/>
      <c r="G205" s="33"/>
      <c r="H205" s="28"/>
      <c r="I205" s="28"/>
      <c r="J205" s="28"/>
      <c r="K205" s="28"/>
      <c r="L205" s="35"/>
      <c r="M205" s="28"/>
      <c r="N205" s="53"/>
      <c r="O205" s="54">
        <f t="shared" si="3"/>
        <v>0</v>
      </c>
    </row>
    <row r="206" spans="1:15" x14ac:dyDescent="0.2">
      <c r="A206" s="32"/>
      <c r="B206" s="27" t="s">
        <v>21</v>
      </c>
      <c r="C206" s="28"/>
      <c r="D206" s="28"/>
      <c r="E206" s="28"/>
      <c r="F206" s="28"/>
      <c r="G206" s="33"/>
      <c r="H206" s="28"/>
      <c r="I206" s="28"/>
      <c r="J206" s="28"/>
      <c r="K206" s="28"/>
      <c r="L206" s="35"/>
      <c r="M206" s="28"/>
      <c r="N206" s="53"/>
      <c r="O206" s="54">
        <f t="shared" si="3"/>
        <v>0</v>
      </c>
    </row>
    <row r="207" spans="1:15" x14ac:dyDescent="0.2">
      <c r="A207" s="32"/>
      <c r="B207" s="27" t="s">
        <v>21</v>
      </c>
      <c r="C207" s="28"/>
      <c r="D207" s="28"/>
      <c r="E207" s="28"/>
      <c r="F207" s="28"/>
      <c r="G207" s="33"/>
      <c r="H207" s="28"/>
      <c r="I207" s="28"/>
      <c r="J207" s="28"/>
      <c r="K207" s="28"/>
      <c r="L207" s="35"/>
      <c r="M207" s="28"/>
      <c r="N207" s="53"/>
      <c r="O207" s="54">
        <f t="shared" si="3"/>
        <v>0</v>
      </c>
    </row>
    <row r="208" spans="1:15" x14ac:dyDescent="0.2">
      <c r="A208" s="32"/>
      <c r="B208" s="27" t="s">
        <v>21</v>
      </c>
      <c r="C208" s="28"/>
      <c r="D208" s="28"/>
      <c r="E208" s="28"/>
      <c r="F208" s="28"/>
      <c r="G208" s="33"/>
      <c r="H208" s="28"/>
      <c r="I208" s="28"/>
      <c r="J208" s="28"/>
      <c r="K208" s="28"/>
      <c r="L208" s="35"/>
      <c r="M208" s="28"/>
      <c r="N208" s="53"/>
      <c r="O208" s="54">
        <f t="shared" si="3"/>
        <v>0</v>
      </c>
    </row>
    <row r="209" spans="1:15" x14ac:dyDescent="0.2">
      <c r="A209" s="32"/>
      <c r="B209" s="27" t="s">
        <v>21</v>
      </c>
      <c r="C209" s="28"/>
      <c r="D209" s="28"/>
      <c r="E209" s="28"/>
      <c r="F209" s="28"/>
      <c r="G209" s="33"/>
      <c r="H209" s="28"/>
      <c r="I209" s="28"/>
      <c r="J209" s="28"/>
      <c r="K209" s="28"/>
      <c r="L209" s="35"/>
      <c r="M209" s="28"/>
      <c r="N209" s="53"/>
      <c r="O209" s="54">
        <f t="shared" si="3"/>
        <v>0</v>
      </c>
    </row>
    <row r="210" spans="1:15" x14ac:dyDescent="0.2">
      <c r="A210" s="32"/>
      <c r="B210" s="27" t="s">
        <v>21</v>
      </c>
      <c r="C210" s="28"/>
      <c r="D210" s="28"/>
      <c r="E210" s="28"/>
      <c r="F210" s="28"/>
      <c r="G210" s="33"/>
      <c r="H210" s="28"/>
      <c r="I210" s="28"/>
      <c r="J210" s="28"/>
      <c r="K210" s="28"/>
      <c r="L210" s="35"/>
      <c r="M210" s="28"/>
      <c r="N210" s="53"/>
      <c r="O210" s="54">
        <f t="shared" si="3"/>
        <v>0</v>
      </c>
    </row>
    <row r="211" spans="1:15" x14ac:dyDescent="0.2">
      <c r="A211" s="32"/>
      <c r="B211" s="27" t="s">
        <v>21</v>
      </c>
      <c r="C211" s="28"/>
      <c r="D211" s="28"/>
      <c r="E211" s="28"/>
      <c r="F211" s="28"/>
      <c r="G211" s="33"/>
      <c r="H211" s="28"/>
      <c r="I211" s="28"/>
      <c r="J211" s="28"/>
      <c r="K211" s="28"/>
      <c r="L211" s="35"/>
      <c r="M211" s="28"/>
      <c r="N211" s="53"/>
      <c r="O211" s="54">
        <f t="shared" si="3"/>
        <v>0</v>
      </c>
    </row>
    <row r="212" spans="1:15" x14ac:dyDescent="0.2">
      <c r="A212" s="32"/>
      <c r="B212" s="27" t="s">
        <v>21</v>
      </c>
      <c r="C212" s="28"/>
      <c r="D212" s="28"/>
      <c r="E212" s="28"/>
      <c r="F212" s="28"/>
      <c r="G212" s="33"/>
      <c r="H212" s="28"/>
      <c r="I212" s="28"/>
      <c r="J212" s="28"/>
      <c r="K212" s="28"/>
      <c r="L212" s="35"/>
      <c r="M212" s="28"/>
      <c r="N212" s="53"/>
      <c r="O212" s="54">
        <f t="shared" si="3"/>
        <v>0</v>
      </c>
    </row>
    <row r="213" spans="1:15" x14ac:dyDescent="0.2">
      <c r="A213" s="32"/>
      <c r="B213" s="27" t="s">
        <v>21</v>
      </c>
      <c r="C213" s="28"/>
      <c r="D213" s="28"/>
      <c r="E213" s="28"/>
      <c r="F213" s="28"/>
      <c r="G213" s="33"/>
      <c r="H213" s="28"/>
      <c r="I213" s="28"/>
      <c r="J213" s="28"/>
      <c r="K213" s="28"/>
      <c r="L213" s="35"/>
      <c r="M213" s="28"/>
      <c r="N213" s="53"/>
      <c r="O213" s="54">
        <f t="shared" si="3"/>
        <v>0</v>
      </c>
    </row>
    <row r="214" spans="1:15" x14ac:dyDescent="0.2">
      <c r="A214" s="32"/>
      <c r="B214" s="27" t="s">
        <v>21</v>
      </c>
      <c r="C214" s="28"/>
      <c r="D214" s="28"/>
      <c r="E214" s="28"/>
      <c r="F214" s="28"/>
      <c r="G214" s="33"/>
      <c r="H214" s="28"/>
      <c r="I214" s="28"/>
      <c r="J214" s="28"/>
      <c r="K214" s="28"/>
      <c r="L214" s="35"/>
      <c r="M214" s="28"/>
      <c r="N214" s="53"/>
      <c r="O214" s="54">
        <f t="shared" si="3"/>
        <v>0</v>
      </c>
    </row>
    <row r="215" spans="1:15" x14ac:dyDescent="0.2">
      <c r="A215" s="32"/>
      <c r="B215" s="27" t="s">
        <v>21</v>
      </c>
      <c r="C215" s="28"/>
      <c r="D215" s="28"/>
      <c r="E215" s="28"/>
      <c r="F215" s="28"/>
      <c r="G215" s="33"/>
      <c r="H215" s="28"/>
      <c r="I215" s="28"/>
      <c r="J215" s="28"/>
      <c r="K215" s="28"/>
      <c r="L215" s="35"/>
      <c r="M215" s="28"/>
      <c r="N215" s="53"/>
      <c r="O215" s="54">
        <f t="shared" si="3"/>
        <v>0</v>
      </c>
    </row>
    <row r="216" spans="1:15" x14ac:dyDescent="0.2">
      <c r="A216" s="32"/>
      <c r="B216" s="27" t="s">
        <v>21</v>
      </c>
      <c r="C216" s="28"/>
      <c r="D216" s="28"/>
      <c r="E216" s="28"/>
      <c r="F216" s="28"/>
      <c r="G216" s="33"/>
      <c r="H216" s="28"/>
      <c r="I216" s="28"/>
      <c r="J216" s="28"/>
      <c r="K216" s="28"/>
      <c r="L216" s="35"/>
      <c r="M216" s="28"/>
      <c r="N216" s="53"/>
      <c r="O216" s="54">
        <f t="shared" si="3"/>
        <v>0</v>
      </c>
    </row>
    <row r="217" spans="1:15" x14ac:dyDescent="0.2">
      <c r="A217" s="32"/>
      <c r="B217" s="27" t="s">
        <v>21</v>
      </c>
      <c r="C217" s="28"/>
      <c r="D217" s="28"/>
      <c r="E217" s="28"/>
      <c r="F217" s="28"/>
      <c r="G217" s="33"/>
      <c r="H217" s="28"/>
      <c r="I217" s="28"/>
      <c r="J217" s="28"/>
      <c r="K217" s="28"/>
      <c r="L217" s="35"/>
      <c r="M217" s="28"/>
      <c r="N217" s="53"/>
      <c r="O217" s="54">
        <f t="shared" si="3"/>
        <v>0</v>
      </c>
    </row>
    <row r="218" spans="1:15" x14ac:dyDescent="0.2">
      <c r="A218" s="32"/>
      <c r="B218" s="27" t="s">
        <v>21</v>
      </c>
      <c r="C218" s="28"/>
      <c r="D218" s="28"/>
      <c r="E218" s="28"/>
      <c r="F218" s="28"/>
      <c r="G218" s="33"/>
      <c r="H218" s="28"/>
      <c r="I218" s="28"/>
      <c r="J218" s="28"/>
      <c r="K218" s="28"/>
      <c r="L218" s="35"/>
      <c r="M218" s="28"/>
      <c r="N218" s="53"/>
      <c r="O218" s="54">
        <f t="shared" si="3"/>
        <v>0</v>
      </c>
    </row>
    <row r="219" spans="1:15" x14ac:dyDescent="0.2">
      <c r="A219" s="32"/>
      <c r="B219" s="27" t="s">
        <v>21</v>
      </c>
      <c r="C219" s="28"/>
      <c r="D219" s="28"/>
      <c r="E219" s="28"/>
      <c r="F219" s="28"/>
      <c r="G219" s="33"/>
      <c r="H219" s="28"/>
      <c r="I219" s="28"/>
      <c r="J219" s="28"/>
      <c r="K219" s="28"/>
      <c r="L219" s="35"/>
      <c r="M219" s="28"/>
      <c r="N219" s="53"/>
      <c r="O219" s="54">
        <f t="shared" si="3"/>
        <v>0</v>
      </c>
    </row>
    <row r="220" spans="1:15" x14ac:dyDescent="0.2">
      <c r="A220" s="32"/>
      <c r="B220" s="27" t="s">
        <v>21</v>
      </c>
      <c r="C220" s="28"/>
      <c r="D220" s="28"/>
      <c r="E220" s="28"/>
      <c r="F220" s="28"/>
      <c r="G220" s="33"/>
      <c r="H220" s="28"/>
      <c r="I220" s="28"/>
      <c r="J220" s="28"/>
      <c r="K220" s="28"/>
      <c r="L220" s="35"/>
      <c r="M220" s="28"/>
      <c r="N220" s="53"/>
      <c r="O220" s="54">
        <f t="shared" si="3"/>
        <v>0</v>
      </c>
    </row>
    <row r="221" spans="1:15" x14ac:dyDescent="0.2">
      <c r="A221" s="32"/>
      <c r="B221" s="27" t="s">
        <v>21</v>
      </c>
      <c r="C221" s="28"/>
      <c r="D221" s="28"/>
      <c r="E221" s="28"/>
      <c r="F221" s="28"/>
      <c r="G221" s="33"/>
      <c r="H221" s="28"/>
      <c r="I221" s="28"/>
      <c r="J221" s="28"/>
      <c r="K221" s="28"/>
      <c r="L221" s="35"/>
      <c r="M221" s="28"/>
      <c r="N221" s="53"/>
      <c r="O221" s="54">
        <f t="shared" si="3"/>
        <v>0</v>
      </c>
    </row>
    <row r="222" spans="1:15" x14ac:dyDescent="0.2">
      <c r="A222" s="32"/>
      <c r="B222" s="27" t="s">
        <v>21</v>
      </c>
      <c r="C222" s="28"/>
      <c r="D222" s="28"/>
      <c r="E222" s="28"/>
      <c r="F222" s="28"/>
      <c r="G222" s="33"/>
      <c r="H222" s="28"/>
      <c r="I222" s="28"/>
      <c r="J222" s="28"/>
      <c r="K222" s="28"/>
      <c r="L222" s="35"/>
      <c r="M222" s="28"/>
      <c r="N222" s="53"/>
      <c r="O222" s="54">
        <f t="shared" si="3"/>
        <v>0</v>
      </c>
    </row>
    <row r="223" spans="1:15" x14ac:dyDescent="0.2">
      <c r="A223" s="32"/>
      <c r="B223" s="27" t="s">
        <v>21</v>
      </c>
      <c r="C223" s="28"/>
      <c r="D223" s="28"/>
      <c r="E223" s="28"/>
      <c r="F223" s="28"/>
      <c r="G223" s="33"/>
      <c r="H223" s="28"/>
      <c r="I223" s="28"/>
      <c r="J223" s="28"/>
      <c r="K223" s="28"/>
      <c r="L223" s="35"/>
      <c r="M223" s="28"/>
      <c r="N223" s="53"/>
      <c r="O223" s="54">
        <f t="shared" si="3"/>
        <v>0</v>
      </c>
    </row>
    <row r="224" spans="1:15" x14ac:dyDescent="0.2">
      <c r="A224" s="32"/>
      <c r="B224" s="27" t="s">
        <v>21</v>
      </c>
      <c r="C224" s="28"/>
      <c r="D224" s="28"/>
      <c r="E224" s="28"/>
      <c r="F224" s="28"/>
      <c r="G224" s="33"/>
      <c r="H224" s="28"/>
      <c r="I224" s="28"/>
      <c r="J224" s="28"/>
      <c r="K224" s="28"/>
      <c r="L224" s="35"/>
      <c r="M224" s="28"/>
      <c r="N224" s="53"/>
      <c r="O224" s="54">
        <f t="shared" si="3"/>
        <v>0</v>
      </c>
    </row>
    <row r="225" spans="1:15" x14ac:dyDescent="0.2">
      <c r="A225" s="32"/>
      <c r="B225" s="27" t="s">
        <v>21</v>
      </c>
      <c r="C225" s="28"/>
      <c r="D225" s="28"/>
      <c r="E225" s="28"/>
      <c r="F225" s="28"/>
      <c r="G225" s="33"/>
      <c r="H225" s="28"/>
      <c r="I225" s="28"/>
      <c r="J225" s="28"/>
      <c r="K225" s="28"/>
      <c r="L225" s="35"/>
      <c r="M225" s="28"/>
      <c r="N225" s="53"/>
      <c r="O225" s="54">
        <f t="shared" si="3"/>
        <v>0</v>
      </c>
    </row>
    <row r="226" spans="1:15" x14ac:dyDescent="0.2">
      <c r="A226" s="32"/>
      <c r="B226" s="27" t="s">
        <v>21</v>
      </c>
      <c r="C226" s="28"/>
      <c r="D226" s="28"/>
      <c r="E226" s="28"/>
      <c r="F226" s="28"/>
      <c r="G226" s="33"/>
      <c r="H226" s="28"/>
      <c r="I226" s="28"/>
      <c r="J226" s="28"/>
      <c r="K226" s="28"/>
      <c r="L226" s="35"/>
      <c r="M226" s="28"/>
      <c r="N226" s="53"/>
      <c r="O226" s="54">
        <f t="shared" si="3"/>
        <v>0</v>
      </c>
    </row>
    <row r="227" spans="1:15" x14ac:dyDescent="0.2">
      <c r="A227" s="32"/>
      <c r="B227" s="27" t="s">
        <v>21</v>
      </c>
      <c r="C227" s="28"/>
      <c r="D227" s="28"/>
      <c r="E227" s="28"/>
      <c r="F227" s="28"/>
      <c r="G227" s="33"/>
      <c r="H227" s="28"/>
      <c r="I227" s="28"/>
      <c r="J227" s="28"/>
      <c r="K227" s="28"/>
      <c r="L227" s="35"/>
      <c r="M227" s="28"/>
      <c r="N227" s="53"/>
      <c r="O227" s="54">
        <f t="shared" si="3"/>
        <v>0</v>
      </c>
    </row>
    <row r="228" spans="1:15" x14ac:dyDescent="0.2">
      <c r="A228" s="32"/>
      <c r="B228" s="27" t="s">
        <v>21</v>
      </c>
      <c r="C228" s="28"/>
      <c r="D228" s="28"/>
      <c r="E228" s="28"/>
      <c r="F228" s="28"/>
      <c r="G228" s="33"/>
      <c r="H228" s="28"/>
      <c r="I228" s="28"/>
      <c r="J228" s="28"/>
      <c r="K228" s="28"/>
      <c r="L228" s="35"/>
      <c r="M228" s="28"/>
      <c r="N228" s="53"/>
      <c r="O228" s="54">
        <f t="shared" si="3"/>
        <v>0</v>
      </c>
    </row>
    <row r="229" spans="1:15" x14ac:dyDescent="0.2">
      <c r="A229" s="32"/>
      <c r="B229" s="27" t="s">
        <v>21</v>
      </c>
      <c r="C229" s="28"/>
      <c r="D229" s="28"/>
      <c r="E229" s="28"/>
      <c r="F229" s="28"/>
      <c r="G229" s="33"/>
      <c r="H229" s="28"/>
      <c r="I229" s="28"/>
      <c r="J229" s="28"/>
      <c r="K229" s="28"/>
      <c r="L229" s="35"/>
      <c r="M229" s="28"/>
      <c r="N229" s="53"/>
      <c r="O229" s="54">
        <f t="shared" si="3"/>
        <v>0</v>
      </c>
    </row>
    <row r="230" spans="1:15" x14ac:dyDescent="0.2">
      <c r="A230" s="32"/>
      <c r="B230" s="27" t="s">
        <v>21</v>
      </c>
      <c r="C230" s="28"/>
      <c r="D230" s="28"/>
      <c r="E230" s="28"/>
      <c r="F230" s="28"/>
      <c r="G230" s="33"/>
      <c r="H230" s="28"/>
      <c r="I230" s="28"/>
      <c r="J230" s="28"/>
      <c r="K230" s="28"/>
      <c r="L230" s="35"/>
      <c r="M230" s="28"/>
      <c r="N230" s="53"/>
      <c r="O230" s="54">
        <f t="shared" si="3"/>
        <v>0</v>
      </c>
    </row>
    <row r="231" spans="1:15" x14ac:dyDescent="0.2">
      <c r="A231" s="32"/>
      <c r="B231" s="27" t="s">
        <v>21</v>
      </c>
      <c r="C231" s="28"/>
      <c r="D231" s="28"/>
      <c r="E231" s="28"/>
      <c r="F231" s="28"/>
      <c r="G231" s="33"/>
      <c r="H231" s="28"/>
      <c r="I231" s="28"/>
      <c r="J231" s="28"/>
      <c r="K231" s="28"/>
      <c r="L231" s="35"/>
      <c r="M231" s="28"/>
      <c r="N231" s="53"/>
      <c r="O231" s="54">
        <f t="shared" si="3"/>
        <v>0</v>
      </c>
    </row>
    <row r="232" spans="1:15" x14ac:dyDescent="0.2">
      <c r="A232" s="32"/>
      <c r="B232" s="27" t="s">
        <v>21</v>
      </c>
      <c r="C232" s="28"/>
      <c r="D232" s="28"/>
      <c r="E232" s="28"/>
      <c r="F232" s="28"/>
      <c r="G232" s="33"/>
      <c r="H232" s="28"/>
      <c r="I232" s="28"/>
      <c r="J232" s="28"/>
      <c r="K232" s="28"/>
      <c r="L232" s="35"/>
      <c r="M232" s="28"/>
      <c r="N232" s="53"/>
      <c r="O232" s="54">
        <f t="shared" si="3"/>
        <v>0</v>
      </c>
    </row>
    <row r="233" spans="1:15" x14ac:dyDescent="0.2">
      <c r="A233" s="32"/>
      <c r="B233" s="27" t="s">
        <v>21</v>
      </c>
      <c r="C233" s="28"/>
      <c r="D233" s="28"/>
      <c r="E233" s="28"/>
      <c r="F233" s="28"/>
      <c r="G233" s="33"/>
      <c r="H233" s="28"/>
      <c r="I233" s="28"/>
      <c r="J233" s="28"/>
      <c r="K233" s="28"/>
      <c r="L233" s="35"/>
      <c r="M233" s="28"/>
      <c r="N233" s="53"/>
      <c r="O233" s="54">
        <f t="shared" si="3"/>
        <v>0</v>
      </c>
    </row>
    <row r="234" spans="1:15" x14ac:dyDescent="0.2">
      <c r="A234" s="32"/>
      <c r="B234" s="27" t="s">
        <v>21</v>
      </c>
      <c r="C234" s="28"/>
      <c r="D234" s="28"/>
      <c r="E234" s="28"/>
      <c r="F234" s="28"/>
      <c r="G234" s="33"/>
      <c r="H234" s="28"/>
      <c r="I234" s="28"/>
      <c r="J234" s="28"/>
      <c r="K234" s="28"/>
      <c r="L234" s="35"/>
      <c r="M234" s="28"/>
      <c r="N234" s="53"/>
      <c r="O234" s="54">
        <f t="shared" si="3"/>
        <v>0</v>
      </c>
    </row>
    <row r="235" spans="1:15" x14ac:dyDescent="0.2">
      <c r="A235" s="32"/>
      <c r="B235" s="27" t="s">
        <v>21</v>
      </c>
      <c r="C235" s="28"/>
      <c r="D235" s="28"/>
      <c r="E235" s="28"/>
      <c r="F235" s="28"/>
      <c r="G235" s="33"/>
      <c r="H235" s="28"/>
      <c r="I235" s="28"/>
      <c r="J235" s="28"/>
      <c r="K235" s="28"/>
      <c r="L235" s="35"/>
      <c r="M235" s="28"/>
      <c r="N235" s="53"/>
      <c r="O235" s="54">
        <f t="shared" si="3"/>
        <v>0</v>
      </c>
    </row>
    <row r="236" spans="1:15" x14ac:dyDescent="0.2">
      <c r="A236" s="32"/>
      <c r="B236" s="27" t="s">
        <v>21</v>
      </c>
      <c r="C236" s="28"/>
      <c r="D236" s="28"/>
      <c r="E236" s="28"/>
      <c r="F236" s="28"/>
      <c r="G236" s="33"/>
      <c r="H236" s="28"/>
      <c r="I236" s="28"/>
      <c r="J236" s="28"/>
      <c r="K236" s="28"/>
      <c r="L236" s="35"/>
      <c r="M236" s="28"/>
      <c r="N236" s="53"/>
      <c r="O236" s="54">
        <f t="shared" si="3"/>
        <v>0</v>
      </c>
    </row>
    <row r="237" spans="1:15" x14ac:dyDescent="0.2">
      <c r="A237" s="32"/>
      <c r="B237" s="27" t="s">
        <v>21</v>
      </c>
      <c r="C237" s="28"/>
      <c r="D237" s="28"/>
      <c r="E237" s="28"/>
      <c r="F237" s="28"/>
      <c r="G237" s="33"/>
      <c r="H237" s="28"/>
      <c r="I237" s="28"/>
      <c r="J237" s="28"/>
      <c r="K237" s="28"/>
      <c r="L237" s="35"/>
      <c r="M237" s="28"/>
      <c r="N237" s="53"/>
      <c r="O237" s="54">
        <f t="shared" si="3"/>
        <v>0</v>
      </c>
    </row>
    <row r="238" spans="1:15" x14ac:dyDescent="0.2">
      <c r="A238" s="32"/>
      <c r="B238" s="27" t="s">
        <v>21</v>
      </c>
      <c r="C238" s="28"/>
      <c r="D238" s="28"/>
      <c r="E238" s="28"/>
      <c r="F238" s="28"/>
      <c r="G238" s="33"/>
      <c r="H238" s="28"/>
      <c r="I238" s="28"/>
      <c r="J238" s="28"/>
      <c r="K238" s="28"/>
      <c r="L238" s="35"/>
      <c r="M238" s="28"/>
      <c r="N238" s="53"/>
      <c r="O238" s="54">
        <f t="shared" si="3"/>
        <v>0</v>
      </c>
    </row>
    <row r="239" spans="1:15" x14ac:dyDescent="0.2">
      <c r="A239" s="32"/>
      <c r="B239" s="27" t="s">
        <v>21</v>
      </c>
      <c r="C239" s="28"/>
      <c r="D239" s="28"/>
      <c r="E239" s="28"/>
      <c r="F239" s="28"/>
      <c r="G239" s="33"/>
      <c r="H239" s="28"/>
      <c r="I239" s="28"/>
      <c r="J239" s="28"/>
      <c r="K239" s="28"/>
      <c r="L239" s="35"/>
      <c r="M239" s="28"/>
      <c r="N239" s="53"/>
      <c r="O239" s="54">
        <f t="shared" si="3"/>
        <v>0</v>
      </c>
    </row>
    <row r="240" spans="1:15" x14ac:dyDescent="0.2">
      <c r="A240" s="32"/>
      <c r="B240" s="27" t="s">
        <v>21</v>
      </c>
      <c r="C240" s="28"/>
      <c r="D240" s="28"/>
      <c r="E240" s="28"/>
      <c r="F240" s="28"/>
      <c r="G240" s="33"/>
      <c r="H240" s="28"/>
      <c r="I240" s="28"/>
      <c r="J240" s="28"/>
      <c r="K240" s="28"/>
      <c r="L240" s="35"/>
      <c r="M240" s="28"/>
      <c r="N240" s="53"/>
      <c r="O240" s="54">
        <f t="shared" si="3"/>
        <v>0</v>
      </c>
    </row>
    <row r="241" spans="1:15" x14ac:dyDescent="0.2">
      <c r="A241" s="32"/>
      <c r="B241" s="27" t="s">
        <v>21</v>
      </c>
      <c r="C241" s="28"/>
      <c r="D241" s="28"/>
      <c r="E241" s="28"/>
      <c r="F241" s="28"/>
      <c r="G241" s="33"/>
      <c r="H241" s="28"/>
      <c r="I241" s="28"/>
      <c r="J241" s="28"/>
      <c r="K241" s="28"/>
      <c r="L241" s="35"/>
      <c r="M241" s="28"/>
      <c r="N241" s="53"/>
      <c r="O241" s="54">
        <f t="shared" si="3"/>
        <v>0</v>
      </c>
    </row>
    <row r="242" spans="1:15" x14ac:dyDescent="0.2">
      <c r="A242" s="32"/>
      <c r="B242" s="27" t="s">
        <v>21</v>
      </c>
      <c r="C242" s="28"/>
      <c r="D242" s="28"/>
      <c r="E242" s="28"/>
      <c r="F242" s="28"/>
      <c r="G242" s="33"/>
      <c r="H242" s="28"/>
      <c r="I242" s="28"/>
      <c r="J242" s="28"/>
      <c r="K242" s="28"/>
      <c r="L242" s="35"/>
      <c r="M242" s="28"/>
      <c r="N242" s="53"/>
      <c r="O242" s="54">
        <f t="shared" si="3"/>
        <v>0</v>
      </c>
    </row>
    <row r="243" spans="1:15" x14ac:dyDescent="0.2">
      <c r="A243" s="32"/>
      <c r="B243" s="27" t="s">
        <v>21</v>
      </c>
      <c r="C243" s="28"/>
      <c r="D243" s="28"/>
      <c r="E243" s="28"/>
      <c r="F243" s="28"/>
      <c r="G243" s="35"/>
      <c r="H243" s="28"/>
      <c r="I243" s="28"/>
      <c r="J243" s="28"/>
      <c r="K243" s="28"/>
      <c r="L243" s="35"/>
      <c r="M243" s="28"/>
      <c r="N243" s="53"/>
      <c r="O243" s="54">
        <f t="shared" si="3"/>
        <v>0</v>
      </c>
    </row>
    <row r="244" spans="1:15" x14ac:dyDescent="0.2">
      <c r="A244" s="32"/>
      <c r="B244" s="27" t="s">
        <v>21</v>
      </c>
      <c r="C244" s="28"/>
      <c r="D244" s="28"/>
      <c r="E244" s="28"/>
      <c r="F244" s="28"/>
      <c r="G244" s="35"/>
      <c r="H244" s="28"/>
      <c r="I244" s="28"/>
      <c r="J244" s="28"/>
      <c r="K244" s="28"/>
      <c r="L244" s="35"/>
      <c r="M244" s="28"/>
      <c r="N244" s="53"/>
      <c r="O244" s="54">
        <f t="shared" si="3"/>
        <v>0</v>
      </c>
    </row>
    <row r="245" spans="1:15" x14ac:dyDescent="0.2">
      <c r="A245" s="32"/>
      <c r="B245" s="27" t="s">
        <v>21</v>
      </c>
      <c r="C245" s="28"/>
      <c r="D245" s="28"/>
      <c r="E245" s="28"/>
      <c r="F245" s="28"/>
      <c r="G245" s="35"/>
      <c r="H245" s="28"/>
      <c r="I245" s="28"/>
      <c r="J245" s="28"/>
      <c r="K245" s="28"/>
      <c r="L245" s="35"/>
      <c r="M245" s="28"/>
      <c r="N245" s="53"/>
      <c r="O245" s="54">
        <f t="shared" si="3"/>
        <v>0</v>
      </c>
    </row>
    <row r="246" spans="1:15" x14ac:dyDescent="0.2">
      <c r="A246" s="32"/>
      <c r="B246" s="27" t="s">
        <v>21</v>
      </c>
      <c r="C246" s="28"/>
      <c r="D246" s="28"/>
      <c r="E246" s="28"/>
      <c r="F246" s="28"/>
      <c r="G246" s="35"/>
      <c r="H246" s="28"/>
      <c r="I246" s="28"/>
      <c r="J246" s="28"/>
      <c r="K246" s="28"/>
      <c r="L246" s="35"/>
      <c r="M246" s="28"/>
      <c r="N246" s="53"/>
      <c r="O246" s="54">
        <f t="shared" si="3"/>
        <v>0</v>
      </c>
    </row>
    <row r="247" spans="1:15" x14ac:dyDescent="0.2">
      <c r="A247" s="32"/>
      <c r="B247" s="27" t="s">
        <v>21</v>
      </c>
      <c r="C247" s="28"/>
      <c r="D247" s="28"/>
      <c r="E247" s="28"/>
      <c r="F247" s="28"/>
      <c r="G247" s="35"/>
      <c r="H247" s="28"/>
      <c r="I247" s="28"/>
      <c r="J247" s="28"/>
      <c r="K247" s="28"/>
      <c r="L247" s="35"/>
      <c r="M247" s="28"/>
      <c r="N247" s="53"/>
      <c r="O247" s="54">
        <f t="shared" si="3"/>
        <v>0</v>
      </c>
    </row>
    <row r="248" spans="1:15" x14ac:dyDescent="0.2">
      <c r="A248" s="32"/>
      <c r="B248" s="27" t="s">
        <v>21</v>
      </c>
      <c r="C248" s="28"/>
      <c r="D248" s="28"/>
      <c r="E248" s="28"/>
      <c r="F248" s="28"/>
      <c r="G248" s="35"/>
      <c r="H248" s="28"/>
      <c r="I248" s="28"/>
      <c r="J248" s="28"/>
      <c r="K248" s="28"/>
      <c r="L248" s="35"/>
      <c r="M248" s="28"/>
      <c r="N248" s="53"/>
      <c r="O248" s="54">
        <f t="shared" si="3"/>
        <v>0</v>
      </c>
    </row>
    <row r="249" spans="1:15" x14ac:dyDescent="0.2">
      <c r="A249" s="32"/>
      <c r="B249" s="27" t="s">
        <v>21</v>
      </c>
      <c r="C249" s="28"/>
      <c r="D249" s="28"/>
      <c r="E249" s="28"/>
      <c r="F249" s="28"/>
      <c r="G249" s="35"/>
      <c r="H249" s="28"/>
      <c r="I249" s="28"/>
      <c r="J249" s="28"/>
      <c r="K249" s="28"/>
      <c r="L249" s="35"/>
      <c r="M249" s="28"/>
      <c r="N249" s="53"/>
      <c r="O249" s="54">
        <f t="shared" si="3"/>
        <v>0</v>
      </c>
    </row>
    <row r="250" spans="1:15" x14ac:dyDescent="0.2">
      <c r="A250" s="32"/>
      <c r="B250" s="27" t="s">
        <v>21</v>
      </c>
      <c r="C250" s="28"/>
      <c r="D250" s="28"/>
      <c r="E250" s="28"/>
      <c r="F250" s="28"/>
      <c r="G250" s="35"/>
      <c r="H250" s="28"/>
      <c r="I250" s="28"/>
      <c r="J250" s="28"/>
      <c r="K250" s="28"/>
      <c r="L250" s="35"/>
      <c r="M250" s="28"/>
      <c r="N250" s="53"/>
      <c r="O250" s="54">
        <f t="shared" si="3"/>
        <v>0</v>
      </c>
    </row>
    <row r="251" spans="1:15" x14ac:dyDescent="0.2">
      <c r="A251" s="32"/>
      <c r="B251" s="27" t="s">
        <v>21</v>
      </c>
      <c r="C251" s="28"/>
      <c r="D251" s="28"/>
      <c r="E251" s="28"/>
      <c r="F251" s="28"/>
      <c r="G251" s="35"/>
      <c r="H251" s="28"/>
      <c r="I251" s="28"/>
      <c r="J251" s="28"/>
      <c r="K251" s="28"/>
      <c r="L251" s="35"/>
      <c r="M251" s="28"/>
      <c r="N251" s="53"/>
      <c r="O251" s="54">
        <f t="shared" si="3"/>
        <v>0</v>
      </c>
    </row>
    <row r="252" spans="1:15" x14ac:dyDescent="0.2">
      <c r="A252" s="32"/>
      <c r="B252" s="27" t="s">
        <v>21</v>
      </c>
      <c r="C252" s="28"/>
      <c r="D252" s="28"/>
      <c r="E252" s="28"/>
      <c r="F252" s="28"/>
      <c r="G252" s="35"/>
      <c r="H252" s="28"/>
      <c r="I252" s="28"/>
      <c r="J252" s="28"/>
      <c r="K252" s="28"/>
      <c r="L252" s="35"/>
      <c r="M252" s="28"/>
      <c r="N252" s="53"/>
      <c r="O252" s="54">
        <f t="shared" si="3"/>
        <v>0</v>
      </c>
    </row>
    <row r="253" spans="1:15" x14ac:dyDescent="0.2">
      <c r="A253" s="32"/>
      <c r="B253" s="27" t="s">
        <v>21</v>
      </c>
      <c r="C253" s="28"/>
      <c r="D253" s="28"/>
      <c r="E253" s="28"/>
      <c r="F253" s="28"/>
      <c r="G253" s="35"/>
      <c r="H253" s="28"/>
      <c r="I253" s="28"/>
      <c r="J253" s="28"/>
      <c r="K253" s="28"/>
      <c r="L253" s="35"/>
      <c r="M253" s="28"/>
      <c r="N253" s="53"/>
      <c r="O253" s="54">
        <f t="shared" si="3"/>
        <v>0</v>
      </c>
    </row>
    <row r="254" spans="1:15" x14ac:dyDescent="0.2">
      <c r="A254" s="32"/>
      <c r="B254" s="27" t="s">
        <v>21</v>
      </c>
      <c r="C254" s="28"/>
      <c r="D254" s="28"/>
      <c r="E254" s="28"/>
      <c r="F254" s="28"/>
      <c r="G254" s="35"/>
      <c r="H254" s="28"/>
      <c r="I254" s="28"/>
      <c r="J254" s="28"/>
      <c r="K254" s="28"/>
      <c r="L254" s="35"/>
      <c r="M254" s="28"/>
      <c r="N254" s="53"/>
      <c r="O254" s="54">
        <f t="shared" si="3"/>
        <v>0</v>
      </c>
    </row>
    <row r="255" spans="1:15" x14ac:dyDescent="0.2">
      <c r="A255" s="32"/>
      <c r="B255" s="27" t="s">
        <v>21</v>
      </c>
      <c r="C255" s="28"/>
      <c r="D255" s="28"/>
      <c r="E255" s="28"/>
      <c r="F255" s="28"/>
      <c r="G255" s="35"/>
      <c r="H255" s="28"/>
      <c r="I255" s="28"/>
      <c r="J255" s="28"/>
      <c r="K255" s="28"/>
      <c r="L255" s="35"/>
      <c r="M255" s="28"/>
      <c r="N255" s="53"/>
      <c r="O255" s="54">
        <f t="shared" si="3"/>
        <v>0</v>
      </c>
    </row>
    <row r="256" spans="1:15" x14ac:dyDescent="0.2">
      <c r="A256" s="32"/>
      <c r="B256" s="27" t="s">
        <v>21</v>
      </c>
      <c r="C256" s="28"/>
      <c r="D256" s="28"/>
      <c r="E256" s="28"/>
      <c r="F256" s="28"/>
      <c r="G256" s="35"/>
      <c r="H256" s="28"/>
      <c r="I256" s="28"/>
      <c r="J256" s="28"/>
      <c r="K256" s="28"/>
      <c r="L256" s="35"/>
      <c r="M256" s="28"/>
      <c r="N256" s="53"/>
      <c r="O256" s="54">
        <f t="shared" si="3"/>
        <v>0</v>
      </c>
    </row>
    <row r="257" spans="1:15" x14ac:dyDescent="0.2">
      <c r="A257" s="41"/>
      <c r="B257" s="27" t="s">
        <v>21</v>
      </c>
      <c r="C257" s="40"/>
      <c r="D257" s="40"/>
      <c r="E257" s="40"/>
      <c r="F257" s="40"/>
      <c r="G257" s="33"/>
      <c r="H257" s="40"/>
      <c r="I257" s="40"/>
      <c r="J257" s="40"/>
      <c r="K257" s="40"/>
      <c r="L257" s="35"/>
      <c r="M257" s="28"/>
      <c r="N257" s="53"/>
      <c r="O257" s="54">
        <f t="shared" si="3"/>
        <v>0</v>
      </c>
    </row>
    <row r="258" spans="1:15" x14ac:dyDescent="0.2">
      <c r="A258" s="32"/>
      <c r="B258" s="27" t="s">
        <v>21</v>
      </c>
      <c r="C258" s="28"/>
      <c r="D258" s="28"/>
      <c r="E258" s="28"/>
      <c r="F258" s="28"/>
      <c r="G258" s="35"/>
      <c r="H258" s="28"/>
      <c r="I258" s="28"/>
      <c r="J258" s="28"/>
      <c r="K258" s="28"/>
      <c r="L258" s="35"/>
      <c r="M258" s="28"/>
      <c r="N258" s="53"/>
      <c r="O258" s="54">
        <f t="shared" si="3"/>
        <v>0</v>
      </c>
    </row>
    <row r="259" spans="1:15" x14ac:dyDescent="0.2">
      <c r="A259" s="32"/>
      <c r="B259" s="27" t="s">
        <v>21</v>
      </c>
      <c r="C259" s="28"/>
      <c r="D259" s="28"/>
      <c r="E259" s="28"/>
      <c r="F259" s="28"/>
      <c r="G259" s="35"/>
      <c r="H259" s="28"/>
      <c r="I259" s="28"/>
      <c r="J259" s="28"/>
      <c r="K259" s="28"/>
      <c r="L259" s="35"/>
      <c r="M259" s="28"/>
      <c r="N259" s="53"/>
      <c r="O259" s="54">
        <f t="shared" ref="O259:O322" si="4">N259*J259</f>
        <v>0</v>
      </c>
    </row>
    <row r="260" spans="1:15" x14ac:dyDescent="0.2">
      <c r="A260" s="32"/>
      <c r="B260" s="27" t="s">
        <v>21</v>
      </c>
      <c r="C260" s="28"/>
      <c r="D260" s="28"/>
      <c r="E260" s="28"/>
      <c r="F260" s="28"/>
      <c r="G260" s="35"/>
      <c r="H260" s="28"/>
      <c r="I260" s="28"/>
      <c r="J260" s="28"/>
      <c r="K260" s="28"/>
      <c r="L260" s="35"/>
      <c r="M260" s="28"/>
      <c r="N260" s="53"/>
      <c r="O260" s="54">
        <f t="shared" si="4"/>
        <v>0</v>
      </c>
    </row>
    <row r="261" spans="1:15" x14ac:dyDescent="0.2">
      <c r="A261" s="32"/>
      <c r="B261" s="27" t="s">
        <v>21</v>
      </c>
      <c r="C261" s="28"/>
      <c r="D261" s="28"/>
      <c r="E261" s="28"/>
      <c r="F261" s="28"/>
      <c r="G261" s="35"/>
      <c r="H261" s="28"/>
      <c r="I261" s="28"/>
      <c r="J261" s="28"/>
      <c r="K261" s="28"/>
      <c r="L261" s="35"/>
      <c r="M261" s="28"/>
      <c r="N261" s="53"/>
      <c r="O261" s="54">
        <f t="shared" si="4"/>
        <v>0</v>
      </c>
    </row>
    <row r="262" spans="1:15" x14ac:dyDescent="0.2">
      <c r="A262" s="32"/>
      <c r="B262" s="27" t="s">
        <v>21</v>
      </c>
      <c r="C262" s="28"/>
      <c r="D262" s="28"/>
      <c r="E262" s="28"/>
      <c r="F262" s="28"/>
      <c r="G262" s="35"/>
      <c r="H262" s="28"/>
      <c r="I262" s="28"/>
      <c r="J262" s="28"/>
      <c r="K262" s="28"/>
      <c r="L262" s="35"/>
      <c r="M262" s="28"/>
      <c r="N262" s="53"/>
      <c r="O262" s="54">
        <f t="shared" si="4"/>
        <v>0</v>
      </c>
    </row>
    <row r="263" spans="1:15" x14ac:dyDescent="0.2">
      <c r="A263" s="32"/>
      <c r="B263" s="27" t="s">
        <v>21</v>
      </c>
      <c r="C263" s="28"/>
      <c r="D263" s="28"/>
      <c r="E263" s="28"/>
      <c r="F263" s="28"/>
      <c r="G263" s="35"/>
      <c r="H263" s="28"/>
      <c r="I263" s="28"/>
      <c r="J263" s="28"/>
      <c r="K263" s="28"/>
      <c r="L263" s="35"/>
      <c r="M263" s="28"/>
      <c r="N263" s="53"/>
      <c r="O263" s="54">
        <f t="shared" si="4"/>
        <v>0</v>
      </c>
    </row>
    <row r="264" spans="1:15" x14ac:dyDescent="0.2">
      <c r="A264" s="32"/>
      <c r="B264" s="27" t="s">
        <v>21</v>
      </c>
      <c r="C264" s="28"/>
      <c r="D264" s="28"/>
      <c r="E264" s="28"/>
      <c r="F264" s="28"/>
      <c r="G264" s="35"/>
      <c r="H264" s="28"/>
      <c r="I264" s="28"/>
      <c r="J264" s="28"/>
      <c r="K264" s="28"/>
      <c r="L264" s="35"/>
      <c r="M264" s="28"/>
      <c r="N264" s="53"/>
      <c r="O264" s="54">
        <f t="shared" si="4"/>
        <v>0</v>
      </c>
    </row>
    <row r="265" spans="1:15" x14ac:dyDescent="0.2">
      <c r="A265" s="32"/>
      <c r="B265" s="27" t="s">
        <v>21</v>
      </c>
      <c r="C265" s="28"/>
      <c r="D265" s="28"/>
      <c r="E265" s="28"/>
      <c r="F265" s="28"/>
      <c r="G265" s="35"/>
      <c r="H265" s="28"/>
      <c r="I265" s="28"/>
      <c r="J265" s="28"/>
      <c r="K265" s="28"/>
      <c r="L265" s="35"/>
      <c r="M265" s="28"/>
      <c r="N265" s="53"/>
      <c r="O265" s="54">
        <f t="shared" si="4"/>
        <v>0</v>
      </c>
    </row>
    <row r="266" spans="1:15" x14ac:dyDescent="0.2">
      <c r="A266" s="32"/>
      <c r="B266" s="27" t="s">
        <v>21</v>
      </c>
      <c r="C266" s="28"/>
      <c r="D266" s="28"/>
      <c r="E266" s="28"/>
      <c r="F266" s="28"/>
      <c r="G266" s="35"/>
      <c r="H266" s="28"/>
      <c r="I266" s="28"/>
      <c r="J266" s="28"/>
      <c r="K266" s="28"/>
      <c r="L266" s="35"/>
      <c r="M266" s="28"/>
      <c r="N266" s="53"/>
      <c r="O266" s="54">
        <f t="shared" si="4"/>
        <v>0</v>
      </c>
    </row>
    <row r="267" spans="1:15" x14ac:dyDescent="0.2">
      <c r="A267" s="32"/>
      <c r="B267" s="27" t="s">
        <v>21</v>
      </c>
      <c r="C267" s="28"/>
      <c r="D267" s="28"/>
      <c r="E267" s="28"/>
      <c r="F267" s="28"/>
      <c r="G267" s="35"/>
      <c r="H267" s="28"/>
      <c r="I267" s="28"/>
      <c r="J267" s="28"/>
      <c r="K267" s="28"/>
      <c r="L267" s="35"/>
      <c r="M267" s="28"/>
      <c r="N267" s="53"/>
      <c r="O267" s="54">
        <f t="shared" si="4"/>
        <v>0</v>
      </c>
    </row>
    <row r="268" spans="1:15" x14ac:dyDescent="0.2">
      <c r="A268" s="32"/>
      <c r="B268" s="27" t="s">
        <v>21</v>
      </c>
      <c r="C268" s="28"/>
      <c r="D268" s="28"/>
      <c r="E268" s="28"/>
      <c r="F268" s="28"/>
      <c r="G268" s="35"/>
      <c r="H268" s="28"/>
      <c r="I268" s="28"/>
      <c r="J268" s="28"/>
      <c r="K268" s="28"/>
      <c r="L268" s="35"/>
      <c r="M268" s="28"/>
      <c r="N268" s="53"/>
      <c r="O268" s="54">
        <f t="shared" si="4"/>
        <v>0</v>
      </c>
    </row>
    <row r="269" spans="1:15" x14ac:dyDescent="0.2">
      <c r="A269" s="32"/>
      <c r="B269" s="27" t="s">
        <v>21</v>
      </c>
      <c r="C269" s="28"/>
      <c r="D269" s="28"/>
      <c r="E269" s="28"/>
      <c r="F269" s="28"/>
      <c r="G269" s="35"/>
      <c r="H269" s="28"/>
      <c r="I269" s="28"/>
      <c r="J269" s="28"/>
      <c r="K269" s="28"/>
      <c r="L269" s="35"/>
      <c r="M269" s="28"/>
      <c r="N269" s="53"/>
      <c r="O269" s="54">
        <f t="shared" si="4"/>
        <v>0</v>
      </c>
    </row>
    <row r="270" spans="1:15" x14ac:dyDescent="0.2">
      <c r="A270" s="32"/>
      <c r="B270" s="27" t="s">
        <v>21</v>
      </c>
      <c r="C270" s="28"/>
      <c r="D270" s="28"/>
      <c r="E270" s="28"/>
      <c r="F270" s="28"/>
      <c r="G270" s="35"/>
      <c r="H270" s="28"/>
      <c r="I270" s="28"/>
      <c r="J270" s="28"/>
      <c r="K270" s="28"/>
      <c r="L270" s="35"/>
      <c r="M270" s="28"/>
      <c r="N270" s="53"/>
      <c r="O270" s="54">
        <f t="shared" si="4"/>
        <v>0</v>
      </c>
    </row>
    <row r="271" spans="1:15" x14ac:dyDescent="0.2">
      <c r="A271" s="32"/>
      <c r="B271" s="27" t="s">
        <v>21</v>
      </c>
      <c r="C271" s="28"/>
      <c r="D271" s="28"/>
      <c r="E271" s="28"/>
      <c r="F271" s="28"/>
      <c r="G271" s="35"/>
      <c r="H271" s="28"/>
      <c r="I271" s="28"/>
      <c r="J271" s="28"/>
      <c r="K271" s="28"/>
      <c r="L271" s="35"/>
      <c r="M271" s="28"/>
      <c r="N271" s="53"/>
      <c r="O271" s="54">
        <f t="shared" si="4"/>
        <v>0</v>
      </c>
    </row>
    <row r="272" spans="1:15" x14ac:dyDescent="0.2">
      <c r="A272" s="32"/>
      <c r="B272" s="27" t="s">
        <v>21</v>
      </c>
      <c r="C272" s="28"/>
      <c r="D272" s="28"/>
      <c r="E272" s="28"/>
      <c r="F272" s="28"/>
      <c r="G272" s="35"/>
      <c r="H272" s="28"/>
      <c r="I272" s="28"/>
      <c r="J272" s="28"/>
      <c r="K272" s="28"/>
      <c r="L272" s="35"/>
      <c r="M272" s="28"/>
      <c r="N272" s="53"/>
      <c r="O272" s="54">
        <f t="shared" si="4"/>
        <v>0</v>
      </c>
    </row>
    <row r="273" spans="1:15" x14ac:dyDescent="0.2">
      <c r="A273" s="32"/>
      <c r="B273" s="27" t="s">
        <v>21</v>
      </c>
      <c r="C273" s="28"/>
      <c r="D273" s="28"/>
      <c r="E273" s="28"/>
      <c r="F273" s="28"/>
      <c r="G273" s="35"/>
      <c r="H273" s="28"/>
      <c r="I273" s="28"/>
      <c r="J273" s="28"/>
      <c r="K273" s="28"/>
      <c r="L273" s="35"/>
      <c r="M273" s="28"/>
      <c r="N273" s="53"/>
      <c r="O273" s="54">
        <f t="shared" si="4"/>
        <v>0</v>
      </c>
    </row>
    <row r="274" spans="1:15" x14ac:dyDescent="0.2">
      <c r="A274" s="32"/>
      <c r="B274" s="27" t="s">
        <v>21</v>
      </c>
      <c r="C274" s="28"/>
      <c r="D274" s="28"/>
      <c r="E274" s="28"/>
      <c r="F274" s="28"/>
      <c r="G274" s="35"/>
      <c r="H274" s="28"/>
      <c r="I274" s="28"/>
      <c r="J274" s="28"/>
      <c r="K274" s="28"/>
      <c r="L274" s="35"/>
      <c r="M274" s="28"/>
      <c r="N274" s="53"/>
      <c r="O274" s="54">
        <f t="shared" si="4"/>
        <v>0</v>
      </c>
    </row>
    <row r="275" spans="1:15" x14ac:dyDescent="0.2">
      <c r="A275" s="32"/>
      <c r="B275" s="27" t="s">
        <v>21</v>
      </c>
      <c r="C275" s="28"/>
      <c r="D275" s="28"/>
      <c r="E275" s="28"/>
      <c r="F275" s="28"/>
      <c r="G275" s="35"/>
      <c r="H275" s="28"/>
      <c r="I275" s="28"/>
      <c r="J275" s="28"/>
      <c r="K275" s="28"/>
      <c r="L275" s="35"/>
      <c r="M275" s="28"/>
      <c r="N275" s="53"/>
      <c r="O275" s="54">
        <f t="shared" si="4"/>
        <v>0</v>
      </c>
    </row>
    <row r="276" spans="1:15" x14ac:dyDescent="0.2">
      <c r="A276" s="32"/>
      <c r="B276" s="27" t="s">
        <v>21</v>
      </c>
      <c r="C276" s="28"/>
      <c r="D276" s="28"/>
      <c r="E276" s="28"/>
      <c r="F276" s="28"/>
      <c r="G276" s="35"/>
      <c r="H276" s="28"/>
      <c r="I276" s="28"/>
      <c r="J276" s="28"/>
      <c r="K276" s="28"/>
      <c r="L276" s="35"/>
      <c r="M276" s="28"/>
      <c r="N276" s="53"/>
      <c r="O276" s="54">
        <f t="shared" si="4"/>
        <v>0</v>
      </c>
    </row>
    <row r="277" spans="1:15" x14ac:dyDescent="0.2">
      <c r="A277" s="32"/>
      <c r="B277" s="27" t="s">
        <v>21</v>
      </c>
      <c r="C277" s="28"/>
      <c r="D277" s="28"/>
      <c r="E277" s="28"/>
      <c r="F277" s="28"/>
      <c r="G277" s="35"/>
      <c r="H277" s="28"/>
      <c r="I277" s="28"/>
      <c r="J277" s="28"/>
      <c r="K277" s="28"/>
      <c r="L277" s="35"/>
      <c r="M277" s="28"/>
      <c r="N277" s="53"/>
      <c r="O277" s="54">
        <f t="shared" si="4"/>
        <v>0</v>
      </c>
    </row>
    <row r="278" spans="1:15" x14ac:dyDescent="0.2">
      <c r="A278" s="32"/>
      <c r="B278" s="27" t="s">
        <v>21</v>
      </c>
      <c r="C278" s="28"/>
      <c r="D278" s="28"/>
      <c r="E278" s="28"/>
      <c r="F278" s="28"/>
      <c r="G278" s="35"/>
      <c r="H278" s="28"/>
      <c r="I278" s="28"/>
      <c r="J278" s="28"/>
      <c r="K278" s="28"/>
      <c r="L278" s="35"/>
      <c r="M278" s="28"/>
      <c r="N278" s="53"/>
      <c r="O278" s="54">
        <f t="shared" si="4"/>
        <v>0</v>
      </c>
    </row>
    <row r="279" spans="1:15" x14ac:dyDescent="0.2">
      <c r="A279" s="32"/>
      <c r="B279" s="27" t="s">
        <v>21</v>
      </c>
      <c r="C279" s="28"/>
      <c r="D279" s="28"/>
      <c r="E279" s="28"/>
      <c r="F279" s="28"/>
      <c r="G279" s="35"/>
      <c r="H279" s="28"/>
      <c r="I279" s="28"/>
      <c r="J279" s="28"/>
      <c r="K279" s="28"/>
      <c r="L279" s="35"/>
      <c r="M279" s="28"/>
      <c r="N279" s="53"/>
      <c r="O279" s="54">
        <f t="shared" si="4"/>
        <v>0</v>
      </c>
    </row>
    <row r="280" spans="1:15" x14ac:dyDescent="0.2">
      <c r="A280" s="32"/>
      <c r="B280" s="27" t="s">
        <v>21</v>
      </c>
      <c r="C280" s="28"/>
      <c r="D280" s="28"/>
      <c r="E280" s="28"/>
      <c r="F280" s="28"/>
      <c r="G280" s="35"/>
      <c r="H280" s="28"/>
      <c r="I280" s="28"/>
      <c r="J280" s="28"/>
      <c r="K280" s="28"/>
      <c r="L280" s="35"/>
      <c r="M280" s="28"/>
      <c r="N280" s="53"/>
      <c r="O280" s="54">
        <f t="shared" si="4"/>
        <v>0</v>
      </c>
    </row>
    <row r="281" spans="1:15" x14ac:dyDescent="0.2">
      <c r="A281" s="32"/>
      <c r="B281" s="27" t="s">
        <v>21</v>
      </c>
      <c r="C281" s="28"/>
      <c r="D281" s="28"/>
      <c r="E281" s="28"/>
      <c r="F281" s="28"/>
      <c r="G281" s="35"/>
      <c r="H281" s="28"/>
      <c r="I281" s="28"/>
      <c r="J281" s="28"/>
      <c r="K281" s="28"/>
      <c r="L281" s="35"/>
      <c r="M281" s="28"/>
      <c r="N281" s="53"/>
      <c r="O281" s="54">
        <f t="shared" si="4"/>
        <v>0</v>
      </c>
    </row>
    <row r="282" spans="1:15" x14ac:dyDescent="0.2">
      <c r="A282" s="32"/>
      <c r="B282" s="27" t="s">
        <v>21</v>
      </c>
      <c r="C282" s="28"/>
      <c r="D282" s="28"/>
      <c r="E282" s="28"/>
      <c r="F282" s="28"/>
      <c r="G282" s="35"/>
      <c r="H282" s="28"/>
      <c r="I282" s="28"/>
      <c r="J282" s="28"/>
      <c r="K282" s="28"/>
      <c r="L282" s="35"/>
      <c r="M282" s="28"/>
      <c r="N282" s="53"/>
      <c r="O282" s="54">
        <f t="shared" si="4"/>
        <v>0</v>
      </c>
    </row>
    <row r="283" spans="1:15" x14ac:dyDescent="0.2">
      <c r="A283" s="32"/>
      <c r="B283" s="27" t="s">
        <v>21</v>
      </c>
      <c r="C283" s="28"/>
      <c r="D283" s="28"/>
      <c r="E283" s="28"/>
      <c r="F283" s="28"/>
      <c r="G283" s="35"/>
      <c r="H283" s="28"/>
      <c r="I283" s="28"/>
      <c r="J283" s="28"/>
      <c r="K283" s="28"/>
      <c r="L283" s="35"/>
      <c r="M283" s="28"/>
      <c r="N283" s="53"/>
      <c r="O283" s="54">
        <f t="shared" si="4"/>
        <v>0</v>
      </c>
    </row>
    <row r="284" spans="1:15" x14ac:dyDescent="0.2">
      <c r="A284" s="32"/>
      <c r="B284" s="27" t="s">
        <v>21</v>
      </c>
      <c r="C284" s="28"/>
      <c r="D284" s="28"/>
      <c r="E284" s="28"/>
      <c r="F284" s="28"/>
      <c r="G284" s="35"/>
      <c r="H284" s="28"/>
      <c r="I284" s="28"/>
      <c r="J284" s="28"/>
      <c r="K284" s="28"/>
      <c r="L284" s="35"/>
      <c r="M284" s="28"/>
      <c r="N284" s="53"/>
      <c r="O284" s="54">
        <f t="shared" si="4"/>
        <v>0</v>
      </c>
    </row>
    <row r="285" spans="1:15" x14ac:dyDescent="0.2">
      <c r="A285" s="32"/>
      <c r="B285" s="27" t="s">
        <v>21</v>
      </c>
      <c r="C285" s="28"/>
      <c r="D285" s="28"/>
      <c r="E285" s="28"/>
      <c r="F285" s="28"/>
      <c r="G285" s="35"/>
      <c r="H285" s="28"/>
      <c r="I285" s="28"/>
      <c r="J285" s="28"/>
      <c r="K285" s="28"/>
      <c r="L285" s="35"/>
      <c r="M285" s="28"/>
      <c r="N285" s="53"/>
      <c r="O285" s="54">
        <f t="shared" si="4"/>
        <v>0</v>
      </c>
    </row>
    <row r="286" spans="1:15" x14ac:dyDescent="0.2">
      <c r="A286" s="32"/>
      <c r="B286" s="27" t="s">
        <v>21</v>
      </c>
      <c r="C286" s="28"/>
      <c r="D286" s="28"/>
      <c r="E286" s="28"/>
      <c r="F286" s="28"/>
      <c r="G286" s="35"/>
      <c r="H286" s="28"/>
      <c r="I286" s="28"/>
      <c r="J286" s="28"/>
      <c r="K286" s="28"/>
      <c r="L286" s="35"/>
      <c r="M286" s="28"/>
      <c r="N286" s="53"/>
      <c r="O286" s="54">
        <f t="shared" si="4"/>
        <v>0</v>
      </c>
    </row>
    <row r="287" spans="1:15" x14ac:dyDescent="0.2">
      <c r="A287" s="32"/>
      <c r="B287" s="27" t="s">
        <v>21</v>
      </c>
      <c r="C287" s="28"/>
      <c r="D287" s="28"/>
      <c r="E287" s="28"/>
      <c r="F287" s="28"/>
      <c r="G287" s="35"/>
      <c r="H287" s="28"/>
      <c r="I287" s="28"/>
      <c r="J287" s="28"/>
      <c r="K287" s="28"/>
      <c r="L287" s="35"/>
      <c r="M287" s="28"/>
      <c r="N287" s="53"/>
      <c r="O287" s="54">
        <f t="shared" si="4"/>
        <v>0</v>
      </c>
    </row>
    <row r="288" spans="1:15" x14ac:dyDescent="0.2">
      <c r="A288" s="32"/>
      <c r="B288" s="27" t="s">
        <v>21</v>
      </c>
      <c r="C288" s="28"/>
      <c r="D288" s="28"/>
      <c r="E288" s="28"/>
      <c r="F288" s="28"/>
      <c r="G288" s="35"/>
      <c r="H288" s="28"/>
      <c r="I288" s="28"/>
      <c r="J288" s="28"/>
      <c r="K288" s="28"/>
      <c r="L288" s="35"/>
      <c r="M288" s="28"/>
      <c r="N288" s="53"/>
      <c r="O288" s="54">
        <f t="shared" si="4"/>
        <v>0</v>
      </c>
    </row>
    <row r="289" spans="1:15" x14ac:dyDescent="0.2">
      <c r="A289" s="32"/>
      <c r="B289" s="27" t="s">
        <v>21</v>
      </c>
      <c r="C289" s="28"/>
      <c r="D289" s="28"/>
      <c r="E289" s="28"/>
      <c r="F289" s="28"/>
      <c r="G289" s="35"/>
      <c r="H289" s="28"/>
      <c r="I289" s="28"/>
      <c r="J289" s="28"/>
      <c r="K289" s="28"/>
      <c r="L289" s="35"/>
      <c r="M289" s="28"/>
      <c r="N289" s="53"/>
      <c r="O289" s="54">
        <f t="shared" si="4"/>
        <v>0</v>
      </c>
    </row>
    <row r="290" spans="1:15" x14ac:dyDescent="0.2">
      <c r="A290" s="32"/>
      <c r="B290" s="27" t="s">
        <v>21</v>
      </c>
      <c r="C290" s="28"/>
      <c r="D290" s="28"/>
      <c r="E290" s="28"/>
      <c r="F290" s="28"/>
      <c r="G290" s="35"/>
      <c r="H290" s="28"/>
      <c r="I290" s="28"/>
      <c r="J290" s="28"/>
      <c r="K290" s="28"/>
      <c r="L290" s="35"/>
      <c r="M290" s="28"/>
      <c r="N290" s="53"/>
      <c r="O290" s="54">
        <f t="shared" si="4"/>
        <v>0</v>
      </c>
    </row>
    <row r="291" spans="1:15" x14ac:dyDescent="0.2">
      <c r="A291" s="32"/>
      <c r="B291" s="27" t="s">
        <v>21</v>
      </c>
      <c r="C291" s="28"/>
      <c r="D291" s="28"/>
      <c r="E291" s="28"/>
      <c r="F291" s="28"/>
      <c r="G291" s="35"/>
      <c r="H291" s="28"/>
      <c r="I291" s="28"/>
      <c r="J291" s="28"/>
      <c r="K291" s="28"/>
      <c r="L291" s="35"/>
      <c r="M291" s="28"/>
      <c r="N291" s="53"/>
      <c r="O291" s="54">
        <f t="shared" si="4"/>
        <v>0</v>
      </c>
    </row>
    <row r="292" spans="1:15" x14ac:dyDescent="0.2">
      <c r="A292" s="41"/>
      <c r="B292" s="27" t="s">
        <v>21</v>
      </c>
      <c r="C292" s="40"/>
      <c r="D292" s="40"/>
      <c r="E292" s="40"/>
      <c r="F292" s="40"/>
      <c r="G292" s="33"/>
      <c r="H292" s="40"/>
      <c r="I292" s="40"/>
      <c r="J292" s="40"/>
      <c r="K292" s="40"/>
      <c r="L292" s="35"/>
      <c r="M292" s="28"/>
      <c r="N292" s="53"/>
      <c r="O292" s="54">
        <f t="shared" si="4"/>
        <v>0</v>
      </c>
    </row>
    <row r="293" spans="1:15" x14ac:dyDescent="0.2">
      <c r="A293" s="32"/>
      <c r="B293" s="27" t="s">
        <v>21</v>
      </c>
      <c r="C293" s="28"/>
      <c r="D293" s="28"/>
      <c r="E293" s="28"/>
      <c r="F293" s="28"/>
      <c r="G293" s="35"/>
      <c r="H293" s="28"/>
      <c r="I293" s="28"/>
      <c r="J293" s="28"/>
      <c r="K293" s="28"/>
      <c r="L293" s="35"/>
      <c r="M293" s="28"/>
      <c r="N293" s="53"/>
      <c r="O293" s="54">
        <f t="shared" si="4"/>
        <v>0</v>
      </c>
    </row>
    <row r="294" spans="1:15" x14ac:dyDescent="0.2">
      <c r="A294" s="32"/>
      <c r="B294" s="27" t="s">
        <v>21</v>
      </c>
      <c r="C294" s="28"/>
      <c r="D294" s="28"/>
      <c r="E294" s="28"/>
      <c r="F294" s="28"/>
      <c r="G294" s="35"/>
      <c r="H294" s="28"/>
      <c r="I294" s="28"/>
      <c r="J294" s="28"/>
      <c r="K294" s="28"/>
      <c r="L294" s="35"/>
      <c r="M294" s="28"/>
      <c r="N294" s="53"/>
      <c r="O294" s="54">
        <f t="shared" si="4"/>
        <v>0</v>
      </c>
    </row>
    <row r="295" spans="1:15" x14ac:dyDescent="0.2">
      <c r="A295" s="32"/>
      <c r="B295" s="27" t="s">
        <v>21</v>
      </c>
      <c r="C295" s="28"/>
      <c r="D295" s="28"/>
      <c r="E295" s="28"/>
      <c r="F295" s="28"/>
      <c r="G295" s="35"/>
      <c r="H295" s="28"/>
      <c r="I295" s="28"/>
      <c r="J295" s="28"/>
      <c r="K295" s="28"/>
      <c r="L295" s="35"/>
      <c r="M295" s="28"/>
      <c r="N295" s="53"/>
      <c r="O295" s="54">
        <f t="shared" si="4"/>
        <v>0</v>
      </c>
    </row>
    <row r="296" spans="1:15" x14ac:dyDescent="0.2">
      <c r="A296" s="32"/>
      <c r="B296" s="27" t="s">
        <v>21</v>
      </c>
      <c r="C296" s="28"/>
      <c r="D296" s="28"/>
      <c r="E296" s="28"/>
      <c r="F296" s="28"/>
      <c r="G296" s="35"/>
      <c r="H296" s="28"/>
      <c r="I296" s="28"/>
      <c r="J296" s="28"/>
      <c r="K296" s="28"/>
      <c r="L296" s="35"/>
      <c r="M296" s="28"/>
      <c r="N296" s="53"/>
      <c r="O296" s="54">
        <f t="shared" si="4"/>
        <v>0</v>
      </c>
    </row>
    <row r="297" spans="1:15" x14ac:dyDescent="0.2">
      <c r="A297" s="32"/>
      <c r="B297" s="27" t="s">
        <v>21</v>
      </c>
      <c r="C297" s="28"/>
      <c r="D297" s="28"/>
      <c r="E297" s="28"/>
      <c r="F297" s="28"/>
      <c r="G297" s="35"/>
      <c r="H297" s="28"/>
      <c r="I297" s="28"/>
      <c r="J297" s="28"/>
      <c r="K297" s="28"/>
      <c r="L297" s="35"/>
      <c r="M297" s="28"/>
      <c r="N297" s="53"/>
      <c r="O297" s="54">
        <f t="shared" si="4"/>
        <v>0</v>
      </c>
    </row>
    <row r="298" spans="1:15" x14ac:dyDescent="0.2">
      <c r="A298" s="32"/>
      <c r="B298" s="27" t="s">
        <v>21</v>
      </c>
      <c r="C298" s="28"/>
      <c r="D298" s="28"/>
      <c r="E298" s="28"/>
      <c r="F298" s="28"/>
      <c r="G298" s="35"/>
      <c r="H298" s="28"/>
      <c r="I298" s="28"/>
      <c r="J298" s="28"/>
      <c r="K298" s="28"/>
      <c r="L298" s="35"/>
      <c r="M298" s="28"/>
      <c r="N298" s="53"/>
      <c r="O298" s="54">
        <f t="shared" si="4"/>
        <v>0</v>
      </c>
    </row>
    <row r="299" spans="1:15" x14ac:dyDescent="0.2">
      <c r="A299" s="32"/>
      <c r="B299" s="27" t="s">
        <v>21</v>
      </c>
      <c r="C299" s="28"/>
      <c r="D299" s="28"/>
      <c r="E299" s="28"/>
      <c r="F299" s="28"/>
      <c r="G299" s="35"/>
      <c r="H299" s="28"/>
      <c r="I299" s="28"/>
      <c r="J299" s="28"/>
      <c r="K299" s="28"/>
      <c r="L299" s="35"/>
      <c r="M299" s="28"/>
      <c r="N299" s="53"/>
      <c r="O299" s="54">
        <f t="shared" si="4"/>
        <v>0</v>
      </c>
    </row>
    <row r="300" spans="1:15" x14ac:dyDescent="0.2">
      <c r="A300" s="32"/>
      <c r="B300" s="27" t="s">
        <v>21</v>
      </c>
      <c r="C300" s="28"/>
      <c r="D300" s="28"/>
      <c r="E300" s="28"/>
      <c r="F300" s="28"/>
      <c r="G300" s="35"/>
      <c r="H300" s="28"/>
      <c r="I300" s="28"/>
      <c r="J300" s="28"/>
      <c r="K300" s="28"/>
      <c r="L300" s="35"/>
      <c r="M300" s="28"/>
      <c r="N300" s="53"/>
      <c r="O300" s="54">
        <f t="shared" si="4"/>
        <v>0</v>
      </c>
    </row>
    <row r="301" spans="1:15" x14ac:dyDescent="0.2">
      <c r="A301" s="32"/>
      <c r="B301" s="27" t="s">
        <v>21</v>
      </c>
      <c r="C301" s="28"/>
      <c r="D301" s="28"/>
      <c r="E301" s="28"/>
      <c r="F301" s="28"/>
      <c r="G301" s="35"/>
      <c r="H301" s="28"/>
      <c r="I301" s="28"/>
      <c r="J301" s="28"/>
      <c r="K301" s="28"/>
      <c r="L301" s="35"/>
      <c r="M301" s="28"/>
      <c r="N301" s="53"/>
      <c r="O301" s="54">
        <f t="shared" si="4"/>
        <v>0</v>
      </c>
    </row>
    <row r="302" spans="1:15" x14ac:dyDescent="0.2">
      <c r="A302" s="32"/>
      <c r="B302" s="27" t="s">
        <v>21</v>
      </c>
      <c r="C302" s="28"/>
      <c r="D302" s="28"/>
      <c r="E302" s="28"/>
      <c r="F302" s="28"/>
      <c r="G302" s="35"/>
      <c r="H302" s="28"/>
      <c r="I302" s="28"/>
      <c r="J302" s="28"/>
      <c r="K302" s="28"/>
      <c r="L302" s="35"/>
      <c r="M302" s="28"/>
      <c r="N302" s="53"/>
      <c r="O302" s="54">
        <f t="shared" si="4"/>
        <v>0</v>
      </c>
    </row>
    <row r="303" spans="1:15" x14ac:dyDescent="0.2">
      <c r="A303" s="32"/>
      <c r="B303" s="27" t="s">
        <v>21</v>
      </c>
      <c r="C303" s="28"/>
      <c r="D303" s="28"/>
      <c r="E303" s="28"/>
      <c r="F303" s="28"/>
      <c r="G303" s="35"/>
      <c r="H303" s="28"/>
      <c r="I303" s="28"/>
      <c r="J303" s="28"/>
      <c r="K303" s="28"/>
      <c r="L303" s="35"/>
      <c r="M303" s="28"/>
      <c r="N303" s="53"/>
      <c r="O303" s="54">
        <f t="shared" si="4"/>
        <v>0</v>
      </c>
    </row>
    <row r="304" spans="1:15" x14ac:dyDescent="0.2">
      <c r="A304" s="32"/>
      <c r="B304" s="27" t="s">
        <v>21</v>
      </c>
      <c r="C304" s="28"/>
      <c r="D304" s="28"/>
      <c r="E304" s="28"/>
      <c r="F304" s="28"/>
      <c r="G304" s="35"/>
      <c r="H304" s="28"/>
      <c r="I304" s="28"/>
      <c r="J304" s="28"/>
      <c r="K304" s="28"/>
      <c r="L304" s="35"/>
      <c r="M304" s="28"/>
      <c r="N304" s="53"/>
      <c r="O304" s="54">
        <f t="shared" si="4"/>
        <v>0</v>
      </c>
    </row>
    <row r="305" spans="1:15" x14ac:dyDescent="0.2">
      <c r="A305" s="32"/>
      <c r="B305" s="27" t="s">
        <v>21</v>
      </c>
      <c r="C305" s="28"/>
      <c r="D305" s="28"/>
      <c r="E305" s="28"/>
      <c r="F305" s="28"/>
      <c r="G305" s="35"/>
      <c r="H305" s="28"/>
      <c r="I305" s="28"/>
      <c r="J305" s="28"/>
      <c r="K305" s="28"/>
      <c r="L305" s="35"/>
      <c r="M305" s="28"/>
      <c r="N305" s="53"/>
      <c r="O305" s="54">
        <f t="shared" si="4"/>
        <v>0</v>
      </c>
    </row>
    <row r="306" spans="1:15" x14ac:dyDescent="0.2">
      <c r="A306" s="32"/>
      <c r="B306" s="27" t="s">
        <v>21</v>
      </c>
      <c r="C306" s="28"/>
      <c r="D306" s="28"/>
      <c r="E306" s="28"/>
      <c r="F306" s="28"/>
      <c r="G306" s="35"/>
      <c r="H306" s="28"/>
      <c r="I306" s="28"/>
      <c r="J306" s="28"/>
      <c r="K306" s="28"/>
      <c r="L306" s="35"/>
      <c r="M306" s="28"/>
      <c r="N306" s="53"/>
      <c r="O306" s="54">
        <f t="shared" si="4"/>
        <v>0</v>
      </c>
    </row>
    <row r="307" spans="1:15" x14ac:dyDescent="0.2">
      <c r="A307" s="32"/>
      <c r="B307" s="27" t="s">
        <v>21</v>
      </c>
      <c r="C307" s="28"/>
      <c r="D307" s="28"/>
      <c r="E307" s="28"/>
      <c r="F307" s="28"/>
      <c r="G307" s="35"/>
      <c r="H307" s="28"/>
      <c r="I307" s="28"/>
      <c r="J307" s="28"/>
      <c r="K307" s="28"/>
      <c r="L307" s="35"/>
      <c r="M307" s="28"/>
      <c r="N307" s="53"/>
      <c r="O307" s="54">
        <f t="shared" si="4"/>
        <v>0</v>
      </c>
    </row>
    <row r="308" spans="1:15" x14ac:dyDescent="0.2">
      <c r="A308" s="32"/>
      <c r="B308" s="27" t="s">
        <v>21</v>
      </c>
      <c r="C308" s="28"/>
      <c r="D308" s="28"/>
      <c r="E308" s="28"/>
      <c r="F308" s="28"/>
      <c r="G308" s="35"/>
      <c r="H308" s="28"/>
      <c r="I308" s="28"/>
      <c r="J308" s="28"/>
      <c r="K308" s="28"/>
      <c r="L308" s="35"/>
      <c r="M308" s="28"/>
      <c r="N308" s="53"/>
      <c r="O308" s="54">
        <f t="shared" si="4"/>
        <v>0</v>
      </c>
    </row>
    <row r="309" spans="1:15" x14ac:dyDescent="0.2">
      <c r="A309" s="32"/>
      <c r="B309" s="27" t="s">
        <v>21</v>
      </c>
      <c r="C309" s="28"/>
      <c r="D309" s="28"/>
      <c r="E309" s="28"/>
      <c r="F309" s="28"/>
      <c r="G309" s="35"/>
      <c r="H309" s="28"/>
      <c r="I309" s="28"/>
      <c r="J309" s="28"/>
      <c r="K309" s="28"/>
      <c r="L309" s="35"/>
      <c r="M309" s="28"/>
      <c r="N309" s="53"/>
      <c r="O309" s="54">
        <f t="shared" si="4"/>
        <v>0</v>
      </c>
    </row>
    <row r="310" spans="1:15" x14ac:dyDescent="0.2">
      <c r="A310" s="32"/>
      <c r="B310" s="27" t="s">
        <v>21</v>
      </c>
      <c r="C310" s="28"/>
      <c r="D310" s="28"/>
      <c r="E310" s="28"/>
      <c r="F310" s="28"/>
      <c r="G310" s="35"/>
      <c r="H310" s="28"/>
      <c r="I310" s="28"/>
      <c r="J310" s="28"/>
      <c r="K310" s="28"/>
      <c r="L310" s="35"/>
      <c r="M310" s="28"/>
      <c r="N310" s="53"/>
      <c r="O310" s="54">
        <f t="shared" si="4"/>
        <v>0</v>
      </c>
    </row>
    <row r="311" spans="1:15" x14ac:dyDescent="0.2">
      <c r="A311" s="32"/>
      <c r="B311" s="27" t="s">
        <v>21</v>
      </c>
      <c r="C311" s="28"/>
      <c r="D311" s="28"/>
      <c r="E311" s="28"/>
      <c r="F311" s="28"/>
      <c r="G311" s="35"/>
      <c r="H311" s="28"/>
      <c r="I311" s="28"/>
      <c r="J311" s="28"/>
      <c r="K311" s="28"/>
      <c r="L311" s="35"/>
      <c r="M311" s="28"/>
      <c r="N311" s="53"/>
      <c r="O311" s="54">
        <f t="shared" si="4"/>
        <v>0</v>
      </c>
    </row>
    <row r="312" spans="1:15" x14ac:dyDescent="0.2">
      <c r="A312" s="32"/>
      <c r="B312" s="27" t="s">
        <v>21</v>
      </c>
      <c r="C312" s="28"/>
      <c r="D312" s="28"/>
      <c r="E312" s="28"/>
      <c r="F312" s="28"/>
      <c r="G312" s="35"/>
      <c r="H312" s="28"/>
      <c r="I312" s="28"/>
      <c r="J312" s="28"/>
      <c r="K312" s="28"/>
      <c r="L312" s="35"/>
      <c r="M312" s="28"/>
      <c r="N312" s="53"/>
      <c r="O312" s="54">
        <f t="shared" si="4"/>
        <v>0</v>
      </c>
    </row>
    <row r="313" spans="1:15" x14ac:dyDescent="0.2">
      <c r="A313" s="32"/>
      <c r="B313" s="27" t="s">
        <v>21</v>
      </c>
      <c r="C313" s="28"/>
      <c r="D313" s="28"/>
      <c r="E313" s="28"/>
      <c r="F313" s="28"/>
      <c r="G313" s="35"/>
      <c r="H313" s="28"/>
      <c r="I313" s="28"/>
      <c r="J313" s="28"/>
      <c r="K313" s="28"/>
      <c r="L313" s="35"/>
      <c r="M313" s="28"/>
      <c r="N313" s="53"/>
      <c r="O313" s="54">
        <f t="shared" si="4"/>
        <v>0</v>
      </c>
    </row>
    <row r="314" spans="1:15" x14ac:dyDescent="0.2">
      <c r="A314" s="32"/>
      <c r="B314" s="27" t="s">
        <v>21</v>
      </c>
      <c r="C314" s="28"/>
      <c r="D314" s="28"/>
      <c r="E314" s="28"/>
      <c r="F314" s="28"/>
      <c r="G314" s="35"/>
      <c r="H314" s="28"/>
      <c r="I314" s="28"/>
      <c r="J314" s="28"/>
      <c r="K314" s="28"/>
      <c r="L314" s="35"/>
      <c r="M314" s="28"/>
      <c r="N314" s="53"/>
      <c r="O314" s="54">
        <f t="shared" si="4"/>
        <v>0</v>
      </c>
    </row>
    <row r="315" spans="1:15" x14ac:dyDescent="0.2">
      <c r="A315" s="32"/>
      <c r="B315" s="27" t="s">
        <v>21</v>
      </c>
      <c r="C315" s="28"/>
      <c r="D315" s="28"/>
      <c r="E315" s="28"/>
      <c r="F315" s="28"/>
      <c r="G315" s="35"/>
      <c r="H315" s="28"/>
      <c r="I315" s="28"/>
      <c r="J315" s="28"/>
      <c r="K315" s="28"/>
      <c r="L315" s="35"/>
      <c r="M315" s="28"/>
      <c r="N315" s="53"/>
      <c r="O315" s="54">
        <f t="shared" si="4"/>
        <v>0</v>
      </c>
    </row>
    <row r="316" spans="1:15" x14ac:dyDescent="0.2">
      <c r="A316" s="32"/>
      <c r="B316" s="27" t="s">
        <v>21</v>
      </c>
      <c r="C316" s="28"/>
      <c r="D316" s="28"/>
      <c r="E316" s="28"/>
      <c r="F316" s="28"/>
      <c r="G316" s="35"/>
      <c r="H316" s="28"/>
      <c r="I316" s="28"/>
      <c r="J316" s="28"/>
      <c r="K316" s="28"/>
      <c r="L316" s="35"/>
      <c r="M316" s="28"/>
      <c r="N316" s="53"/>
      <c r="O316" s="54">
        <f t="shared" si="4"/>
        <v>0</v>
      </c>
    </row>
    <row r="317" spans="1:15" x14ac:dyDescent="0.2">
      <c r="A317" s="32"/>
      <c r="B317" s="27" t="s">
        <v>21</v>
      </c>
      <c r="C317" s="28"/>
      <c r="D317" s="28"/>
      <c r="E317" s="28"/>
      <c r="F317" s="28"/>
      <c r="G317" s="35"/>
      <c r="H317" s="28"/>
      <c r="I317" s="28"/>
      <c r="J317" s="28"/>
      <c r="K317" s="28"/>
      <c r="L317" s="35"/>
      <c r="M317" s="28"/>
      <c r="N317" s="53"/>
      <c r="O317" s="54">
        <f t="shared" si="4"/>
        <v>0</v>
      </c>
    </row>
    <row r="318" spans="1:15" x14ac:dyDescent="0.2">
      <c r="A318" s="32"/>
      <c r="B318" s="27" t="s">
        <v>21</v>
      </c>
      <c r="C318" s="28"/>
      <c r="D318" s="28"/>
      <c r="E318" s="28"/>
      <c r="F318" s="28"/>
      <c r="G318" s="35"/>
      <c r="H318" s="28"/>
      <c r="I318" s="28"/>
      <c r="J318" s="28"/>
      <c r="K318" s="28"/>
      <c r="L318" s="35"/>
      <c r="M318" s="28"/>
      <c r="N318" s="53"/>
      <c r="O318" s="54">
        <f t="shared" si="4"/>
        <v>0</v>
      </c>
    </row>
    <row r="319" spans="1:15" x14ac:dyDescent="0.2">
      <c r="A319" s="32"/>
      <c r="B319" s="27" t="s">
        <v>21</v>
      </c>
      <c r="C319" s="28"/>
      <c r="D319" s="28"/>
      <c r="E319" s="28"/>
      <c r="F319" s="28"/>
      <c r="G319" s="35"/>
      <c r="H319" s="28"/>
      <c r="I319" s="28"/>
      <c r="J319" s="28"/>
      <c r="K319" s="28"/>
      <c r="L319" s="35"/>
      <c r="M319" s="28"/>
      <c r="N319" s="53"/>
      <c r="O319" s="54">
        <f t="shared" si="4"/>
        <v>0</v>
      </c>
    </row>
    <row r="320" spans="1:15" x14ac:dyDescent="0.2">
      <c r="A320" s="32"/>
      <c r="B320" s="27" t="s">
        <v>21</v>
      </c>
      <c r="C320" s="28"/>
      <c r="D320" s="28"/>
      <c r="E320" s="28"/>
      <c r="F320" s="28"/>
      <c r="G320" s="35"/>
      <c r="H320" s="28"/>
      <c r="I320" s="28"/>
      <c r="J320" s="28"/>
      <c r="K320" s="28"/>
      <c r="L320" s="35"/>
      <c r="M320" s="28"/>
      <c r="N320" s="53"/>
      <c r="O320" s="54">
        <f t="shared" si="4"/>
        <v>0</v>
      </c>
    </row>
    <row r="321" spans="1:15" x14ac:dyDescent="0.2">
      <c r="A321" s="32"/>
      <c r="B321" s="27" t="s">
        <v>21</v>
      </c>
      <c r="C321" s="28"/>
      <c r="D321" s="28"/>
      <c r="E321" s="28"/>
      <c r="F321" s="28"/>
      <c r="G321" s="35"/>
      <c r="H321" s="28"/>
      <c r="I321" s="28"/>
      <c r="J321" s="28"/>
      <c r="K321" s="28"/>
      <c r="L321" s="35"/>
      <c r="M321" s="28"/>
      <c r="N321" s="53"/>
      <c r="O321" s="54">
        <f t="shared" si="4"/>
        <v>0</v>
      </c>
    </row>
    <row r="322" spans="1:15" x14ac:dyDescent="0.2">
      <c r="A322" s="32"/>
      <c r="B322" s="27" t="s">
        <v>21</v>
      </c>
      <c r="C322" s="28"/>
      <c r="D322" s="28"/>
      <c r="E322" s="28"/>
      <c r="F322" s="28"/>
      <c r="G322" s="35"/>
      <c r="H322" s="28"/>
      <c r="I322" s="28"/>
      <c r="J322" s="28"/>
      <c r="K322" s="28"/>
      <c r="L322" s="35"/>
      <c r="M322" s="28"/>
      <c r="N322" s="53"/>
      <c r="O322" s="54">
        <f t="shared" si="4"/>
        <v>0</v>
      </c>
    </row>
    <row r="323" spans="1:15" x14ac:dyDescent="0.2">
      <c r="A323" s="32"/>
      <c r="B323" s="27" t="s">
        <v>21</v>
      </c>
      <c r="C323" s="28"/>
      <c r="D323" s="28"/>
      <c r="E323" s="28"/>
      <c r="F323" s="28"/>
      <c r="G323" s="35"/>
      <c r="H323" s="28"/>
      <c r="I323" s="28"/>
      <c r="J323" s="28"/>
      <c r="K323" s="28"/>
      <c r="L323" s="35"/>
      <c r="M323" s="28"/>
      <c r="N323" s="53"/>
      <c r="O323" s="54">
        <f t="shared" ref="O323:O386" si="5">N323*J323</f>
        <v>0</v>
      </c>
    </row>
    <row r="324" spans="1:15" x14ac:dyDescent="0.2">
      <c r="A324" s="32"/>
      <c r="B324" s="27" t="s">
        <v>21</v>
      </c>
      <c r="C324" s="28"/>
      <c r="D324" s="28"/>
      <c r="E324" s="28"/>
      <c r="F324" s="28"/>
      <c r="G324" s="35"/>
      <c r="H324" s="28"/>
      <c r="I324" s="28"/>
      <c r="J324" s="28"/>
      <c r="K324" s="28"/>
      <c r="L324" s="35"/>
      <c r="M324" s="28"/>
      <c r="N324" s="53"/>
      <c r="O324" s="54">
        <f t="shared" si="5"/>
        <v>0</v>
      </c>
    </row>
    <row r="325" spans="1:15" x14ac:dyDescent="0.2">
      <c r="A325" s="32"/>
      <c r="B325" s="27" t="s">
        <v>21</v>
      </c>
      <c r="C325" s="28"/>
      <c r="D325" s="28"/>
      <c r="E325" s="28"/>
      <c r="F325" s="28"/>
      <c r="G325" s="35"/>
      <c r="H325" s="28"/>
      <c r="I325" s="28"/>
      <c r="J325" s="28"/>
      <c r="K325" s="28"/>
      <c r="L325" s="35"/>
      <c r="M325" s="28"/>
      <c r="N325" s="53"/>
      <c r="O325" s="54">
        <f t="shared" si="5"/>
        <v>0</v>
      </c>
    </row>
    <row r="326" spans="1:15" x14ac:dyDescent="0.2">
      <c r="A326" s="32"/>
      <c r="B326" s="27" t="s">
        <v>21</v>
      </c>
      <c r="C326" s="28"/>
      <c r="D326" s="28"/>
      <c r="E326" s="28"/>
      <c r="F326" s="28"/>
      <c r="G326" s="35"/>
      <c r="H326" s="28"/>
      <c r="I326" s="28"/>
      <c r="J326" s="28"/>
      <c r="K326" s="28"/>
      <c r="L326" s="35"/>
      <c r="M326" s="28"/>
      <c r="N326" s="53"/>
      <c r="O326" s="54">
        <f t="shared" si="5"/>
        <v>0</v>
      </c>
    </row>
    <row r="327" spans="1:15" x14ac:dyDescent="0.2">
      <c r="A327" s="32"/>
      <c r="B327" s="27" t="s">
        <v>21</v>
      </c>
      <c r="C327" s="28"/>
      <c r="D327" s="28"/>
      <c r="E327" s="28"/>
      <c r="F327" s="28"/>
      <c r="G327" s="35"/>
      <c r="H327" s="28"/>
      <c r="I327" s="28"/>
      <c r="J327" s="28"/>
      <c r="K327" s="28"/>
      <c r="L327" s="35"/>
      <c r="M327" s="28"/>
      <c r="N327" s="53"/>
      <c r="O327" s="54">
        <f t="shared" si="5"/>
        <v>0</v>
      </c>
    </row>
    <row r="328" spans="1:15" x14ac:dyDescent="0.2">
      <c r="A328" s="32"/>
      <c r="B328" s="27" t="s">
        <v>21</v>
      </c>
      <c r="C328" s="28"/>
      <c r="D328" s="28"/>
      <c r="E328" s="28"/>
      <c r="F328" s="28"/>
      <c r="G328" s="35"/>
      <c r="H328" s="28"/>
      <c r="I328" s="28"/>
      <c r="J328" s="28"/>
      <c r="K328" s="28"/>
      <c r="L328" s="35"/>
      <c r="M328" s="28"/>
      <c r="N328" s="53"/>
      <c r="O328" s="54">
        <f t="shared" si="5"/>
        <v>0</v>
      </c>
    </row>
    <row r="329" spans="1:15" x14ac:dyDescent="0.2">
      <c r="A329" s="32"/>
      <c r="B329" s="27" t="s">
        <v>21</v>
      </c>
      <c r="C329" s="28"/>
      <c r="D329" s="28"/>
      <c r="E329" s="28"/>
      <c r="F329" s="28"/>
      <c r="G329" s="35"/>
      <c r="H329" s="28"/>
      <c r="I329" s="28"/>
      <c r="J329" s="28"/>
      <c r="K329" s="28"/>
      <c r="L329" s="35"/>
      <c r="M329" s="28"/>
      <c r="N329" s="53"/>
      <c r="O329" s="54">
        <f t="shared" si="5"/>
        <v>0</v>
      </c>
    </row>
    <row r="330" spans="1:15" x14ac:dyDescent="0.2">
      <c r="A330" s="32"/>
      <c r="B330" s="27" t="s">
        <v>21</v>
      </c>
      <c r="C330" s="28"/>
      <c r="D330" s="28"/>
      <c r="E330" s="28"/>
      <c r="F330" s="28"/>
      <c r="G330" s="35"/>
      <c r="H330" s="28"/>
      <c r="I330" s="28"/>
      <c r="J330" s="28"/>
      <c r="K330" s="28"/>
      <c r="L330" s="35"/>
      <c r="M330" s="28"/>
      <c r="N330" s="53"/>
      <c r="O330" s="54">
        <f t="shared" si="5"/>
        <v>0</v>
      </c>
    </row>
    <row r="331" spans="1:15" x14ac:dyDescent="0.2">
      <c r="A331" s="32"/>
      <c r="B331" s="27" t="s">
        <v>21</v>
      </c>
      <c r="C331" s="28"/>
      <c r="D331" s="28"/>
      <c r="E331" s="28"/>
      <c r="F331" s="28"/>
      <c r="G331" s="35"/>
      <c r="H331" s="28"/>
      <c r="I331" s="28"/>
      <c r="J331" s="28"/>
      <c r="K331" s="28"/>
      <c r="L331" s="35"/>
      <c r="M331" s="28"/>
      <c r="N331" s="53"/>
      <c r="O331" s="54">
        <f t="shared" si="5"/>
        <v>0</v>
      </c>
    </row>
    <row r="332" spans="1:15" x14ac:dyDescent="0.2">
      <c r="A332" s="32"/>
      <c r="B332" s="27" t="s">
        <v>21</v>
      </c>
      <c r="C332" s="28"/>
      <c r="D332" s="28"/>
      <c r="E332" s="28"/>
      <c r="F332" s="28"/>
      <c r="G332" s="35"/>
      <c r="H332" s="28"/>
      <c r="I332" s="28"/>
      <c r="J332" s="28"/>
      <c r="K332" s="28"/>
      <c r="L332" s="35"/>
      <c r="M332" s="28"/>
      <c r="N332" s="53"/>
      <c r="O332" s="54">
        <f t="shared" si="5"/>
        <v>0</v>
      </c>
    </row>
    <row r="333" spans="1:15" x14ac:dyDescent="0.2">
      <c r="A333" s="32"/>
      <c r="B333" s="27" t="s">
        <v>21</v>
      </c>
      <c r="C333" s="28"/>
      <c r="D333" s="28"/>
      <c r="E333" s="28"/>
      <c r="F333" s="28"/>
      <c r="G333" s="35"/>
      <c r="H333" s="28"/>
      <c r="I333" s="28"/>
      <c r="J333" s="28"/>
      <c r="K333" s="28"/>
      <c r="L333" s="35"/>
      <c r="M333" s="28"/>
      <c r="N333" s="53"/>
      <c r="O333" s="54">
        <f t="shared" si="5"/>
        <v>0</v>
      </c>
    </row>
    <row r="334" spans="1:15" x14ac:dyDescent="0.2">
      <c r="A334" s="32"/>
      <c r="B334" s="27" t="s">
        <v>21</v>
      </c>
      <c r="C334" s="28"/>
      <c r="D334" s="28"/>
      <c r="E334" s="28"/>
      <c r="F334" s="28"/>
      <c r="G334" s="35"/>
      <c r="H334" s="28"/>
      <c r="I334" s="28"/>
      <c r="J334" s="28"/>
      <c r="K334" s="28"/>
      <c r="L334" s="35"/>
      <c r="M334" s="28"/>
      <c r="N334" s="53"/>
      <c r="O334" s="54">
        <f t="shared" si="5"/>
        <v>0</v>
      </c>
    </row>
    <row r="335" spans="1:15" x14ac:dyDescent="0.2">
      <c r="A335" s="32"/>
      <c r="B335" s="27" t="s">
        <v>21</v>
      </c>
      <c r="C335" s="28"/>
      <c r="D335" s="28"/>
      <c r="E335" s="28"/>
      <c r="F335" s="28"/>
      <c r="G335" s="35"/>
      <c r="H335" s="28"/>
      <c r="I335" s="28"/>
      <c r="J335" s="28"/>
      <c r="K335" s="28"/>
      <c r="L335" s="35"/>
      <c r="M335" s="28"/>
      <c r="N335" s="53"/>
      <c r="O335" s="54">
        <f t="shared" si="5"/>
        <v>0</v>
      </c>
    </row>
    <row r="336" spans="1:15" x14ac:dyDescent="0.2">
      <c r="A336" s="32"/>
      <c r="B336" s="27" t="s">
        <v>21</v>
      </c>
      <c r="C336" s="28"/>
      <c r="D336" s="28"/>
      <c r="E336" s="28"/>
      <c r="F336" s="28"/>
      <c r="G336" s="35"/>
      <c r="H336" s="28"/>
      <c r="I336" s="28"/>
      <c r="J336" s="28"/>
      <c r="K336" s="28"/>
      <c r="L336" s="35"/>
      <c r="M336" s="28"/>
      <c r="N336" s="53"/>
      <c r="O336" s="54">
        <f t="shared" si="5"/>
        <v>0</v>
      </c>
    </row>
    <row r="337" spans="1:15" x14ac:dyDescent="0.2">
      <c r="A337" s="32"/>
      <c r="B337" s="27" t="s">
        <v>21</v>
      </c>
      <c r="C337" s="28"/>
      <c r="D337" s="28"/>
      <c r="E337" s="28"/>
      <c r="F337" s="28"/>
      <c r="G337" s="35"/>
      <c r="H337" s="28"/>
      <c r="I337" s="28"/>
      <c r="J337" s="28"/>
      <c r="K337" s="28"/>
      <c r="L337" s="35"/>
      <c r="M337" s="28"/>
      <c r="N337" s="53"/>
      <c r="O337" s="54">
        <f t="shared" si="5"/>
        <v>0</v>
      </c>
    </row>
    <row r="338" spans="1:15" x14ac:dyDescent="0.2">
      <c r="A338" s="32"/>
      <c r="B338" s="27" t="s">
        <v>21</v>
      </c>
      <c r="C338" s="28"/>
      <c r="D338" s="28"/>
      <c r="E338" s="28"/>
      <c r="F338" s="28"/>
      <c r="G338" s="35"/>
      <c r="H338" s="28"/>
      <c r="I338" s="28"/>
      <c r="J338" s="28"/>
      <c r="K338" s="28"/>
      <c r="L338" s="35"/>
      <c r="M338" s="28"/>
      <c r="N338" s="53"/>
      <c r="O338" s="54">
        <f t="shared" si="5"/>
        <v>0</v>
      </c>
    </row>
    <row r="339" spans="1:15" x14ac:dyDescent="0.2">
      <c r="A339" s="32"/>
      <c r="B339" s="27" t="s">
        <v>21</v>
      </c>
      <c r="C339" s="28"/>
      <c r="D339" s="28"/>
      <c r="E339" s="28"/>
      <c r="F339" s="28"/>
      <c r="G339" s="35"/>
      <c r="H339" s="28"/>
      <c r="I339" s="28"/>
      <c r="J339" s="28"/>
      <c r="K339" s="28"/>
      <c r="L339" s="35"/>
      <c r="M339" s="28"/>
      <c r="N339" s="53"/>
      <c r="O339" s="54">
        <f t="shared" si="5"/>
        <v>0</v>
      </c>
    </row>
    <row r="340" spans="1:15" x14ac:dyDescent="0.2">
      <c r="A340" s="32"/>
      <c r="B340" s="27" t="s">
        <v>21</v>
      </c>
      <c r="C340" s="28"/>
      <c r="D340" s="28"/>
      <c r="E340" s="28"/>
      <c r="F340" s="28"/>
      <c r="G340" s="35"/>
      <c r="H340" s="28"/>
      <c r="I340" s="28"/>
      <c r="J340" s="28"/>
      <c r="K340" s="28"/>
      <c r="L340" s="35"/>
      <c r="M340" s="28"/>
      <c r="N340" s="53"/>
      <c r="O340" s="54">
        <f t="shared" si="5"/>
        <v>0</v>
      </c>
    </row>
    <row r="341" spans="1:15" x14ac:dyDescent="0.2">
      <c r="A341" s="32"/>
      <c r="B341" s="27" t="s">
        <v>21</v>
      </c>
      <c r="C341" s="28"/>
      <c r="D341" s="28"/>
      <c r="E341" s="28"/>
      <c r="F341" s="28"/>
      <c r="G341" s="35"/>
      <c r="H341" s="28"/>
      <c r="I341" s="28"/>
      <c r="J341" s="28"/>
      <c r="K341" s="28"/>
      <c r="L341" s="35"/>
      <c r="M341" s="28"/>
      <c r="N341" s="53"/>
      <c r="O341" s="54">
        <f t="shared" si="5"/>
        <v>0</v>
      </c>
    </row>
    <row r="342" spans="1:15" x14ac:dyDescent="0.2">
      <c r="A342" s="32"/>
      <c r="B342" s="27" t="s">
        <v>21</v>
      </c>
      <c r="C342" s="28"/>
      <c r="D342" s="28"/>
      <c r="E342" s="28"/>
      <c r="F342" s="28"/>
      <c r="G342" s="35"/>
      <c r="H342" s="28"/>
      <c r="I342" s="28"/>
      <c r="J342" s="28"/>
      <c r="K342" s="28"/>
      <c r="L342" s="35"/>
      <c r="M342" s="28"/>
      <c r="N342" s="53"/>
      <c r="O342" s="54">
        <f t="shared" si="5"/>
        <v>0</v>
      </c>
    </row>
    <row r="343" spans="1:15" x14ac:dyDescent="0.2">
      <c r="A343" s="32"/>
      <c r="B343" s="27" t="s">
        <v>21</v>
      </c>
      <c r="C343" s="28"/>
      <c r="D343" s="28"/>
      <c r="E343" s="28"/>
      <c r="F343" s="28"/>
      <c r="G343" s="35"/>
      <c r="H343" s="28"/>
      <c r="I343" s="28"/>
      <c r="J343" s="28"/>
      <c r="K343" s="28"/>
      <c r="L343" s="35"/>
      <c r="M343" s="28"/>
      <c r="N343" s="53"/>
      <c r="O343" s="54">
        <f t="shared" si="5"/>
        <v>0</v>
      </c>
    </row>
    <row r="344" spans="1:15" x14ac:dyDescent="0.2">
      <c r="A344" s="32"/>
      <c r="B344" s="27" t="s">
        <v>21</v>
      </c>
      <c r="C344" s="28"/>
      <c r="D344" s="28"/>
      <c r="E344" s="28"/>
      <c r="F344" s="28"/>
      <c r="G344" s="35"/>
      <c r="H344" s="28"/>
      <c r="I344" s="28"/>
      <c r="J344" s="28"/>
      <c r="K344" s="28"/>
      <c r="L344" s="35"/>
      <c r="M344" s="28"/>
      <c r="N344" s="53"/>
      <c r="O344" s="54">
        <f t="shared" si="5"/>
        <v>0</v>
      </c>
    </row>
    <row r="345" spans="1:15" x14ac:dyDescent="0.2">
      <c r="A345" s="32"/>
      <c r="B345" s="27" t="s">
        <v>21</v>
      </c>
      <c r="C345" s="28"/>
      <c r="D345" s="28"/>
      <c r="E345" s="28"/>
      <c r="F345" s="28"/>
      <c r="G345" s="35"/>
      <c r="H345" s="28"/>
      <c r="I345" s="28"/>
      <c r="J345" s="28"/>
      <c r="K345" s="28"/>
      <c r="L345" s="35"/>
      <c r="M345" s="28"/>
      <c r="N345" s="53"/>
      <c r="O345" s="54">
        <f t="shared" si="5"/>
        <v>0</v>
      </c>
    </row>
    <row r="346" spans="1:15" x14ac:dyDescent="0.2">
      <c r="A346" s="32"/>
      <c r="B346" s="27" t="s">
        <v>21</v>
      </c>
      <c r="C346" s="28"/>
      <c r="D346" s="28"/>
      <c r="E346" s="28"/>
      <c r="F346" s="28"/>
      <c r="G346" s="35"/>
      <c r="H346" s="28"/>
      <c r="I346" s="28"/>
      <c r="J346" s="28"/>
      <c r="K346" s="28"/>
      <c r="L346" s="35"/>
      <c r="M346" s="28"/>
      <c r="N346" s="53"/>
      <c r="O346" s="54">
        <f t="shared" si="5"/>
        <v>0</v>
      </c>
    </row>
    <row r="347" spans="1:15" x14ac:dyDescent="0.2">
      <c r="A347" s="32"/>
      <c r="B347" s="27" t="s">
        <v>21</v>
      </c>
      <c r="C347" s="28"/>
      <c r="D347" s="28"/>
      <c r="E347" s="28"/>
      <c r="F347" s="28"/>
      <c r="G347" s="35"/>
      <c r="H347" s="28"/>
      <c r="I347" s="28"/>
      <c r="J347" s="28"/>
      <c r="K347" s="28"/>
      <c r="L347" s="35"/>
      <c r="M347" s="28"/>
      <c r="N347" s="53"/>
      <c r="O347" s="54">
        <f t="shared" si="5"/>
        <v>0</v>
      </c>
    </row>
    <row r="348" spans="1:15" x14ac:dyDescent="0.2">
      <c r="A348" s="32"/>
      <c r="B348" s="27" t="s">
        <v>21</v>
      </c>
      <c r="C348" s="28"/>
      <c r="D348" s="28"/>
      <c r="E348" s="28"/>
      <c r="F348" s="28"/>
      <c r="G348" s="35"/>
      <c r="H348" s="28"/>
      <c r="I348" s="28"/>
      <c r="J348" s="28"/>
      <c r="K348" s="28"/>
      <c r="L348" s="35"/>
      <c r="M348" s="28"/>
      <c r="N348" s="53"/>
      <c r="O348" s="54">
        <f t="shared" si="5"/>
        <v>0</v>
      </c>
    </row>
    <row r="349" spans="1:15" x14ac:dyDescent="0.2">
      <c r="A349" s="32"/>
      <c r="B349" s="27" t="s">
        <v>21</v>
      </c>
      <c r="C349" s="28"/>
      <c r="D349" s="28"/>
      <c r="E349" s="28"/>
      <c r="F349" s="28"/>
      <c r="G349" s="35"/>
      <c r="H349" s="28"/>
      <c r="I349" s="28"/>
      <c r="J349" s="28"/>
      <c r="K349" s="28"/>
      <c r="L349" s="35"/>
      <c r="M349" s="28"/>
      <c r="N349" s="53"/>
      <c r="O349" s="54">
        <f t="shared" si="5"/>
        <v>0</v>
      </c>
    </row>
    <row r="350" spans="1:15" x14ac:dyDescent="0.2">
      <c r="A350" s="32"/>
      <c r="B350" s="27" t="s">
        <v>21</v>
      </c>
      <c r="C350" s="28"/>
      <c r="D350" s="28"/>
      <c r="E350" s="28"/>
      <c r="F350" s="28"/>
      <c r="G350" s="35"/>
      <c r="H350" s="28"/>
      <c r="I350" s="28"/>
      <c r="J350" s="28"/>
      <c r="K350" s="28"/>
      <c r="L350" s="35"/>
      <c r="M350" s="28"/>
      <c r="N350" s="53"/>
      <c r="O350" s="54">
        <f t="shared" si="5"/>
        <v>0</v>
      </c>
    </row>
    <row r="351" spans="1:15" x14ac:dyDescent="0.2">
      <c r="A351" s="32"/>
      <c r="B351" s="27" t="s">
        <v>21</v>
      </c>
      <c r="C351" s="28"/>
      <c r="D351" s="28"/>
      <c r="E351" s="28"/>
      <c r="F351" s="28"/>
      <c r="G351" s="35"/>
      <c r="H351" s="28"/>
      <c r="I351" s="28"/>
      <c r="J351" s="28"/>
      <c r="K351" s="28"/>
      <c r="L351" s="35"/>
      <c r="M351" s="28"/>
      <c r="N351" s="53"/>
      <c r="O351" s="54">
        <f t="shared" si="5"/>
        <v>0</v>
      </c>
    </row>
    <row r="352" spans="1:15" x14ac:dyDescent="0.2">
      <c r="A352" s="32"/>
      <c r="B352" s="27" t="s">
        <v>21</v>
      </c>
      <c r="C352" s="28"/>
      <c r="D352" s="28"/>
      <c r="E352" s="28"/>
      <c r="F352" s="28"/>
      <c r="G352" s="35"/>
      <c r="H352" s="28"/>
      <c r="I352" s="28"/>
      <c r="J352" s="28"/>
      <c r="K352" s="28"/>
      <c r="L352" s="35"/>
      <c r="M352" s="28"/>
      <c r="N352" s="53"/>
      <c r="O352" s="54">
        <f t="shared" si="5"/>
        <v>0</v>
      </c>
    </row>
    <row r="353" spans="1:15" x14ac:dyDescent="0.2">
      <c r="A353" s="32"/>
      <c r="B353" s="27" t="s">
        <v>21</v>
      </c>
      <c r="C353" s="28"/>
      <c r="D353" s="28"/>
      <c r="E353" s="28"/>
      <c r="F353" s="28"/>
      <c r="G353" s="35"/>
      <c r="H353" s="28"/>
      <c r="I353" s="28"/>
      <c r="J353" s="28"/>
      <c r="K353" s="28"/>
      <c r="L353" s="35"/>
      <c r="M353" s="28"/>
      <c r="N353" s="53"/>
      <c r="O353" s="54">
        <f t="shared" si="5"/>
        <v>0</v>
      </c>
    </row>
    <row r="354" spans="1:15" x14ac:dyDescent="0.2">
      <c r="A354" s="32"/>
      <c r="B354" s="27" t="s">
        <v>21</v>
      </c>
      <c r="C354" s="28"/>
      <c r="D354" s="28"/>
      <c r="E354" s="28"/>
      <c r="F354" s="28"/>
      <c r="G354" s="35"/>
      <c r="H354" s="28"/>
      <c r="I354" s="28"/>
      <c r="J354" s="28"/>
      <c r="K354" s="28"/>
      <c r="L354" s="35"/>
      <c r="M354" s="28"/>
      <c r="N354" s="53"/>
      <c r="O354" s="54">
        <f t="shared" si="5"/>
        <v>0</v>
      </c>
    </row>
    <row r="355" spans="1:15" x14ac:dyDescent="0.2">
      <c r="A355" s="32"/>
      <c r="B355" s="27" t="s">
        <v>21</v>
      </c>
      <c r="C355" s="28"/>
      <c r="D355" s="28"/>
      <c r="E355" s="28"/>
      <c r="F355" s="28"/>
      <c r="G355" s="35"/>
      <c r="H355" s="28"/>
      <c r="I355" s="28"/>
      <c r="J355" s="28"/>
      <c r="K355" s="28"/>
      <c r="L355" s="35"/>
      <c r="M355" s="28"/>
      <c r="N355" s="53"/>
      <c r="O355" s="54">
        <f t="shared" si="5"/>
        <v>0</v>
      </c>
    </row>
    <row r="356" spans="1:15" x14ac:dyDescent="0.2">
      <c r="A356" s="32"/>
      <c r="B356" s="27" t="s">
        <v>21</v>
      </c>
      <c r="C356" s="28"/>
      <c r="D356" s="28"/>
      <c r="E356" s="28"/>
      <c r="F356" s="28"/>
      <c r="G356" s="35"/>
      <c r="H356" s="28"/>
      <c r="I356" s="28"/>
      <c r="J356" s="28"/>
      <c r="K356" s="28"/>
      <c r="L356" s="35"/>
      <c r="M356" s="28"/>
      <c r="N356" s="53"/>
      <c r="O356" s="54">
        <f t="shared" si="5"/>
        <v>0</v>
      </c>
    </row>
    <row r="357" spans="1:15" x14ac:dyDescent="0.2">
      <c r="A357" s="32"/>
      <c r="B357" s="27" t="s">
        <v>21</v>
      </c>
      <c r="C357" s="28"/>
      <c r="D357" s="28"/>
      <c r="E357" s="28"/>
      <c r="F357" s="28"/>
      <c r="G357" s="35"/>
      <c r="H357" s="28"/>
      <c r="I357" s="28"/>
      <c r="J357" s="28"/>
      <c r="K357" s="28"/>
      <c r="L357" s="35"/>
      <c r="M357" s="28"/>
      <c r="N357" s="53"/>
      <c r="O357" s="54">
        <f t="shared" si="5"/>
        <v>0</v>
      </c>
    </row>
    <row r="358" spans="1:15" x14ac:dyDescent="0.2">
      <c r="A358" s="32"/>
      <c r="B358" s="27" t="s">
        <v>21</v>
      </c>
      <c r="C358" s="28"/>
      <c r="D358" s="28"/>
      <c r="E358" s="28"/>
      <c r="F358" s="28"/>
      <c r="G358" s="35"/>
      <c r="H358" s="28"/>
      <c r="I358" s="28"/>
      <c r="J358" s="28"/>
      <c r="K358" s="28"/>
      <c r="L358" s="35"/>
      <c r="M358" s="28"/>
      <c r="N358" s="53"/>
      <c r="O358" s="54">
        <f t="shared" si="5"/>
        <v>0</v>
      </c>
    </row>
    <row r="359" spans="1:15" x14ac:dyDescent="0.2">
      <c r="A359" s="32"/>
      <c r="B359" s="27" t="s">
        <v>21</v>
      </c>
      <c r="C359" s="28"/>
      <c r="D359" s="28"/>
      <c r="E359" s="28"/>
      <c r="F359" s="28"/>
      <c r="G359" s="35"/>
      <c r="H359" s="28"/>
      <c r="I359" s="28"/>
      <c r="J359" s="28"/>
      <c r="K359" s="28"/>
      <c r="L359" s="35"/>
      <c r="M359" s="28"/>
      <c r="N359" s="53"/>
      <c r="O359" s="54">
        <f t="shared" si="5"/>
        <v>0</v>
      </c>
    </row>
    <row r="360" spans="1:15" x14ac:dyDescent="0.2">
      <c r="A360" s="32"/>
      <c r="B360" s="27" t="s">
        <v>21</v>
      </c>
      <c r="C360" s="28"/>
      <c r="D360" s="28"/>
      <c r="E360" s="28"/>
      <c r="F360" s="28"/>
      <c r="G360" s="35"/>
      <c r="H360" s="28"/>
      <c r="I360" s="28"/>
      <c r="J360" s="28"/>
      <c r="K360" s="28"/>
      <c r="L360" s="35"/>
      <c r="M360" s="28"/>
      <c r="N360" s="53"/>
      <c r="O360" s="54">
        <f t="shared" si="5"/>
        <v>0</v>
      </c>
    </row>
    <row r="361" spans="1:15" x14ac:dyDescent="0.2">
      <c r="A361" s="32"/>
      <c r="B361" s="27" t="s">
        <v>21</v>
      </c>
      <c r="C361" s="28"/>
      <c r="D361" s="28"/>
      <c r="E361" s="28"/>
      <c r="F361" s="28"/>
      <c r="G361" s="35"/>
      <c r="H361" s="28"/>
      <c r="I361" s="28"/>
      <c r="J361" s="28"/>
      <c r="K361" s="28"/>
      <c r="L361" s="35"/>
      <c r="M361" s="28"/>
      <c r="N361" s="53"/>
      <c r="O361" s="54">
        <f t="shared" si="5"/>
        <v>0</v>
      </c>
    </row>
    <row r="362" spans="1:15" x14ac:dyDescent="0.2">
      <c r="A362" s="32"/>
      <c r="B362" s="27" t="s">
        <v>21</v>
      </c>
      <c r="C362" s="28"/>
      <c r="D362" s="28"/>
      <c r="E362" s="28"/>
      <c r="F362" s="28"/>
      <c r="G362" s="35"/>
      <c r="H362" s="28"/>
      <c r="I362" s="28"/>
      <c r="J362" s="28"/>
      <c r="K362" s="28"/>
      <c r="L362" s="35"/>
      <c r="M362" s="28"/>
      <c r="N362" s="53"/>
      <c r="O362" s="54">
        <f t="shared" si="5"/>
        <v>0</v>
      </c>
    </row>
    <row r="363" spans="1:15" x14ac:dyDescent="0.2">
      <c r="A363" s="32"/>
      <c r="B363" s="27" t="s">
        <v>21</v>
      </c>
      <c r="C363" s="28"/>
      <c r="D363" s="28"/>
      <c r="E363" s="28"/>
      <c r="F363" s="28"/>
      <c r="G363" s="35"/>
      <c r="H363" s="28"/>
      <c r="I363" s="28"/>
      <c r="J363" s="28"/>
      <c r="K363" s="28"/>
      <c r="L363" s="35"/>
      <c r="M363" s="28"/>
      <c r="N363" s="53"/>
      <c r="O363" s="54">
        <f t="shared" si="5"/>
        <v>0</v>
      </c>
    </row>
    <row r="364" spans="1:15" x14ac:dyDescent="0.2">
      <c r="A364" s="32"/>
      <c r="B364" s="27" t="s">
        <v>21</v>
      </c>
      <c r="C364" s="28"/>
      <c r="D364" s="28"/>
      <c r="E364" s="28"/>
      <c r="F364" s="28"/>
      <c r="G364" s="35"/>
      <c r="H364" s="28"/>
      <c r="I364" s="28"/>
      <c r="J364" s="28"/>
      <c r="K364" s="28"/>
      <c r="L364" s="35"/>
      <c r="M364" s="28"/>
      <c r="N364" s="53"/>
      <c r="O364" s="54">
        <f t="shared" si="5"/>
        <v>0</v>
      </c>
    </row>
    <row r="365" spans="1:15" x14ac:dyDescent="0.2">
      <c r="A365" s="32"/>
      <c r="B365" s="27" t="s">
        <v>21</v>
      </c>
      <c r="C365" s="28"/>
      <c r="D365" s="28"/>
      <c r="E365" s="28"/>
      <c r="F365" s="28"/>
      <c r="G365" s="35"/>
      <c r="H365" s="28"/>
      <c r="I365" s="28"/>
      <c r="J365" s="28"/>
      <c r="K365" s="28"/>
      <c r="L365" s="35"/>
      <c r="M365" s="28"/>
      <c r="N365" s="53"/>
      <c r="O365" s="54">
        <f t="shared" si="5"/>
        <v>0</v>
      </c>
    </row>
    <row r="366" spans="1:15" x14ac:dyDescent="0.2">
      <c r="A366" s="32"/>
      <c r="B366" s="27" t="s">
        <v>21</v>
      </c>
      <c r="C366" s="28"/>
      <c r="D366" s="28"/>
      <c r="E366" s="28"/>
      <c r="F366" s="28"/>
      <c r="G366" s="35"/>
      <c r="H366" s="28"/>
      <c r="I366" s="28"/>
      <c r="J366" s="28"/>
      <c r="K366" s="28"/>
      <c r="L366" s="35"/>
      <c r="M366" s="28"/>
      <c r="N366" s="53"/>
      <c r="O366" s="54">
        <f t="shared" si="5"/>
        <v>0</v>
      </c>
    </row>
    <row r="367" spans="1:15" x14ac:dyDescent="0.2">
      <c r="A367" s="32"/>
      <c r="B367" s="27" t="s">
        <v>21</v>
      </c>
      <c r="C367" s="28"/>
      <c r="D367" s="28"/>
      <c r="E367" s="28"/>
      <c r="F367" s="28"/>
      <c r="G367" s="35"/>
      <c r="H367" s="28"/>
      <c r="I367" s="28"/>
      <c r="J367" s="28"/>
      <c r="K367" s="28"/>
      <c r="L367" s="35"/>
      <c r="M367" s="28"/>
      <c r="N367" s="53"/>
      <c r="O367" s="54">
        <f t="shared" si="5"/>
        <v>0</v>
      </c>
    </row>
    <row r="368" spans="1:15" x14ac:dyDescent="0.2">
      <c r="A368" s="32"/>
      <c r="B368" s="27" t="s">
        <v>21</v>
      </c>
      <c r="C368" s="28"/>
      <c r="D368" s="28"/>
      <c r="E368" s="28"/>
      <c r="F368" s="28"/>
      <c r="G368" s="35"/>
      <c r="H368" s="28"/>
      <c r="I368" s="28"/>
      <c r="J368" s="28"/>
      <c r="K368" s="28"/>
      <c r="L368" s="35"/>
      <c r="M368" s="28"/>
      <c r="N368" s="53"/>
      <c r="O368" s="54">
        <f t="shared" si="5"/>
        <v>0</v>
      </c>
    </row>
    <row r="369" spans="1:15" x14ac:dyDescent="0.2">
      <c r="A369" s="32"/>
      <c r="B369" s="27" t="s">
        <v>21</v>
      </c>
      <c r="C369" s="28"/>
      <c r="D369" s="28"/>
      <c r="E369" s="28"/>
      <c r="F369" s="28"/>
      <c r="G369" s="35"/>
      <c r="H369" s="28"/>
      <c r="I369" s="28"/>
      <c r="J369" s="28"/>
      <c r="K369" s="28"/>
      <c r="L369" s="35"/>
      <c r="M369" s="28"/>
      <c r="N369" s="53"/>
      <c r="O369" s="54">
        <f t="shared" si="5"/>
        <v>0</v>
      </c>
    </row>
    <row r="370" spans="1:15" x14ac:dyDescent="0.2">
      <c r="A370" s="32"/>
      <c r="B370" s="27"/>
      <c r="C370" s="28"/>
      <c r="D370" s="28"/>
      <c r="E370" s="28"/>
      <c r="F370" s="28"/>
      <c r="G370" s="35"/>
      <c r="H370" s="28"/>
      <c r="I370" s="28"/>
      <c r="J370" s="28"/>
      <c r="K370" s="28"/>
      <c r="L370" s="35"/>
      <c r="M370" s="28"/>
      <c r="N370" s="53"/>
      <c r="O370" s="54">
        <f t="shared" si="5"/>
        <v>0</v>
      </c>
    </row>
    <row r="371" spans="1:15" x14ac:dyDescent="0.2">
      <c r="A371" s="32"/>
      <c r="B371" s="27"/>
      <c r="C371" s="28"/>
      <c r="D371" s="28"/>
      <c r="E371" s="28"/>
      <c r="F371" s="28"/>
      <c r="G371" s="35"/>
      <c r="H371" s="28"/>
      <c r="I371" s="28"/>
      <c r="J371" s="28"/>
      <c r="K371" s="28"/>
      <c r="L371" s="35"/>
      <c r="M371" s="28"/>
      <c r="N371" s="53"/>
      <c r="O371" s="54">
        <f t="shared" si="5"/>
        <v>0</v>
      </c>
    </row>
    <row r="372" spans="1:15" x14ac:dyDescent="0.2">
      <c r="A372" s="32"/>
      <c r="B372" s="27"/>
      <c r="C372" s="28"/>
      <c r="D372" s="28"/>
      <c r="E372" s="28"/>
      <c r="F372" s="28"/>
      <c r="G372" s="35"/>
      <c r="H372" s="28"/>
      <c r="I372" s="28"/>
      <c r="J372" s="28"/>
      <c r="K372" s="28"/>
      <c r="L372" s="35"/>
      <c r="M372" s="28"/>
      <c r="N372" s="53"/>
      <c r="O372" s="54">
        <f t="shared" si="5"/>
        <v>0</v>
      </c>
    </row>
    <row r="373" spans="1:15" x14ac:dyDescent="0.2">
      <c r="A373" s="32"/>
      <c r="B373" s="27"/>
      <c r="C373" s="28"/>
      <c r="D373" s="28"/>
      <c r="E373" s="28"/>
      <c r="F373" s="28"/>
      <c r="G373" s="35"/>
      <c r="H373" s="28"/>
      <c r="I373" s="28"/>
      <c r="J373" s="28"/>
      <c r="K373" s="28"/>
      <c r="L373" s="35"/>
      <c r="M373" s="28"/>
      <c r="N373" s="53"/>
      <c r="O373" s="54">
        <f t="shared" si="5"/>
        <v>0</v>
      </c>
    </row>
    <row r="374" spans="1:15" x14ac:dyDescent="0.2">
      <c r="A374" s="32"/>
      <c r="B374" s="27"/>
      <c r="C374" s="28"/>
      <c r="D374" s="28"/>
      <c r="E374" s="28"/>
      <c r="F374" s="28"/>
      <c r="G374" s="35"/>
      <c r="H374" s="28"/>
      <c r="I374" s="28"/>
      <c r="J374" s="28"/>
      <c r="K374" s="28"/>
      <c r="L374" s="35"/>
      <c r="M374" s="28"/>
      <c r="N374" s="53"/>
      <c r="O374" s="54">
        <f t="shared" si="5"/>
        <v>0</v>
      </c>
    </row>
    <row r="375" spans="1:15" x14ac:dyDescent="0.2">
      <c r="A375" s="32"/>
      <c r="B375" s="27"/>
      <c r="C375" s="28"/>
      <c r="D375" s="28"/>
      <c r="E375" s="28"/>
      <c r="F375" s="28"/>
      <c r="G375" s="35"/>
      <c r="H375" s="28"/>
      <c r="I375" s="28"/>
      <c r="J375" s="28"/>
      <c r="K375" s="28"/>
      <c r="L375" s="35"/>
      <c r="M375" s="28"/>
      <c r="N375" s="53"/>
      <c r="O375" s="54">
        <f t="shared" si="5"/>
        <v>0</v>
      </c>
    </row>
    <row r="376" spans="1:15" x14ac:dyDescent="0.2">
      <c r="A376" s="32"/>
      <c r="B376" s="27"/>
      <c r="C376" s="28"/>
      <c r="D376" s="28"/>
      <c r="E376" s="28"/>
      <c r="F376" s="28"/>
      <c r="G376" s="35"/>
      <c r="H376" s="28"/>
      <c r="I376" s="28"/>
      <c r="J376" s="28"/>
      <c r="K376" s="28"/>
      <c r="L376" s="35"/>
      <c r="M376" s="28"/>
      <c r="N376" s="53"/>
      <c r="O376" s="54">
        <f t="shared" si="5"/>
        <v>0</v>
      </c>
    </row>
    <row r="377" spans="1:15" x14ac:dyDescent="0.2">
      <c r="A377" s="32"/>
      <c r="B377" s="27"/>
      <c r="C377" s="28"/>
      <c r="D377" s="28"/>
      <c r="E377" s="28"/>
      <c r="F377" s="28"/>
      <c r="G377" s="35"/>
      <c r="H377" s="28"/>
      <c r="I377" s="28"/>
      <c r="J377" s="28"/>
      <c r="K377" s="28"/>
      <c r="L377" s="35"/>
      <c r="M377" s="28"/>
      <c r="N377" s="53"/>
      <c r="O377" s="54">
        <f t="shared" si="5"/>
        <v>0</v>
      </c>
    </row>
    <row r="378" spans="1:15" x14ac:dyDescent="0.2">
      <c r="A378" s="32"/>
      <c r="B378" s="27"/>
      <c r="C378" s="28"/>
      <c r="D378" s="28"/>
      <c r="E378" s="28"/>
      <c r="F378" s="28"/>
      <c r="G378" s="35"/>
      <c r="H378" s="28"/>
      <c r="I378" s="28"/>
      <c r="J378" s="28"/>
      <c r="K378" s="28"/>
      <c r="L378" s="35"/>
      <c r="M378" s="28"/>
      <c r="N378" s="53"/>
      <c r="O378" s="54">
        <f t="shared" si="5"/>
        <v>0</v>
      </c>
    </row>
    <row r="379" spans="1:15" x14ac:dyDescent="0.2">
      <c r="A379" s="32"/>
      <c r="B379" s="27"/>
      <c r="C379" s="28"/>
      <c r="D379" s="28"/>
      <c r="E379" s="28"/>
      <c r="F379" s="28"/>
      <c r="G379" s="35"/>
      <c r="H379" s="28"/>
      <c r="I379" s="28"/>
      <c r="J379" s="28"/>
      <c r="K379" s="28"/>
      <c r="L379" s="35"/>
      <c r="M379" s="28"/>
      <c r="N379" s="53"/>
      <c r="O379" s="54">
        <f t="shared" si="5"/>
        <v>0</v>
      </c>
    </row>
    <row r="380" spans="1:15" x14ac:dyDescent="0.2">
      <c r="A380" s="32"/>
      <c r="B380" s="27"/>
      <c r="C380" s="28"/>
      <c r="D380" s="28"/>
      <c r="E380" s="28"/>
      <c r="F380" s="28"/>
      <c r="G380" s="35"/>
      <c r="H380" s="28"/>
      <c r="I380" s="28"/>
      <c r="J380" s="28"/>
      <c r="K380" s="28"/>
      <c r="L380" s="35"/>
      <c r="M380" s="28"/>
      <c r="N380" s="53"/>
      <c r="O380" s="54">
        <f t="shared" si="5"/>
        <v>0</v>
      </c>
    </row>
    <row r="381" spans="1:15" x14ac:dyDescent="0.2">
      <c r="A381" s="32"/>
      <c r="B381" s="27"/>
      <c r="C381" s="28"/>
      <c r="D381" s="28"/>
      <c r="E381" s="28"/>
      <c r="F381" s="28"/>
      <c r="G381" s="35"/>
      <c r="H381" s="28"/>
      <c r="I381" s="28"/>
      <c r="J381" s="28"/>
      <c r="K381" s="28"/>
      <c r="L381" s="35"/>
      <c r="M381" s="28"/>
      <c r="N381" s="53"/>
      <c r="O381" s="54">
        <f t="shared" si="5"/>
        <v>0</v>
      </c>
    </row>
    <row r="382" spans="1:15" x14ac:dyDescent="0.2">
      <c r="A382" s="32"/>
      <c r="B382" s="27"/>
      <c r="C382" s="28"/>
      <c r="D382" s="28"/>
      <c r="E382" s="28"/>
      <c r="F382" s="28"/>
      <c r="G382" s="35"/>
      <c r="H382" s="28"/>
      <c r="I382" s="28"/>
      <c r="J382" s="28"/>
      <c r="K382" s="28"/>
      <c r="L382" s="35"/>
      <c r="M382" s="28"/>
      <c r="N382" s="53"/>
      <c r="O382" s="54">
        <f t="shared" si="5"/>
        <v>0</v>
      </c>
    </row>
    <row r="383" spans="1:15" x14ac:dyDescent="0.2">
      <c r="A383" s="32"/>
      <c r="B383" s="27"/>
      <c r="C383" s="28"/>
      <c r="D383" s="28"/>
      <c r="E383" s="28"/>
      <c r="F383" s="28"/>
      <c r="G383" s="35"/>
      <c r="H383" s="28"/>
      <c r="I383" s="28"/>
      <c r="J383" s="28"/>
      <c r="K383" s="28"/>
      <c r="L383" s="35"/>
      <c r="M383" s="28"/>
      <c r="N383" s="53"/>
      <c r="O383" s="54">
        <f t="shared" si="5"/>
        <v>0</v>
      </c>
    </row>
    <row r="384" spans="1:15" x14ac:dyDescent="0.2">
      <c r="A384" s="32"/>
      <c r="B384" s="27"/>
      <c r="C384" s="28"/>
      <c r="D384" s="28"/>
      <c r="E384" s="28"/>
      <c r="F384" s="28"/>
      <c r="G384" s="35"/>
      <c r="H384" s="28"/>
      <c r="I384" s="28"/>
      <c r="J384" s="28"/>
      <c r="K384" s="28"/>
      <c r="L384" s="35"/>
      <c r="M384" s="28"/>
      <c r="N384" s="53"/>
      <c r="O384" s="54">
        <f t="shared" si="5"/>
        <v>0</v>
      </c>
    </row>
    <row r="385" spans="1:15" x14ac:dyDescent="0.2">
      <c r="A385" s="32"/>
      <c r="B385" s="27"/>
      <c r="C385" s="28"/>
      <c r="D385" s="28"/>
      <c r="E385" s="28"/>
      <c r="F385" s="28"/>
      <c r="G385" s="35"/>
      <c r="H385" s="28"/>
      <c r="I385" s="28"/>
      <c r="J385" s="28"/>
      <c r="K385" s="28"/>
      <c r="L385" s="35"/>
      <c r="M385" s="28"/>
      <c r="N385" s="53"/>
      <c r="O385" s="54">
        <f t="shared" si="5"/>
        <v>0</v>
      </c>
    </row>
    <row r="386" spans="1:15" x14ac:dyDescent="0.2">
      <c r="A386" s="32"/>
      <c r="B386" s="27"/>
      <c r="C386" s="28"/>
      <c r="D386" s="28"/>
      <c r="E386" s="28"/>
      <c r="F386" s="28"/>
      <c r="G386" s="35"/>
      <c r="H386" s="28"/>
      <c r="I386" s="28"/>
      <c r="J386" s="28"/>
      <c r="K386" s="28"/>
      <c r="L386" s="35"/>
      <c r="M386" s="28"/>
      <c r="N386" s="53"/>
      <c r="O386" s="54">
        <f t="shared" si="5"/>
        <v>0</v>
      </c>
    </row>
    <row r="387" spans="1:15" x14ac:dyDescent="0.2">
      <c r="A387" s="32"/>
      <c r="B387" s="27"/>
      <c r="C387" s="28"/>
      <c r="D387" s="28"/>
      <c r="E387" s="28"/>
      <c r="F387" s="28"/>
      <c r="G387" s="35"/>
      <c r="H387" s="28"/>
      <c r="I387" s="28"/>
      <c r="J387" s="28"/>
      <c r="K387" s="28"/>
      <c r="L387" s="35"/>
      <c r="M387" s="28"/>
      <c r="N387" s="53"/>
      <c r="O387" s="54">
        <f t="shared" ref="O387:O450" si="6">N387*J387</f>
        <v>0</v>
      </c>
    </row>
    <row r="388" spans="1:15" x14ac:dyDescent="0.2">
      <c r="A388" s="32"/>
      <c r="B388" s="27"/>
      <c r="C388" s="28"/>
      <c r="D388" s="28"/>
      <c r="E388" s="28"/>
      <c r="F388" s="28"/>
      <c r="G388" s="35"/>
      <c r="H388" s="28"/>
      <c r="I388" s="28"/>
      <c r="J388" s="28"/>
      <c r="K388" s="28"/>
      <c r="L388" s="35"/>
      <c r="M388" s="28"/>
      <c r="N388" s="53"/>
      <c r="O388" s="54">
        <f t="shared" si="6"/>
        <v>0</v>
      </c>
    </row>
    <row r="389" spans="1:15" x14ac:dyDescent="0.2">
      <c r="A389" s="32"/>
      <c r="B389" s="27"/>
      <c r="C389" s="28"/>
      <c r="D389" s="28"/>
      <c r="E389" s="28"/>
      <c r="F389" s="28"/>
      <c r="G389" s="35"/>
      <c r="H389" s="28"/>
      <c r="I389" s="28"/>
      <c r="J389" s="28"/>
      <c r="K389" s="28"/>
      <c r="L389" s="35"/>
      <c r="M389" s="28"/>
      <c r="N389" s="53"/>
      <c r="O389" s="54">
        <f t="shared" si="6"/>
        <v>0</v>
      </c>
    </row>
    <row r="390" spans="1:15" x14ac:dyDescent="0.2">
      <c r="A390" s="32"/>
      <c r="B390" s="27"/>
      <c r="C390" s="28"/>
      <c r="D390" s="28"/>
      <c r="E390" s="28"/>
      <c r="F390" s="28"/>
      <c r="G390" s="35"/>
      <c r="H390" s="28"/>
      <c r="I390" s="28"/>
      <c r="J390" s="28"/>
      <c r="K390" s="28"/>
      <c r="L390" s="35"/>
      <c r="M390" s="28"/>
      <c r="N390" s="53"/>
      <c r="O390" s="54">
        <f t="shared" si="6"/>
        <v>0</v>
      </c>
    </row>
    <row r="391" spans="1:15" x14ac:dyDescent="0.2">
      <c r="A391" s="32"/>
      <c r="B391" s="27"/>
      <c r="C391" s="28"/>
      <c r="D391" s="28"/>
      <c r="E391" s="28"/>
      <c r="F391" s="28"/>
      <c r="G391" s="35"/>
      <c r="H391" s="28"/>
      <c r="I391" s="28"/>
      <c r="J391" s="28"/>
      <c r="K391" s="28"/>
      <c r="L391" s="35"/>
      <c r="M391" s="28"/>
      <c r="N391" s="53"/>
      <c r="O391" s="54">
        <f t="shared" si="6"/>
        <v>0</v>
      </c>
    </row>
    <row r="392" spans="1:15" x14ac:dyDescent="0.2">
      <c r="A392" s="32"/>
      <c r="B392" s="27"/>
      <c r="C392" s="28"/>
      <c r="D392" s="28"/>
      <c r="E392" s="28"/>
      <c r="F392" s="28"/>
      <c r="G392" s="35"/>
      <c r="H392" s="28"/>
      <c r="I392" s="28"/>
      <c r="J392" s="28"/>
      <c r="K392" s="28"/>
      <c r="L392" s="35"/>
      <c r="M392" s="28"/>
      <c r="N392" s="53"/>
      <c r="O392" s="54">
        <f t="shared" si="6"/>
        <v>0</v>
      </c>
    </row>
    <row r="393" spans="1:15" x14ac:dyDescent="0.2">
      <c r="A393" s="32"/>
      <c r="B393" s="27"/>
      <c r="C393" s="28"/>
      <c r="D393" s="28"/>
      <c r="E393" s="28"/>
      <c r="F393" s="28"/>
      <c r="G393" s="35"/>
      <c r="H393" s="28"/>
      <c r="I393" s="28"/>
      <c r="J393" s="28"/>
      <c r="K393" s="28"/>
      <c r="L393" s="35"/>
      <c r="M393" s="28"/>
      <c r="N393" s="53"/>
      <c r="O393" s="54">
        <f t="shared" si="6"/>
        <v>0</v>
      </c>
    </row>
    <row r="394" spans="1:15" x14ac:dyDescent="0.2">
      <c r="A394" s="32"/>
      <c r="B394" s="27"/>
      <c r="C394" s="28"/>
      <c r="D394" s="28"/>
      <c r="E394" s="28"/>
      <c r="F394" s="28"/>
      <c r="G394" s="35"/>
      <c r="H394" s="28"/>
      <c r="I394" s="28"/>
      <c r="J394" s="28"/>
      <c r="K394" s="28"/>
      <c r="L394" s="35"/>
      <c r="M394" s="28"/>
      <c r="N394" s="53"/>
      <c r="O394" s="54">
        <f t="shared" si="6"/>
        <v>0</v>
      </c>
    </row>
    <row r="395" spans="1:15" x14ac:dyDescent="0.2">
      <c r="A395" s="32"/>
      <c r="B395" s="27"/>
      <c r="C395" s="28"/>
      <c r="D395" s="28"/>
      <c r="E395" s="28"/>
      <c r="F395" s="28"/>
      <c r="G395" s="35"/>
      <c r="H395" s="28"/>
      <c r="I395" s="28"/>
      <c r="J395" s="28"/>
      <c r="K395" s="28"/>
      <c r="L395" s="35"/>
      <c r="M395" s="28"/>
      <c r="N395" s="53"/>
      <c r="O395" s="54">
        <f t="shared" si="6"/>
        <v>0</v>
      </c>
    </row>
    <row r="396" spans="1:15" x14ac:dyDescent="0.2">
      <c r="A396" s="32"/>
      <c r="B396" s="27"/>
      <c r="C396" s="28"/>
      <c r="D396" s="28"/>
      <c r="E396" s="28"/>
      <c r="F396" s="28"/>
      <c r="G396" s="35"/>
      <c r="H396" s="28"/>
      <c r="I396" s="28"/>
      <c r="J396" s="28"/>
      <c r="K396" s="28"/>
      <c r="L396" s="35"/>
      <c r="M396" s="28"/>
      <c r="N396" s="53"/>
      <c r="O396" s="54">
        <f t="shared" si="6"/>
        <v>0</v>
      </c>
    </row>
    <row r="397" spans="1:15" x14ac:dyDescent="0.2">
      <c r="A397" s="32"/>
      <c r="B397" s="27"/>
      <c r="C397" s="28"/>
      <c r="D397" s="28"/>
      <c r="E397" s="28"/>
      <c r="F397" s="28"/>
      <c r="G397" s="35"/>
      <c r="H397" s="28"/>
      <c r="I397" s="28"/>
      <c r="J397" s="28"/>
      <c r="K397" s="28"/>
      <c r="L397" s="35"/>
      <c r="M397" s="28"/>
      <c r="N397" s="53"/>
      <c r="O397" s="54">
        <f t="shared" si="6"/>
        <v>0</v>
      </c>
    </row>
    <row r="398" spans="1:15" x14ac:dyDescent="0.2">
      <c r="A398" s="32"/>
      <c r="B398" s="27"/>
      <c r="C398" s="28"/>
      <c r="D398" s="28"/>
      <c r="E398" s="28"/>
      <c r="F398" s="28"/>
      <c r="G398" s="35"/>
      <c r="H398" s="28"/>
      <c r="I398" s="28"/>
      <c r="J398" s="28"/>
      <c r="K398" s="28"/>
      <c r="L398" s="35"/>
      <c r="M398" s="28"/>
      <c r="N398" s="53"/>
      <c r="O398" s="54">
        <f t="shared" si="6"/>
        <v>0</v>
      </c>
    </row>
    <row r="399" spans="1:15" x14ac:dyDescent="0.2">
      <c r="A399" s="32"/>
      <c r="B399" s="27"/>
      <c r="C399" s="28"/>
      <c r="D399" s="28"/>
      <c r="E399" s="28"/>
      <c r="F399" s="28"/>
      <c r="G399" s="35"/>
      <c r="H399" s="28"/>
      <c r="I399" s="28"/>
      <c r="J399" s="28"/>
      <c r="K399" s="28"/>
      <c r="L399" s="35"/>
      <c r="M399" s="28"/>
      <c r="N399" s="53"/>
      <c r="O399" s="54">
        <f t="shared" si="6"/>
        <v>0</v>
      </c>
    </row>
    <row r="400" spans="1:15" x14ac:dyDescent="0.2">
      <c r="A400" s="32"/>
      <c r="B400" s="27"/>
      <c r="C400" s="28"/>
      <c r="D400" s="28"/>
      <c r="E400" s="28"/>
      <c r="F400" s="28"/>
      <c r="G400" s="35"/>
      <c r="H400" s="28"/>
      <c r="I400" s="28"/>
      <c r="J400" s="28"/>
      <c r="K400" s="28"/>
      <c r="L400" s="35"/>
      <c r="M400" s="28"/>
      <c r="N400" s="53"/>
      <c r="O400" s="54">
        <f t="shared" si="6"/>
        <v>0</v>
      </c>
    </row>
    <row r="401" spans="1:15" x14ac:dyDescent="0.2">
      <c r="A401" s="32"/>
      <c r="B401" s="27"/>
      <c r="C401" s="28"/>
      <c r="D401" s="28"/>
      <c r="E401" s="28"/>
      <c r="F401" s="28"/>
      <c r="G401" s="35"/>
      <c r="H401" s="28"/>
      <c r="I401" s="28"/>
      <c r="J401" s="28"/>
      <c r="K401" s="28"/>
      <c r="L401" s="35"/>
      <c r="M401" s="28"/>
      <c r="N401" s="53"/>
      <c r="O401" s="54">
        <f t="shared" si="6"/>
        <v>0</v>
      </c>
    </row>
    <row r="402" spans="1:15" x14ac:dyDescent="0.2">
      <c r="A402" s="32"/>
      <c r="B402" s="27"/>
      <c r="C402" s="28"/>
      <c r="D402" s="28"/>
      <c r="E402" s="28"/>
      <c r="F402" s="28"/>
      <c r="G402" s="35"/>
      <c r="H402" s="28"/>
      <c r="I402" s="28"/>
      <c r="J402" s="28"/>
      <c r="K402" s="28"/>
      <c r="L402" s="35"/>
      <c r="M402" s="28"/>
      <c r="N402" s="53"/>
      <c r="O402" s="54">
        <f t="shared" si="6"/>
        <v>0</v>
      </c>
    </row>
    <row r="403" spans="1:15" x14ac:dyDescent="0.2">
      <c r="A403" s="32"/>
      <c r="B403" s="27"/>
      <c r="C403" s="28"/>
      <c r="D403" s="28"/>
      <c r="E403" s="28"/>
      <c r="F403" s="28"/>
      <c r="G403" s="35"/>
      <c r="H403" s="28"/>
      <c r="I403" s="28"/>
      <c r="J403" s="28"/>
      <c r="K403" s="28"/>
      <c r="L403" s="35"/>
      <c r="M403" s="28"/>
      <c r="N403" s="53"/>
      <c r="O403" s="54">
        <f t="shared" si="6"/>
        <v>0</v>
      </c>
    </row>
    <row r="404" spans="1:15" x14ac:dyDescent="0.2">
      <c r="A404" s="32"/>
      <c r="B404" s="27"/>
      <c r="C404" s="28"/>
      <c r="D404" s="28"/>
      <c r="E404" s="28"/>
      <c r="F404" s="28"/>
      <c r="G404" s="35"/>
      <c r="H404" s="28"/>
      <c r="I404" s="28"/>
      <c r="J404" s="28"/>
      <c r="K404" s="28"/>
      <c r="L404" s="35"/>
      <c r="M404" s="28"/>
      <c r="N404" s="53"/>
      <c r="O404" s="54">
        <f t="shared" si="6"/>
        <v>0</v>
      </c>
    </row>
    <row r="405" spans="1:15" x14ac:dyDescent="0.2">
      <c r="A405" s="32"/>
      <c r="B405" s="27"/>
      <c r="C405" s="28"/>
      <c r="D405" s="28"/>
      <c r="E405" s="28"/>
      <c r="F405" s="28"/>
      <c r="G405" s="35"/>
      <c r="H405" s="28"/>
      <c r="I405" s="28"/>
      <c r="J405" s="28"/>
      <c r="K405" s="28"/>
      <c r="L405" s="35"/>
      <c r="M405" s="28"/>
      <c r="N405" s="53"/>
      <c r="O405" s="54">
        <f t="shared" si="6"/>
        <v>0</v>
      </c>
    </row>
    <row r="406" spans="1:15" x14ac:dyDescent="0.2">
      <c r="A406" s="32"/>
      <c r="B406" s="27"/>
      <c r="C406" s="28"/>
      <c r="D406" s="28"/>
      <c r="E406" s="28"/>
      <c r="F406" s="28"/>
      <c r="G406" s="35"/>
      <c r="H406" s="28"/>
      <c r="I406" s="28"/>
      <c r="J406" s="28"/>
      <c r="K406" s="28"/>
      <c r="L406" s="35"/>
      <c r="M406" s="28"/>
      <c r="N406" s="53"/>
      <c r="O406" s="54">
        <f t="shared" si="6"/>
        <v>0</v>
      </c>
    </row>
    <row r="407" spans="1:15" x14ac:dyDescent="0.2">
      <c r="A407" s="32"/>
      <c r="B407" s="27"/>
      <c r="C407" s="28"/>
      <c r="D407" s="28"/>
      <c r="E407" s="28"/>
      <c r="F407" s="28"/>
      <c r="G407" s="35"/>
      <c r="H407" s="28"/>
      <c r="I407" s="28"/>
      <c r="J407" s="28"/>
      <c r="K407" s="28"/>
      <c r="L407" s="35"/>
      <c r="M407" s="28"/>
      <c r="N407" s="53"/>
      <c r="O407" s="54">
        <f t="shared" si="6"/>
        <v>0</v>
      </c>
    </row>
    <row r="408" spans="1:15" x14ac:dyDescent="0.2">
      <c r="A408" s="32"/>
      <c r="B408" s="27"/>
      <c r="C408" s="28"/>
      <c r="D408" s="28"/>
      <c r="E408" s="28"/>
      <c r="F408" s="28"/>
      <c r="G408" s="35"/>
      <c r="H408" s="28"/>
      <c r="I408" s="28"/>
      <c r="J408" s="28"/>
      <c r="K408" s="28"/>
      <c r="L408" s="35"/>
      <c r="M408" s="28"/>
      <c r="N408" s="53"/>
      <c r="O408" s="54">
        <f t="shared" si="6"/>
        <v>0</v>
      </c>
    </row>
    <row r="409" spans="1:15" x14ac:dyDescent="0.2">
      <c r="A409" s="32"/>
      <c r="B409" s="27"/>
      <c r="C409" s="28"/>
      <c r="D409" s="28"/>
      <c r="E409" s="28"/>
      <c r="F409" s="28"/>
      <c r="G409" s="35"/>
      <c r="H409" s="28"/>
      <c r="I409" s="28"/>
      <c r="J409" s="28"/>
      <c r="K409" s="28"/>
      <c r="L409" s="35"/>
      <c r="M409" s="28"/>
      <c r="N409" s="53"/>
      <c r="O409" s="54">
        <f t="shared" si="6"/>
        <v>0</v>
      </c>
    </row>
    <row r="410" spans="1:15" x14ac:dyDescent="0.2">
      <c r="A410" s="32"/>
      <c r="B410" s="27"/>
      <c r="C410" s="28"/>
      <c r="D410" s="28"/>
      <c r="E410" s="28"/>
      <c r="F410" s="28"/>
      <c r="G410" s="35"/>
      <c r="H410" s="28"/>
      <c r="I410" s="28"/>
      <c r="J410" s="28"/>
      <c r="K410" s="28"/>
      <c r="L410" s="35"/>
      <c r="M410" s="28"/>
      <c r="N410" s="53"/>
      <c r="O410" s="54">
        <f t="shared" si="6"/>
        <v>0</v>
      </c>
    </row>
    <row r="411" spans="1:15" x14ac:dyDescent="0.2">
      <c r="A411" s="32"/>
      <c r="B411" s="27"/>
      <c r="C411" s="28"/>
      <c r="D411" s="28"/>
      <c r="E411" s="28"/>
      <c r="F411" s="28"/>
      <c r="G411" s="35"/>
      <c r="H411" s="28"/>
      <c r="I411" s="28"/>
      <c r="J411" s="28"/>
      <c r="K411" s="28"/>
      <c r="L411" s="35"/>
      <c r="M411" s="28"/>
      <c r="N411" s="53"/>
      <c r="O411" s="54">
        <f t="shared" si="6"/>
        <v>0</v>
      </c>
    </row>
    <row r="412" spans="1:15" x14ac:dyDescent="0.2">
      <c r="A412" s="32"/>
      <c r="B412" s="27"/>
      <c r="C412" s="28"/>
      <c r="D412" s="28"/>
      <c r="E412" s="28"/>
      <c r="F412" s="28"/>
      <c r="G412" s="35"/>
      <c r="H412" s="28"/>
      <c r="I412" s="28"/>
      <c r="J412" s="28"/>
      <c r="K412" s="28"/>
      <c r="L412" s="35"/>
      <c r="M412" s="28"/>
      <c r="N412" s="53"/>
      <c r="O412" s="54">
        <f t="shared" si="6"/>
        <v>0</v>
      </c>
    </row>
    <row r="413" spans="1:15" x14ac:dyDescent="0.2">
      <c r="A413" s="32"/>
      <c r="B413" s="27"/>
      <c r="C413" s="28"/>
      <c r="D413" s="28"/>
      <c r="E413" s="28"/>
      <c r="F413" s="28"/>
      <c r="G413" s="35"/>
      <c r="H413" s="28"/>
      <c r="I413" s="28"/>
      <c r="J413" s="28"/>
      <c r="K413" s="28"/>
      <c r="L413" s="35"/>
      <c r="M413" s="28"/>
      <c r="N413" s="53"/>
      <c r="O413" s="54">
        <f t="shared" si="6"/>
        <v>0</v>
      </c>
    </row>
    <row r="414" spans="1:15" x14ac:dyDescent="0.2">
      <c r="A414" s="32"/>
      <c r="B414" s="27"/>
      <c r="C414" s="28"/>
      <c r="D414" s="28"/>
      <c r="E414" s="28"/>
      <c r="F414" s="28"/>
      <c r="G414" s="35"/>
      <c r="H414" s="28"/>
      <c r="I414" s="28"/>
      <c r="J414" s="28"/>
      <c r="K414" s="28"/>
      <c r="L414" s="35"/>
      <c r="M414" s="28"/>
      <c r="N414" s="53"/>
      <c r="O414" s="54">
        <f t="shared" si="6"/>
        <v>0</v>
      </c>
    </row>
    <row r="415" spans="1:15" x14ac:dyDescent="0.2">
      <c r="A415" s="32"/>
      <c r="B415" s="27"/>
      <c r="C415" s="28"/>
      <c r="D415" s="28"/>
      <c r="E415" s="28"/>
      <c r="F415" s="28"/>
      <c r="G415" s="35"/>
      <c r="H415" s="28"/>
      <c r="I415" s="28"/>
      <c r="J415" s="28"/>
      <c r="K415" s="28"/>
      <c r="L415" s="35"/>
      <c r="M415" s="28"/>
      <c r="N415" s="53"/>
      <c r="O415" s="54">
        <f t="shared" si="6"/>
        <v>0</v>
      </c>
    </row>
    <row r="416" spans="1:15" x14ac:dyDescent="0.2">
      <c r="A416" s="32"/>
      <c r="B416" s="27"/>
      <c r="C416" s="28"/>
      <c r="D416" s="28"/>
      <c r="E416" s="28"/>
      <c r="F416" s="28"/>
      <c r="G416" s="35"/>
      <c r="H416" s="28"/>
      <c r="I416" s="28"/>
      <c r="J416" s="28"/>
      <c r="K416" s="28"/>
      <c r="L416" s="35"/>
      <c r="M416" s="28"/>
      <c r="N416" s="53"/>
      <c r="O416" s="54">
        <f t="shared" si="6"/>
        <v>0</v>
      </c>
    </row>
    <row r="417" spans="1:15" x14ac:dyDescent="0.2">
      <c r="A417" s="32"/>
      <c r="B417" s="27"/>
      <c r="C417" s="28"/>
      <c r="D417" s="28"/>
      <c r="E417" s="28"/>
      <c r="F417" s="28"/>
      <c r="G417" s="35"/>
      <c r="H417" s="28"/>
      <c r="I417" s="28"/>
      <c r="J417" s="28"/>
      <c r="K417" s="28"/>
      <c r="L417" s="35"/>
      <c r="M417" s="28"/>
      <c r="N417" s="53"/>
      <c r="O417" s="54">
        <f t="shared" si="6"/>
        <v>0</v>
      </c>
    </row>
    <row r="418" spans="1:15" x14ac:dyDescent="0.2">
      <c r="A418" s="32"/>
      <c r="B418" s="27"/>
      <c r="C418" s="28"/>
      <c r="D418" s="28"/>
      <c r="E418" s="28"/>
      <c r="F418" s="28"/>
      <c r="G418" s="35"/>
      <c r="H418" s="28"/>
      <c r="I418" s="28"/>
      <c r="J418" s="28"/>
      <c r="K418" s="28"/>
      <c r="L418" s="35"/>
      <c r="M418" s="28"/>
      <c r="N418" s="53"/>
      <c r="O418" s="54">
        <f t="shared" si="6"/>
        <v>0</v>
      </c>
    </row>
    <row r="419" spans="1:15" x14ac:dyDescent="0.2">
      <c r="A419" s="32"/>
      <c r="B419" s="27"/>
      <c r="C419" s="28"/>
      <c r="D419" s="28"/>
      <c r="E419" s="28"/>
      <c r="F419" s="28"/>
      <c r="G419" s="35"/>
      <c r="H419" s="28"/>
      <c r="I419" s="28"/>
      <c r="J419" s="28"/>
      <c r="K419" s="28"/>
      <c r="L419" s="35"/>
      <c r="M419" s="28"/>
      <c r="N419" s="53"/>
      <c r="O419" s="54">
        <f t="shared" si="6"/>
        <v>0</v>
      </c>
    </row>
    <row r="420" spans="1:15" x14ac:dyDescent="0.2">
      <c r="A420" s="32"/>
      <c r="B420" s="27"/>
      <c r="C420" s="28"/>
      <c r="D420" s="28"/>
      <c r="E420" s="28"/>
      <c r="F420" s="28"/>
      <c r="G420" s="35"/>
      <c r="H420" s="28"/>
      <c r="I420" s="28"/>
      <c r="J420" s="28"/>
      <c r="K420" s="28"/>
      <c r="L420" s="35"/>
      <c r="M420" s="28"/>
      <c r="N420" s="53"/>
      <c r="O420" s="54">
        <f t="shared" si="6"/>
        <v>0</v>
      </c>
    </row>
    <row r="421" spans="1:15" x14ac:dyDescent="0.2">
      <c r="A421" s="32"/>
      <c r="B421" s="27"/>
      <c r="C421" s="28"/>
      <c r="D421" s="28"/>
      <c r="E421" s="28"/>
      <c r="F421" s="28"/>
      <c r="G421" s="35"/>
      <c r="H421" s="28"/>
      <c r="I421" s="28"/>
      <c r="J421" s="28"/>
      <c r="K421" s="28"/>
      <c r="L421" s="35"/>
      <c r="M421" s="28"/>
      <c r="N421" s="53"/>
      <c r="O421" s="54">
        <f t="shared" si="6"/>
        <v>0</v>
      </c>
    </row>
    <row r="422" spans="1:15" x14ac:dyDescent="0.2">
      <c r="A422" s="32"/>
      <c r="B422" s="27"/>
      <c r="C422" s="28"/>
      <c r="D422" s="28"/>
      <c r="E422" s="28"/>
      <c r="F422" s="28"/>
      <c r="G422" s="35"/>
      <c r="H422" s="28"/>
      <c r="I422" s="28"/>
      <c r="J422" s="28"/>
      <c r="K422" s="28"/>
      <c r="L422" s="35"/>
      <c r="M422" s="28"/>
      <c r="N422" s="53"/>
      <c r="O422" s="54">
        <f t="shared" si="6"/>
        <v>0</v>
      </c>
    </row>
    <row r="423" spans="1:15" x14ac:dyDescent="0.2">
      <c r="A423" s="32"/>
      <c r="B423" s="27"/>
      <c r="C423" s="28"/>
      <c r="D423" s="28"/>
      <c r="E423" s="28"/>
      <c r="F423" s="28"/>
      <c r="G423" s="35"/>
      <c r="H423" s="28"/>
      <c r="I423" s="28"/>
      <c r="J423" s="28"/>
      <c r="K423" s="28"/>
      <c r="L423" s="35"/>
      <c r="M423" s="28"/>
      <c r="N423" s="53"/>
      <c r="O423" s="54">
        <f t="shared" si="6"/>
        <v>0</v>
      </c>
    </row>
    <row r="424" spans="1:15" x14ac:dyDescent="0.2">
      <c r="A424" s="32"/>
      <c r="B424" s="27"/>
      <c r="C424" s="28"/>
      <c r="D424" s="28"/>
      <c r="E424" s="28"/>
      <c r="F424" s="28"/>
      <c r="G424" s="35"/>
      <c r="H424" s="28"/>
      <c r="I424" s="28"/>
      <c r="J424" s="28"/>
      <c r="K424" s="28"/>
      <c r="L424" s="35"/>
      <c r="M424" s="28"/>
      <c r="N424" s="53"/>
      <c r="O424" s="54">
        <f t="shared" si="6"/>
        <v>0</v>
      </c>
    </row>
    <row r="425" spans="1:15" x14ac:dyDescent="0.2">
      <c r="A425" s="32"/>
      <c r="B425" s="27"/>
      <c r="C425" s="28"/>
      <c r="D425" s="28"/>
      <c r="E425" s="28"/>
      <c r="F425" s="28"/>
      <c r="G425" s="35"/>
      <c r="H425" s="28"/>
      <c r="I425" s="28"/>
      <c r="J425" s="28"/>
      <c r="K425" s="28"/>
      <c r="L425" s="35"/>
      <c r="M425" s="28"/>
      <c r="N425" s="53"/>
      <c r="O425" s="54">
        <f t="shared" si="6"/>
        <v>0</v>
      </c>
    </row>
    <row r="426" spans="1:15" x14ac:dyDescent="0.2">
      <c r="A426" s="32"/>
      <c r="B426" s="27"/>
      <c r="C426" s="28"/>
      <c r="D426" s="28"/>
      <c r="E426" s="28"/>
      <c r="F426" s="28"/>
      <c r="G426" s="35"/>
      <c r="H426" s="28"/>
      <c r="I426" s="28"/>
      <c r="J426" s="28"/>
      <c r="K426" s="28"/>
      <c r="L426" s="35"/>
      <c r="M426" s="28"/>
      <c r="N426" s="53"/>
      <c r="O426" s="54">
        <f t="shared" si="6"/>
        <v>0</v>
      </c>
    </row>
    <row r="427" spans="1:15" x14ac:dyDescent="0.2">
      <c r="A427" s="32"/>
      <c r="B427" s="27"/>
      <c r="C427" s="28"/>
      <c r="D427" s="28"/>
      <c r="E427" s="28"/>
      <c r="F427" s="28"/>
      <c r="G427" s="35"/>
      <c r="H427" s="28"/>
      <c r="I427" s="28"/>
      <c r="J427" s="28"/>
      <c r="K427" s="28"/>
      <c r="L427" s="35"/>
      <c r="M427" s="28"/>
      <c r="N427" s="53"/>
      <c r="O427" s="54">
        <f t="shared" si="6"/>
        <v>0</v>
      </c>
    </row>
    <row r="428" spans="1:15" x14ac:dyDescent="0.2">
      <c r="A428" s="32"/>
      <c r="B428" s="27"/>
      <c r="C428" s="28"/>
      <c r="D428" s="28"/>
      <c r="E428" s="28"/>
      <c r="F428" s="28"/>
      <c r="G428" s="35"/>
      <c r="H428" s="28"/>
      <c r="I428" s="28"/>
      <c r="J428" s="28"/>
      <c r="K428" s="28"/>
      <c r="L428" s="35"/>
      <c r="M428" s="28"/>
      <c r="N428" s="53"/>
      <c r="O428" s="54">
        <f t="shared" si="6"/>
        <v>0</v>
      </c>
    </row>
    <row r="429" spans="1:15" x14ac:dyDescent="0.2">
      <c r="A429" s="32"/>
      <c r="B429" s="27"/>
      <c r="C429" s="28"/>
      <c r="D429" s="28"/>
      <c r="E429" s="28"/>
      <c r="F429" s="28"/>
      <c r="G429" s="35"/>
      <c r="H429" s="28"/>
      <c r="I429" s="28"/>
      <c r="J429" s="28"/>
      <c r="K429" s="28"/>
      <c r="L429" s="35"/>
      <c r="M429" s="28"/>
      <c r="N429" s="53"/>
      <c r="O429" s="54">
        <f t="shared" si="6"/>
        <v>0</v>
      </c>
    </row>
    <row r="430" spans="1:15" x14ac:dyDescent="0.2">
      <c r="A430" s="32"/>
      <c r="B430" s="27"/>
      <c r="C430" s="28"/>
      <c r="D430" s="28"/>
      <c r="E430" s="28"/>
      <c r="F430" s="28"/>
      <c r="G430" s="35"/>
      <c r="H430" s="28"/>
      <c r="I430" s="28"/>
      <c r="J430" s="28"/>
      <c r="K430" s="28"/>
      <c r="L430" s="35"/>
      <c r="M430" s="28"/>
      <c r="N430" s="53"/>
      <c r="O430" s="54">
        <f t="shared" si="6"/>
        <v>0</v>
      </c>
    </row>
    <row r="431" spans="1:15" x14ac:dyDescent="0.2">
      <c r="A431" s="32"/>
      <c r="B431" s="27"/>
      <c r="C431" s="28"/>
      <c r="D431" s="28"/>
      <c r="E431" s="28"/>
      <c r="F431" s="28"/>
      <c r="G431" s="35"/>
      <c r="H431" s="28"/>
      <c r="I431" s="28"/>
      <c r="J431" s="28"/>
      <c r="K431" s="28"/>
      <c r="L431" s="35"/>
      <c r="M431" s="28"/>
      <c r="N431" s="53"/>
      <c r="O431" s="54">
        <f t="shared" si="6"/>
        <v>0</v>
      </c>
    </row>
    <row r="432" spans="1:15" x14ac:dyDescent="0.2">
      <c r="A432" s="32"/>
      <c r="B432" s="27"/>
      <c r="C432" s="28"/>
      <c r="D432" s="28"/>
      <c r="E432" s="28"/>
      <c r="F432" s="28"/>
      <c r="G432" s="35"/>
      <c r="H432" s="28"/>
      <c r="I432" s="28"/>
      <c r="J432" s="28"/>
      <c r="K432" s="28"/>
      <c r="L432" s="35"/>
      <c r="M432" s="28"/>
      <c r="N432" s="53"/>
      <c r="O432" s="54">
        <f t="shared" si="6"/>
        <v>0</v>
      </c>
    </row>
    <row r="433" spans="1:15" x14ac:dyDescent="0.2">
      <c r="A433" s="32"/>
      <c r="B433" s="27"/>
      <c r="C433" s="28"/>
      <c r="D433" s="28"/>
      <c r="E433" s="28"/>
      <c r="F433" s="28"/>
      <c r="G433" s="35"/>
      <c r="H433" s="28"/>
      <c r="I433" s="28"/>
      <c r="J433" s="28"/>
      <c r="K433" s="28"/>
      <c r="L433" s="35"/>
      <c r="M433" s="28"/>
      <c r="N433" s="53"/>
      <c r="O433" s="54">
        <f t="shared" si="6"/>
        <v>0</v>
      </c>
    </row>
    <row r="434" spans="1:15" x14ac:dyDescent="0.2">
      <c r="A434" s="32"/>
      <c r="B434" s="27"/>
      <c r="C434" s="28"/>
      <c r="D434" s="28"/>
      <c r="E434" s="28"/>
      <c r="F434" s="28"/>
      <c r="G434" s="35"/>
      <c r="H434" s="28"/>
      <c r="I434" s="28"/>
      <c r="J434" s="28"/>
      <c r="K434" s="28"/>
      <c r="L434" s="35"/>
      <c r="M434" s="28"/>
      <c r="N434" s="53"/>
      <c r="O434" s="54">
        <f t="shared" si="6"/>
        <v>0</v>
      </c>
    </row>
    <row r="435" spans="1:15" x14ac:dyDescent="0.2">
      <c r="A435" s="32"/>
      <c r="B435" s="27"/>
      <c r="C435" s="28"/>
      <c r="D435" s="28"/>
      <c r="E435" s="28"/>
      <c r="F435" s="28"/>
      <c r="G435" s="35"/>
      <c r="H435" s="28"/>
      <c r="I435" s="28"/>
      <c r="J435" s="28"/>
      <c r="K435" s="28"/>
      <c r="L435" s="35"/>
      <c r="M435" s="28"/>
      <c r="N435" s="53"/>
      <c r="O435" s="54">
        <f t="shared" si="6"/>
        <v>0</v>
      </c>
    </row>
    <row r="436" spans="1:15" x14ac:dyDescent="0.2">
      <c r="A436" s="32"/>
      <c r="B436" s="27"/>
      <c r="C436" s="28"/>
      <c r="D436" s="28"/>
      <c r="E436" s="28"/>
      <c r="F436" s="28"/>
      <c r="G436" s="35"/>
      <c r="H436" s="28"/>
      <c r="I436" s="28"/>
      <c r="J436" s="28"/>
      <c r="K436" s="28"/>
      <c r="L436" s="35"/>
      <c r="M436" s="28"/>
      <c r="N436" s="53"/>
      <c r="O436" s="54">
        <f t="shared" si="6"/>
        <v>0</v>
      </c>
    </row>
    <row r="437" spans="1:15" x14ac:dyDescent="0.2">
      <c r="A437" s="32"/>
      <c r="B437" s="27"/>
      <c r="C437" s="28"/>
      <c r="D437" s="28"/>
      <c r="E437" s="28"/>
      <c r="F437" s="28"/>
      <c r="G437" s="35"/>
      <c r="H437" s="28"/>
      <c r="I437" s="28"/>
      <c r="J437" s="28"/>
      <c r="K437" s="28"/>
      <c r="L437" s="35"/>
      <c r="M437" s="28"/>
      <c r="N437" s="53"/>
      <c r="O437" s="54">
        <f t="shared" si="6"/>
        <v>0</v>
      </c>
    </row>
    <row r="438" spans="1:15" x14ac:dyDescent="0.2">
      <c r="A438" s="32"/>
      <c r="B438" s="27"/>
      <c r="C438" s="28"/>
      <c r="D438" s="28"/>
      <c r="E438" s="28"/>
      <c r="F438" s="28"/>
      <c r="G438" s="35"/>
      <c r="H438" s="28"/>
      <c r="I438" s="28"/>
      <c r="J438" s="28"/>
      <c r="K438" s="28"/>
      <c r="L438" s="35"/>
      <c r="M438" s="28"/>
      <c r="N438" s="53"/>
      <c r="O438" s="54">
        <f t="shared" si="6"/>
        <v>0</v>
      </c>
    </row>
    <row r="439" spans="1:15" x14ac:dyDescent="0.2">
      <c r="A439" s="32"/>
      <c r="B439" s="27"/>
      <c r="C439" s="28"/>
      <c r="D439" s="28"/>
      <c r="E439" s="28"/>
      <c r="F439" s="28"/>
      <c r="G439" s="35"/>
      <c r="H439" s="28"/>
      <c r="I439" s="28"/>
      <c r="J439" s="28"/>
      <c r="K439" s="28"/>
      <c r="L439" s="35"/>
      <c r="M439" s="28"/>
      <c r="N439" s="53"/>
      <c r="O439" s="54">
        <f t="shared" si="6"/>
        <v>0</v>
      </c>
    </row>
    <row r="440" spans="1:15" x14ac:dyDescent="0.2">
      <c r="A440" s="32"/>
      <c r="B440" s="27"/>
      <c r="C440" s="28"/>
      <c r="D440" s="28"/>
      <c r="E440" s="28"/>
      <c r="F440" s="28"/>
      <c r="G440" s="35"/>
      <c r="H440" s="28"/>
      <c r="I440" s="28"/>
      <c r="J440" s="28"/>
      <c r="K440" s="28"/>
      <c r="L440" s="35"/>
      <c r="M440" s="28"/>
      <c r="N440" s="53"/>
      <c r="O440" s="54">
        <f t="shared" si="6"/>
        <v>0</v>
      </c>
    </row>
    <row r="441" spans="1:15" x14ac:dyDescent="0.2">
      <c r="A441" s="32"/>
      <c r="B441" s="27"/>
      <c r="C441" s="28"/>
      <c r="D441" s="28"/>
      <c r="E441" s="28"/>
      <c r="F441" s="28"/>
      <c r="G441" s="35"/>
      <c r="H441" s="28"/>
      <c r="I441" s="28"/>
      <c r="J441" s="28"/>
      <c r="K441" s="28"/>
      <c r="L441" s="28"/>
      <c r="M441" s="28"/>
      <c r="N441" s="53"/>
      <c r="O441" s="54">
        <f t="shared" si="6"/>
        <v>0</v>
      </c>
    </row>
    <row r="442" spans="1:15" x14ac:dyDescent="0.2">
      <c r="A442" s="28"/>
      <c r="B442" s="27"/>
      <c r="C442" s="28"/>
      <c r="D442" s="28"/>
      <c r="E442" s="28"/>
      <c r="F442" s="28"/>
      <c r="G442" s="35"/>
      <c r="H442" s="28"/>
      <c r="I442" s="28"/>
      <c r="J442" s="28"/>
      <c r="K442" s="28"/>
      <c r="L442" s="28"/>
      <c r="M442" s="28"/>
      <c r="N442" s="53"/>
      <c r="O442" s="54">
        <f t="shared" si="6"/>
        <v>0</v>
      </c>
    </row>
    <row r="443" spans="1:15" x14ac:dyDescent="0.2">
      <c r="A443" s="28"/>
      <c r="B443" s="27"/>
      <c r="C443" s="28"/>
      <c r="D443" s="28"/>
      <c r="E443" s="28"/>
      <c r="F443" s="28"/>
      <c r="G443" s="35"/>
      <c r="H443" s="28"/>
      <c r="I443" s="28"/>
      <c r="J443" s="28"/>
      <c r="K443" s="28"/>
      <c r="L443" s="28"/>
      <c r="M443" s="28"/>
      <c r="N443" s="53"/>
      <c r="O443" s="54">
        <f t="shared" si="6"/>
        <v>0</v>
      </c>
    </row>
    <row r="444" spans="1:15" x14ac:dyDescent="0.2">
      <c r="A444" s="28"/>
      <c r="B444" s="27"/>
      <c r="C444" s="28"/>
      <c r="D444" s="28"/>
      <c r="E444" s="28"/>
      <c r="F444" s="28"/>
      <c r="G444" s="35"/>
      <c r="H444" s="28"/>
      <c r="I444" s="28"/>
      <c r="J444" s="28"/>
      <c r="K444" s="28"/>
      <c r="L444" s="28"/>
      <c r="M444" s="28"/>
      <c r="N444" s="53"/>
      <c r="O444" s="54">
        <f t="shared" si="6"/>
        <v>0</v>
      </c>
    </row>
    <row r="445" spans="1:15" x14ac:dyDescent="0.2">
      <c r="A445" s="28"/>
      <c r="B445" s="27"/>
      <c r="C445" s="28"/>
      <c r="D445" s="28"/>
      <c r="E445" s="28"/>
      <c r="F445" s="28"/>
      <c r="G445" s="35"/>
      <c r="H445" s="28"/>
      <c r="I445" s="28"/>
      <c r="J445" s="28"/>
      <c r="K445" s="28"/>
      <c r="L445" s="28"/>
      <c r="M445" s="28"/>
      <c r="N445" s="53"/>
      <c r="O445" s="54">
        <f t="shared" si="6"/>
        <v>0</v>
      </c>
    </row>
    <row r="446" spans="1:15" x14ac:dyDescent="0.2">
      <c r="A446" s="28"/>
      <c r="B446" s="27"/>
      <c r="C446" s="28"/>
      <c r="D446" s="28"/>
      <c r="E446" s="28"/>
      <c r="F446" s="28"/>
      <c r="G446" s="35"/>
      <c r="H446" s="28"/>
      <c r="I446" s="28"/>
      <c r="J446" s="28"/>
      <c r="K446" s="28"/>
      <c r="L446" s="28"/>
      <c r="M446" s="28"/>
      <c r="N446" s="53"/>
      <c r="O446" s="54">
        <f t="shared" si="6"/>
        <v>0</v>
      </c>
    </row>
    <row r="447" spans="1:15" x14ac:dyDescent="0.2">
      <c r="A447" s="28"/>
      <c r="B447" s="27"/>
      <c r="C447" s="28"/>
      <c r="D447" s="28"/>
      <c r="E447" s="28"/>
      <c r="F447" s="28"/>
      <c r="G447" s="35"/>
      <c r="H447" s="28"/>
      <c r="I447" s="28"/>
      <c r="J447" s="28"/>
      <c r="K447" s="28"/>
      <c r="L447" s="28"/>
      <c r="M447" s="28"/>
      <c r="N447" s="53"/>
      <c r="O447" s="54">
        <f t="shared" si="6"/>
        <v>0</v>
      </c>
    </row>
    <row r="448" spans="1:15" x14ac:dyDescent="0.2">
      <c r="A448" s="28"/>
      <c r="B448" s="27"/>
      <c r="C448" s="28"/>
      <c r="D448" s="28"/>
      <c r="E448" s="28"/>
      <c r="F448" s="28"/>
      <c r="G448" s="35"/>
      <c r="H448" s="28"/>
      <c r="I448" s="28"/>
      <c r="J448" s="28"/>
      <c r="K448" s="28"/>
      <c r="L448" s="28"/>
      <c r="M448" s="28"/>
      <c r="N448" s="53"/>
      <c r="O448" s="54">
        <f t="shared" si="6"/>
        <v>0</v>
      </c>
    </row>
    <row r="449" spans="1:15" x14ac:dyDescent="0.2">
      <c r="A449" s="28"/>
      <c r="B449" s="27"/>
      <c r="C449" s="28"/>
      <c r="D449" s="28"/>
      <c r="E449" s="28"/>
      <c r="F449" s="28"/>
      <c r="G449" s="35"/>
      <c r="H449" s="28"/>
      <c r="I449" s="28"/>
      <c r="J449" s="28"/>
      <c r="K449" s="28"/>
      <c r="L449" s="28"/>
      <c r="M449" s="28"/>
      <c r="N449" s="53"/>
      <c r="O449" s="54">
        <f t="shared" si="6"/>
        <v>0</v>
      </c>
    </row>
    <row r="450" spans="1:15" x14ac:dyDescent="0.2">
      <c r="A450" s="28"/>
      <c r="B450" s="27"/>
      <c r="C450" s="28"/>
      <c r="D450" s="28"/>
      <c r="E450" s="28"/>
      <c r="F450" s="28"/>
      <c r="G450" s="35"/>
      <c r="H450" s="28"/>
      <c r="I450" s="28"/>
      <c r="J450" s="28"/>
      <c r="K450" s="28"/>
      <c r="L450" s="28"/>
      <c r="M450" s="28"/>
      <c r="N450" s="53"/>
      <c r="O450" s="54">
        <f t="shared" si="6"/>
        <v>0</v>
      </c>
    </row>
    <row r="451" spans="1:15" x14ac:dyDescent="0.2">
      <c r="A451" s="28"/>
      <c r="B451" s="27"/>
      <c r="C451" s="28"/>
      <c r="D451" s="28"/>
      <c r="E451" s="28"/>
      <c r="F451" s="28"/>
      <c r="G451" s="35"/>
      <c r="H451" s="28"/>
      <c r="I451" s="28"/>
      <c r="J451" s="28"/>
      <c r="K451" s="28"/>
      <c r="L451" s="28"/>
      <c r="M451" s="28"/>
      <c r="N451" s="53"/>
      <c r="O451" s="54">
        <f t="shared" ref="O451:O514" si="7">N451*J451</f>
        <v>0</v>
      </c>
    </row>
    <row r="452" spans="1:15" x14ac:dyDescent="0.2">
      <c r="A452" s="28"/>
      <c r="B452" s="27"/>
      <c r="C452" s="28"/>
      <c r="D452" s="28"/>
      <c r="E452" s="28"/>
      <c r="F452" s="28"/>
      <c r="G452" s="35"/>
      <c r="H452" s="28"/>
      <c r="I452" s="28"/>
      <c r="J452" s="28"/>
      <c r="K452" s="28"/>
      <c r="L452" s="28"/>
      <c r="M452" s="28"/>
      <c r="N452" s="53"/>
      <c r="O452" s="54">
        <f t="shared" si="7"/>
        <v>0</v>
      </c>
    </row>
    <row r="453" spans="1:15" x14ac:dyDescent="0.2">
      <c r="A453" s="28"/>
      <c r="B453" s="27"/>
      <c r="C453" s="28"/>
      <c r="D453" s="28"/>
      <c r="E453" s="28"/>
      <c r="F453" s="28"/>
      <c r="G453" s="35"/>
      <c r="H453" s="28"/>
      <c r="I453" s="28"/>
      <c r="J453" s="28"/>
      <c r="K453" s="28"/>
      <c r="L453" s="28"/>
      <c r="M453" s="28"/>
      <c r="N453" s="53"/>
      <c r="O453" s="54">
        <f t="shared" si="7"/>
        <v>0</v>
      </c>
    </row>
    <row r="454" spans="1:15" x14ac:dyDescent="0.2">
      <c r="A454" s="28"/>
      <c r="B454" s="27"/>
      <c r="C454" s="28"/>
      <c r="D454" s="28"/>
      <c r="E454" s="28"/>
      <c r="F454" s="28"/>
      <c r="G454" s="35"/>
      <c r="H454" s="28"/>
      <c r="I454" s="28"/>
      <c r="J454" s="28"/>
      <c r="K454" s="28"/>
      <c r="L454" s="28"/>
      <c r="M454" s="28"/>
      <c r="N454" s="53"/>
      <c r="O454" s="54">
        <f t="shared" si="7"/>
        <v>0</v>
      </c>
    </row>
    <row r="455" spans="1:15" x14ac:dyDescent="0.2">
      <c r="A455" s="28"/>
      <c r="B455" s="27"/>
      <c r="C455" s="28"/>
      <c r="D455" s="28"/>
      <c r="E455" s="28"/>
      <c r="F455" s="28"/>
      <c r="G455" s="35"/>
      <c r="H455" s="28"/>
      <c r="I455" s="28"/>
      <c r="J455" s="28"/>
      <c r="K455" s="28"/>
      <c r="L455" s="28"/>
      <c r="M455" s="28"/>
      <c r="N455" s="53"/>
      <c r="O455" s="54">
        <f t="shared" si="7"/>
        <v>0</v>
      </c>
    </row>
    <row r="456" spans="1:15" x14ac:dyDescent="0.2">
      <c r="A456" s="28"/>
      <c r="B456" s="27"/>
      <c r="C456" s="28"/>
      <c r="D456" s="28"/>
      <c r="E456" s="28"/>
      <c r="F456" s="28"/>
      <c r="G456" s="35"/>
      <c r="H456" s="28"/>
      <c r="I456" s="28"/>
      <c r="J456" s="28"/>
      <c r="K456" s="28"/>
      <c r="L456" s="28"/>
      <c r="M456" s="28"/>
      <c r="N456" s="53"/>
      <c r="O456" s="54">
        <f t="shared" si="7"/>
        <v>0</v>
      </c>
    </row>
    <row r="457" spans="1:15" x14ac:dyDescent="0.2">
      <c r="A457" s="28"/>
      <c r="B457" s="27"/>
      <c r="C457" s="28"/>
      <c r="D457" s="28"/>
      <c r="E457" s="28"/>
      <c r="F457" s="28"/>
      <c r="G457" s="35"/>
      <c r="H457" s="28"/>
      <c r="I457" s="28"/>
      <c r="J457" s="28"/>
      <c r="K457" s="28"/>
      <c r="L457" s="28"/>
      <c r="M457" s="28"/>
      <c r="N457" s="53"/>
      <c r="O457" s="54">
        <f t="shared" si="7"/>
        <v>0</v>
      </c>
    </row>
    <row r="458" spans="1:15" x14ac:dyDescent="0.2">
      <c r="A458" s="28"/>
      <c r="B458" s="27"/>
      <c r="C458" s="28"/>
      <c r="D458" s="28"/>
      <c r="E458" s="28"/>
      <c r="F458" s="28"/>
      <c r="G458" s="35"/>
      <c r="H458" s="28"/>
      <c r="I458" s="28"/>
      <c r="J458" s="28"/>
      <c r="K458" s="28"/>
      <c r="L458" s="28"/>
      <c r="M458" s="28"/>
      <c r="N458" s="53"/>
      <c r="O458" s="54">
        <f t="shared" si="7"/>
        <v>0</v>
      </c>
    </row>
    <row r="459" spans="1:15" x14ac:dyDescent="0.2">
      <c r="A459" s="28"/>
      <c r="B459" s="27"/>
      <c r="C459" s="28"/>
      <c r="D459" s="28"/>
      <c r="E459" s="28"/>
      <c r="F459" s="28"/>
      <c r="G459" s="35"/>
      <c r="H459" s="28"/>
      <c r="I459" s="28"/>
      <c r="J459" s="28"/>
      <c r="K459" s="28"/>
      <c r="L459" s="28"/>
      <c r="M459" s="28"/>
      <c r="N459" s="53"/>
      <c r="O459" s="54">
        <f t="shared" si="7"/>
        <v>0</v>
      </c>
    </row>
    <row r="460" spans="1:15" x14ac:dyDescent="0.2">
      <c r="A460" s="28"/>
      <c r="B460" s="27"/>
      <c r="C460" s="28"/>
      <c r="D460" s="28"/>
      <c r="E460" s="28"/>
      <c r="F460" s="28"/>
      <c r="G460" s="35"/>
      <c r="H460" s="28"/>
      <c r="I460" s="28"/>
      <c r="J460" s="28"/>
      <c r="K460" s="28"/>
      <c r="L460" s="28"/>
      <c r="M460" s="28"/>
      <c r="N460" s="53"/>
      <c r="O460" s="54">
        <f t="shared" si="7"/>
        <v>0</v>
      </c>
    </row>
    <row r="461" spans="1:15" x14ac:dyDescent="0.2">
      <c r="A461" s="28"/>
      <c r="B461" s="27"/>
      <c r="C461" s="28"/>
      <c r="D461" s="28"/>
      <c r="E461" s="28"/>
      <c r="F461" s="28"/>
      <c r="G461" s="35"/>
      <c r="H461" s="28"/>
      <c r="I461" s="28"/>
      <c r="J461" s="28"/>
      <c r="K461" s="28"/>
      <c r="L461" s="28"/>
      <c r="M461" s="28"/>
      <c r="N461" s="53"/>
      <c r="O461" s="54">
        <f t="shared" si="7"/>
        <v>0</v>
      </c>
    </row>
    <row r="462" spans="1:15" x14ac:dyDescent="0.2">
      <c r="A462" s="28"/>
      <c r="B462" s="27"/>
      <c r="C462" s="28"/>
      <c r="D462" s="28"/>
      <c r="E462" s="28"/>
      <c r="F462" s="28"/>
      <c r="G462" s="35"/>
      <c r="H462" s="28"/>
      <c r="I462" s="28"/>
      <c r="J462" s="28"/>
      <c r="K462" s="28"/>
      <c r="L462" s="28"/>
      <c r="M462" s="28"/>
      <c r="N462" s="53"/>
      <c r="O462" s="54">
        <f t="shared" si="7"/>
        <v>0</v>
      </c>
    </row>
    <row r="463" spans="1:15" x14ac:dyDescent="0.2">
      <c r="A463" s="28"/>
      <c r="B463" s="27"/>
      <c r="C463" s="28"/>
      <c r="D463" s="28"/>
      <c r="E463" s="28"/>
      <c r="F463" s="28"/>
      <c r="G463" s="35"/>
      <c r="H463" s="28"/>
      <c r="I463" s="28"/>
      <c r="J463" s="28"/>
      <c r="K463" s="28"/>
      <c r="L463" s="28"/>
      <c r="M463" s="28"/>
      <c r="N463" s="53"/>
      <c r="O463" s="54">
        <f t="shared" si="7"/>
        <v>0</v>
      </c>
    </row>
    <row r="464" spans="1:15" x14ac:dyDescent="0.2">
      <c r="A464" s="28"/>
      <c r="B464" s="27"/>
      <c r="C464" s="28"/>
      <c r="D464" s="28"/>
      <c r="E464" s="28"/>
      <c r="F464" s="28"/>
      <c r="G464" s="35"/>
      <c r="H464" s="28"/>
      <c r="I464" s="28"/>
      <c r="J464" s="28"/>
      <c r="K464" s="28"/>
      <c r="L464" s="28"/>
      <c r="M464" s="28"/>
      <c r="N464" s="53"/>
      <c r="O464" s="54">
        <f t="shared" si="7"/>
        <v>0</v>
      </c>
    </row>
    <row r="465" spans="1:15" x14ac:dyDescent="0.2">
      <c r="A465" s="28"/>
      <c r="B465" s="27"/>
      <c r="C465" s="28"/>
      <c r="D465" s="28"/>
      <c r="E465" s="28"/>
      <c r="F465" s="28"/>
      <c r="G465" s="35"/>
      <c r="H465" s="28"/>
      <c r="I465" s="28"/>
      <c r="J465" s="28"/>
      <c r="K465" s="28"/>
      <c r="L465" s="28"/>
      <c r="M465" s="28"/>
      <c r="N465" s="53"/>
      <c r="O465" s="54">
        <f t="shared" si="7"/>
        <v>0</v>
      </c>
    </row>
    <row r="466" spans="1:15" x14ac:dyDescent="0.2">
      <c r="A466" s="28"/>
      <c r="B466" s="27"/>
      <c r="C466" s="28"/>
      <c r="D466" s="28"/>
      <c r="E466" s="28"/>
      <c r="F466" s="28"/>
      <c r="G466" s="35"/>
      <c r="H466" s="28"/>
      <c r="I466" s="28"/>
      <c r="J466" s="28"/>
      <c r="K466" s="28"/>
      <c r="L466" s="28"/>
      <c r="M466" s="28"/>
      <c r="N466" s="53"/>
      <c r="O466" s="54">
        <f t="shared" si="7"/>
        <v>0</v>
      </c>
    </row>
    <row r="467" spans="1:15" x14ac:dyDescent="0.2">
      <c r="A467" s="28"/>
      <c r="B467" s="27"/>
      <c r="C467" s="28"/>
      <c r="D467" s="28"/>
      <c r="E467" s="28"/>
      <c r="F467" s="28"/>
      <c r="G467" s="35"/>
      <c r="H467" s="28"/>
      <c r="I467" s="28"/>
      <c r="J467" s="28"/>
      <c r="K467" s="28"/>
      <c r="L467" s="28"/>
      <c r="M467" s="28"/>
      <c r="N467" s="53"/>
      <c r="O467" s="54">
        <f t="shared" si="7"/>
        <v>0</v>
      </c>
    </row>
    <row r="468" spans="1:15" x14ac:dyDescent="0.2">
      <c r="A468" s="28"/>
      <c r="B468" s="27"/>
      <c r="C468" s="28"/>
      <c r="D468" s="28"/>
      <c r="E468" s="28"/>
      <c r="F468" s="28"/>
      <c r="G468" s="35"/>
      <c r="H468" s="28"/>
      <c r="I468" s="28"/>
      <c r="J468" s="28"/>
      <c r="K468" s="28"/>
      <c r="L468" s="28"/>
      <c r="M468" s="28"/>
      <c r="N468" s="53"/>
      <c r="O468" s="54">
        <f t="shared" si="7"/>
        <v>0</v>
      </c>
    </row>
    <row r="469" spans="1:15" x14ac:dyDescent="0.2">
      <c r="A469" s="28"/>
      <c r="B469" s="27"/>
      <c r="C469" s="28"/>
      <c r="D469" s="28"/>
      <c r="E469" s="28"/>
      <c r="F469" s="28"/>
      <c r="G469" s="35"/>
      <c r="H469" s="28"/>
      <c r="I469" s="28"/>
      <c r="J469" s="28"/>
      <c r="K469" s="28"/>
      <c r="L469" s="28"/>
      <c r="M469" s="28"/>
      <c r="N469" s="53"/>
      <c r="O469" s="54">
        <f t="shared" si="7"/>
        <v>0</v>
      </c>
    </row>
    <row r="470" spans="1:15" x14ac:dyDescent="0.2">
      <c r="A470" s="28"/>
      <c r="B470" s="27"/>
      <c r="C470" s="28"/>
      <c r="D470" s="28"/>
      <c r="E470" s="28"/>
      <c r="F470" s="28"/>
      <c r="G470" s="35"/>
      <c r="H470" s="28"/>
      <c r="I470" s="28"/>
      <c r="J470" s="28"/>
      <c r="K470" s="28"/>
      <c r="L470" s="28"/>
      <c r="M470" s="28"/>
      <c r="N470" s="53"/>
      <c r="O470" s="54">
        <f t="shared" si="7"/>
        <v>0</v>
      </c>
    </row>
    <row r="471" spans="1:15" x14ac:dyDescent="0.2">
      <c r="A471" s="28"/>
      <c r="B471" s="27"/>
      <c r="C471" s="28"/>
      <c r="D471" s="28"/>
      <c r="E471" s="28"/>
      <c r="F471" s="28"/>
      <c r="G471" s="35"/>
      <c r="H471" s="28"/>
      <c r="I471" s="28"/>
      <c r="J471" s="28"/>
      <c r="K471" s="28"/>
      <c r="L471" s="28"/>
      <c r="M471" s="28"/>
      <c r="N471" s="53"/>
      <c r="O471" s="54">
        <f t="shared" si="7"/>
        <v>0</v>
      </c>
    </row>
    <row r="472" spans="1:15" x14ac:dyDescent="0.2">
      <c r="A472" s="28"/>
      <c r="B472" s="27"/>
      <c r="C472" s="28"/>
      <c r="D472" s="28"/>
      <c r="E472" s="28"/>
      <c r="F472" s="28"/>
      <c r="G472" s="35"/>
      <c r="H472" s="28"/>
      <c r="I472" s="28"/>
      <c r="J472" s="28"/>
      <c r="K472" s="28"/>
      <c r="L472" s="28"/>
      <c r="M472" s="28"/>
      <c r="N472" s="53"/>
      <c r="O472" s="54">
        <f t="shared" si="7"/>
        <v>0</v>
      </c>
    </row>
    <row r="473" spans="1:15" x14ac:dyDescent="0.2">
      <c r="A473" s="28"/>
      <c r="B473" s="27"/>
      <c r="C473" s="28"/>
      <c r="D473" s="28"/>
      <c r="E473" s="28"/>
      <c r="F473" s="28"/>
      <c r="G473" s="35"/>
      <c r="H473" s="28"/>
      <c r="I473" s="28"/>
      <c r="J473" s="28"/>
      <c r="K473" s="28"/>
      <c r="L473" s="28"/>
      <c r="M473" s="28"/>
      <c r="N473" s="53"/>
      <c r="O473" s="54">
        <f t="shared" si="7"/>
        <v>0</v>
      </c>
    </row>
    <row r="474" spans="1:15" x14ac:dyDescent="0.2">
      <c r="A474" s="28"/>
      <c r="B474" s="27"/>
      <c r="C474" s="28"/>
      <c r="D474" s="28"/>
      <c r="E474" s="28"/>
      <c r="F474" s="28"/>
      <c r="G474" s="35"/>
      <c r="H474" s="28"/>
      <c r="I474" s="28"/>
      <c r="J474" s="28"/>
      <c r="K474" s="28"/>
      <c r="L474" s="28"/>
      <c r="M474" s="28"/>
      <c r="N474" s="53"/>
      <c r="O474" s="54">
        <f t="shared" si="7"/>
        <v>0</v>
      </c>
    </row>
    <row r="475" spans="1:15" x14ac:dyDescent="0.2">
      <c r="A475" s="28"/>
      <c r="B475" s="27"/>
      <c r="C475" s="28"/>
      <c r="D475" s="28"/>
      <c r="E475" s="28"/>
      <c r="F475" s="28"/>
      <c r="G475" s="35"/>
      <c r="H475" s="28"/>
      <c r="I475" s="28"/>
      <c r="J475" s="28"/>
      <c r="K475" s="28"/>
      <c r="L475" s="28"/>
      <c r="M475" s="28"/>
      <c r="N475" s="53"/>
      <c r="O475" s="54">
        <f t="shared" si="7"/>
        <v>0</v>
      </c>
    </row>
    <row r="476" spans="1:15" x14ac:dyDescent="0.2">
      <c r="A476" s="28"/>
      <c r="B476" s="27"/>
      <c r="C476" s="28"/>
      <c r="D476" s="28"/>
      <c r="E476" s="28"/>
      <c r="F476" s="28"/>
      <c r="G476" s="35"/>
      <c r="H476" s="28"/>
      <c r="I476" s="28"/>
      <c r="J476" s="28"/>
      <c r="K476" s="28"/>
      <c r="L476" s="28"/>
      <c r="M476" s="28"/>
      <c r="N476" s="53"/>
      <c r="O476" s="54">
        <f t="shared" si="7"/>
        <v>0</v>
      </c>
    </row>
    <row r="477" spans="1:15" x14ac:dyDescent="0.2">
      <c r="A477" s="28"/>
      <c r="B477" s="27"/>
      <c r="C477" s="28"/>
      <c r="D477" s="28"/>
      <c r="E477" s="28"/>
      <c r="F477" s="28"/>
      <c r="G477" s="35"/>
      <c r="H477" s="28"/>
      <c r="I477" s="28"/>
      <c r="J477" s="28"/>
      <c r="K477" s="28"/>
      <c r="L477" s="28"/>
      <c r="M477" s="28"/>
      <c r="N477" s="53"/>
      <c r="O477" s="54">
        <f t="shared" si="7"/>
        <v>0</v>
      </c>
    </row>
    <row r="478" spans="1:15" x14ac:dyDescent="0.2">
      <c r="A478" s="28"/>
      <c r="B478" s="27"/>
      <c r="C478" s="28"/>
      <c r="D478" s="28"/>
      <c r="E478" s="28"/>
      <c r="F478" s="28"/>
      <c r="G478" s="35"/>
      <c r="H478" s="28"/>
      <c r="I478" s="28"/>
      <c r="J478" s="28"/>
      <c r="K478" s="28"/>
      <c r="L478" s="28"/>
      <c r="M478" s="28"/>
      <c r="N478" s="53"/>
      <c r="O478" s="54">
        <f t="shared" si="7"/>
        <v>0</v>
      </c>
    </row>
    <row r="479" spans="1:15" x14ac:dyDescent="0.2">
      <c r="A479" s="28"/>
      <c r="B479" s="27"/>
      <c r="C479" s="28"/>
      <c r="D479" s="28"/>
      <c r="E479" s="28"/>
      <c r="F479" s="28"/>
      <c r="G479" s="35"/>
      <c r="H479" s="28"/>
      <c r="I479" s="28"/>
      <c r="J479" s="28"/>
      <c r="K479" s="28"/>
      <c r="L479" s="28"/>
      <c r="M479" s="28"/>
      <c r="N479" s="53"/>
      <c r="O479" s="54">
        <f t="shared" si="7"/>
        <v>0</v>
      </c>
    </row>
    <row r="480" spans="1:15" x14ac:dyDescent="0.2">
      <c r="A480" s="28"/>
      <c r="B480" s="27"/>
      <c r="C480" s="28"/>
      <c r="D480" s="28"/>
      <c r="E480" s="28"/>
      <c r="F480" s="28"/>
      <c r="G480" s="35"/>
      <c r="H480" s="28"/>
      <c r="I480" s="28"/>
      <c r="J480" s="28"/>
      <c r="K480" s="28"/>
      <c r="L480" s="28"/>
      <c r="M480" s="28"/>
      <c r="N480" s="53"/>
      <c r="O480" s="54">
        <f t="shared" si="7"/>
        <v>0</v>
      </c>
    </row>
    <row r="481" spans="1:15" x14ac:dyDescent="0.2">
      <c r="A481" s="28"/>
      <c r="B481" s="27"/>
      <c r="C481" s="28"/>
      <c r="D481" s="28"/>
      <c r="E481" s="28"/>
      <c r="F481" s="28"/>
      <c r="G481" s="35"/>
      <c r="H481" s="28"/>
      <c r="I481" s="28"/>
      <c r="J481" s="28"/>
      <c r="K481" s="28"/>
      <c r="L481" s="28"/>
      <c r="M481" s="28"/>
      <c r="N481" s="53"/>
      <c r="O481" s="54">
        <f t="shared" si="7"/>
        <v>0</v>
      </c>
    </row>
    <row r="482" spans="1:15" x14ac:dyDescent="0.2">
      <c r="A482" s="28"/>
      <c r="B482" s="27"/>
      <c r="C482" s="28"/>
      <c r="D482" s="28"/>
      <c r="E482" s="28"/>
      <c r="F482" s="28"/>
      <c r="G482" s="35"/>
      <c r="H482" s="28"/>
      <c r="I482" s="28"/>
      <c r="J482" s="28"/>
      <c r="K482" s="28"/>
      <c r="L482" s="28"/>
      <c r="M482" s="28"/>
      <c r="N482" s="53"/>
      <c r="O482" s="54">
        <f t="shared" si="7"/>
        <v>0</v>
      </c>
    </row>
    <row r="483" spans="1:15" x14ac:dyDescent="0.2">
      <c r="A483" s="28"/>
      <c r="B483" s="27"/>
      <c r="C483" s="28"/>
      <c r="D483" s="28"/>
      <c r="E483" s="28"/>
      <c r="F483" s="28"/>
      <c r="G483" s="35"/>
      <c r="H483" s="28"/>
      <c r="I483" s="28"/>
      <c r="J483" s="28"/>
      <c r="K483" s="28"/>
      <c r="L483" s="28"/>
      <c r="M483" s="28"/>
      <c r="N483" s="53"/>
      <c r="O483" s="54">
        <f t="shared" si="7"/>
        <v>0</v>
      </c>
    </row>
    <row r="484" spans="1:15" x14ac:dyDescent="0.2">
      <c r="A484" s="28"/>
      <c r="B484" s="27"/>
      <c r="C484" s="28"/>
      <c r="D484" s="28"/>
      <c r="E484" s="28"/>
      <c r="F484" s="28"/>
      <c r="G484" s="35"/>
      <c r="H484" s="28"/>
      <c r="I484" s="28"/>
      <c r="J484" s="28"/>
      <c r="K484" s="28"/>
      <c r="L484" s="28"/>
      <c r="M484" s="28"/>
      <c r="N484" s="53"/>
      <c r="O484" s="54">
        <f t="shared" si="7"/>
        <v>0</v>
      </c>
    </row>
    <row r="485" spans="1:15" x14ac:dyDescent="0.2">
      <c r="A485" s="28"/>
      <c r="B485" s="27"/>
      <c r="C485" s="28"/>
      <c r="D485" s="28"/>
      <c r="E485" s="28"/>
      <c r="F485" s="28"/>
      <c r="G485" s="35"/>
      <c r="H485" s="28"/>
      <c r="I485" s="28"/>
      <c r="J485" s="28"/>
      <c r="K485" s="28"/>
      <c r="L485" s="28"/>
      <c r="M485" s="28"/>
      <c r="N485" s="53"/>
      <c r="O485" s="54">
        <f t="shared" si="7"/>
        <v>0</v>
      </c>
    </row>
    <row r="486" spans="1:15" x14ac:dyDescent="0.2">
      <c r="A486" s="28"/>
      <c r="B486" s="27"/>
      <c r="C486" s="28"/>
      <c r="D486" s="28"/>
      <c r="E486" s="28"/>
      <c r="F486" s="28"/>
      <c r="G486" s="35"/>
      <c r="H486" s="28"/>
      <c r="I486" s="28"/>
      <c r="J486" s="28"/>
      <c r="K486" s="28"/>
      <c r="L486" s="28"/>
      <c r="M486" s="28"/>
      <c r="N486" s="53"/>
      <c r="O486" s="54">
        <f t="shared" si="7"/>
        <v>0</v>
      </c>
    </row>
    <row r="487" spans="1:15" x14ac:dyDescent="0.2">
      <c r="A487" s="28"/>
      <c r="B487" s="27"/>
      <c r="C487" s="28"/>
      <c r="D487" s="28"/>
      <c r="E487" s="28"/>
      <c r="F487" s="28"/>
      <c r="G487" s="35"/>
      <c r="H487" s="28"/>
      <c r="I487" s="28"/>
      <c r="J487" s="28"/>
      <c r="K487" s="28"/>
      <c r="L487" s="28"/>
      <c r="M487" s="28"/>
      <c r="N487" s="53"/>
      <c r="O487" s="54">
        <f t="shared" si="7"/>
        <v>0</v>
      </c>
    </row>
    <row r="488" spans="1:15" x14ac:dyDescent="0.2">
      <c r="A488" s="28"/>
      <c r="B488" s="27"/>
      <c r="C488" s="28"/>
      <c r="D488" s="28"/>
      <c r="E488" s="28"/>
      <c r="F488" s="28"/>
      <c r="G488" s="35"/>
      <c r="H488" s="28"/>
      <c r="I488" s="28"/>
      <c r="J488" s="28"/>
      <c r="K488" s="28"/>
      <c r="L488" s="28"/>
      <c r="M488" s="28"/>
      <c r="N488" s="53"/>
      <c r="O488" s="54">
        <f t="shared" si="7"/>
        <v>0</v>
      </c>
    </row>
    <row r="489" spans="1:15" x14ac:dyDescent="0.2">
      <c r="A489" s="28"/>
      <c r="B489" s="27"/>
      <c r="C489" s="28"/>
      <c r="D489" s="28"/>
      <c r="E489" s="28"/>
      <c r="F489" s="28"/>
      <c r="G489" s="35"/>
      <c r="H489" s="28"/>
      <c r="I489" s="28"/>
      <c r="J489" s="28"/>
      <c r="K489" s="28"/>
      <c r="L489" s="28"/>
      <c r="M489" s="28"/>
      <c r="N489" s="53"/>
      <c r="O489" s="54">
        <f t="shared" si="7"/>
        <v>0</v>
      </c>
    </row>
    <row r="490" spans="1:15" x14ac:dyDescent="0.2">
      <c r="A490" s="28"/>
      <c r="B490" s="27"/>
      <c r="C490" s="28"/>
      <c r="D490" s="28"/>
      <c r="E490" s="28"/>
      <c r="F490" s="28"/>
      <c r="G490" s="35"/>
      <c r="H490" s="28"/>
      <c r="I490" s="28"/>
      <c r="J490" s="28"/>
      <c r="K490" s="28"/>
      <c r="L490" s="28"/>
      <c r="M490" s="28"/>
      <c r="N490" s="53"/>
      <c r="O490" s="54">
        <f t="shared" si="7"/>
        <v>0</v>
      </c>
    </row>
    <row r="491" spans="1:15" x14ac:dyDescent="0.2">
      <c r="A491" s="28"/>
      <c r="B491" s="27"/>
      <c r="C491" s="28"/>
      <c r="D491" s="28"/>
      <c r="E491" s="28"/>
      <c r="F491" s="28"/>
      <c r="G491" s="35"/>
      <c r="H491" s="28"/>
      <c r="I491" s="28"/>
      <c r="J491" s="28"/>
      <c r="K491" s="28"/>
      <c r="L491" s="28"/>
      <c r="M491" s="28"/>
      <c r="N491" s="53"/>
      <c r="O491" s="54">
        <f t="shared" si="7"/>
        <v>0</v>
      </c>
    </row>
    <row r="492" spans="1:15" x14ac:dyDescent="0.2">
      <c r="A492" s="28"/>
      <c r="B492" s="27"/>
      <c r="C492" s="28"/>
      <c r="D492" s="28"/>
      <c r="E492" s="28"/>
      <c r="F492" s="28"/>
      <c r="G492" s="35"/>
      <c r="H492" s="28"/>
      <c r="I492" s="28"/>
      <c r="J492" s="28"/>
      <c r="K492" s="28"/>
      <c r="L492" s="28"/>
      <c r="M492" s="28"/>
      <c r="N492" s="53"/>
      <c r="O492" s="54">
        <f t="shared" si="7"/>
        <v>0</v>
      </c>
    </row>
    <row r="493" spans="1:15" x14ac:dyDescent="0.2">
      <c r="A493" s="28"/>
      <c r="B493" s="27"/>
      <c r="C493" s="28"/>
      <c r="D493" s="28"/>
      <c r="E493" s="28"/>
      <c r="F493" s="28"/>
      <c r="G493" s="35"/>
      <c r="H493" s="28"/>
      <c r="I493" s="28"/>
      <c r="J493" s="28"/>
      <c r="K493" s="28"/>
      <c r="L493" s="28"/>
      <c r="M493" s="28"/>
      <c r="N493" s="53"/>
      <c r="O493" s="54">
        <f t="shared" si="7"/>
        <v>0</v>
      </c>
    </row>
    <row r="494" spans="1:15" x14ac:dyDescent="0.2">
      <c r="A494" s="28"/>
      <c r="B494" s="27"/>
      <c r="C494" s="28"/>
      <c r="D494" s="28"/>
      <c r="E494" s="28"/>
      <c r="F494" s="28"/>
      <c r="G494" s="35"/>
      <c r="H494" s="28"/>
      <c r="I494" s="28"/>
      <c r="J494" s="28"/>
      <c r="K494" s="28"/>
      <c r="L494" s="28"/>
      <c r="M494" s="28"/>
      <c r="N494" s="53"/>
      <c r="O494" s="54">
        <f t="shared" si="7"/>
        <v>0</v>
      </c>
    </row>
    <row r="495" spans="1:15" x14ac:dyDescent="0.2">
      <c r="A495" s="28"/>
      <c r="B495" s="27"/>
      <c r="C495" s="28"/>
      <c r="D495" s="28"/>
      <c r="E495" s="28"/>
      <c r="F495" s="28"/>
      <c r="G495" s="35"/>
      <c r="H495" s="28"/>
      <c r="I495" s="28"/>
      <c r="J495" s="28"/>
      <c r="K495" s="28"/>
      <c r="L495" s="28"/>
      <c r="M495" s="28"/>
      <c r="N495" s="53"/>
      <c r="O495" s="54">
        <f t="shared" si="7"/>
        <v>0</v>
      </c>
    </row>
    <row r="496" spans="1:15" x14ac:dyDescent="0.2">
      <c r="A496" s="28"/>
      <c r="B496" s="27"/>
      <c r="C496" s="28"/>
      <c r="D496" s="28"/>
      <c r="E496" s="28"/>
      <c r="F496" s="28"/>
      <c r="G496" s="35"/>
      <c r="H496" s="28"/>
      <c r="I496" s="28"/>
      <c r="J496" s="28"/>
      <c r="K496" s="28"/>
      <c r="L496" s="28"/>
      <c r="M496" s="28"/>
      <c r="N496" s="53"/>
      <c r="O496" s="54">
        <f t="shared" si="7"/>
        <v>0</v>
      </c>
    </row>
    <row r="497" spans="1:15" x14ac:dyDescent="0.2">
      <c r="A497" s="28"/>
      <c r="B497" s="27"/>
      <c r="C497" s="28"/>
      <c r="D497" s="28"/>
      <c r="E497" s="28"/>
      <c r="F497" s="28"/>
      <c r="G497" s="35"/>
      <c r="H497" s="28"/>
      <c r="I497" s="28"/>
      <c r="J497" s="28"/>
      <c r="K497" s="28"/>
      <c r="L497" s="28"/>
      <c r="M497" s="28"/>
      <c r="N497" s="53"/>
      <c r="O497" s="54">
        <f t="shared" si="7"/>
        <v>0</v>
      </c>
    </row>
    <row r="498" spans="1:15" x14ac:dyDescent="0.2">
      <c r="A498" s="28"/>
      <c r="B498" s="27"/>
      <c r="C498" s="28"/>
      <c r="D498" s="28"/>
      <c r="E498" s="28"/>
      <c r="F498" s="28"/>
      <c r="G498" s="35"/>
      <c r="H498" s="28"/>
      <c r="I498" s="28"/>
      <c r="J498" s="28"/>
      <c r="K498" s="28"/>
      <c r="L498" s="28"/>
      <c r="M498" s="28"/>
      <c r="N498" s="53"/>
      <c r="O498" s="54">
        <f t="shared" si="7"/>
        <v>0</v>
      </c>
    </row>
    <row r="499" spans="1:15" x14ac:dyDescent="0.2">
      <c r="A499" s="28"/>
      <c r="B499" s="27"/>
      <c r="C499" s="28"/>
      <c r="D499" s="28"/>
      <c r="E499" s="28"/>
      <c r="F499" s="28"/>
      <c r="G499" s="35"/>
      <c r="H499" s="28"/>
      <c r="I499" s="28"/>
      <c r="J499" s="28"/>
      <c r="K499" s="28"/>
      <c r="L499" s="28"/>
      <c r="M499" s="28"/>
      <c r="N499" s="53"/>
      <c r="O499" s="54">
        <f t="shared" si="7"/>
        <v>0</v>
      </c>
    </row>
    <row r="500" spans="1:15" x14ac:dyDescent="0.2">
      <c r="A500" s="28"/>
      <c r="B500" s="27"/>
      <c r="C500" s="28"/>
      <c r="D500" s="28"/>
      <c r="E500" s="28"/>
      <c r="F500" s="28"/>
      <c r="G500" s="35"/>
      <c r="H500" s="28"/>
      <c r="I500" s="28"/>
      <c r="J500" s="28"/>
      <c r="K500" s="28"/>
      <c r="L500" s="28"/>
      <c r="M500" s="28"/>
      <c r="N500" s="53"/>
      <c r="O500" s="54">
        <f t="shared" si="7"/>
        <v>0</v>
      </c>
    </row>
    <row r="501" spans="1:15" x14ac:dyDescent="0.2">
      <c r="A501" s="28"/>
      <c r="B501" s="27"/>
      <c r="C501" s="28"/>
      <c r="D501" s="28"/>
      <c r="E501" s="28"/>
      <c r="F501" s="28"/>
      <c r="G501" s="35"/>
      <c r="H501" s="28"/>
      <c r="I501" s="28"/>
      <c r="J501" s="28"/>
      <c r="K501" s="28"/>
      <c r="L501" s="28"/>
      <c r="M501" s="28"/>
      <c r="N501" s="53"/>
      <c r="O501" s="54">
        <f t="shared" si="7"/>
        <v>0</v>
      </c>
    </row>
    <row r="502" spans="1:15" x14ac:dyDescent="0.2">
      <c r="A502" s="28"/>
      <c r="B502" s="27"/>
      <c r="C502" s="28"/>
      <c r="D502" s="28"/>
      <c r="E502" s="28"/>
      <c r="F502" s="28"/>
      <c r="G502" s="35"/>
      <c r="H502" s="28"/>
      <c r="I502" s="28"/>
      <c r="J502" s="28"/>
      <c r="K502" s="28"/>
      <c r="L502" s="28"/>
      <c r="M502" s="28"/>
      <c r="N502" s="53"/>
      <c r="O502" s="54">
        <f t="shared" si="7"/>
        <v>0</v>
      </c>
    </row>
    <row r="503" spans="1:15" x14ac:dyDescent="0.2">
      <c r="A503" s="28"/>
      <c r="B503" s="27"/>
      <c r="C503" s="28"/>
      <c r="D503" s="28"/>
      <c r="E503" s="28"/>
      <c r="F503" s="28"/>
      <c r="G503" s="35"/>
      <c r="H503" s="28"/>
      <c r="I503" s="28"/>
      <c r="J503" s="28"/>
      <c r="K503" s="28"/>
      <c r="L503" s="28"/>
      <c r="M503" s="28"/>
      <c r="N503" s="53"/>
      <c r="O503" s="54">
        <f t="shared" si="7"/>
        <v>0</v>
      </c>
    </row>
    <row r="504" spans="1:15" x14ac:dyDescent="0.2">
      <c r="A504" s="28"/>
      <c r="B504" s="27"/>
      <c r="C504" s="28"/>
      <c r="D504" s="28"/>
      <c r="E504" s="28"/>
      <c r="F504" s="28"/>
      <c r="G504" s="35"/>
      <c r="H504" s="28"/>
      <c r="I504" s="28"/>
      <c r="J504" s="28"/>
      <c r="K504" s="28"/>
      <c r="L504" s="28"/>
      <c r="M504" s="28"/>
      <c r="N504" s="53"/>
      <c r="O504" s="54">
        <f t="shared" si="7"/>
        <v>0</v>
      </c>
    </row>
    <row r="505" spans="1:15" x14ac:dyDescent="0.2">
      <c r="A505" s="28"/>
      <c r="B505" s="27"/>
      <c r="C505" s="28"/>
      <c r="D505" s="28"/>
      <c r="E505" s="28"/>
      <c r="F505" s="28"/>
      <c r="G505" s="35"/>
      <c r="H505" s="28"/>
      <c r="I505" s="28"/>
      <c r="J505" s="28"/>
      <c r="K505" s="28"/>
      <c r="L505" s="28"/>
      <c r="M505" s="28"/>
      <c r="N505" s="53"/>
      <c r="O505" s="54">
        <f t="shared" si="7"/>
        <v>0</v>
      </c>
    </row>
    <row r="506" spans="1:15" x14ac:dyDescent="0.2">
      <c r="A506" s="28"/>
      <c r="B506" s="27"/>
      <c r="C506" s="28"/>
      <c r="D506" s="28"/>
      <c r="E506" s="28"/>
      <c r="F506" s="28"/>
      <c r="G506" s="35"/>
      <c r="H506" s="28"/>
      <c r="I506" s="28"/>
      <c r="J506" s="28"/>
      <c r="K506" s="28"/>
      <c r="L506" s="28"/>
      <c r="M506" s="28"/>
      <c r="N506" s="53"/>
      <c r="O506" s="54">
        <f t="shared" si="7"/>
        <v>0</v>
      </c>
    </row>
    <row r="507" spans="1:15" x14ac:dyDescent="0.2">
      <c r="A507" s="28"/>
      <c r="B507" s="27"/>
      <c r="C507" s="28"/>
      <c r="D507" s="28"/>
      <c r="E507" s="28"/>
      <c r="F507" s="28"/>
      <c r="G507" s="35"/>
      <c r="H507" s="28"/>
      <c r="I507" s="28"/>
      <c r="J507" s="28"/>
      <c r="K507" s="28"/>
      <c r="L507" s="28"/>
      <c r="M507" s="28"/>
      <c r="N507" s="53"/>
      <c r="O507" s="54">
        <f t="shared" si="7"/>
        <v>0</v>
      </c>
    </row>
    <row r="508" spans="1:15" x14ac:dyDescent="0.2">
      <c r="A508" s="28"/>
      <c r="B508" s="27"/>
      <c r="C508" s="28"/>
      <c r="D508" s="28"/>
      <c r="E508" s="28"/>
      <c r="F508" s="28"/>
      <c r="G508" s="35"/>
      <c r="H508" s="28"/>
      <c r="I508" s="28"/>
      <c r="J508" s="28"/>
      <c r="K508" s="28"/>
      <c r="L508" s="28"/>
      <c r="M508" s="28"/>
      <c r="N508" s="53"/>
      <c r="O508" s="54">
        <f t="shared" si="7"/>
        <v>0</v>
      </c>
    </row>
    <row r="509" spans="1:15" x14ac:dyDescent="0.2">
      <c r="A509" s="28"/>
      <c r="B509" s="27"/>
      <c r="C509" s="28"/>
      <c r="D509" s="28"/>
      <c r="E509" s="28"/>
      <c r="F509" s="28"/>
      <c r="G509" s="35"/>
      <c r="H509" s="28"/>
      <c r="I509" s="28"/>
      <c r="J509" s="28"/>
      <c r="K509" s="28"/>
      <c r="L509" s="28"/>
      <c r="M509" s="28"/>
      <c r="N509" s="53"/>
      <c r="O509" s="54">
        <f t="shared" si="7"/>
        <v>0</v>
      </c>
    </row>
    <row r="510" spans="1:15" x14ac:dyDescent="0.2">
      <c r="A510" s="28"/>
      <c r="B510" s="27"/>
      <c r="C510" s="28"/>
      <c r="D510" s="28"/>
      <c r="E510" s="28"/>
      <c r="F510" s="28"/>
      <c r="G510" s="35"/>
      <c r="H510" s="28"/>
      <c r="I510" s="28"/>
      <c r="J510" s="28"/>
      <c r="K510" s="28"/>
      <c r="L510" s="28"/>
      <c r="M510" s="28"/>
      <c r="N510" s="53"/>
      <c r="O510" s="54">
        <f t="shared" si="7"/>
        <v>0</v>
      </c>
    </row>
    <row r="511" spans="1:15" x14ac:dyDescent="0.2">
      <c r="A511" s="28"/>
      <c r="B511" s="27"/>
      <c r="C511" s="28"/>
      <c r="D511" s="28"/>
      <c r="E511" s="28"/>
      <c r="F511" s="28"/>
      <c r="G511" s="35"/>
      <c r="H511" s="28"/>
      <c r="I511" s="28"/>
      <c r="J511" s="28"/>
      <c r="K511" s="28"/>
      <c r="L511" s="28"/>
      <c r="M511" s="28"/>
      <c r="N511" s="53"/>
      <c r="O511" s="54">
        <f t="shared" si="7"/>
        <v>0</v>
      </c>
    </row>
    <row r="512" spans="1:15" x14ac:dyDescent="0.2">
      <c r="N512" s="53"/>
      <c r="O512" s="54">
        <f t="shared" si="7"/>
        <v>0</v>
      </c>
    </row>
    <row r="513" spans="14:15" x14ac:dyDescent="0.2">
      <c r="N513" s="53"/>
      <c r="O513" s="54">
        <f t="shared" si="7"/>
        <v>0</v>
      </c>
    </row>
    <row r="514" spans="14:15" x14ac:dyDescent="0.2">
      <c r="N514" s="53"/>
      <c r="O514" s="54">
        <f t="shared" si="7"/>
        <v>0</v>
      </c>
    </row>
    <row r="515" spans="14:15" x14ac:dyDescent="0.2">
      <c r="N515" s="53"/>
      <c r="O515" s="54">
        <f t="shared" ref="O515:O578" si="8">N515*J515</f>
        <v>0</v>
      </c>
    </row>
    <row r="516" spans="14:15" x14ac:dyDescent="0.2">
      <c r="N516" s="53"/>
      <c r="O516" s="54">
        <f t="shared" si="8"/>
        <v>0</v>
      </c>
    </row>
    <row r="517" spans="14:15" x14ac:dyDescent="0.2">
      <c r="N517" s="53"/>
      <c r="O517" s="54">
        <f t="shared" si="8"/>
        <v>0</v>
      </c>
    </row>
    <row r="518" spans="14:15" x14ac:dyDescent="0.2">
      <c r="N518" s="53"/>
      <c r="O518" s="54">
        <f t="shared" si="8"/>
        <v>0</v>
      </c>
    </row>
    <row r="519" spans="14:15" x14ac:dyDescent="0.2">
      <c r="N519" s="53"/>
      <c r="O519" s="54">
        <f t="shared" si="8"/>
        <v>0</v>
      </c>
    </row>
    <row r="520" spans="14:15" x14ac:dyDescent="0.2">
      <c r="N520" s="53"/>
      <c r="O520" s="54">
        <f t="shared" si="8"/>
        <v>0</v>
      </c>
    </row>
    <row r="521" spans="14:15" x14ac:dyDescent="0.2">
      <c r="N521" s="53"/>
      <c r="O521" s="54">
        <f t="shared" si="8"/>
        <v>0</v>
      </c>
    </row>
    <row r="522" spans="14:15" x14ac:dyDescent="0.2">
      <c r="N522" s="53"/>
      <c r="O522" s="54">
        <f t="shared" si="8"/>
        <v>0</v>
      </c>
    </row>
    <row r="523" spans="14:15" x14ac:dyDescent="0.2">
      <c r="N523" s="53"/>
      <c r="O523" s="54">
        <f t="shared" si="8"/>
        <v>0</v>
      </c>
    </row>
    <row r="524" spans="14:15" x14ac:dyDescent="0.2">
      <c r="N524" s="53"/>
      <c r="O524" s="54">
        <f t="shared" si="8"/>
        <v>0</v>
      </c>
    </row>
    <row r="525" spans="14:15" x14ac:dyDescent="0.2">
      <c r="N525" s="53"/>
      <c r="O525" s="54">
        <f t="shared" si="8"/>
        <v>0</v>
      </c>
    </row>
    <row r="526" spans="14:15" x14ac:dyDescent="0.2">
      <c r="N526" s="53"/>
      <c r="O526" s="54">
        <f t="shared" si="8"/>
        <v>0</v>
      </c>
    </row>
    <row r="527" spans="14:15" x14ac:dyDescent="0.2">
      <c r="N527" s="53"/>
      <c r="O527" s="54">
        <f t="shared" si="8"/>
        <v>0</v>
      </c>
    </row>
    <row r="528" spans="14:15" x14ac:dyDescent="0.2">
      <c r="N528" s="53"/>
      <c r="O528" s="54">
        <f t="shared" si="8"/>
        <v>0</v>
      </c>
    </row>
    <row r="529" spans="14:15" x14ac:dyDescent="0.2">
      <c r="N529" s="53"/>
      <c r="O529" s="54">
        <f t="shared" si="8"/>
        <v>0</v>
      </c>
    </row>
    <row r="530" spans="14:15" x14ac:dyDescent="0.2">
      <c r="N530" s="53"/>
      <c r="O530" s="54">
        <f t="shared" si="8"/>
        <v>0</v>
      </c>
    </row>
    <row r="531" spans="14:15" x14ac:dyDescent="0.2">
      <c r="O531" s="54">
        <f t="shared" si="8"/>
        <v>0</v>
      </c>
    </row>
    <row r="532" spans="14:15" x14ac:dyDescent="0.2">
      <c r="O532" s="54">
        <f t="shared" si="8"/>
        <v>0</v>
      </c>
    </row>
    <row r="533" spans="14:15" x14ac:dyDescent="0.2">
      <c r="O533" s="54">
        <f t="shared" si="8"/>
        <v>0</v>
      </c>
    </row>
    <row r="534" spans="14:15" x14ac:dyDescent="0.2">
      <c r="O534" s="54">
        <f t="shared" si="8"/>
        <v>0</v>
      </c>
    </row>
    <row r="535" spans="14:15" x14ac:dyDescent="0.2">
      <c r="O535" s="54">
        <f t="shared" si="8"/>
        <v>0</v>
      </c>
    </row>
    <row r="536" spans="14:15" x14ac:dyDescent="0.2">
      <c r="O536" s="54">
        <f t="shared" si="8"/>
        <v>0</v>
      </c>
    </row>
    <row r="537" spans="14:15" x14ac:dyDescent="0.2">
      <c r="O537" s="54">
        <f t="shared" si="8"/>
        <v>0</v>
      </c>
    </row>
    <row r="538" spans="14:15" x14ac:dyDescent="0.2">
      <c r="O538" s="54">
        <f t="shared" si="8"/>
        <v>0</v>
      </c>
    </row>
    <row r="539" spans="14:15" x14ac:dyDescent="0.2">
      <c r="O539" s="54">
        <f t="shared" si="8"/>
        <v>0</v>
      </c>
    </row>
    <row r="540" spans="14:15" x14ac:dyDescent="0.2">
      <c r="O540" s="54">
        <f t="shared" si="8"/>
        <v>0</v>
      </c>
    </row>
    <row r="541" spans="14:15" x14ac:dyDescent="0.2">
      <c r="O541" s="54">
        <f t="shared" si="8"/>
        <v>0</v>
      </c>
    </row>
    <row r="542" spans="14:15" x14ac:dyDescent="0.2">
      <c r="O542" s="54">
        <f t="shared" si="8"/>
        <v>0</v>
      </c>
    </row>
    <row r="543" spans="14:15" x14ac:dyDescent="0.2">
      <c r="O543" s="54">
        <f t="shared" si="8"/>
        <v>0</v>
      </c>
    </row>
    <row r="544" spans="14:15" x14ac:dyDescent="0.2">
      <c r="O544" s="54">
        <f t="shared" si="8"/>
        <v>0</v>
      </c>
    </row>
    <row r="545" spans="15:15" x14ac:dyDescent="0.2">
      <c r="O545" s="54">
        <f t="shared" si="8"/>
        <v>0</v>
      </c>
    </row>
    <row r="546" spans="15:15" x14ac:dyDescent="0.2">
      <c r="O546" s="54">
        <f t="shared" si="8"/>
        <v>0</v>
      </c>
    </row>
    <row r="547" spans="15:15" x14ac:dyDescent="0.2">
      <c r="O547" s="54">
        <f t="shared" si="8"/>
        <v>0</v>
      </c>
    </row>
    <row r="548" spans="15:15" x14ac:dyDescent="0.2">
      <c r="O548" s="54">
        <f t="shared" si="8"/>
        <v>0</v>
      </c>
    </row>
    <row r="549" spans="15:15" x14ac:dyDescent="0.2">
      <c r="O549" s="54">
        <f t="shared" si="8"/>
        <v>0</v>
      </c>
    </row>
    <row r="550" spans="15:15" x14ac:dyDescent="0.2">
      <c r="O550" s="54">
        <f t="shared" si="8"/>
        <v>0</v>
      </c>
    </row>
    <row r="551" spans="15:15" x14ac:dyDescent="0.2">
      <c r="O551" s="54">
        <f t="shared" si="8"/>
        <v>0</v>
      </c>
    </row>
    <row r="552" spans="15:15" x14ac:dyDescent="0.2">
      <c r="O552" s="54">
        <f t="shared" si="8"/>
        <v>0</v>
      </c>
    </row>
    <row r="553" spans="15:15" x14ac:dyDescent="0.2">
      <c r="O553" s="54">
        <f t="shared" si="8"/>
        <v>0</v>
      </c>
    </row>
    <row r="554" spans="15:15" x14ac:dyDescent="0.2">
      <c r="O554" s="54">
        <f t="shared" si="8"/>
        <v>0</v>
      </c>
    </row>
    <row r="555" spans="15:15" x14ac:dyDescent="0.2">
      <c r="O555" s="54">
        <f t="shared" si="8"/>
        <v>0</v>
      </c>
    </row>
    <row r="556" spans="15:15" x14ac:dyDescent="0.2">
      <c r="O556" s="54">
        <f t="shared" si="8"/>
        <v>0</v>
      </c>
    </row>
    <row r="557" spans="15:15" x14ac:dyDescent="0.2">
      <c r="O557" s="54">
        <f t="shared" si="8"/>
        <v>0</v>
      </c>
    </row>
    <row r="558" spans="15:15" x14ac:dyDescent="0.2">
      <c r="O558" s="54">
        <f t="shared" si="8"/>
        <v>0</v>
      </c>
    </row>
    <row r="559" spans="15:15" x14ac:dyDescent="0.2">
      <c r="O559" s="54">
        <f t="shared" si="8"/>
        <v>0</v>
      </c>
    </row>
    <row r="560" spans="15:15" x14ac:dyDescent="0.2">
      <c r="O560" s="54">
        <f t="shared" si="8"/>
        <v>0</v>
      </c>
    </row>
    <row r="561" spans="15:15" x14ac:dyDescent="0.2">
      <c r="O561" s="54">
        <f t="shared" si="8"/>
        <v>0</v>
      </c>
    </row>
    <row r="562" spans="15:15" x14ac:dyDescent="0.2">
      <c r="O562" s="54">
        <f t="shared" si="8"/>
        <v>0</v>
      </c>
    </row>
    <row r="563" spans="15:15" x14ac:dyDescent="0.2">
      <c r="O563" s="54">
        <f t="shared" si="8"/>
        <v>0</v>
      </c>
    </row>
    <row r="564" spans="15:15" x14ac:dyDescent="0.2">
      <c r="O564" s="54">
        <f t="shared" si="8"/>
        <v>0</v>
      </c>
    </row>
    <row r="565" spans="15:15" x14ac:dyDescent="0.2">
      <c r="O565" s="54">
        <f t="shared" si="8"/>
        <v>0</v>
      </c>
    </row>
    <row r="566" spans="15:15" x14ac:dyDescent="0.2">
      <c r="O566" s="54">
        <f t="shared" si="8"/>
        <v>0</v>
      </c>
    </row>
    <row r="567" spans="15:15" x14ac:dyDescent="0.2">
      <c r="O567" s="54">
        <f t="shared" si="8"/>
        <v>0</v>
      </c>
    </row>
    <row r="568" spans="15:15" x14ac:dyDescent="0.2">
      <c r="O568" s="54">
        <f t="shared" si="8"/>
        <v>0</v>
      </c>
    </row>
    <row r="569" spans="15:15" x14ac:dyDescent="0.2">
      <c r="O569" s="54">
        <f t="shared" si="8"/>
        <v>0</v>
      </c>
    </row>
    <row r="570" spans="15:15" x14ac:dyDescent="0.2">
      <c r="O570" s="54">
        <f t="shared" si="8"/>
        <v>0</v>
      </c>
    </row>
    <row r="571" spans="15:15" x14ac:dyDescent="0.2">
      <c r="O571" s="54">
        <f t="shared" si="8"/>
        <v>0</v>
      </c>
    </row>
    <row r="572" spans="15:15" x14ac:dyDescent="0.2">
      <c r="O572" s="54">
        <f t="shared" si="8"/>
        <v>0</v>
      </c>
    </row>
    <row r="573" spans="15:15" x14ac:dyDescent="0.2">
      <c r="O573" s="54">
        <f t="shared" si="8"/>
        <v>0</v>
      </c>
    </row>
    <row r="574" spans="15:15" x14ac:dyDescent="0.2">
      <c r="O574" s="54">
        <f t="shared" si="8"/>
        <v>0</v>
      </c>
    </row>
    <row r="575" spans="15:15" x14ac:dyDescent="0.2">
      <c r="O575" s="54">
        <f t="shared" si="8"/>
        <v>0</v>
      </c>
    </row>
    <row r="576" spans="15:15" x14ac:dyDescent="0.2">
      <c r="O576" s="54">
        <f t="shared" si="8"/>
        <v>0</v>
      </c>
    </row>
    <row r="577" spans="15:15" x14ac:dyDescent="0.2">
      <c r="O577" s="54">
        <f t="shared" si="8"/>
        <v>0</v>
      </c>
    </row>
    <row r="578" spans="15:15" x14ac:dyDescent="0.2">
      <c r="O578" s="54">
        <f t="shared" si="8"/>
        <v>0</v>
      </c>
    </row>
    <row r="579" spans="15:15" x14ac:dyDescent="0.2">
      <c r="O579" s="54">
        <f t="shared" ref="O579:O642" si="9">N579*J579</f>
        <v>0</v>
      </c>
    </row>
    <row r="580" spans="15:15" x14ac:dyDescent="0.2">
      <c r="O580" s="54">
        <f t="shared" si="9"/>
        <v>0</v>
      </c>
    </row>
    <row r="581" spans="15:15" x14ac:dyDescent="0.2">
      <c r="O581" s="54">
        <f t="shared" si="9"/>
        <v>0</v>
      </c>
    </row>
    <row r="582" spans="15:15" x14ac:dyDescent="0.2">
      <c r="O582" s="54">
        <f t="shared" si="9"/>
        <v>0</v>
      </c>
    </row>
    <row r="583" spans="15:15" x14ac:dyDescent="0.2">
      <c r="O583" s="54">
        <f t="shared" si="9"/>
        <v>0</v>
      </c>
    </row>
    <row r="584" spans="15:15" x14ac:dyDescent="0.2">
      <c r="O584" s="54">
        <f t="shared" si="9"/>
        <v>0</v>
      </c>
    </row>
    <row r="585" spans="15:15" x14ac:dyDescent="0.2">
      <c r="O585" s="54">
        <f t="shared" si="9"/>
        <v>0</v>
      </c>
    </row>
    <row r="586" spans="15:15" x14ac:dyDescent="0.2">
      <c r="O586" s="54">
        <f t="shared" si="9"/>
        <v>0</v>
      </c>
    </row>
    <row r="587" spans="15:15" x14ac:dyDescent="0.2">
      <c r="O587" s="54">
        <f t="shared" si="9"/>
        <v>0</v>
      </c>
    </row>
    <row r="588" spans="15:15" x14ac:dyDescent="0.2">
      <c r="O588" s="54">
        <f t="shared" si="9"/>
        <v>0</v>
      </c>
    </row>
    <row r="589" spans="15:15" x14ac:dyDescent="0.2">
      <c r="O589" s="54">
        <f t="shared" si="9"/>
        <v>0</v>
      </c>
    </row>
    <row r="590" spans="15:15" x14ac:dyDescent="0.2">
      <c r="O590" s="54">
        <f t="shared" si="9"/>
        <v>0</v>
      </c>
    </row>
    <row r="591" spans="15:15" x14ac:dyDescent="0.2">
      <c r="O591" s="54">
        <f t="shared" si="9"/>
        <v>0</v>
      </c>
    </row>
    <row r="592" spans="15:15" x14ac:dyDescent="0.2">
      <c r="O592" s="54">
        <f t="shared" si="9"/>
        <v>0</v>
      </c>
    </row>
    <row r="593" spans="15:15" x14ac:dyDescent="0.2">
      <c r="O593" s="54">
        <f t="shared" si="9"/>
        <v>0</v>
      </c>
    </row>
    <row r="594" spans="15:15" x14ac:dyDescent="0.2">
      <c r="O594" s="54">
        <f t="shared" si="9"/>
        <v>0</v>
      </c>
    </row>
    <row r="595" spans="15:15" x14ac:dyDescent="0.2">
      <c r="O595" s="54">
        <f t="shared" si="9"/>
        <v>0</v>
      </c>
    </row>
    <row r="596" spans="15:15" x14ac:dyDescent="0.2">
      <c r="O596" s="54">
        <f t="shared" si="9"/>
        <v>0</v>
      </c>
    </row>
    <row r="597" spans="15:15" x14ac:dyDescent="0.2">
      <c r="O597" s="54">
        <f t="shared" si="9"/>
        <v>0</v>
      </c>
    </row>
    <row r="598" spans="15:15" x14ac:dyDescent="0.2">
      <c r="O598" s="54">
        <f t="shared" si="9"/>
        <v>0</v>
      </c>
    </row>
    <row r="599" spans="15:15" x14ac:dyDescent="0.2">
      <c r="O599" s="54">
        <f t="shared" si="9"/>
        <v>0</v>
      </c>
    </row>
    <row r="600" spans="15:15" x14ac:dyDescent="0.2">
      <c r="O600" s="54">
        <f t="shared" si="9"/>
        <v>0</v>
      </c>
    </row>
    <row r="601" spans="15:15" x14ac:dyDescent="0.2">
      <c r="O601" s="54">
        <f t="shared" si="9"/>
        <v>0</v>
      </c>
    </row>
    <row r="602" spans="15:15" x14ac:dyDescent="0.2">
      <c r="O602" s="54">
        <f t="shared" si="9"/>
        <v>0</v>
      </c>
    </row>
    <row r="603" spans="15:15" x14ac:dyDescent="0.2">
      <c r="O603" s="54">
        <f t="shared" si="9"/>
        <v>0</v>
      </c>
    </row>
    <row r="604" spans="15:15" x14ac:dyDescent="0.2">
      <c r="O604" s="54">
        <f t="shared" si="9"/>
        <v>0</v>
      </c>
    </row>
    <row r="605" spans="15:15" x14ac:dyDescent="0.2">
      <c r="O605" s="54">
        <f t="shared" si="9"/>
        <v>0</v>
      </c>
    </row>
    <row r="606" spans="15:15" x14ac:dyDescent="0.2">
      <c r="O606" s="54">
        <f t="shared" si="9"/>
        <v>0</v>
      </c>
    </row>
    <row r="607" spans="15:15" x14ac:dyDescent="0.2">
      <c r="O607" s="54">
        <f t="shared" si="9"/>
        <v>0</v>
      </c>
    </row>
    <row r="608" spans="15:15" x14ac:dyDescent="0.2">
      <c r="O608" s="54">
        <f t="shared" si="9"/>
        <v>0</v>
      </c>
    </row>
    <row r="609" spans="15:15" x14ac:dyDescent="0.2">
      <c r="O609" s="54">
        <f t="shared" si="9"/>
        <v>0</v>
      </c>
    </row>
    <row r="610" spans="15:15" x14ac:dyDescent="0.2">
      <c r="O610" s="54">
        <f t="shared" si="9"/>
        <v>0</v>
      </c>
    </row>
    <row r="611" spans="15:15" x14ac:dyDescent="0.2">
      <c r="O611" s="54">
        <f t="shared" si="9"/>
        <v>0</v>
      </c>
    </row>
    <row r="612" spans="15:15" x14ac:dyDescent="0.2">
      <c r="O612" s="54">
        <f t="shared" si="9"/>
        <v>0</v>
      </c>
    </row>
    <row r="613" spans="15:15" x14ac:dyDescent="0.2">
      <c r="O613" s="54">
        <f t="shared" si="9"/>
        <v>0</v>
      </c>
    </row>
    <row r="614" spans="15:15" x14ac:dyDescent="0.2">
      <c r="O614" s="54">
        <f t="shared" si="9"/>
        <v>0</v>
      </c>
    </row>
    <row r="615" spans="15:15" x14ac:dyDescent="0.2">
      <c r="O615" s="54">
        <f t="shared" si="9"/>
        <v>0</v>
      </c>
    </row>
    <row r="616" spans="15:15" x14ac:dyDescent="0.2">
      <c r="O616" s="54">
        <f t="shared" si="9"/>
        <v>0</v>
      </c>
    </row>
    <row r="617" spans="15:15" x14ac:dyDescent="0.2">
      <c r="O617" s="54">
        <f t="shared" si="9"/>
        <v>0</v>
      </c>
    </row>
    <row r="618" spans="15:15" x14ac:dyDescent="0.2">
      <c r="O618" s="54">
        <f t="shared" si="9"/>
        <v>0</v>
      </c>
    </row>
    <row r="619" spans="15:15" x14ac:dyDescent="0.2">
      <c r="O619" s="54">
        <f t="shared" si="9"/>
        <v>0</v>
      </c>
    </row>
    <row r="620" spans="15:15" x14ac:dyDescent="0.2">
      <c r="O620" s="54">
        <f t="shared" si="9"/>
        <v>0</v>
      </c>
    </row>
    <row r="621" spans="15:15" x14ac:dyDescent="0.2">
      <c r="O621" s="54">
        <f t="shared" si="9"/>
        <v>0</v>
      </c>
    </row>
    <row r="622" spans="15:15" x14ac:dyDescent="0.2">
      <c r="O622" s="54">
        <f t="shared" si="9"/>
        <v>0</v>
      </c>
    </row>
    <row r="623" spans="15:15" x14ac:dyDescent="0.2">
      <c r="O623" s="54">
        <f t="shared" si="9"/>
        <v>0</v>
      </c>
    </row>
    <row r="624" spans="15:15" x14ac:dyDescent="0.2">
      <c r="O624" s="54">
        <f t="shared" si="9"/>
        <v>0</v>
      </c>
    </row>
    <row r="625" spans="15:15" x14ac:dyDescent="0.2">
      <c r="O625" s="54">
        <f t="shared" si="9"/>
        <v>0</v>
      </c>
    </row>
    <row r="626" spans="15:15" x14ac:dyDescent="0.2">
      <c r="O626" s="54">
        <f t="shared" si="9"/>
        <v>0</v>
      </c>
    </row>
    <row r="627" spans="15:15" x14ac:dyDescent="0.2">
      <c r="O627" s="54">
        <f t="shared" si="9"/>
        <v>0</v>
      </c>
    </row>
    <row r="628" spans="15:15" x14ac:dyDescent="0.2">
      <c r="O628" s="54">
        <f t="shared" si="9"/>
        <v>0</v>
      </c>
    </row>
    <row r="629" spans="15:15" x14ac:dyDescent="0.2">
      <c r="O629" s="54">
        <f t="shared" si="9"/>
        <v>0</v>
      </c>
    </row>
    <row r="630" spans="15:15" x14ac:dyDescent="0.2">
      <c r="O630" s="54">
        <f t="shared" si="9"/>
        <v>0</v>
      </c>
    </row>
    <row r="631" spans="15:15" x14ac:dyDescent="0.2">
      <c r="O631" s="54">
        <f t="shared" si="9"/>
        <v>0</v>
      </c>
    </row>
    <row r="632" spans="15:15" x14ac:dyDescent="0.2">
      <c r="O632" s="54">
        <f t="shared" si="9"/>
        <v>0</v>
      </c>
    </row>
    <row r="633" spans="15:15" x14ac:dyDescent="0.2">
      <c r="O633" s="54">
        <f t="shared" si="9"/>
        <v>0</v>
      </c>
    </row>
    <row r="634" spans="15:15" x14ac:dyDescent="0.2">
      <c r="O634" s="54">
        <f t="shared" si="9"/>
        <v>0</v>
      </c>
    </row>
    <row r="635" spans="15:15" x14ac:dyDescent="0.2">
      <c r="O635" s="54">
        <f t="shared" si="9"/>
        <v>0</v>
      </c>
    </row>
    <row r="636" spans="15:15" x14ac:dyDescent="0.2">
      <c r="O636" s="54">
        <f t="shared" si="9"/>
        <v>0</v>
      </c>
    </row>
    <row r="637" spans="15:15" x14ac:dyDescent="0.2">
      <c r="O637" s="54">
        <f t="shared" si="9"/>
        <v>0</v>
      </c>
    </row>
    <row r="638" spans="15:15" x14ac:dyDescent="0.2">
      <c r="O638" s="54">
        <f t="shared" si="9"/>
        <v>0</v>
      </c>
    </row>
    <row r="639" spans="15:15" x14ac:dyDescent="0.2">
      <c r="O639" s="54">
        <f t="shared" si="9"/>
        <v>0</v>
      </c>
    </row>
    <row r="640" spans="15:15" x14ac:dyDescent="0.2">
      <c r="O640" s="54">
        <f t="shared" si="9"/>
        <v>0</v>
      </c>
    </row>
    <row r="641" spans="15:15" x14ac:dyDescent="0.2">
      <c r="O641" s="54">
        <f t="shared" si="9"/>
        <v>0</v>
      </c>
    </row>
    <row r="642" spans="15:15" x14ac:dyDescent="0.2">
      <c r="O642" s="54">
        <f t="shared" si="9"/>
        <v>0</v>
      </c>
    </row>
    <row r="643" spans="15:15" x14ac:dyDescent="0.2">
      <c r="O643" s="54">
        <f t="shared" ref="O643:O649" si="10">N643*J643</f>
        <v>0</v>
      </c>
    </row>
    <row r="644" spans="15:15" x14ac:dyDescent="0.2">
      <c r="O644" s="54">
        <f t="shared" si="10"/>
        <v>0</v>
      </c>
    </row>
    <row r="645" spans="15:15" x14ac:dyDescent="0.2">
      <c r="O645" s="54">
        <f t="shared" si="10"/>
        <v>0</v>
      </c>
    </row>
    <row r="646" spans="15:15" x14ac:dyDescent="0.2">
      <c r="O646" s="54">
        <f t="shared" si="10"/>
        <v>0</v>
      </c>
    </row>
    <row r="647" spans="15:15" x14ac:dyDescent="0.2">
      <c r="O647" s="54">
        <f t="shared" si="10"/>
        <v>0</v>
      </c>
    </row>
    <row r="648" spans="15:15" x14ac:dyDescent="0.2">
      <c r="O648" s="54">
        <f t="shared" si="10"/>
        <v>0</v>
      </c>
    </row>
    <row r="649" spans="15:15" x14ac:dyDescent="0.2">
      <c r="O649" s="54">
        <f t="shared" si="10"/>
        <v>0</v>
      </c>
    </row>
    <row r="650" spans="15:15" x14ac:dyDescent="0.2">
      <c r="O650" s="44" t="e">
        <f>N650*#REF!</f>
        <v>#REF!</v>
      </c>
    </row>
    <row r="651" spans="15:15" x14ac:dyDescent="0.2">
      <c r="O651" s="44" t="e">
        <f>N651*#REF!</f>
        <v>#REF!</v>
      </c>
    </row>
    <row r="652" spans="15:15" x14ac:dyDescent="0.2">
      <c r="O652" s="44" t="e">
        <f>N652*#REF!</f>
        <v>#REF!</v>
      </c>
    </row>
    <row r="653" spans="15:15" x14ac:dyDescent="0.2">
      <c r="O653" s="44" t="e">
        <f>N653*#REF!</f>
        <v>#REF!</v>
      </c>
    </row>
    <row r="654" spans="15:15" x14ac:dyDescent="0.2">
      <c r="O654" s="44" t="e">
        <f>N654*#REF!</f>
        <v>#REF!</v>
      </c>
    </row>
    <row r="655" spans="15:15" x14ac:dyDescent="0.2">
      <c r="O655" s="44" t="e">
        <f>N655*#REF!</f>
        <v>#REF!</v>
      </c>
    </row>
  </sheetData>
  <mergeCells count="1">
    <mergeCell ref="N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FF66"/>
  </sheetPr>
  <dimension ref="A1:IA689"/>
  <sheetViews>
    <sheetView zoomScale="65" zoomScaleNormal="65" workbookViewId="0">
      <pane ySplit="2" topLeftCell="A100" activePane="bottomLeft" state="frozen"/>
      <selection pane="bottomLeft" activeCell="H214" sqref="H214"/>
    </sheetView>
  </sheetViews>
  <sheetFormatPr baseColWidth="10" defaultColWidth="8.83203125" defaultRowHeight="15" x14ac:dyDescent="0.2"/>
  <cols>
    <col min="1" max="1" width="15.33203125" style="1" customWidth="1"/>
    <col min="2" max="2" width="13.5" style="1" customWidth="1"/>
    <col min="3" max="3" width="18.83203125" style="1" customWidth="1"/>
    <col min="4" max="4" width="15.83203125" style="1" customWidth="1"/>
    <col min="5" max="6" width="15.33203125" style="1" customWidth="1"/>
    <col min="7" max="7" width="14" style="2" customWidth="1"/>
    <col min="8" max="8" width="13.5" style="1" customWidth="1"/>
    <col min="9" max="9" width="10.5" style="1" customWidth="1"/>
    <col min="10" max="10" width="13.83203125" style="1" customWidth="1"/>
    <col min="11" max="11" width="12.1640625" style="1" customWidth="1"/>
    <col min="12" max="12" width="13.33203125" style="1" customWidth="1"/>
    <col min="13" max="13" width="11" style="1" customWidth="1"/>
    <col min="14" max="14" width="10.5" style="4" customWidth="1"/>
    <col min="15" max="15" width="10.6640625" style="5" customWidth="1"/>
    <col min="16" max="16" width="8.83203125" style="6"/>
    <col min="17" max="17" width="12.83203125" style="45" hidden="1" customWidth="1"/>
    <col min="18" max="18" width="9.1640625" hidden="1" customWidth="1"/>
  </cols>
  <sheetData>
    <row r="1" spans="1:235" ht="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208" t="s">
        <v>13</v>
      </c>
      <c r="O1" s="208"/>
      <c r="P1" s="10" t="s">
        <v>14</v>
      </c>
      <c r="Q1" s="46" t="s">
        <v>22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</row>
    <row r="2" spans="1:235" ht="74.25" customHeight="1" x14ac:dyDescent="0.25">
      <c r="A2" s="47" t="s">
        <v>15</v>
      </c>
      <c r="B2" s="47"/>
      <c r="C2" s="47"/>
      <c r="D2" s="47"/>
      <c r="E2" s="47"/>
      <c r="F2" s="47">
        <f>SUM(F3:F464)</f>
        <v>0</v>
      </c>
      <c r="G2" s="13">
        <f>SUM(G3:G464)</f>
        <v>0</v>
      </c>
      <c r="H2" s="47"/>
      <c r="I2" s="47"/>
      <c r="J2" s="47"/>
      <c r="K2" s="47"/>
      <c r="L2" s="13">
        <f>SUM(L3:L464)</f>
        <v>0</v>
      </c>
      <c r="M2" s="13"/>
      <c r="N2" s="48" t="s">
        <v>16</v>
      </c>
      <c r="O2" s="48" t="s">
        <v>17</v>
      </c>
      <c r="P2" s="59"/>
      <c r="Q2" s="50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</row>
    <row r="3" spans="1:235" s="6" customFormat="1" x14ac:dyDescent="0.2">
      <c r="A3" s="16"/>
      <c r="B3" s="17" t="s">
        <v>23</v>
      </c>
      <c r="C3" s="28"/>
      <c r="D3" s="28"/>
      <c r="E3" s="60"/>
      <c r="F3" s="28"/>
      <c r="G3" s="33"/>
      <c r="H3" s="28"/>
      <c r="I3" s="28"/>
      <c r="J3" s="28"/>
      <c r="K3" s="52"/>
      <c r="L3" s="35"/>
      <c r="M3" s="18">
        <v>-25</v>
      </c>
      <c r="N3" s="36"/>
      <c r="O3" s="29">
        <f t="shared" ref="O3:O66" si="0">N3*J3</f>
        <v>0</v>
      </c>
      <c r="Q3" s="45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</row>
    <row r="4" spans="1:235" s="6" customFormat="1" x14ac:dyDescent="0.2">
      <c r="A4" s="16"/>
      <c r="B4" s="17" t="s">
        <v>23</v>
      </c>
      <c r="C4" s="28"/>
      <c r="D4" s="28"/>
      <c r="E4" s="60"/>
      <c r="F4" s="28"/>
      <c r="G4" s="33"/>
      <c r="H4" s="28"/>
      <c r="I4" s="28"/>
      <c r="J4" s="28"/>
      <c r="K4" s="52"/>
      <c r="L4" s="35"/>
      <c r="M4" s="18">
        <v>-25</v>
      </c>
      <c r="N4" s="36"/>
      <c r="O4" s="29">
        <f t="shared" si="0"/>
        <v>0</v>
      </c>
      <c r="Q4" s="45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</row>
    <row r="5" spans="1:235" s="6" customFormat="1" x14ac:dyDescent="0.2">
      <c r="A5" s="16"/>
      <c r="B5" s="17" t="s">
        <v>23</v>
      </c>
      <c r="C5" s="28"/>
      <c r="D5" s="28"/>
      <c r="E5" s="60"/>
      <c r="F5" s="28"/>
      <c r="G5" s="33"/>
      <c r="H5" s="28"/>
      <c r="I5" s="28"/>
      <c r="J5" s="28"/>
      <c r="K5" s="52"/>
      <c r="L5" s="35"/>
      <c r="M5" s="18">
        <v>-10</v>
      </c>
      <c r="N5" s="36"/>
      <c r="O5" s="29">
        <f t="shared" si="0"/>
        <v>0</v>
      </c>
      <c r="Q5" s="45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</row>
    <row r="6" spans="1:235" s="6" customFormat="1" x14ac:dyDescent="0.2">
      <c r="A6" s="16"/>
      <c r="B6" s="17" t="s">
        <v>23</v>
      </c>
      <c r="C6" s="28"/>
      <c r="D6" s="28"/>
      <c r="E6" s="60"/>
      <c r="F6" s="28"/>
      <c r="G6" s="33"/>
      <c r="H6" s="28"/>
      <c r="I6" s="28"/>
      <c r="J6" s="28"/>
      <c r="K6" s="52"/>
      <c r="L6" s="35"/>
      <c r="M6" s="18">
        <v>-10</v>
      </c>
      <c r="N6" s="36"/>
      <c r="O6" s="29">
        <f t="shared" si="0"/>
        <v>0</v>
      </c>
      <c r="Q6" s="45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</row>
    <row r="7" spans="1:235" s="6" customFormat="1" x14ac:dyDescent="0.2">
      <c r="A7" s="16"/>
      <c r="B7" s="17" t="s">
        <v>23</v>
      </c>
      <c r="C7" s="28"/>
      <c r="D7" s="28"/>
      <c r="E7" s="60"/>
      <c r="F7" s="28"/>
      <c r="G7" s="33"/>
      <c r="H7" s="28"/>
      <c r="I7" s="28"/>
      <c r="J7" s="28"/>
      <c r="K7" s="52"/>
      <c r="L7" s="35"/>
      <c r="M7" s="18">
        <v>-10</v>
      </c>
      <c r="N7" s="36"/>
      <c r="O7" s="29">
        <f t="shared" si="0"/>
        <v>0</v>
      </c>
      <c r="Q7" s="45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</row>
    <row r="8" spans="1:235" s="6" customFormat="1" x14ac:dyDescent="0.2">
      <c r="A8" s="16"/>
      <c r="B8" s="17" t="s">
        <v>23</v>
      </c>
      <c r="C8" s="28"/>
      <c r="D8" s="28"/>
      <c r="E8" s="60"/>
      <c r="F8" s="28"/>
      <c r="G8" s="33"/>
      <c r="H8" s="28"/>
      <c r="I8" s="28"/>
      <c r="J8" s="28"/>
      <c r="K8" s="52"/>
      <c r="L8" s="35"/>
      <c r="M8" s="18">
        <v>-10</v>
      </c>
      <c r="N8" s="36"/>
      <c r="O8" s="29">
        <f t="shared" si="0"/>
        <v>0</v>
      </c>
      <c r="Q8" s="4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</row>
    <row r="9" spans="1:235" s="6" customFormat="1" x14ac:dyDescent="0.2">
      <c r="A9" s="16"/>
      <c r="B9" s="17" t="s">
        <v>23</v>
      </c>
      <c r="C9" s="28"/>
      <c r="D9" s="28"/>
      <c r="E9" s="60"/>
      <c r="F9" s="28"/>
      <c r="G9" s="33"/>
      <c r="H9" s="28"/>
      <c r="I9" s="28"/>
      <c r="J9" s="28"/>
      <c r="K9" s="52"/>
      <c r="L9" s="35"/>
      <c r="M9" s="18">
        <v>-10</v>
      </c>
      <c r="N9" s="36"/>
      <c r="O9" s="29">
        <f t="shared" si="0"/>
        <v>0</v>
      </c>
      <c r="Q9" s="45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</row>
    <row r="10" spans="1:235" s="6" customFormat="1" x14ac:dyDescent="0.2">
      <c r="A10" s="16"/>
      <c r="B10" s="17" t="s">
        <v>23</v>
      </c>
      <c r="C10" s="28"/>
      <c r="D10" s="28"/>
      <c r="E10" s="60"/>
      <c r="F10" s="28"/>
      <c r="G10" s="33"/>
      <c r="H10" s="28"/>
      <c r="I10" s="28"/>
      <c r="J10" s="28"/>
      <c r="K10" s="52"/>
      <c r="L10" s="35"/>
      <c r="M10" s="18">
        <v>-10</v>
      </c>
      <c r="N10" s="36"/>
      <c r="O10" s="29">
        <f t="shared" si="0"/>
        <v>0</v>
      </c>
      <c r="Q10" s="4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</row>
    <row r="11" spans="1:235" s="6" customFormat="1" x14ac:dyDescent="0.2">
      <c r="A11" s="16"/>
      <c r="B11" s="17" t="s">
        <v>23</v>
      </c>
      <c r="C11" s="28"/>
      <c r="D11" s="28"/>
      <c r="E11" s="60"/>
      <c r="F11" s="28"/>
      <c r="G11" s="33"/>
      <c r="H11" s="28"/>
      <c r="I11" s="28"/>
      <c r="J11" s="28"/>
      <c r="K11" s="52"/>
      <c r="L11" s="35"/>
      <c r="M11" s="18">
        <v>-10</v>
      </c>
      <c r="N11" s="36"/>
      <c r="O11" s="29">
        <f t="shared" si="0"/>
        <v>0</v>
      </c>
      <c r="Q11" s="4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</row>
    <row r="12" spans="1:235" s="6" customFormat="1" x14ac:dyDescent="0.2">
      <c r="A12" s="16"/>
      <c r="B12" s="17" t="s">
        <v>23</v>
      </c>
      <c r="C12" s="28"/>
      <c r="D12" s="28"/>
      <c r="E12" s="60"/>
      <c r="F12" s="28"/>
      <c r="G12" s="33"/>
      <c r="H12" s="28"/>
      <c r="I12" s="28"/>
      <c r="J12" s="28"/>
      <c r="K12" s="52"/>
      <c r="L12" s="35"/>
      <c r="M12" s="18">
        <v>-10</v>
      </c>
      <c r="N12" s="36"/>
      <c r="O12" s="29">
        <f t="shared" si="0"/>
        <v>0</v>
      </c>
      <c r="Q12" s="4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</row>
    <row r="13" spans="1:235" s="6" customFormat="1" x14ac:dyDescent="0.2">
      <c r="A13" s="16"/>
      <c r="B13" s="17" t="s">
        <v>23</v>
      </c>
      <c r="C13" s="28"/>
      <c r="D13" s="28"/>
      <c r="E13" s="60"/>
      <c r="F13" s="28"/>
      <c r="G13" s="33"/>
      <c r="H13" s="28"/>
      <c r="I13" s="28"/>
      <c r="J13" s="28"/>
      <c r="K13" s="52"/>
      <c r="L13" s="35"/>
      <c r="M13" s="18">
        <v>-10</v>
      </c>
      <c r="N13" s="36"/>
      <c r="O13" s="29">
        <f t="shared" si="0"/>
        <v>0</v>
      </c>
      <c r="Q13" s="45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</row>
    <row r="14" spans="1:235" s="6" customFormat="1" x14ac:dyDescent="0.2">
      <c r="A14" s="16"/>
      <c r="B14" s="17" t="s">
        <v>23</v>
      </c>
      <c r="C14" s="28"/>
      <c r="D14" s="28"/>
      <c r="E14" s="60"/>
      <c r="F14" s="28"/>
      <c r="G14" s="33"/>
      <c r="H14" s="28"/>
      <c r="I14" s="28"/>
      <c r="J14" s="28"/>
      <c r="K14" s="52"/>
      <c r="L14" s="35"/>
      <c r="M14" s="18">
        <v>-10</v>
      </c>
      <c r="N14" s="36"/>
      <c r="O14" s="29">
        <f t="shared" si="0"/>
        <v>0</v>
      </c>
      <c r="Q14" s="45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</row>
    <row r="15" spans="1:235" s="6" customFormat="1" x14ac:dyDescent="0.2">
      <c r="A15" s="16"/>
      <c r="B15" s="17" t="s">
        <v>23</v>
      </c>
      <c r="C15" s="28"/>
      <c r="D15" s="28"/>
      <c r="E15" s="60"/>
      <c r="F15" s="28"/>
      <c r="G15" s="33"/>
      <c r="H15" s="28"/>
      <c r="I15" s="28"/>
      <c r="J15" s="28"/>
      <c r="K15" s="52"/>
      <c r="L15" s="35"/>
      <c r="M15" s="18">
        <v>-10</v>
      </c>
      <c r="N15" s="36"/>
      <c r="O15" s="29">
        <f t="shared" si="0"/>
        <v>0</v>
      </c>
      <c r="Q15" s="45"/>
      <c r="S15" s="26"/>
      <c r="T15" s="31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</row>
    <row r="16" spans="1:235" s="6" customFormat="1" x14ac:dyDescent="0.2">
      <c r="A16" s="16"/>
      <c r="B16" s="17" t="s">
        <v>23</v>
      </c>
      <c r="C16" s="28"/>
      <c r="D16" s="28"/>
      <c r="E16" s="60"/>
      <c r="F16" s="28"/>
      <c r="G16" s="33"/>
      <c r="H16" s="28"/>
      <c r="I16" s="28"/>
      <c r="J16" s="28"/>
      <c r="K16" s="52"/>
      <c r="L16" s="35"/>
      <c r="M16" s="18">
        <v>-10</v>
      </c>
      <c r="N16" s="36"/>
      <c r="O16" s="29">
        <f t="shared" si="0"/>
        <v>0</v>
      </c>
      <c r="Q16" s="4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</row>
    <row r="17" spans="1:235" s="6" customFormat="1" x14ac:dyDescent="0.2">
      <c r="A17" s="16"/>
      <c r="B17" s="17" t="s">
        <v>23</v>
      </c>
      <c r="C17" s="28"/>
      <c r="D17" s="28"/>
      <c r="E17" s="60"/>
      <c r="F17" s="28"/>
      <c r="G17" s="33"/>
      <c r="H17" s="28"/>
      <c r="I17" s="28"/>
      <c r="J17" s="28"/>
      <c r="K17" s="52"/>
      <c r="L17" s="35"/>
      <c r="M17" s="18">
        <v>-10</v>
      </c>
      <c r="N17" s="36"/>
      <c r="O17" s="29">
        <f t="shared" si="0"/>
        <v>0</v>
      </c>
      <c r="Q17" s="45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</row>
    <row r="18" spans="1:235" s="6" customFormat="1" x14ac:dyDescent="0.2">
      <c r="A18" s="16"/>
      <c r="B18" s="17" t="s">
        <v>23</v>
      </c>
      <c r="C18" s="28"/>
      <c r="D18" s="28"/>
      <c r="E18" s="60"/>
      <c r="F18" s="28"/>
      <c r="G18" s="33"/>
      <c r="H18" s="28"/>
      <c r="I18" s="28"/>
      <c r="J18" s="28"/>
      <c r="K18" s="52"/>
      <c r="L18" s="35"/>
      <c r="M18" s="18">
        <v>-10</v>
      </c>
      <c r="N18" s="36"/>
      <c r="O18" s="29">
        <f t="shared" si="0"/>
        <v>0</v>
      </c>
      <c r="Q18" s="4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</row>
    <row r="19" spans="1:235" s="6" customFormat="1" x14ac:dyDescent="0.2">
      <c r="A19" s="16"/>
      <c r="B19" s="17" t="s">
        <v>23</v>
      </c>
      <c r="C19" s="28"/>
      <c r="D19" s="28"/>
      <c r="E19" s="60"/>
      <c r="F19" s="28"/>
      <c r="G19" s="33"/>
      <c r="H19" s="28"/>
      <c r="I19" s="28"/>
      <c r="J19" s="28"/>
      <c r="K19" s="52"/>
      <c r="L19" s="35"/>
      <c r="M19" s="18">
        <v>-10</v>
      </c>
      <c r="N19" s="36"/>
      <c r="O19" s="29">
        <f t="shared" si="0"/>
        <v>0</v>
      </c>
      <c r="Q19" s="45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</row>
    <row r="20" spans="1:235" s="6" customFormat="1" x14ac:dyDescent="0.2">
      <c r="A20" s="16"/>
      <c r="B20" s="17" t="s">
        <v>23</v>
      </c>
      <c r="C20" s="28"/>
      <c r="D20" s="28"/>
      <c r="E20" s="60"/>
      <c r="F20" s="28"/>
      <c r="G20" s="33"/>
      <c r="H20" s="28"/>
      <c r="I20" s="28"/>
      <c r="J20" s="28"/>
      <c r="K20" s="52"/>
      <c r="L20" s="35"/>
      <c r="M20" s="18">
        <v>-10</v>
      </c>
      <c r="N20" s="36"/>
      <c r="O20" s="29">
        <f t="shared" si="0"/>
        <v>0</v>
      </c>
      <c r="Q20" s="4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</row>
    <row r="21" spans="1:235" s="6" customFormat="1" x14ac:dyDescent="0.2">
      <c r="A21" s="16"/>
      <c r="B21" s="17" t="s">
        <v>23</v>
      </c>
      <c r="C21" s="28"/>
      <c r="D21" s="28"/>
      <c r="E21" s="60"/>
      <c r="F21" s="28"/>
      <c r="G21" s="33"/>
      <c r="H21" s="28"/>
      <c r="I21" s="28"/>
      <c r="J21" s="28"/>
      <c r="K21" s="52"/>
      <c r="L21" s="35"/>
      <c r="M21" s="18">
        <v>-10</v>
      </c>
      <c r="N21" s="36"/>
      <c r="O21" s="29">
        <f t="shared" si="0"/>
        <v>0</v>
      </c>
      <c r="Q21" s="45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</row>
    <row r="22" spans="1:235" s="6" customFormat="1" x14ac:dyDescent="0.2">
      <c r="A22" s="16"/>
      <c r="B22" s="17" t="s">
        <v>23</v>
      </c>
      <c r="C22" s="28"/>
      <c r="D22" s="28"/>
      <c r="E22" s="60"/>
      <c r="F22" s="28"/>
      <c r="G22" s="33"/>
      <c r="H22" s="28"/>
      <c r="I22" s="28"/>
      <c r="J22" s="28"/>
      <c r="K22" s="52"/>
      <c r="L22" s="35"/>
      <c r="M22" s="18">
        <v>-10</v>
      </c>
      <c r="N22" s="36"/>
      <c r="O22" s="29">
        <f t="shared" si="0"/>
        <v>0</v>
      </c>
      <c r="Q22" s="45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</row>
    <row r="23" spans="1:235" s="6" customFormat="1" x14ac:dyDescent="0.2">
      <c r="A23" s="16"/>
      <c r="B23" s="17" t="s">
        <v>23</v>
      </c>
      <c r="C23" s="28"/>
      <c r="D23" s="28"/>
      <c r="E23" s="60"/>
      <c r="F23" s="28"/>
      <c r="G23" s="33"/>
      <c r="H23" s="28"/>
      <c r="I23" s="28"/>
      <c r="J23" s="28"/>
      <c r="K23" s="52"/>
      <c r="L23" s="35"/>
      <c r="M23" s="18">
        <v>-10</v>
      </c>
      <c r="N23" s="36"/>
      <c r="O23" s="29">
        <f t="shared" si="0"/>
        <v>0</v>
      </c>
      <c r="Q23" s="4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</row>
    <row r="24" spans="1:235" s="6" customFormat="1" x14ac:dyDescent="0.2">
      <c r="A24" s="16"/>
      <c r="B24" s="17" t="s">
        <v>23</v>
      </c>
      <c r="C24" s="28"/>
      <c r="D24" s="28"/>
      <c r="E24" s="60"/>
      <c r="F24" s="28"/>
      <c r="G24" s="33"/>
      <c r="H24" s="28"/>
      <c r="I24" s="28"/>
      <c r="J24" s="28"/>
      <c r="K24" s="52"/>
      <c r="L24" s="35"/>
      <c r="M24" s="18">
        <v>-10</v>
      </c>
      <c r="N24" s="36"/>
      <c r="O24" s="29">
        <f t="shared" si="0"/>
        <v>0</v>
      </c>
      <c r="Q24" s="4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</row>
    <row r="25" spans="1:235" s="6" customFormat="1" x14ac:dyDescent="0.2">
      <c r="A25" s="16"/>
      <c r="B25" s="17" t="s">
        <v>23</v>
      </c>
      <c r="C25" s="28"/>
      <c r="D25" s="28"/>
      <c r="E25" s="60"/>
      <c r="F25" s="28"/>
      <c r="G25" s="33"/>
      <c r="H25" s="28"/>
      <c r="I25" s="28"/>
      <c r="J25" s="28"/>
      <c r="K25" s="52"/>
      <c r="L25" s="35"/>
      <c r="M25" s="18">
        <v>-10</v>
      </c>
      <c r="N25" s="36"/>
      <c r="O25" s="29">
        <f t="shared" si="0"/>
        <v>0</v>
      </c>
      <c r="Q25" s="45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</row>
    <row r="26" spans="1:235" s="6" customFormat="1" x14ac:dyDescent="0.2">
      <c r="A26" s="16"/>
      <c r="B26" s="17" t="s">
        <v>23</v>
      </c>
      <c r="C26" s="28"/>
      <c r="D26" s="28"/>
      <c r="E26" s="60"/>
      <c r="F26" s="28"/>
      <c r="G26" s="33"/>
      <c r="H26" s="28"/>
      <c r="I26" s="28"/>
      <c r="J26" s="28"/>
      <c r="K26" s="52"/>
      <c r="L26" s="35"/>
      <c r="M26" s="18">
        <v>-9</v>
      </c>
      <c r="N26" s="36"/>
      <c r="O26" s="29">
        <f t="shared" si="0"/>
        <v>0</v>
      </c>
      <c r="Q26" s="4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</row>
    <row r="27" spans="1:235" s="6" customFormat="1" x14ac:dyDescent="0.2">
      <c r="A27" s="16"/>
      <c r="B27" s="17" t="s">
        <v>23</v>
      </c>
      <c r="C27" s="28"/>
      <c r="D27" s="28"/>
      <c r="E27" s="60"/>
      <c r="F27" s="28"/>
      <c r="G27" s="33"/>
      <c r="H27" s="28"/>
      <c r="I27" s="28"/>
      <c r="J27" s="28"/>
      <c r="K27" s="52"/>
      <c r="L27" s="35"/>
      <c r="M27" s="18">
        <v>-8</v>
      </c>
      <c r="N27" s="36"/>
      <c r="O27" s="29">
        <f t="shared" si="0"/>
        <v>0</v>
      </c>
      <c r="Q27" s="45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</row>
    <row r="28" spans="1:235" s="6" customFormat="1" x14ac:dyDescent="0.2">
      <c r="A28" s="16"/>
      <c r="B28" s="17" t="s">
        <v>23</v>
      </c>
      <c r="C28" s="28"/>
      <c r="D28" s="28"/>
      <c r="E28" s="60"/>
      <c r="F28" s="28"/>
      <c r="G28" s="33"/>
      <c r="H28" s="28"/>
      <c r="I28" s="28"/>
      <c r="J28" s="28"/>
      <c r="K28" s="52"/>
      <c r="L28" s="35"/>
      <c r="M28" s="18">
        <v>-7</v>
      </c>
      <c r="N28" s="36"/>
      <c r="O28" s="29">
        <f t="shared" si="0"/>
        <v>0</v>
      </c>
      <c r="Q28" s="4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</row>
    <row r="29" spans="1:235" s="6" customFormat="1" x14ac:dyDescent="0.2">
      <c r="A29" s="16"/>
      <c r="B29" s="17" t="s">
        <v>23</v>
      </c>
      <c r="C29" s="28"/>
      <c r="D29" s="28"/>
      <c r="E29" s="60"/>
      <c r="F29" s="28"/>
      <c r="G29" s="33"/>
      <c r="H29" s="28"/>
      <c r="I29" s="28"/>
      <c r="J29" s="28"/>
      <c r="K29" s="52"/>
      <c r="L29" s="35"/>
      <c r="M29" s="18">
        <v>-6</v>
      </c>
      <c r="N29" s="36"/>
      <c r="O29" s="29">
        <f t="shared" si="0"/>
        <v>0</v>
      </c>
      <c r="Q29" s="45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</row>
    <row r="30" spans="1:235" s="6" customFormat="1" x14ac:dyDescent="0.2">
      <c r="A30" s="16"/>
      <c r="B30" s="17" t="s">
        <v>23</v>
      </c>
      <c r="C30" s="28"/>
      <c r="D30" s="28"/>
      <c r="E30" s="60"/>
      <c r="F30" s="28"/>
      <c r="G30" s="33"/>
      <c r="H30" s="28"/>
      <c r="I30" s="28"/>
      <c r="J30" s="28"/>
      <c r="K30" s="52"/>
      <c r="L30" s="35"/>
      <c r="M30" s="18">
        <v>-5</v>
      </c>
      <c r="N30" s="36"/>
      <c r="O30" s="29">
        <f t="shared" si="0"/>
        <v>0</v>
      </c>
      <c r="Q30" s="4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</row>
    <row r="31" spans="1:235" s="6" customFormat="1" x14ac:dyDescent="0.2">
      <c r="A31" s="16"/>
      <c r="B31" s="17" t="s">
        <v>23</v>
      </c>
      <c r="C31" s="28"/>
      <c r="D31" s="28"/>
      <c r="E31" s="60"/>
      <c r="F31" s="28"/>
      <c r="G31" s="33"/>
      <c r="H31" s="28"/>
      <c r="I31" s="28"/>
      <c r="J31" s="28"/>
      <c r="K31" s="52"/>
      <c r="L31" s="35"/>
      <c r="M31" s="18">
        <v>-4</v>
      </c>
      <c r="N31" s="36"/>
      <c r="O31" s="29">
        <f t="shared" si="0"/>
        <v>0</v>
      </c>
      <c r="Q31" s="45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</row>
    <row r="32" spans="1:235" s="6" customFormat="1" x14ac:dyDescent="0.2">
      <c r="A32" s="16"/>
      <c r="B32" s="17" t="s">
        <v>23</v>
      </c>
      <c r="C32" s="28"/>
      <c r="D32" s="28"/>
      <c r="E32" s="60"/>
      <c r="F32" s="28"/>
      <c r="G32" s="33"/>
      <c r="H32" s="28"/>
      <c r="I32" s="28"/>
      <c r="J32" s="28"/>
      <c r="K32" s="52"/>
      <c r="L32" s="35"/>
      <c r="M32" s="18">
        <v>-3</v>
      </c>
      <c r="N32" s="36"/>
      <c r="O32" s="29">
        <f t="shared" si="0"/>
        <v>0</v>
      </c>
      <c r="Q32" s="45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</row>
    <row r="33" spans="1:235" s="6" customFormat="1" x14ac:dyDescent="0.2">
      <c r="A33" s="16"/>
      <c r="B33" s="17" t="s">
        <v>23</v>
      </c>
      <c r="C33" s="28"/>
      <c r="D33" s="28"/>
      <c r="E33" s="60"/>
      <c r="F33" s="28"/>
      <c r="G33" s="33"/>
      <c r="H33" s="28"/>
      <c r="I33" s="28"/>
      <c r="J33" s="28"/>
      <c r="K33" s="52"/>
      <c r="L33" s="35"/>
      <c r="M33" s="18">
        <v>-2</v>
      </c>
      <c r="N33" s="36"/>
      <c r="O33" s="29">
        <f t="shared" si="0"/>
        <v>0</v>
      </c>
      <c r="Q33" s="45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</row>
    <row r="34" spans="1:235" s="6" customFormat="1" x14ac:dyDescent="0.2">
      <c r="A34" s="16"/>
      <c r="B34" s="17" t="s">
        <v>23</v>
      </c>
      <c r="C34" s="28"/>
      <c r="D34" s="28"/>
      <c r="E34" s="60"/>
      <c r="F34" s="28"/>
      <c r="G34" s="33"/>
      <c r="H34" s="28"/>
      <c r="I34" s="28"/>
      <c r="J34" s="28"/>
      <c r="K34" s="52"/>
      <c r="L34" s="35"/>
      <c r="M34" s="18">
        <v>-1</v>
      </c>
      <c r="N34" s="36"/>
      <c r="O34" s="29">
        <f t="shared" si="0"/>
        <v>0</v>
      </c>
      <c r="Q34" s="45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</row>
    <row r="35" spans="1:235" s="6" customFormat="1" x14ac:dyDescent="0.2">
      <c r="A35" s="16"/>
      <c r="B35" s="17" t="s">
        <v>23</v>
      </c>
      <c r="C35" s="28"/>
      <c r="D35" s="28"/>
      <c r="E35" s="60"/>
      <c r="F35" s="28"/>
      <c r="G35" s="33"/>
      <c r="H35" s="28"/>
      <c r="I35" s="28"/>
      <c r="J35" s="28"/>
      <c r="K35" s="52"/>
      <c r="L35" s="35"/>
      <c r="M35" s="18">
        <v>0</v>
      </c>
      <c r="N35" s="36"/>
      <c r="O35" s="29">
        <f t="shared" si="0"/>
        <v>0</v>
      </c>
      <c r="Q35" s="45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</row>
    <row r="36" spans="1:235" s="6" customFormat="1" x14ac:dyDescent="0.2">
      <c r="A36" s="32"/>
      <c r="B36" s="17" t="s">
        <v>23</v>
      </c>
      <c r="C36" s="28"/>
      <c r="D36" s="28"/>
      <c r="E36" s="19"/>
      <c r="F36" s="28"/>
      <c r="G36" s="33"/>
      <c r="H36" s="51"/>
      <c r="I36" s="52"/>
      <c r="J36" s="28"/>
      <c r="K36" s="28"/>
      <c r="L36" s="35"/>
      <c r="M36" s="28"/>
      <c r="N36" s="36"/>
      <c r="O36" s="29">
        <f t="shared" si="0"/>
        <v>0</v>
      </c>
      <c r="Q36" s="45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</row>
    <row r="37" spans="1:235" s="6" customFormat="1" x14ac:dyDescent="0.2">
      <c r="A37" s="32"/>
      <c r="B37" s="17" t="s">
        <v>23</v>
      </c>
      <c r="C37" s="28"/>
      <c r="D37" s="28"/>
      <c r="E37" s="19"/>
      <c r="F37" s="28"/>
      <c r="G37" s="33"/>
      <c r="H37" s="51"/>
      <c r="I37" s="52"/>
      <c r="J37" s="28"/>
      <c r="K37" s="28"/>
      <c r="L37" s="35"/>
      <c r="M37" s="28"/>
      <c r="N37" s="36"/>
      <c r="O37" s="29">
        <f t="shared" si="0"/>
        <v>0</v>
      </c>
      <c r="Q37" s="45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</row>
    <row r="38" spans="1:235" x14ac:dyDescent="0.2">
      <c r="A38" s="32"/>
      <c r="B38" s="17" t="s">
        <v>23</v>
      </c>
      <c r="C38" s="28"/>
      <c r="D38" s="28"/>
      <c r="E38" s="37"/>
      <c r="F38" s="28"/>
      <c r="G38" s="33"/>
      <c r="H38" s="51"/>
      <c r="I38" s="52"/>
      <c r="J38" s="28"/>
      <c r="K38" s="28"/>
      <c r="L38" s="35"/>
      <c r="M38" s="28"/>
      <c r="N38" s="36"/>
      <c r="O38" s="29">
        <f t="shared" si="0"/>
        <v>0</v>
      </c>
      <c r="R38" s="6"/>
    </row>
    <row r="39" spans="1:235" x14ac:dyDescent="0.2">
      <c r="A39" s="32"/>
      <c r="B39" s="17" t="s">
        <v>23</v>
      </c>
      <c r="C39" s="28"/>
      <c r="D39" s="28"/>
      <c r="E39" s="37"/>
      <c r="F39" s="28"/>
      <c r="G39" s="33"/>
      <c r="H39" s="51"/>
      <c r="I39" s="52"/>
      <c r="J39" s="28"/>
      <c r="K39" s="28"/>
      <c r="L39" s="35"/>
      <c r="M39" s="28"/>
      <c r="N39" s="36"/>
      <c r="O39" s="29">
        <f t="shared" si="0"/>
        <v>0</v>
      </c>
      <c r="R39" s="6"/>
    </row>
    <row r="40" spans="1:235" x14ac:dyDescent="0.2">
      <c r="A40" s="32"/>
      <c r="B40" s="17" t="s">
        <v>23</v>
      </c>
      <c r="C40" s="28"/>
      <c r="D40" s="28"/>
      <c r="E40" s="37"/>
      <c r="F40" s="28"/>
      <c r="G40" s="33"/>
      <c r="H40" s="51"/>
      <c r="I40" s="52"/>
      <c r="J40" s="28"/>
      <c r="K40" s="52"/>
      <c r="L40" s="35"/>
      <c r="M40" s="28"/>
      <c r="N40" s="36"/>
      <c r="O40" s="29">
        <f t="shared" si="0"/>
        <v>0</v>
      </c>
      <c r="R40" s="6"/>
    </row>
    <row r="41" spans="1:235" x14ac:dyDescent="0.2">
      <c r="A41" s="32"/>
      <c r="B41" s="17" t="s">
        <v>23</v>
      </c>
      <c r="C41" s="28"/>
      <c r="D41" s="28"/>
      <c r="E41" s="37"/>
      <c r="F41" s="28"/>
      <c r="G41" s="33"/>
      <c r="H41" s="51"/>
      <c r="I41" s="52"/>
      <c r="J41" s="51"/>
      <c r="K41" s="28"/>
      <c r="L41" s="35"/>
      <c r="M41" s="28"/>
      <c r="N41" s="36"/>
      <c r="O41" s="29">
        <f t="shared" si="0"/>
        <v>0</v>
      </c>
      <c r="R41" s="6"/>
    </row>
    <row r="42" spans="1:235" x14ac:dyDescent="0.2">
      <c r="A42" s="32"/>
      <c r="B42" s="17" t="s">
        <v>23</v>
      </c>
      <c r="C42" s="28"/>
      <c r="D42" s="28"/>
      <c r="E42" s="37"/>
      <c r="F42" s="28"/>
      <c r="G42" s="33"/>
      <c r="H42" s="51"/>
      <c r="I42" s="52"/>
      <c r="J42" s="28"/>
      <c r="K42" s="28"/>
      <c r="L42" s="35"/>
      <c r="M42" s="28"/>
      <c r="N42" s="36"/>
      <c r="O42" s="29">
        <f t="shared" si="0"/>
        <v>0</v>
      </c>
      <c r="R42" s="6"/>
    </row>
    <row r="43" spans="1:235" x14ac:dyDescent="0.2">
      <c r="A43" s="32"/>
      <c r="B43" s="17" t="s">
        <v>23</v>
      </c>
      <c r="C43" s="28"/>
      <c r="D43" s="28"/>
      <c r="E43" s="37"/>
      <c r="F43" s="28"/>
      <c r="G43" s="33"/>
      <c r="H43" s="51"/>
      <c r="I43" s="52"/>
      <c r="J43" s="28"/>
      <c r="K43" s="28"/>
      <c r="L43" s="35"/>
      <c r="M43" s="28"/>
      <c r="N43" s="36"/>
      <c r="O43" s="29">
        <f t="shared" si="0"/>
        <v>0</v>
      </c>
      <c r="R43" s="6"/>
    </row>
    <row r="44" spans="1:235" x14ac:dyDescent="0.2">
      <c r="A44" s="32"/>
      <c r="B44" s="17" t="s">
        <v>23</v>
      </c>
      <c r="C44" s="28"/>
      <c r="D44" s="28"/>
      <c r="E44" s="37"/>
      <c r="F44" s="28"/>
      <c r="G44" s="33"/>
      <c r="H44" s="28"/>
      <c r="I44" s="28"/>
      <c r="J44" s="28"/>
      <c r="K44" s="28"/>
      <c r="L44" s="35"/>
      <c r="M44" s="28"/>
      <c r="N44" s="36"/>
      <c r="O44" s="29">
        <f t="shared" si="0"/>
        <v>0</v>
      </c>
      <c r="R44" s="6"/>
    </row>
    <row r="45" spans="1:235" x14ac:dyDescent="0.2">
      <c r="A45" s="32"/>
      <c r="B45" s="17" t="s">
        <v>23</v>
      </c>
      <c r="C45" s="28"/>
      <c r="D45" s="28"/>
      <c r="E45" s="37"/>
      <c r="F45" s="28"/>
      <c r="G45" s="33"/>
      <c r="H45" s="28"/>
      <c r="I45" s="28"/>
      <c r="J45" s="28"/>
      <c r="K45" s="28"/>
      <c r="L45" s="35"/>
      <c r="M45" s="28"/>
      <c r="N45" s="36"/>
      <c r="O45" s="29">
        <f t="shared" si="0"/>
        <v>0</v>
      </c>
      <c r="R45" s="6"/>
    </row>
    <row r="46" spans="1:235" x14ac:dyDescent="0.2">
      <c r="A46" s="32"/>
      <c r="B46" s="17" t="s">
        <v>23</v>
      </c>
      <c r="C46" s="28"/>
      <c r="D46" s="28"/>
      <c r="E46" s="37"/>
      <c r="F46" s="28"/>
      <c r="G46" s="33"/>
      <c r="H46" s="28"/>
      <c r="I46" s="28"/>
      <c r="J46" s="28"/>
      <c r="K46" s="28"/>
      <c r="L46" s="35"/>
      <c r="M46" s="28"/>
      <c r="N46" s="36"/>
      <c r="O46" s="29">
        <f t="shared" si="0"/>
        <v>0</v>
      </c>
      <c r="R46" s="6"/>
    </row>
    <row r="47" spans="1:235" x14ac:dyDescent="0.2">
      <c r="A47" s="32"/>
      <c r="B47" s="17" t="s">
        <v>23</v>
      </c>
      <c r="C47" s="28"/>
      <c r="D47" s="28"/>
      <c r="E47" s="37"/>
      <c r="F47" s="28"/>
      <c r="G47" s="33"/>
      <c r="H47" s="28"/>
      <c r="I47" s="28"/>
      <c r="J47" s="28"/>
      <c r="K47" s="28"/>
      <c r="L47" s="35"/>
      <c r="M47" s="28"/>
      <c r="N47" s="36"/>
      <c r="O47" s="29">
        <f t="shared" si="0"/>
        <v>0</v>
      </c>
      <c r="R47" s="6"/>
    </row>
    <row r="48" spans="1:235" x14ac:dyDescent="0.2">
      <c r="A48" s="32"/>
      <c r="B48" s="17" t="s">
        <v>23</v>
      </c>
      <c r="C48" s="28"/>
      <c r="D48" s="28"/>
      <c r="E48" s="37"/>
      <c r="F48" s="28"/>
      <c r="G48" s="33"/>
      <c r="H48" s="28"/>
      <c r="I48" s="28"/>
      <c r="J48" s="28"/>
      <c r="K48" s="28"/>
      <c r="L48" s="35"/>
      <c r="M48" s="28"/>
      <c r="N48" s="36"/>
      <c r="O48" s="29">
        <f t="shared" si="0"/>
        <v>0</v>
      </c>
      <c r="R48" s="6"/>
    </row>
    <row r="49" spans="1:18" x14ac:dyDescent="0.2">
      <c r="A49" s="32"/>
      <c r="B49" s="17" t="s">
        <v>23</v>
      </c>
      <c r="C49" s="28"/>
      <c r="D49" s="28"/>
      <c r="E49" s="37"/>
      <c r="F49" s="28"/>
      <c r="G49" s="33"/>
      <c r="H49" s="28"/>
      <c r="I49" s="28"/>
      <c r="J49" s="28"/>
      <c r="K49" s="28"/>
      <c r="L49" s="35"/>
      <c r="M49" s="28"/>
      <c r="N49" s="36"/>
      <c r="O49" s="29">
        <f t="shared" si="0"/>
        <v>0</v>
      </c>
      <c r="R49" s="6"/>
    </row>
    <row r="50" spans="1:18" x14ac:dyDescent="0.2">
      <c r="A50" s="32"/>
      <c r="B50" s="17" t="s">
        <v>23</v>
      </c>
      <c r="C50" s="28"/>
      <c r="D50" s="28"/>
      <c r="E50" s="37"/>
      <c r="F50" s="28"/>
      <c r="G50" s="33"/>
      <c r="H50" s="28"/>
      <c r="I50" s="28"/>
      <c r="J50" s="28"/>
      <c r="K50" s="28"/>
      <c r="L50" s="35"/>
      <c r="M50" s="28"/>
      <c r="N50" s="36"/>
      <c r="O50" s="29">
        <f t="shared" si="0"/>
        <v>0</v>
      </c>
      <c r="R50" s="6"/>
    </row>
    <row r="51" spans="1:18" x14ac:dyDescent="0.2">
      <c r="A51" s="32"/>
      <c r="B51" s="17" t="s">
        <v>23</v>
      </c>
      <c r="C51" s="28"/>
      <c r="D51" s="28"/>
      <c r="E51" s="37"/>
      <c r="F51" s="28"/>
      <c r="G51" s="33"/>
      <c r="H51" s="28"/>
      <c r="I51" s="28"/>
      <c r="J51" s="28"/>
      <c r="K51" s="28"/>
      <c r="L51" s="35"/>
      <c r="M51" s="28"/>
      <c r="N51" s="36"/>
      <c r="O51" s="29">
        <f t="shared" si="0"/>
        <v>0</v>
      </c>
      <c r="R51" s="6"/>
    </row>
    <row r="52" spans="1:18" x14ac:dyDescent="0.2">
      <c r="A52" s="32"/>
      <c r="B52" s="17" t="s">
        <v>23</v>
      </c>
      <c r="C52" s="28"/>
      <c r="D52" s="28"/>
      <c r="E52" s="37"/>
      <c r="F52" s="28"/>
      <c r="G52" s="33"/>
      <c r="H52" s="28"/>
      <c r="I52" s="28"/>
      <c r="J52" s="28"/>
      <c r="K52" s="28"/>
      <c r="L52" s="35"/>
      <c r="M52" s="28"/>
      <c r="N52" s="36"/>
      <c r="O52" s="29">
        <f t="shared" si="0"/>
        <v>0</v>
      </c>
      <c r="R52" s="6"/>
    </row>
    <row r="53" spans="1:18" x14ac:dyDescent="0.2">
      <c r="A53" s="32"/>
      <c r="B53" s="17" t="s">
        <v>23</v>
      </c>
      <c r="C53" s="28"/>
      <c r="D53" s="28"/>
      <c r="E53" s="37"/>
      <c r="F53" s="28"/>
      <c r="G53" s="33"/>
      <c r="H53" s="28"/>
      <c r="I53" s="28"/>
      <c r="J53" s="28"/>
      <c r="K53" s="28"/>
      <c r="L53" s="35"/>
      <c r="M53" s="28"/>
      <c r="N53" s="36"/>
      <c r="O53" s="29">
        <f t="shared" si="0"/>
        <v>0</v>
      </c>
      <c r="R53" s="6"/>
    </row>
    <row r="54" spans="1:18" x14ac:dyDescent="0.2">
      <c r="A54" s="32"/>
      <c r="B54" s="17" t="s">
        <v>23</v>
      </c>
      <c r="C54" s="28"/>
      <c r="D54" s="28"/>
      <c r="E54" s="37"/>
      <c r="F54" s="28"/>
      <c r="G54" s="33"/>
      <c r="H54" s="28"/>
      <c r="I54" s="28"/>
      <c r="J54" s="28"/>
      <c r="K54" s="28"/>
      <c r="L54" s="35"/>
      <c r="M54" s="28"/>
      <c r="N54" s="36"/>
      <c r="O54" s="29">
        <f t="shared" si="0"/>
        <v>0</v>
      </c>
      <c r="R54" s="6"/>
    </row>
    <row r="55" spans="1:18" x14ac:dyDescent="0.2">
      <c r="A55" s="32"/>
      <c r="B55" s="17" t="s">
        <v>23</v>
      </c>
      <c r="C55" s="28"/>
      <c r="D55" s="28"/>
      <c r="E55" s="37"/>
      <c r="F55" s="28"/>
      <c r="G55" s="33"/>
      <c r="H55" s="28"/>
      <c r="I55" s="28"/>
      <c r="J55" s="28"/>
      <c r="K55" s="28"/>
      <c r="L55" s="35"/>
      <c r="M55" s="28"/>
      <c r="N55" s="36"/>
      <c r="O55" s="29">
        <f t="shared" si="0"/>
        <v>0</v>
      </c>
      <c r="R55" s="6"/>
    </row>
    <row r="56" spans="1:18" x14ac:dyDescent="0.2">
      <c r="A56" s="32"/>
      <c r="B56" s="17" t="s">
        <v>23</v>
      </c>
      <c r="C56" s="28"/>
      <c r="D56" s="28"/>
      <c r="E56" s="37"/>
      <c r="F56" s="28"/>
      <c r="G56" s="33"/>
      <c r="H56" s="28"/>
      <c r="I56" s="28"/>
      <c r="J56" s="28"/>
      <c r="K56" s="28"/>
      <c r="L56" s="35"/>
      <c r="M56" s="28"/>
      <c r="N56" s="36"/>
      <c r="O56" s="29">
        <f t="shared" si="0"/>
        <v>0</v>
      </c>
      <c r="R56" s="6"/>
    </row>
    <row r="57" spans="1:18" x14ac:dyDescent="0.2">
      <c r="A57" s="32"/>
      <c r="B57" s="17" t="s">
        <v>23</v>
      </c>
      <c r="C57" s="28"/>
      <c r="D57" s="28"/>
      <c r="E57" s="37"/>
      <c r="F57" s="28"/>
      <c r="G57" s="33"/>
      <c r="H57" s="28"/>
      <c r="I57" s="28"/>
      <c r="J57" s="28"/>
      <c r="K57" s="28"/>
      <c r="L57" s="35"/>
      <c r="M57" s="28"/>
      <c r="N57" s="36"/>
      <c r="O57" s="29">
        <f t="shared" si="0"/>
        <v>0</v>
      </c>
      <c r="R57" s="6"/>
    </row>
    <row r="58" spans="1:18" x14ac:dyDescent="0.2">
      <c r="A58" s="32"/>
      <c r="B58" s="17" t="s">
        <v>23</v>
      </c>
      <c r="C58" s="28"/>
      <c r="D58" s="28"/>
      <c r="E58" s="37"/>
      <c r="F58" s="28"/>
      <c r="G58" s="33"/>
      <c r="H58" s="28"/>
      <c r="I58" s="28"/>
      <c r="J58" s="28"/>
      <c r="K58" s="28"/>
      <c r="L58" s="35"/>
      <c r="M58" s="28"/>
      <c r="N58" s="36"/>
      <c r="O58" s="29">
        <f t="shared" si="0"/>
        <v>0</v>
      </c>
      <c r="R58" s="6"/>
    </row>
    <row r="59" spans="1:18" x14ac:dyDescent="0.2">
      <c r="A59" s="32"/>
      <c r="B59" s="17" t="s">
        <v>23</v>
      </c>
      <c r="C59" s="28"/>
      <c r="D59" s="28"/>
      <c r="E59" s="37"/>
      <c r="F59" s="28"/>
      <c r="G59" s="33"/>
      <c r="H59" s="28"/>
      <c r="I59" s="28"/>
      <c r="J59" s="28"/>
      <c r="K59" s="28"/>
      <c r="L59" s="35"/>
      <c r="M59" s="28"/>
      <c r="N59" s="36"/>
      <c r="O59" s="29">
        <f t="shared" si="0"/>
        <v>0</v>
      </c>
      <c r="R59" s="6"/>
    </row>
    <row r="60" spans="1:18" x14ac:dyDescent="0.2">
      <c r="A60" s="32"/>
      <c r="B60" s="17" t="s">
        <v>23</v>
      </c>
      <c r="C60" s="28"/>
      <c r="D60" s="28"/>
      <c r="E60" s="37"/>
      <c r="F60" s="28"/>
      <c r="G60" s="33"/>
      <c r="H60" s="28"/>
      <c r="I60" s="28"/>
      <c r="J60" s="28"/>
      <c r="K60" s="52"/>
      <c r="L60" s="35"/>
      <c r="M60" s="28"/>
      <c r="N60" s="36"/>
      <c r="O60" s="29">
        <f t="shared" si="0"/>
        <v>0</v>
      </c>
      <c r="R60" s="6"/>
    </row>
    <row r="61" spans="1:18" x14ac:dyDescent="0.2">
      <c r="A61" s="32"/>
      <c r="B61" s="17" t="s">
        <v>23</v>
      </c>
      <c r="C61" s="28"/>
      <c r="D61" s="28"/>
      <c r="E61" s="37"/>
      <c r="F61" s="28"/>
      <c r="G61" s="33"/>
      <c r="H61" s="28"/>
      <c r="I61" s="28"/>
      <c r="J61" s="28"/>
      <c r="K61" s="28"/>
      <c r="L61" s="35"/>
      <c r="M61" s="28"/>
      <c r="N61" s="36"/>
      <c r="O61" s="29">
        <f t="shared" si="0"/>
        <v>0</v>
      </c>
      <c r="R61" s="6"/>
    </row>
    <row r="62" spans="1:18" x14ac:dyDescent="0.2">
      <c r="A62" s="32"/>
      <c r="B62" s="17" t="s">
        <v>23</v>
      </c>
      <c r="C62" s="28"/>
      <c r="D62" s="28"/>
      <c r="E62" s="37"/>
      <c r="F62" s="28"/>
      <c r="G62" s="33"/>
      <c r="H62" s="28"/>
      <c r="I62" s="28"/>
      <c r="J62" s="28"/>
      <c r="K62" s="28"/>
      <c r="L62" s="35"/>
      <c r="M62" s="28"/>
      <c r="N62" s="36"/>
      <c r="O62" s="29">
        <f t="shared" si="0"/>
        <v>0</v>
      </c>
      <c r="R62" s="6"/>
    </row>
    <row r="63" spans="1:18" x14ac:dyDescent="0.2">
      <c r="A63" s="32"/>
      <c r="B63" s="17" t="s">
        <v>23</v>
      </c>
      <c r="C63" s="28"/>
      <c r="D63" s="28"/>
      <c r="E63" s="37"/>
      <c r="F63" s="28"/>
      <c r="G63" s="33"/>
      <c r="H63" s="28"/>
      <c r="I63" s="28"/>
      <c r="J63" s="28"/>
      <c r="K63" s="28"/>
      <c r="L63" s="35"/>
      <c r="M63" s="28"/>
      <c r="N63" s="36"/>
      <c r="O63" s="29">
        <f t="shared" si="0"/>
        <v>0</v>
      </c>
      <c r="R63" s="6"/>
    </row>
    <row r="64" spans="1:18" x14ac:dyDescent="0.2">
      <c r="A64" s="32"/>
      <c r="B64" s="17" t="s">
        <v>23</v>
      </c>
      <c r="C64" s="28"/>
      <c r="D64" s="28"/>
      <c r="E64" s="37"/>
      <c r="F64" s="28"/>
      <c r="G64" s="33"/>
      <c r="H64" s="28"/>
      <c r="I64" s="28"/>
      <c r="J64" s="28"/>
      <c r="K64" s="28"/>
      <c r="L64" s="35"/>
      <c r="M64" s="28"/>
      <c r="N64" s="36"/>
      <c r="O64" s="29">
        <f t="shared" si="0"/>
        <v>0</v>
      </c>
      <c r="R64" s="6"/>
    </row>
    <row r="65" spans="1:18" x14ac:dyDescent="0.2">
      <c r="A65" s="32"/>
      <c r="B65" s="17" t="s">
        <v>23</v>
      </c>
      <c r="C65" s="28"/>
      <c r="D65" s="28"/>
      <c r="E65" s="37"/>
      <c r="F65" s="28"/>
      <c r="G65" s="33"/>
      <c r="H65" s="28"/>
      <c r="I65" s="28"/>
      <c r="J65" s="28"/>
      <c r="K65" s="28"/>
      <c r="L65" s="55"/>
      <c r="M65" s="28"/>
      <c r="N65" s="36"/>
      <c r="O65" s="29">
        <f t="shared" si="0"/>
        <v>0</v>
      </c>
      <c r="R65" s="6"/>
    </row>
    <row r="66" spans="1:18" x14ac:dyDescent="0.2">
      <c r="A66" s="32"/>
      <c r="B66" s="17" t="s">
        <v>23</v>
      </c>
      <c r="C66" s="28"/>
      <c r="D66" s="28"/>
      <c r="E66" s="37"/>
      <c r="F66" s="28"/>
      <c r="G66" s="33"/>
      <c r="H66" s="28"/>
      <c r="I66" s="28"/>
      <c r="J66" s="28"/>
      <c r="K66" s="28"/>
      <c r="L66" s="35"/>
      <c r="M66" s="28"/>
      <c r="N66" s="36"/>
      <c r="O66" s="29">
        <f t="shared" si="0"/>
        <v>0</v>
      </c>
      <c r="R66" s="6"/>
    </row>
    <row r="67" spans="1:18" x14ac:dyDescent="0.2">
      <c r="A67" s="32"/>
      <c r="B67" s="17" t="s">
        <v>23</v>
      </c>
      <c r="C67" s="28"/>
      <c r="D67" s="28"/>
      <c r="E67" s="37"/>
      <c r="F67" s="28"/>
      <c r="G67" s="33"/>
      <c r="H67" s="28"/>
      <c r="I67" s="28"/>
      <c r="J67" s="28"/>
      <c r="K67" s="28"/>
      <c r="L67" s="35"/>
      <c r="M67" s="28"/>
      <c r="N67" s="36"/>
      <c r="O67" s="29">
        <f t="shared" ref="O67:O130" si="1">N67*J67</f>
        <v>0</v>
      </c>
      <c r="R67" s="6"/>
    </row>
    <row r="68" spans="1:18" x14ac:dyDescent="0.2">
      <c r="A68" s="32"/>
      <c r="B68" s="17" t="s">
        <v>23</v>
      </c>
      <c r="C68" s="28"/>
      <c r="D68" s="28"/>
      <c r="E68" s="37"/>
      <c r="F68" s="28"/>
      <c r="G68" s="33"/>
      <c r="H68" s="28"/>
      <c r="I68" s="28"/>
      <c r="J68" s="28"/>
      <c r="K68" s="28"/>
      <c r="L68" s="35"/>
      <c r="M68" s="28"/>
      <c r="N68" s="36"/>
      <c r="O68" s="29">
        <f t="shared" si="1"/>
        <v>0</v>
      </c>
      <c r="R68" s="6"/>
    </row>
    <row r="69" spans="1:18" x14ac:dyDescent="0.2">
      <c r="A69" s="32"/>
      <c r="B69" s="17" t="s">
        <v>23</v>
      </c>
      <c r="C69" s="28"/>
      <c r="D69" s="28"/>
      <c r="E69" s="37"/>
      <c r="F69" s="28"/>
      <c r="G69" s="33"/>
      <c r="H69" s="28"/>
      <c r="I69" s="28"/>
      <c r="J69" s="28"/>
      <c r="K69" s="28"/>
      <c r="L69" s="35"/>
      <c r="M69" s="28"/>
      <c r="N69" s="36"/>
      <c r="O69" s="29">
        <f t="shared" si="1"/>
        <v>0</v>
      </c>
      <c r="R69" s="6"/>
    </row>
    <row r="70" spans="1:18" x14ac:dyDescent="0.2">
      <c r="A70" s="32"/>
      <c r="B70" s="17" t="s">
        <v>23</v>
      </c>
      <c r="C70" s="28"/>
      <c r="D70" s="28"/>
      <c r="E70" s="37"/>
      <c r="F70" s="28"/>
      <c r="G70" s="33"/>
      <c r="H70" s="28"/>
      <c r="I70" s="28"/>
      <c r="J70" s="28"/>
      <c r="K70" s="28"/>
      <c r="L70" s="35"/>
      <c r="M70" s="28"/>
      <c r="N70" s="36"/>
      <c r="O70" s="29">
        <f t="shared" si="1"/>
        <v>0</v>
      </c>
      <c r="R70" s="6"/>
    </row>
    <row r="71" spans="1:18" x14ac:dyDescent="0.2">
      <c r="A71" s="32"/>
      <c r="B71" s="17" t="s">
        <v>23</v>
      </c>
      <c r="C71" s="28"/>
      <c r="D71" s="28"/>
      <c r="E71" s="37"/>
      <c r="F71" s="28"/>
      <c r="G71" s="33"/>
      <c r="H71" s="28"/>
      <c r="I71" s="28"/>
      <c r="J71" s="28"/>
      <c r="K71" s="28"/>
      <c r="L71" s="35"/>
      <c r="M71" s="28"/>
      <c r="N71" s="36"/>
      <c r="O71" s="29">
        <f t="shared" si="1"/>
        <v>0</v>
      </c>
      <c r="R71" s="6"/>
    </row>
    <row r="72" spans="1:18" x14ac:dyDescent="0.2">
      <c r="A72" s="32"/>
      <c r="B72" s="17" t="s">
        <v>23</v>
      </c>
      <c r="C72" s="28"/>
      <c r="D72" s="28"/>
      <c r="E72" s="37"/>
      <c r="F72" s="28"/>
      <c r="G72" s="33"/>
      <c r="H72" s="28"/>
      <c r="I72" s="28"/>
      <c r="J72" s="28"/>
      <c r="K72" s="28"/>
      <c r="L72" s="35"/>
      <c r="M72" s="28"/>
      <c r="N72" s="36"/>
      <c r="O72" s="29">
        <f t="shared" si="1"/>
        <v>0</v>
      </c>
      <c r="R72" s="6"/>
    </row>
    <row r="73" spans="1:18" x14ac:dyDescent="0.2">
      <c r="A73" s="32"/>
      <c r="B73" s="17" t="s">
        <v>23</v>
      </c>
      <c r="C73" s="28"/>
      <c r="D73" s="28"/>
      <c r="E73" s="37"/>
      <c r="F73" s="28"/>
      <c r="G73" s="33"/>
      <c r="H73" s="28"/>
      <c r="I73" s="28"/>
      <c r="J73" s="28"/>
      <c r="K73" s="28"/>
      <c r="L73" s="35"/>
      <c r="M73" s="28"/>
      <c r="N73" s="36"/>
      <c r="O73" s="29">
        <f t="shared" si="1"/>
        <v>0</v>
      </c>
      <c r="R73" s="6"/>
    </row>
    <row r="74" spans="1:18" x14ac:dyDescent="0.2">
      <c r="A74" s="32"/>
      <c r="B74" s="17" t="s">
        <v>23</v>
      </c>
      <c r="C74" s="28"/>
      <c r="D74" s="28"/>
      <c r="E74" s="28"/>
      <c r="F74" s="28"/>
      <c r="G74" s="33"/>
      <c r="H74" s="28"/>
      <c r="I74" s="28"/>
      <c r="J74" s="28"/>
      <c r="K74" s="28"/>
      <c r="L74" s="35"/>
      <c r="M74" s="28"/>
      <c r="N74" s="36"/>
      <c r="O74" s="29">
        <f t="shared" si="1"/>
        <v>0</v>
      </c>
      <c r="R74" s="6"/>
    </row>
    <row r="75" spans="1:18" x14ac:dyDescent="0.2">
      <c r="A75" s="32"/>
      <c r="B75" s="17" t="s">
        <v>23</v>
      </c>
      <c r="C75" s="28"/>
      <c r="D75" s="28"/>
      <c r="E75" s="28"/>
      <c r="F75" s="28"/>
      <c r="G75" s="33"/>
      <c r="H75" s="28"/>
      <c r="I75" s="28"/>
      <c r="J75" s="28"/>
      <c r="K75" s="28"/>
      <c r="L75" s="35"/>
      <c r="M75" s="28"/>
      <c r="N75" s="36"/>
      <c r="O75" s="29">
        <f t="shared" si="1"/>
        <v>0</v>
      </c>
      <c r="R75" s="6"/>
    </row>
    <row r="76" spans="1:18" x14ac:dyDescent="0.2">
      <c r="A76" s="32"/>
      <c r="B76" s="17" t="s">
        <v>23</v>
      </c>
      <c r="C76" s="28"/>
      <c r="D76" s="28"/>
      <c r="E76" s="28"/>
      <c r="F76" s="28"/>
      <c r="G76" s="33"/>
      <c r="H76" s="28"/>
      <c r="I76" s="28"/>
      <c r="J76" s="28"/>
      <c r="K76" s="28"/>
      <c r="L76" s="35"/>
      <c r="M76" s="28"/>
      <c r="N76" s="36"/>
      <c r="O76" s="29">
        <f t="shared" si="1"/>
        <v>0</v>
      </c>
      <c r="R76" s="6"/>
    </row>
    <row r="77" spans="1:18" x14ac:dyDescent="0.2">
      <c r="A77" s="32"/>
      <c r="B77" s="17" t="s">
        <v>23</v>
      </c>
      <c r="C77" s="28"/>
      <c r="D77" s="28"/>
      <c r="E77" s="28"/>
      <c r="F77" s="28"/>
      <c r="G77" s="33"/>
      <c r="H77" s="28"/>
      <c r="I77" s="28"/>
      <c r="J77" s="28"/>
      <c r="K77" s="28"/>
      <c r="L77" s="35"/>
      <c r="M77" s="28"/>
      <c r="N77" s="36"/>
      <c r="O77" s="29">
        <f t="shared" si="1"/>
        <v>0</v>
      </c>
      <c r="R77" s="6"/>
    </row>
    <row r="78" spans="1:18" x14ac:dyDescent="0.2">
      <c r="A78" s="32"/>
      <c r="B78" s="17" t="s">
        <v>23</v>
      </c>
      <c r="C78" s="28"/>
      <c r="D78" s="28"/>
      <c r="E78" s="28"/>
      <c r="F78" s="28"/>
      <c r="G78" s="33"/>
      <c r="H78" s="28"/>
      <c r="I78" s="28"/>
      <c r="J78" s="28"/>
      <c r="K78" s="28"/>
      <c r="L78" s="35"/>
      <c r="M78" s="28"/>
      <c r="N78" s="36"/>
      <c r="O78" s="29">
        <f t="shared" si="1"/>
        <v>0</v>
      </c>
      <c r="R78" s="6"/>
    </row>
    <row r="79" spans="1:18" x14ac:dyDescent="0.2">
      <c r="A79" s="32"/>
      <c r="B79" s="17" t="s">
        <v>23</v>
      </c>
      <c r="C79" s="28"/>
      <c r="D79" s="28"/>
      <c r="E79" s="28"/>
      <c r="F79" s="28"/>
      <c r="G79" s="33"/>
      <c r="H79" s="28"/>
      <c r="I79" s="28"/>
      <c r="J79" s="28"/>
      <c r="K79" s="28"/>
      <c r="L79" s="35"/>
      <c r="M79" s="28"/>
      <c r="N79" s="36"/>
      <c r="O79" s="29">
        <f t="shared" si="1"/>
        <v>0</v>
      </c>
      <c r="R79" s="6"/>
    </row>
    <row r="80" spans="1:18" x14ac:dyDescent="0.2">
      <c r="A80" s="32"/>
      <c r="B80" s="17" t="s">
        <v>23</v>
      </c>
      <c r="C80" s="28"/>
      <c r="D80" s="28"/>
      <c r="E80" s="28"/>
      <c r="F80" s="28"/>
      <c r="G80" s="33"/>
      <c r="H80" s="28"/>
      <c r="I80" s="28"/>
      <c r="J80" s="28"/>
      <c r="K80" s="28"/>
      <c r="L80" s="35"/>
      <c r="M80" s="28"/>
      <c r="N80" s="36"/>
      <c r="O80" s="29">
        <f t="shared" si="1"/>
        <v>0</v>
      </c>
      <c r="R80" s="6"/>
    </row>
    <row r="81" spans="1:18" x14ac:dyDescent="0.2">
      <c r="A81" s="32"/>
      <c r="B81" s="17" t="s">
        <v>23</v>
      </c>
      <c r="C81" s="28"/>
      <c r="D81" s="28"/>
      <c r="E81" s="28"/>
      <c r="F81" s="28"/>
      <c r="G81" s="33"/>
      <c r="H81" s="28"/>
      <c r="I81" s="28"/>
      <c r="J81" s="28"/>
      <c r="K81" s="28"/>
      <c r="L81" s="35"/>
      <c r="M81" s="28"/>
      <c r="N81" s="36"/>
      <c r="O81" s="29">
        <f t="shared" si="1"/>
        <v>0</v>
      </c>
      <c r="R81" s="6"/>
    </row>
    <row r="82" spans="1:18" x14ac:dyDescent="0.2">
      <c r="A82" s="32"/>
      <c r="B82" s="17" t="s">
        <v>23</v>
      </c>
      <c r="C82" s="28"/>
      <c r="D82" s="28"/>
      <c r="E82" s="28"/>
      <c r="F82" s="28"/>
      <c r="G82" s="33"/>
      <c r="H82" s="28"/>
      <c r="I82" s="28"/>
      <c r="J82" s="28"/>
      <c r="K82" s="28"/>
      <c r="L82" s="35"/>
      <c r="M82" s="28"/>
      <c r="N82" s="36"/>
      <c r="O82" s="29">
        <f t="shared" si="1"/>
        <v>0</v>
      </c>
      <c r="R82" s="6"/>
    </row>
    <row r="83" spans="1:18" x14ac:dyDescent="0.2">
      <c r="A83" s="32"/>
      <c r="B83" s="17" t="s">
        <v>23</v>
      </c>
      <c r="C83" s="28"/>
      <c r="D83" s="28"/>
      <c r="E83" s="28"/>
      <c r="F83" s="28"/>
      <c r="G83" s="33"/>
      <c r="H83" s="28"/>
      <c r="I83" s="28"/>
      <c r="J83" s="28"/>
      <c r="K83" s="28"/>
      <c r="L83" s="35"/>
      <c r="M83" s="28"/>
      <c r="N83" s="36"/>
      <c r="O83" s="29">
        <f t="shared" si="1"/>
        <v>0</v>
      </c>
      <c r="R83" s="6"/>
    </row>
    <row r="84" spans="1:18" x14ac:dyDescent="0.2">
      <c r="A84" s="32"/>
      <c r="B84" s="17" t="s">
        <v>23</v>
      </c>
      <c r="C84" s="28"/>
      <c r="D84" s="28"/>
      <c r="E84" s="28"/>
      <c r="F84" s="28"/>
      <c r="G84" s="33"/>
      <c r="H84" s="28"/>
      <c r="I84" s="28"/>
      <c r="J84" s="28"/>
      <c r="K84" s="28"/>
      <c r="L84" s="35"/>
      <c r="M84" s="28"/>
      <c r="N84" s="36"/>
      <c r="O84" s="29">
        <f t="shared" si="1"/>
        <v>0</v>
      </c>
      <c r="R84" s="6"/>
    </row>
    <row r="85" spans="1:18" x14ac:dyDescent="0.2">
      <c r="A85" s="32"/>
      <c r="B85" s="17" t="s">
        <v>23</v>
      </c>
      <c r="C85" s="28"/>
      <c r="D85" s="28"/>
      <c r="E85" s="28"/>
      <c r="F85" s="28"/>
      <c r="G85" s="33"/>
      <c r="H85" s="28"/>
      <c r="I85" s="28"/>
      <c r="J85" s="28"/>
      <c r="K85" s="28"/>
      <c r="L85" s="35"/>
      <c r="M85" s="28"/>
      <c r="N85" s="36"/>
      <c r="O85" s="29">
        <f t="shared" si="1"/>
        <v>0</v>
      </c>
      <c r="R85" s="6"/>
    </row>
    <row r="86" spans="1:18" x14ac:dyDescent="0.2">
      <c r="A86" s="32"/>
      <c r="B86" s="17" t="s">
        <v>23</v>
      </c>
      <c r="C86" s="28"/>
      <c r="D86" s="28"/>
      <c r="E86" s="28"/>
      <c r="F86" s="28"/>
      <c r="G86" s="33"/>
      <c r="H86" s="28"/>
      <c r="I86" s="28"/>
      <c r="J86" s="28"/>
      <c r="K86" s="28"/>
      <c r="L86" s="35"/>
      <c r="M86" s="28"/>
      <c r="N86" s="36"/>
      <c r="O86" s="29">
        <f t="shared" si="1"/>
        <v>0</v>
      </c>
      <c r="R86" s="6"/>
    </row>
    <row r="87" spans="1:18" x14ac:dyDescent="0.2">
      <c r="A87" s="32"/>
      <c r="B87" s="17" t="s">
        <v>23</v>
      </c>
      <c r="C87" s="28"/>
      <c r="D87" s="28"/>
      <c r="E87" s="28"/>
      <c r="F87" s="28"/>
      <c r="G87" s="33"/>
      <c r="H87" s="28"/>
      <c r="I87" s="28"/>
      <c r="J87" s="28"/>
      <c r="K87" s="28"/>
      <c r="L87" s="35"/>
      <c r="M87" s="28"/>
      <c r="N87" s="36"/>
      <c r="O87" s="29">
        <f t="shared" si="1"/>
        <v>0</v>
      </c>
      <c r="R87" s="6"/>
    </row>
    <row r="88" spans="1:18" x14ac:dyDescent="0.2">
      <c r="A88" s="32"/>
      <c r="B88" s="17" t="s">
        <v>23</v>
      </c>
      <c r="C88" s="28"/>
      <c r="D88" s="28"/>
      <c r="E88" s="28"/>
      <c r="F88" s="28"/>
      <c r="G88" s="33"/>
      <c r="H88" s="28"/>
      <c r="I88" s="28"/>
      <c r="J88" s="28"/>
      <c r="K88" s="28"/>
      <c r="L88" s="35"/>
      <c r="M88" s="28"/>
      <c r="N88" s="36"/>
      <c r="O88" s="29">
        <f t="shared" si="1"/>
        <v>0</v>
      </c>
      <c r="R88" s="6"/>
    </row>
    <row r="89" spans="1:18" x14ac:dyDescent="0.2">
      <c r="A89" s="32"/>
      <c r="B89" s="17" t="s">
        <v>23</v>
      </c>
      <c r="C89" s="28"/>
      <c r="D89" s="28"/>
      <c r="E89" s="28"/>
      <c r="F89" s="28"/>
      <c r="G89" s="33"/>
      <c r="H89" s="28"/>
      <c r="I89" s="28"/>
      <c r="J89" s="28"/>
      <c r="K89" s="28"/>
      <c r="L89" s="35"/>
      <c r="M89" s="28"/>
      <c r="N89" s="36"/>
      <c r="O89" s="29">
        <f t="shared" si="1"/>
        <v>0</v>
      </c>
      <c r="R89" s="6"/>
    </row>
    <row r="90" spans="1:18" x14ac:dyDescent="0.2">
      <c r="A90" s="32"/>
      <c r="B90" s="17" t="s">
        <v>23</v>
      </c>
      <c r="C90" s="28"/>
      <c r="D90" s="28"/>
      <c r="E90" s="28"/>
      <c r="F90" s="28"/>
      <c r="G90" s="33"/>
      <c r="H90" s="28"/>
      <c r="I90" s="28"/>
      <c r="J90" s="28"/>
      <c r="K90" s="28"/>
      <c r="L90" s="35"/>
      <c r="M90" s="28"/>
      <c r="N90" s="36"/>
      <c r="O90" s="29">
        <f t="shared" si="1"/>
        <v>0</v>
      </c>
      <c r="R90" s="6"/>
    </row>
    <row r="91" spans="1:18" x14ac:dyDescent="0.2">
      <c r="A91" s="32"/>
      <c r="B91" s="17" t="s">
        <v>23</v>
      </c>
      <c r="C91" s="28"/>
      <c r="D91" s="28"/>
      <c r="E91" s="28"/>
      <c r="F91" s="28"/>
      <c r="G91" s="33"/>
      <c r="H91" s="28"/>
      <c r="I91" s="28"/>
      <c r="J91" s="28"/>
      <c r="K91" s="28"/>
      <c r="L91" s="35"/>
      <c r="M91" s="28"/>
      <c r="N91" s="36"/>
      <c r="O91" s="29">
        <f t="shared" si="1"/>
        <v>0</v>
      </c>
      <c r="R91" s="6"/>
    </row>
    <row r="92" spans="1:18" x14ac:dyDescent="0.2">
      <c r="A92" s="32"/>
      <c r="B92" s="17" t="s">
        <v>23</v>
      </c>
      <c r="C92" s="28"/>
      <c r="D92" s="28"/>
      <c r="E92" s="28"/>
      <c r="F92" s="28"/>
      <c r="G92" s="33"/>
      <c r="H92" s="28"/>
      <c r="I92" s="28"/>
      <c r="J92" s="28"/>
      <c r="K92" s="28"/>
      <c r="L92" s="35"/>
      <c r="M92" s="28"/>
      <c r="N92" s="36"/>
      <c r="O92" s="29">
        <f t="shared" si="1"/>
        <v>0</v>
      </c>
      <c r="R92" s="6"/>
    </row>
    <row r="93" spans="1:18" x14ac:dyDescent="0.2">
      <c r="A93" s="32"/>
      <c r="B93" s="17" t="s">
        <v>23</v>
      </c>
      <c r="C93" s="28"/>
      <c r="D93" s="28"/>
      <c r="E93" s="28"/>
      <c r="F93" s="28"/>
      <c r="G93" s="33"/>
      <c r="H93" s="28"/>
      <c r="I93" s="28"/>
      <c r="J93" s="28"/>
      <c r="K93" s="28"/>
      <c r="L93" s="35"/>
      <c r="M93" s="28"/>
      <c r="N93" s="36"/>
      <c r="O93" s="29">
        <f t="shared" si="1"/>
        <v>0</v>
      </c>
      <c r="R93" s="6"/>
    </row>
    <row r="94" spans="1:18" x14ac:dyDescent="0.2">
      <c r="A94" s="32"/>
      <c r="B94" s="17" t="s">
        <v>23</v>
      </c>
      <c r="C94" s="28"/>
      <c r="D94" s="28"/>
      <c r="E94" s="28"/>
      <c r="F94" s="28"/>
      <c r="G94" s="33"/>
      <c r="H94" s="28"/>
      <c r="I94" s="28"/>
      <c r="J94" s="28"/>
      <c r="K94" s="28"/>
      <c r="L94" s="35"/>
      <c r="M94" s="28"/>
      <c r="N94" s="36"/>
      <c r="O94" s="29">
        <f t="shared" si="1"/>
        <v>0</v>
      </c>
      <c r="R94" s="6"/>
    </row>
    <row r="95" spans="1:18" x14ac:dyDescent="0.2">
      <c r="A95" s="32"/>
      <c r="B95" s="17" t="s">
        <v>23</v>
      </c>
      <c r="C95" s="28"/>
      <c r="D95" s="28"/>
      <c r="E95" s="28"/>
      <c r="F95" s="28"/>
      <c r="G95" s="33"/>
      <c r="H95" s="28"/>
      <c r="I95" s="28"/>
      <c r="J95" s="28"/>
      <c r="K95" s="28"/>
      <c r="L95" s="35"/>
      <c r="M95" s="28"/>
      <c r="N95" s="36"/>
      <c r="O95" s="29">
        <f t="shared" si="1"/>
        <v>0</v>
      </c>
      <c r="R95" s="6"/>
    </row>
    <row r="96" spans="1:18" x14ac:dyDescent="0.2">
      <c r="A96" s="32"/>
      <c r="B96" s="17" t="s">
        <v>23</v>
      </c>
      <c r="C96" s="28"/>
      <c r="D96" s="28"/>
      <c r="E96" s="28"/>
      <c r="F96" s="28"/>
      <c r="G96" s="33"/>
      <c r="H96" s="28"/>
      <c r="I96" s="28"/>
      <c r="J96" s="28"/>
      <c r="K96" s="28"/>
      <c r="L96" s="35"/>
      <c r="M96" s="28"/>
      <c r="N96" s="36"/>
      <c r="O96" s="29">
        <f t="shared" si="1"/>
        <v>0</v>
      </c>
      <c r="R96" s="6"/>
    </row>
    <row r="97" spans="1:18" x14ac:dyDescent="0.2">
      <c r="A97" s="32"/>
      <c r="B97" s="17" t="s">
        <v>23</v>
      </c>
      <c r="C97" s="28"/>
      <c r="D97" s="28"/>
      <c r="E97" s="28"/>
      <c r="F97" s="28"/>
      <c r="G97" s="33"/>
      <c r="H97" s="28"/>
      <c r="I97" s="28"/>
      <c r="J97" s="28"/>
      <c r="K97" s="28"/>
      <c r="L97" s="35"/>
      <c r="M97" s="28"/>
      <c r="N97" s="36"/>
      <c r="O97" s="29">
        <f t="shared" si="1"/>
        <v>0</v>
      </c>
      <c r="R97" s="6"/>
    </row>
    <row r="98" spans="1:18" x14ac:dyDescent="0.2">
      <c r="A98" s="32"/>
      <c r="B98" s="17" t="s">
        <v>23</v>
      </c>
      <c r="C98" s="28"/>
      <c r="D98" s="28"/>
      <c r="E98" s="28"/>
      <c r="F98" s="28"/>
      <c r="G98" s="33"/>
      <c r="H98" s="28"/>
      <c r="I98" s="28"/>
      <c r="J98" s="28"/>
      <c r="K98" s="28"/>
      <c r="L98" s="35"/>
      <c r="M98" s="28"/>
      <c r="N98" s="36"/>
      <c r="O98" s="29">
        <f t="shared" si="1"/>
        <v>0</v>
      </c>
      <c r="R98" s="6"/>
    </row>
    <row r="99" spans="1:18" x14ac:dyDescent="0.2">
      <c r="A99" s="32"/>
      <c r="B99" s="17" t="s">
        <v>23</v>
      </c>
      <c r="C99" s="28"/>
      <c r="D99" s="28"/>
      <c r="E99" s="28"/>
      <c r="F99" s="28"/>
      <c r="G99" s="33"/>
      <c r="H99" s="28"/>
      <c r="I99" s="28"/>
      <c r="J99" s="28"/>
      <c r="K99" s="28"/>
      <c r="L99" s="35"/>
      <c r="M99" s="28"/>
      <c r="N99" s="36"/>
      <c r="O99" s="29">
        <f t="shared" si="1"/>
        <v>0</v>
      </c>
      <c r="R99" s="6"/>
    </row>
    <row r="100" spans="1:18" x14ac:dyDescent="0.2">
      <c r="A100" s="32"/>
      <c r="B100" s="17" t="s">
        <v>23</v>
      </c>
      <c r="C100" s="28"/>
      <c r="D100" s="28"/>
      <c r="E100" s="28"/>
      <c r="F100" s="28"/>
      <c r="G100" s="33"/>
      <c r="H100" s="28"/>
      <c r="I100" s="28"/>
      <c r="J100" s="28"/>
      <c r="K100" s="28"/>
      <c r="L100" s="35"/>
      <c r="M100" s="28"/>
      <c r="N100" s="36"/>
      <c r="O100" s="29">
        <f t="shared" si="1"/>
        <v>0</v>
      </c>
      <c r="R100" s="6"/>
    </row>
    <row r="101" spans="1:18" x14ac:dyDescent="0.2">
      <c r="A101" s="32"/>
      <c r="B101" s="17" t="s">
        <v>23</v>
      </c>
      <c r="C101" s="28"/>
      <c r="D101" s="28"/>
      <c r="E101" s="28"/>
      <c r="F101" s="28"/>
      <c r="G101" s="33"/>
      <c r="H101" s="28"/>
      <c r="I101" s="28"/>
      <c r="J101" s="28"/>
      <c r="K101" s="28"/>
      <c r="L101" s="35"/>
      <c r="M101" s="28"/>
      <c r="N101" s="36"/>
      <c r="O101" s="29">
        <f t="shared" si="1"/>
        <v>0</v>
      </c>
      <c r="R101" s="6"/>
    </row>
    <row r="102" spans="1:18" x14ac:dyDescent="0.2">
      <c r="A102" s="32"/>
      <c r="B102" s="17" t="s">
        <v>23</v>
      </c>
      <c r="C102" s="28"/>
      <c r="D102" s="28"/>
      <c r="E102" s="28"/>
      <c r="F102" s="28"/>
      <c r="G102" s="33"/>
      <c r="H102" s="28"/>
      <c r="I102" s="28"/>
      <c r="J102" s="28"/>
      <c r="K102" s="28"/>
      <c r="L102" s="35"/>
      <c r="M102" s="28"/>
      <c r="N102" s="36"/>
      <c r="O102" s="29">
        <f t="shared" si="1"/>
        <v>0</v>
      </c>
      <c r="R102" s="6"/>
    </row>
    <row r="103" spans="1:18" x14ac:dyDescent="0.2">
      <c r="A103" s="32"/>
      <c r="B103" s="17" t="s">
        <v>23</v>
      </c>
      <c r="C103" s="28"/>
      <c r="D103" s="28"/>
      <c r="E103" s="28"/>
      <c r="F103" s="28"/>
      <c r="G103" s="33"/>
      <c r="H103" s="28"/>
      <c r="I103" s="28"/>
      <c r="J103" s="28"/>
      <c r="K103" s="28"/>
      <c r="L103" s="35"/>
      <c r="M103" s="28"/>
      <c r="N103" s="36"/>
      <c r="O103" s="29">
        <f t="shared" si="1"/>
        <v>0</v>
      </c>
      <c r="R103" s="6"/>
    </row>
    <row r="104" spans="1:18" x14ac:dyDescent="0.2">
      <c r="A104" s="32"/>
      <c r="B104" s="17" t="s">
        <v>23</v>
      </c>
      <c r="C104" s="28"/>
      <c r="D104" s="28"/>
      <c r="E104" s="28"/>
      <c r="F104" s="28"/>
      <c r="G104" s="33"/>
      <c r="H104" s="28"/>
      <c r="I104" s="28"/>
      <c r="J104" s="28"/>
      <c r="K104" s="28"/>
      <c r="L104" s="35"/>
      <c r="M104" s="28"/>
      <c r="N104" s="36"/>
      <c r="O104" s="29">
        <f t="shared" si="1"/>
        <v>0</v>
      </c>
      <c r="R104" s="6"/>
    </row>
    <row r="105" spans="1:18" x14ac:dyDescent="0.2">
      <c r="A105" s="32"/>
      <c r="B105" s="17" t="s">
        <v>23</v>
      </c>
      <c r="C105" s="28"/>
      <c r="D105" s="28"/>
      <c r="E105" s="28"/>
      <c r="F105" s="28"/>
      <c r="G105" s="33"/>
      <c r="H105" s="28"/>
      <c r="I105" s="28"/>
      <c r="J105" s="28"/>
      <c r="K105" s="28"/>
      <c r="L105" s="35"/>
      <c r="M105" s="28"/>
      <c r="N105" s="36"/>
      <c r="O105" s="29">
        <f t="shared" si="1"/>
        <v>0</v>
      </c>
      <c r="R105" s="6"/>
    </row>
    <row r="106" spans="1:18" x14ac:dyDescent="0.2">
      <c r="A106" s="32"/>
      <c r="B106" s="17" t="s">
        <v>23</v>
      </c>
      <c r="C106" s="28"/>
      <c r="D106" s="28"/>
      <c r="E106" s="28"/>
      <c r="F106" s="28"/>
      <c r="G106" s="33"/>
      <c r="H106" s="28"/>
      <c r="I106" s="28"/>
      <c r="J106" s="28"/>
      <c r="K106" s="28"/>
      <c r="L106" s="35"/>
      <c r="M106" s="28"/>
      <c r="N106" s="36"/>
      <c r="O106" s="29">
        <f t="shared" si="1"/>
        <v>0</v>
      </c>
      <c r="R106" s="6"/>
    </row>
    <row r="107" spans="1:18" x14ac:dyDescent="0.2">
      <c r="A107" s="32"/>
      <c r="B107" s="17" t="s">
        <v>23</v>
      </c>
      <c r="C107" s="28"/>
      <c r="D107" s="28"/>
      <c r="E107" s="28"/>
      <c r="F107" s="28"/>
      <c r="G107" s="33"/>
      <c r="H107" s="28"/>
      <c r="I107" s="28"/>
      <c r="J107" s="28"/>
      <c r="K107" s="28"/>
      <c r="L107" s="35"/>
      <c r="M107" s="28"/>
      <c r="N107" s="36"/>
      <c r="O107" s="29">
        <f t="shared" si="1"/>
        <v>0</v>
      </c>
      <c r="R107" s="6"/>
    </row>
    <row r="108" spans="1:18" x14ac:dyDescent="0.2">
      <c r="A108" s="32"/>
      <c r="B108" s="17" t="s">
        <v>23</v>
      </c>
      <c r="C108" s="28"/>
      <c r="D108" s="28"/>
      <c r="E108" s="28"/>
      <c r="F108" s="28"/>
      <c r="G108" s="33"/>
      <c r="H108" s="28"/>
      <c r="I108" s="28"/>
      <c r="J108" s="28"/>
      <c r="K108" s="28"/>
      <c r="L108" s="35"/>
      <c r="M108" s="28"/>
      <c r="N108" s="36"/>
      <c r="O108" s="29">
        <f t="shared" si="1"/>
        <v>0</v>
      </c>
      <c r="R108" s="6"/>
    </row>
    <row r="109" spans="1:18" x14ac:dyDescent="0.2">
      <c r="A109" s="32"/>
      <c r="B109" s="17" t="s">
        <v>23</v>
      </c>
      <c r="C109" s="28"/>
      <c r="D109" s="28"/>
      <c r="E109" s="28"/>
      <c r="F109" s="28"/>
      <c r="G109" s="33"/>
      <c r="H109" s="28"/>
      <c r="I109" s="28"/>
      <c r="J109" s="28"/>
      <c r="K109" s="28"/>
      <c r="L109" s="35"/>
      <c r="M109" s="28"/>
      <c r="N109" s="36"/>
      <c r="O109" s="29">
        <f t="shared" si="1"/>
        <v>0</v>
      </c>
      <c r="R109" s="6"/>
    </row>
    <row r="110" spans="1:18" x14ac:dyDescent="0.2">
      <c r="A110" s="32"/>
      <c r="B110" s="17" t="s">
        <v>23</v>
      </c>
      <c r="C110" s="28"/>
      <c r="D110" s="28"/>
      <c r="E110" s="28"/>
      <c r="F110" s="28"/>
      <c r="G110" s="33"/>
      <c r="H110" s="28"/>
      <c r="I110" s="28"/>
      <c r="J110" s="28"/>
      <c r="K110" s="28"/>
      <c r="L110" s="35"/>
      <c r="M110" s="28"/>
      <c r="N110" s="36"/>
      <c r="O110" s="29">
        <f t="shared" si="1"/>
        <v>0</v>
      </c>
      <c r="R110" s="6"/>
    </row>
    <row r="111" spans="1:18" x14ac:dyDescent="0.2">
      <c r="A111" s="32"/>
      <c r="B111" s="17" t="s">
        <v>23</v>
      </c>
      <c r="C111" s="28"/>
      <c r="D111" s="28"/>
      <c r="E111" s="28"/>
      <c r="F111" s="28"/>
      <c r="G111" s="33"/>
      <c r="H111" s="28"/>
      <c r="I111" s="28"/>
      <c r="J111" s="28"/>
      <c r="K111" s="28"/>
      <c r="L111" s="35"/>
      <c r="M111" s="28"/>
      <c r="N111" s="36"/>
      <c r="O111" s="29">
        <f t="shared" si="1"/>
        <v>0</v>
      </c>
      <c r="R111" s="6"/>
    </row>
    <row r="112" spans="1:18" x14ac:dyDescent="0.2">
      <c r="A112" s="32"/>
      <c r="B112" s="17" t="s">
        <v>23</v>
      </c>
      <c r="C112" s="28"/>
      <c r="D112" s="28"/>
      <c r="E112" s="28"/>
      <c r="F112" s="28"/>
      <c r="G112" s="33"/>
      <c r="H112" s="28"/>
      <c r="I112" s="28"/>
      <c r="J112" s="28"/>
      <c r="K112" s="28"/>
      <c r="L112" s="35"/>
      <c r="M112" s="28"/>
      <c r="N112" s="36"/>
      <c r="O112" s="29">
        <f t="shared" si="1"/>
        <v>0</v>
      </c>
      <c r="R112" s="6"/>
    </row>
    <row r="113" spans="1:18" x14ac:dyDescent="0.2">
      <c r="A113" s="32"/>
      <c r="B113" s="17" t="s">
        <v>23</v>
      </c>
      <c r="C113" s="28"/>
      <c r="D113" s="28"/>
      <c r="E113" s="28"/>
      <c r="F113" s="28"/>
      <c r="G113" s="33"/>
      <c r="H113" s="28"/>
      <c r="I113" s="28"/>
      <c r="J113" s="28"/>
      <c r="K113" s="28"/>
      <c r="L113" s="35"/>
      <c r="M113" s="28"/>
      <c r="N113" s="36"/>
      <c r="O113" s="29">
        <f t="shared" si="1"/>
        <v>0</v>
      </c>
      <c r="R113" s="6"/>
    </row>
    <row r="114" spans="1:18" x14ac:dyDescent="0.2">
      <c r="A114" s="32"/>
      <c r="B114" s="17" t="s">
        <v>23</v>
      </c>
      <c r="C114" s="28"/>
      <c r="D114" s="28"/>
      <c r="E114" s="28"/>
      <c r="F114" s="28"/>
      <c r="G114" s="33"/>
      <c r="H114" s="28"/>
      <c r="I114" s="28"/>
      <c r="J114" s="28"/>
      <c r="K114" s="28"/>
      <c r="L114" s="35"/>
      <c r="M114" s="28"/>
      <c r="N114" s="36"/>
      <c r="O114" s="29">
        <f t="shared" si="1"/>
        <v>0</v>
      </c>
      <c r="R114" s="6"/>
    </row>
    <row r="115" spans="1:18" x14ac:dyDescent="0.2">
      <c r="A115" s="32"/>
      <c r="B115" s="17" t="s">
        <v>23</v>
      </c>
      <c r="C115" s="28"/>
      <c r="D115" s="28"/>
      <c r="E115" s="28"/>
      <c r="F115" s="28"/>
      <c r="G115" s="33"/>
      <c r="H115" s="28"/>
      <c r="I115" s="28"/>
      <c r="J115" s="28"/>
      <c r="K115" s="28"/>
      <c r="L115" s="35"/>
      <c r="M115" s="28"/>
      <c r="N115" s="36"/>
      <c r="O115" s="29">
        <f t="shared" si="1"/>
        <v>0</v>
      </c>
      <c r="R115" s="6"/>
    </row>
    <row r="116" spans="1:18" x14ac:dyDescent="0.2">
      <c r="A116" s="32"/>
      <c r="B116" s="17" t="s">
        <v>23</v>
      </c>
      <c r="C116" s="28"/>
      <c r="D116" s="28"/>
      <c r="E116" s="28"/>
      <c r="F116" s="28"/>
      <c r="G116" s="33"/>
      <c r="H116" s="28"/>
      <c r="I116" s="28"/>
      <c r="J116" s="28"/>
      <c r="K116" s="28"/>
      <c r="L116" s="35"/>
      <c r="M116" s="28"/>
      <c r="N116" s="36"/>
      <c r="O116" s="29">
        <f t="shared" si="1"/>
        <v>0</v>
      </c>
      <c r="R116" s="6"/>
    </row>
    <row r="117" spans="1:18" x14ac:dyDescent="0.2">
      <c r="A117" s="32"/>
      <c r="B117" s="17" t="s">
        <v>23</v>
      </c>
      <c r="C117" s="28"/>
      <c r="D117" s="28"/>
      <c r="E117" s="28"/>
      <c r="F117" s="28"/>
      <c r="G117" s="33"/>
      <c r="H117" s="28"/>
      <c r="I117" s="28"/>
      <c r="J117" s="28"/>
      <c r="K117" s="28"/>
      <c r="L117" s="35"/>
      <c r="M117" s="28"/>
      <c r="N117" s="36"/>
      <c r="O117" s="29">
        <f t="shared" si="1"/>
        <v>0</v>
      </c>
      <c r="R117" s="6"/>
    </row>
    <row r="118" spans="1:18" x14ac:dyDescent="0.2">
      <c r="A118" s="32"/>
      <c r="B118" s="17" t="s">
        <v>23</v>
      </c>
      <c r="C118" s="28"/>
      <c r="D118" s="28"/>
      <c r="E118" s="28"/>
      <c r="F118" s="28"/>
      <c r="G118" s="33"/>
      <c r="H118" s="28"/>
      <c r="I118" s="28"/>
      <c r="J118" s="28"/>
      <c r="K118" s="28"/>
      <c r="L118" s="35"/>
      <c r="M118" s="28"/>
      <c r="N118" s="36"/>
      <c r="O118" s="29">
        <f t="shared" si="1"/>
        <v>0</v>
      </c>
      <c r="R118" s="6"/>
    </row>
    <row r="119" spans="1:18" x14ac:dyDescent="0.2">
      <c r="A119" s="32"/>
      <c r="B119" s="17" t="s">
        <v>23</v>
      </c>
      <c r="C119" s="28"/>
      <c r="D119" s="28"/>
      <c r="E119" s="28"/>
      <c r="F119" s="28"/>
      <c r="G119" s="33"/>
      <c r="H119" s="28"/>
      <c r="I119" s="28"/>
      <c r="J119" s="28"/>
      <c r="K119" s="28"/>
      <c r="L119" s="35"/>
      <c r="M119" s="28"/>
      <c r="N119" s="36"/>
      <c r="O119" s="29">
        <f t="shared" si="1"/>
        <v>0</v>
      </c>
      <c r="R119" s="6"/>
    </row>
    <row r="120" spans="1:18" x14ac:dyDescent="0.2">
      <c r="A120" s="32"/>
      <c r="B120" s="17" t="s">
        <v>23</v>
      </c>
      <c r="C120" s="28"/>
      <c r="D120" s="28"/>
      <c r="E120" s="28"/>
      <c r="F120" s="28"/>
      <c r="G120" s="33"/>
      <c r="H120" s="28"/>
      <c r="I120" s="28"/>
      <c r="J120" s="28"/>
      <c r="K120" s="28"/>
      <c r="L120" s="35"/>
      <c r="M120" s="28"/>
      <c r="N120" s="36"/>
      <c r="O120" s="29">
        <f t="shared" si="1"/>
        <v>0</v>
      </c>
      <c r="R120" s="6"/>
    </row>
    <row r="121" spans="1:18" x14ac:dyDescent="0.2">
      <c r="A121" s="32"/>
      <c r="B121" s="17" t="s">
        <v>23</v>
      </c>
      <c r="C121" s="28"/>
      <c r="D121" s="28"/>
      <c r="E121" s="28"/>
      <c r="F121" s="28"/>
      <c r="G121" s="33"/>
      <c r="H121" s="28"/>
      <c r="I121" s="28"/>
      <c r="J121" s="28"/>
      <c r="K121" s="28"/>
      <c r="L121" s="35"/>
      <c r="M121" s="28"/>
      <c r="N121" s="36"/>
      <c r="O121" s="29">
        <f t="shared" si="1"/>
        <v>0</v>
      </c>
      <c r="R121" s="6"/>
    </row>
    <row r="122" spans="1:18" x14ac:dyDescent="0.2">
      <c r="A122" s="32"/>
      <c r="B122" s="17" t="s">
        <v>23</v>
      </c>
      <c r="C122" s="28"/>
      <c r="D122" s="28"/>
      <c r="E122" s="28"/>
      <c r="F122" s="28"/>
      <c r="G122" s="33"/>
      <c r="H122" s="28"/>
      <c r="I122" s="28"/>
      <c r="J122" s="28"/>
      <c r="K122" s="28"/>
      <c r="L122" s="35"/>
      <c r="M122" s="28"/>
      <c r="N122" s="36"/>
      <c r="O122" s="29">
        <f t="shared" si="1"/>
        <v>0</v>
      </c>
      <c r="R122" s="6"/>
    </row>
    <row r="123" spans="1:18" x14ac:dyDescent="0.2">
      <c r="A123" s="32"/>
      <c r="B123" s="17" t="s">
        <v>23</v>
      </c>
      <c r="C123" s="28"/>
      <c r="D123" s="28"/>
      <c r="E123" s="28"/>
      <c r="F123" s="28"/>
      <c r="G123" s="33"/>
      <c r="H123" s="28"/>
      <c r="I123" s="28"/>
      <c r="J123" s="28"/>
      <c r="K123" s="28"/>
      <c r="L123" s="35"/>
      <c r="M123" s="28"/>
      <c r="N123" s="36"/>
      <c r="O123" s="29">
        <f t="shared" si="1"/>
        <v>0</v>
      </c>
      <c r="R123" s="6"/>
    </row>
    <row r="124" spans="1:18" x14ac:dyDescent="0.2">
      <c r="A124" s="32"/>
      <c r="B124" s="17" t="s">
        <v>23</v>
      </c>
      <c r="C124" s="28"/>
      <c r="D124" s="28"/>
      <c r="E124" s="28"/>
      <c r="F124" s="28"/>
      <c r="G124" s="33"/>
      <c r="H124" s="28"/>
      <c r="I124" s="28"/>
      <c r="J124" s="28"/>
      <c r="K124" s="28"/>
      <c r="L124" s="35"/>
      <c r="M124" s="28"/>
      <c r="N124" s="36"/>
      <c r="O124" s="29">
        <f t="shared" si="1"/>
        <v>0</v>
      </c>
      <c r="R124" s="6"/>
    </row>
    <row r="125" spans="1:18" x14ac:dyDescent="0.2">
      <c r="A125" s="32"/>
      <c r="B125" s="17" t="s">
        <v>23</v>
      </c>
      <c r="C125" s="28"/>
      <c r="D125" s="28"/>
      <c r="E125" s="28"/>
      <c r="F125" s="28"/>
      <c r="G125" s="33"/>
      <c r="H125" s="28"/>
      <c r="I125" s="28"/>
      <c r="J125" s="28"/>
      <c r="K125" s="28"/>
      <c r="L125" s="35"/>
      <c r="M125" s="28"/>
      <c r="N125" s="36"/>
      <c r="O125" s="29">
        <f t="shared" si="1"/>
        <v>0</v>
      </c>
      <c r="R125" s="6"/>
    </row>
    <row r="126" spans="1:18" x14ac:dyDescent="0.2">
      <c r="A126" s="32"/>
      <c r="B126" s="17" t="s">
        <v>23</v>
      </c>
      <c r="C126" s="28"/>
      <c r="D126" s="28"/>
      <c r="E126" s="28"/>
      <c r="F126" s="28"/>
      <c r="G126" s="33"/>
      <c r="H126" s="28"/>
      <c r="I126" s="28"/>
      <c r="J126" s="28"/>
      <c r="K126" s="28"/>
      <c r="L126" s="35"/>
      <c r="M126" s="28"/>
      <c r="N126" s="36"/>
      <c r="O126" s="29">
        <f t="shared" si="1"/>
        <v>0</v>
      </c>
      <c r="R126" s="6"/>
    </row>
    <row r="127" spans="1:18" x14ac:dyDescent="0.2">
      <c r="A127" s="32"/>
      <c r="B127" s="17" t="s">
        <v>23</v>
      </c>
      <c r="C127" s="28"/>
      <c r="D127" s="28"/>
      <c r="E127" s="28"/>
      <c r="F127" s="28"/>
      <c r="G127" s="33"/>
      <c r="H127" s="28"/>
      <c r="I127" s="28"/>
      <c r="J127" s="28"/>
      <c r="K127" s="28"/>
      <c r="L127" s="35"/>
      <c r="M127" s="28"/>
      <c r="N127" s="36"/>
      <c r="O127" s="29">
        <f t="shared" si="1"/>
        <v>0</v>
      </c>
      <c r="R127" s="6"/>
    </row>
    <row r="128" spans="1:18" x14ac:dyDescent="0.2">
      <c r="A128" s="32"/>
      <c r="B128" s="17" t="s">
        <v>23</v>
      </c>
      <c r="C128" s="28"/>
      <c r="D128" s="28"/>
      <c r="E128" s="28"/>
      <c r="F128" s="28"/>
      <c r="G128" s="33"/>
      <c r="H128" s="28"/>
      <c r="I128" s="28"/>
      <c r="J128" s="28"/>
      <c r="K128" s="28"/>
      <c r="L128" s="35"/>
      <c r="M128" s="28"/>
      <c r="N128" s="36"/>
      <c r="O128" s="29">
        <f t="shared" si="1"/>
        <v>0</v>
      </c>
      <c r="R128" s="6"/>
    </row>
    <row r="129" spans="1:18" x14ac:dyDescent="0.2">
      <c r="A129" s="32"/>
      <c r="B129" s="17" t="s">
        <v>23</v>
      </c>
      <c r="C129" s="28"/>
      <c r="D129" s="28"/>
      <c r="E129" s="28"/>
      <c r="F129" s="28"/>
      <c r="G129" s="33"/>
      <c r="H129" s="28"/>
      <c r="I129" s="28"/>
      <c r="J129" s="28"/>
      <c r="K129" s="28"/>
      <c r="L129" s="35"/>
      <c r="M129" s="28"/>
      <c r="N129" s="36"/>
      <c r="O129" s="29">
        <f t="shared" si="1"/>
        <v>0</v>
      </c>
      <c r="R129" s="6"/>
    </row>
    <row r="130" spans="1:18" x14ac:dyDescent="0.2">
      <c r="A130" s="32"/>
      <c r="B130" s="17" t="s">
        <v>23</v>
      </c>
      <c r="C130" s="28"/>
      <c r="D130" s="28"/>
      <c r="E130" s="28"/>
      <c r="F130" s="28"/>
      <c r="G130" s="33"/>
      <c r="H130" s="28"/>
      <c r="I130" s="28"/>
      <c r="J130" s="28"/>
      <c r="K130" s="28"/>
      <c r="L130" s="35"/>
      <c r="M130" s="28"/>
      <c r="N130" s="36"/>
      <c r="O130" s="29">
        <f t="shared" si="1"/>
        <v>0</v>
      </c>
      <c r="R130" s="6"/>
    </row>
    <row r="131" spans="1:18" x14ac:dyDescent="0.2">
      <c r="A131" s="32"/>
      <c r="B131" s="17" t="s">
        <v>23</v>
      </c>
      <c r="C131" s="28"/>
      <c r="D131" s="28"/>
      <c r="E131" s="28"/>
      <c r="F131" s="28"/>
      <c r="G131" s="33"/>
      <c r="H131" s="28"/>
      <c r="I131" s="28"/>
      <c r="J131" s="28"/>
      <c r="K131" s="28"/>
      <c r="L131" s="35"/>
      <c r="M131" s="28"/>
      <c r="N131" s="36"/>
      <c r="O131" s="29">
        <f t="shared" ref="O131:O194" si="2">N131*J131</f>
        <v>0</v>
      </c>
      <c r="R131" s="6"/>
    </row>
    <row r="132" spans="1:18" x14ac:dyDescent="0.2">
      <c r="A132" s="32"/>
      <c r="B132" s="17" t="s">
        <v>23</v>
      </c>
      <c r="C132" s="28"/>
      <c r="D132" s="28"/>
      <c r="E132" s="28"/>
      <c r="F132" s="28"/>
      <c r="G132" s="33"/>
      <c r="H132" s="28"/>
      <c r="I132" s="28"/>
      <c r="J132" s="28"/>
      <c r="K132" s="28"/>
      <c r="L132" s="35"/>
      <c r="M132" s="28"/>
      <c r="N132" s="36"/>
      <c r="O132" s="29">
        <f t="shared" si="2"/>
        <v>0</v>
      </c>
      <c r="R132" s="6"/>
    </row>
    <row r="133" spans="1:18" x14ac:dyDescent="0.2">
      <c r="A133" s="32"/>
      <c r="B133" s="17" t="s">
        <v>23</v>
      </c>
      <c r="C133" s="28"/>
      <c r="D133" s="28"/>
      <c r="E133" s="28"/>
      <c r="F133" s="28"/>
      <c r="G133" s="33"/>
      <c r="H133" s="28"/>
      <c r="I133" s="28"/>
      <c r="J133" s="28"/>
      <c r="K133" s="28"/>
      <c r="L133" s="35"/>
      <c r="M133" s="28"/>
      <c r="N133" s="36"/>
      <c r="O133" s="29">
        <f t="shared" si="2"/>
        <v>0</v>
      </c>
      <c r="R133" s="6"/>
    </row>
    <row r="134" spans="1:18" x14ac:dyDescent="0.2">
      <c r="A134" s="32"/>
      <c r="B134" s="17" t="s">
        <v>23</v>
      </c>
      <c r="C134" s="28"/>
      <c r="D134" s="28"/>
      <c r="E134" s="28"/>
      <c r="F134" s="28"/>
      <c r="G134" s="33"/>
      <c r="H134" s="28"/>
      <c r="I134" s="28"/>
      <c r="J134" s="28"/>
      <c r="K134" s="28"/>
      <c r="L134" s="35"/>
      <c r="M134" s="28"/>
      <c r="N134" s="36"/>
      <c r="O134" s="29">
        <f t="shared" si="2"/>
        <v>0</v>
      </c>
      <c r="Q134" s="56"/>
    </row>
    <row r="135" spans="1:18" x14ac:dyDescent="0.2">
      <c r="A135" s="32"/>
      <c r="B135" s="17" t="s">
        <v>23</v>
      </c>
      <c r="C135" s="28"/>
      <c r="D135" s="28"/>
      <c r="E135" s="28"/>
      <c r="F135" s="28"/>
      <c r="G135" s="33"/>
      <c r="H135" s="28"/>
      <c r="I135" s="28"/>
      <c r="J135" s="28"/>
      <c r="K135" s="28"/>
      <c r="L135" s="35"/>
      <c r="M135" s="28"/>
      <c r="N135" s="36"/>
      <c r="O135" s="29">
        <f t="shared" si="2"/>
        <v>0</v>
      </c>
    </row>
    <row r="136" spans="1:18" x14ac:dyDescent="0.2">
      <c r="A136" s="32"/>
      <c r="B136" s="17" t="s">
        <v>23</v>
      </c>
      <c r="C136" s="28"/>
      <c r="D136" s="28"/>
      <c r="E136" s="28"/>
      <c r="F136" s="28"/>
      <c r="G136" s="35"/>
      <c r="H136" s="28"/>
      <c r="I136" s="28"/>
      <c r="J136" s="28"/>
      <c r="K136" s="28"/>
      <c r="L136" s="35"/>
      <c r="M136" s="28"/>
      <c r="N136" s="36"/>
      <c r="O136" s="29">
        <f t="shared" si="2"/>
        <v>0</v>
      </c>
    </row>
    <row r="137" spans="1:18" x14ac:dyDescent="0.2">
      <c r="A137" s="32"/>
      <c r="B137" s="17" t="s">
        <v>23</v>
      </c>
      <c r="C137" s="28"/>
      <c r="D137" s="28"/>
      <c r="E137" s="28"/>
      <c r="F137" s="28"/>
      <c r="G137" s="33"/>
      <c r="H137" s="28"/>
      <c r="I137" s="28"/>
      <c r="J137" s="28"/>
      <c r="K137" s="28"/>
      <c r="L137" s="35"/>
      <c r="M137" s="28"/>
      <c r="N137" s="36"/>
      <c r="O137" s="29">
        <f t="shared" si="2"/>
        <v>0</v>
      </c>
    </row>
    <row r="138" spans="1:18" x14ac:dyDescent="0.2">
      <c r="A138" s="32"/>
      <c r="B138" s="17" t="s">
        <v>23</v>
      </c>
      <c r="C138" s="28"/>
      <c r="D138" s="28"/>
      <c r="E138" s="28"/>
      <c r="F138" s="28"/>
      <c r="G138" s="33"/>
      <c r="H138" s="28"/>
      <c r="I138" s="28"/>
      <c r="J138" s="28"/>
      <c r="K138" s="28"/>
      <c r="L138" s="35"/>
      <c r="M138" s="28"/>
      <c r="N138" s="36"/>
      <c r="O138" s="29">
        <f t="shared" si="2"/>
        <v>0</v>
      </c>
    </row>
    <row r="139" spans="1:18" x14ac:dyDescent="0.2">
      <c r="A139" s="32"/>
      <c r="B139" s="17" t="s">
        <v>23</v>
      </c>
      <c r="C139" s="28"/>
      <c r="D139" s="28"/>
      <c r="E139" s="28"/>
      <c r="F139" s="28"/>
      <c r="G139" s="33"/>
      <c r="H139" s="28"/>
      <c r="I139" s="28"/>
      <c r="J139" s="28"/>
      <c r="K139" s="28"/>
      <c r="L139" s="35"/>
      <c r="M139" s="28"/>
      <c r="N139" s="36"/>
      <c r="O139" s="29">
        <f t="shared" si="2"/>
        <v>0</v>
      </c>
    </row>
    <row r="140" spans="1:18" x14ac:dyDescent="0.2">
      <c r="A140" s="32"/>
      <c r="B140" s="17" t="s">
        <v>23</v>
      </c>
      <c r="C140" s="28"/>
      <c r="D140" s="28"/>
      <c r="E140" s="28"/>
      <c r="F140" s="28"/>
      <c r="G140" s="33"/>
      <c r="H140" s="28"/>
      <c r="I140" s="28"/>
      <c r="J140" s="28"/>
      <c r="K140" s="28"/>
      <c r="L140" s="35"/>
      <c r="M140" s="28"/>
      <c r="N140" s="36"/>
      <c r="O140" s="29">
        <f t="shared" si="2"/>
        <v>0</v>
      </c>
    </row>
    <row r="141" spans="1:18" x14ac:dyDescent="0.2">
      <c r="A141" s="32"/>
      <c r="B141" s="17" t="s">
        <v>23</v>
      </c>
      <c r="C141" s="28"/>
      <c r="D141" s="28"/>
      <c r="E141" s="28"/>
      <c r="F141" s="28"/>
      <c r="G141" s="33"/>
      <c r="H141" s="28"/>
      <c r="I141" s="28"/>
      <c r="J141" s="28"/>
      <c r="K141" s="28"/>
      <c r="L141" s="35"/>
      <c r="M141" s="28"/>
      <c r="N141" s="36"/>
      <c r="O141" s="29">
        <f t="shared" si="2"/>
        <v>0</v>
      </c>
    </row>
    <row r="142" spans="1:18" x14ac:dyDescent="0.2">
      <c r="A142" s="32"/>
      <c r="B142" s="17" t="s">
        <v>23</v>
      </c>
      <c r="C142" s="28"/>
      <c r="D142" s="28"/>
      <c r="E142" s="28"/>
      <c r="F142" s="28"/>
      <c r="G142" s="33"/>
      <c r="H142" s="28"/>
      <c r="I142" s="28"/>
      <c r="J142" s="28"/>
      <c r="K142" s="28"/>
      <c r="L142" s="35"/>
      <c r="M142" s="28"/>
      <c r="N142" s="36"/>
      <c r="O142" s="29">
        <f t="shared" si="2"/>
        <v>0</v>
      </c>
    </row>
    <row r="143" spans="1:18" x14ac:dyDescent="0.2">
      <c r="A143" s="32"/>
      <c r="B143" s="17" t="s">
        <v>23</v>
      </c>
      <c r="C143" s="28"/>
      <c r="D143" s="28"/>
      <c r="E143" s="28"/>
      <c r="F143" s="28"/>
      <c r="G143" s="33"/>
      <c r="H143" s="28"/>
      <c r="I143" s="28"/>
      <c r="J143" s="28"/>
      <c r="K143" s="28"/>
      <c r="L143" s="35"/>
      <c r="M143" s="28"/>
      <c r="N143" s="36"/>
      <c r="O143" s="29">
        <f t="shared" si="2"/>
        <v>0</v>
      </c>
    </row>
    <row r="144" spans="1:18" x14ac:dyDescent="0.2">
      <c r="A144" s="32"/>
      <c r="B144" s="17" t="s">
        <v>23</v>
      </c>
      <c r="C144" s="28"/>
      <c r="D144" s="28"/>
      <c r="E144" s="28"/>
      <c r="F144" s="28"/>
      <c r="G144" s="33"/>
      <c r="H144" s="28"/>
      <c r="I144" s="28"/>
      <c r="J144" s="28"/>
      <c r="K144" s="28"/>
      <c r="L144" s="35"/>
      <c r="M144" s="28"/>
      <c r="N144" s="36"/>
      <c r="O144" s="29">
        <f t="shared" si="2"/>
        <v>0</v>
      </c>
    </row>
    <row r="145" spans="1:15" x14ac:dyDescent="0.2">
      <c r="A145" s="32"/>
      <c r="B145" s="17" t="s">
        <v>23</v>
      </c>
      <c r="C145" s="28"/>
      <c r="D145" s="28"/>
      <c r="E145" s="28"/>
      <c r="F145" s="28"/>
      <c r="G145" s="33"/>
      <c r="H145" s="28"/>
      <c r="I145" s="28"/>
      <c r="J145" s="28"/>
      <c r="K145" s="28"/>
      <c r="L145" s="35"/>
      <c r="M145" s="28"/>
      <c r="N145" s="36"/>
      <c r="O145" s="29">
        <f t="shared" si="2"/>
        <v>0</v>
      </c>
    </row>
    <row r="146" spans="1:15" x14ac:dyDescent="0.2">
      <c r="A146" s="32"/>
      <c r="B146" s="17" t="s">
        <v>23</v>
      </c>
      <c r="C146" s="28"/>
      <c r="D146" s="28"/>
      <c r="E146" s="28"/>
      <c r="F146" s="28"/>
      <c r="G146" s="33"/>
      <c r="H146" s="28"/>
      <c r="I146" s="28"/>
      <c r="J146" s="28"/>
      <c r="K146" s="28"/>
      <c r="L146" s="35"/>
      <c r="M146" s="28"/>
      <c r="N146" s="36"/>
      <c r="O146" s="29">
        <f t="shared" si="2"/>
        <v>0</v>
      </c>
    </row>
    <row r="147" spans="1:15" x14ac:dyDescent="0.2">
      <c r="A147" s="32"/>
      <c r="B147" s="17" t="s">
        <v>23</v>
      </c>
      <c r="C147" s="28"/>
      <c r="D147" s="28"/>
      <c r="E147" s="28"/>
      <c r="F147" s="28"/>
      <c r="G147" s="33"/>
      <c r="H147" s="28"/>
      <c r="I147" s="28"/>
      <c r="J147" s="28"/>
      <c r="K147" s="28"/>
      <c r="L147" s="35"/>
      <c r="M147" s="28"/>
      <c r="N147" s="36"/>
      <c r="O147" s="29">
        <f t="shared" si="2"/>
        <v>0</v>
      </c>
    </row>
    <row r="148" spans="1:15" x14ac:dyDescent="0.2">
      <c r="A148" s="32"/>
      <c r="B148" s="17" t="s">
        <v>23</v>
      </c>
      <c r="C148" s="28"/>
      <c r="D148" s="28"/>
      <c r="E148" s="28"/>
      <c r="F148" s="28"/>
      <c r="G148" s="33"/>
      <c r="H148" s="28"/>
      <c r="I148" s="28"/>
      <c r="J148" s="28"/>
      <c r="K148" s="28"/>
      <c r="L148" s="35"/>
      <c r="M148" s="28"/>
      <c r="N148" s="36"/>
      <c r="O148" s="29">
        <f t="shared" si="2"/>
        <v>0</v>
      </c>
    </row>
    <row r="149" spans="1:15" x14ac:dyDescent="0.2">
      <c r="A149" s="32"/>
      <c r="B149" s="17" t="s">
        <v>23</v>
      </c>
      <c r="C149" s="28"/>
      <c r="D149" s="28"/>
      <c r="E149" s="28"/>
      <c r="F149" s="28"/>
      <c r="G149" s="33"/>
      <c r="H149" s="28"/>
      <c r="I149" s="28"/>
      <c r="J149" s="28"/>
      <c r="K149" s="28"/>
      <c r="L149" s="35"/>
      <c r="M149" s="28"/>
      <c r="N149" s="36"/>
      <c r="O149" s="29">
        <f t="shared" si="2"/>
        <v>0</v>
      </c>
    </row>
    <row r="150" spans="1:15" x14ac:dyDescent="0.2">
      <c r="A150" s="32"/>
      <c r="B150" s="17" t="s">
        <v>23</v>
      </c>
      <c r="C150" s="28"/>
      <c r="D150" s="28"/>
      <c r="E150" s="28"/>
      <c r="F150" s="28"/>
      <c r="G150" s="33"/>
      <c r="H150" s="28"/>
      <c r="I150" s="28"/>
      <c r="J150" s="28"/>
      <c r="K150" s="28"/>
      <c r="L150" s="35"/>
      <c r="M150" s="28"/>
      <c r="N150" s="36"/>
      <c r="O150" s="29">
        <f t="shared" si="2"/>
        <v>0</v>
      </c>
    </row>
    <row r="151" spans="1:15" x14ac:dyDescent="0.2">
      <c r="A151" s="32"/>
      <c r="B151" s="17" t="s">
        <v>23</v>
      </c>
      <c r="C151" s="28"/>
      <c r="D151" s="28"/>
      <c r="E151" s="28"/>
      <c r="F151" s="28"/>
      <c r="G151" s="33"/>
      <c r="H151" s="28"/>
      <c r="I151" s="28"/>
      <c r="J151" s="28"/>
      <c r="K151" s="28"/>
      <c r="L151" s="35"/>
      <c r="M151" s="28"/>
      <c r="N151" s="36"/>
      <c r="O151" s="29">
        <f t="shared" si="2"/>
        <v>0</v>
      </c>
    </row>
    <row r="152" spans="1:15" x14ac:dyDescent="0.2">
      <c r="A152" s="32"/>
      <c r="B152" s="17" t="s">
        <v>23</v>
      </c>
      <c r="C152" s="28"/>
      <c r="D152" s="28"/>
      <c r="E152" s="28"/>
      <c r="F152" s="28"/>
      <c r="G152" s="33"/>
      <c r="H152" s="28"/>
      <c r="I152" s="28"/>
      <c r="J152" s="28"/>
      <c r="K152" s="28"/>
      <c r="L152" s="35"/>
      <c r="M152" s="28"/>
      <c r="N152" s="36"/>
      <c r="O152" s="29">
        <f t="shared" si="2"/>
        <v>0</v>
      </c>
    </row>
    <row r="153" spans="1:15" x14ac:dyDescent="0.2">
      <c r="A153" s="32"/>
      <c r="B153" s="17" t="s">
        <v>23</v>
      </c>
      <c r="C153" s="28"/>
      <c r="D153" s="28"/>
      <c r="E153" s="28"/>
      <c r="F153" s="28"/>
      <c r="G153" s="33"/>
      <c r="H153" s="28"/>
      <c r="I153" s="28"/>
      <c r="J153" s="28"/>
      <c r="K153" s="28"/>
      <c r="L153" s="35"/>
      <c r="M153" s="28"/>
      <c r="N153" s="36"/>
      <c r="O153" s="29">
        <f t="shared" si="2"/>
        <v>0</v>
      </c>
    </row>
    <row r="154" spans="1:15" x14ac:dyDescent="0.2">
      <c r="A154" s="32"/>
      <c r="B154" s="17" t="s">
        <v>23</v>
      </c>
      <c r="C154" s="28"/>
      <c r="D154" s="28"/>
      <c r="E154" s="28"/>
      <c r="F154" s="28"/>
      <c r="G154" s="33"/>
      <c r="H154" s="28"/>
      <c r="I154" s="28"/>
      <c r="J154" s="28"/>
      <c r="K154" s="28"/>
      <c r="L154" s="35"/>
      <c r="M154" s="28"/>
      <c r="N154" s="36"/>
      <c r="O154" s="29">
        <f t="shared" si="2"/>
        <v>0</v>
      </c>
    </row>
    <row r="155" spans="1:15" x14ac:dyDescent="0.2">
      <c r="A155" s="32"/>
      <c r="B155" s="17" t="s">
        <v>23</v>
      </c>
      <c r="C155" s="28"/>
      <c r="D155" s="28"/>
      <c r="E155" s="28"/>
      <c r="F155" s="28"/>
      <c r="G155" s="33"/>
      <c r="H155" s="28"/>
      <c r="I155" s="28"/>
      <c r="J155" s="28"/>
      <c r="K155" s="28"/>
      <c r="L155" s="35"/>
      <c r="M155" s="28"/>
      <c r="N155" s="36"/>
      <c r="O155" s="29">
        <f t="shared" si="2"/>
        <v>0</v>
      </c>
    </row>
    <row r="156" spans="1:15" x14ac:dyDescent="0.2">
      <c r="A156" s="32"/>
      <c r="B156" s="17" t="s">
        <v>23</v>
      </c>
      <c r="C156" s="28"/>
      <c r="D156" s="28"/>
      <c r="E156" s="28"/>
      <c r="F156" s="28"/>
      <c r="G156" s="33"/>
      <c r="H156" s="28"/>
      <c r="I156" s="28"/>
      <c r="J156" s="28"/>
      <c r="K156" s="28"/>
      <c r="L156" s="35"/>
      <c r="M156" s="28"/>
      <c r="N156" s="36"/>
      <c r="O156" s="29">
        <f t="shared" si="2"/>
        <v>0</v>
      </c>
    </row>
    <row r="157" spans="1:15" x14ac:dyDescent="0.2">
      <c r="A157" s="32"/>
      <c r="B157" s="17" t="s">
        <v>23</v>
      </c>
      <c r="C157" s="28"/>
      <c r="D157" s="28"/>
      <c r="E157" s="28"/>
      <c r="F157" s="28"/>
      <c r="G157" s="33"/>
      <c r="H157" s="28"/>
      <c r="I157" s="28"/>
      <c r="J157" s="28"/>
      <c r="K157" s="28"/>
      <c r="L157" s="35"/>
      <c r="M157" s="28"/>
      <c r="N157" s="36"/>
      <c r="O157" s="29">
        <f t="shared" si="2"/>
        <v>0</v>
      </c>
    </row>
    <row r="158" spans="1:15" x14ac:dyDescent="0.2">
      <c r="A158" s="32"/>
      <c r="B158" s="17" t="s">
        <v>23</v>
      </c>
      <c r="C158" s="28"/>
      <c r="D158" s="28"/>
      <c r="E158" s="28"/>
      <c r="F158" s="28"/>
      <c r="G158" s="33"/>
      <c r="H158" s="28"/>
      <c r="I158" s="28"/>
      <c r="J158" s="28"/>
      <c r="K158" s="28"/>
      <c r="L158" s="35"/>
      <c r="M158" s="28"/>
      <c r="N158" s="36"/>
      <c r="O158" s="29">
        <f t="shared" si="2"/>
        <v>0</v>
      </c>
    </row>
    <row r="159" spans="1:15" x14ac:dyDescent="0.2">
      <c r="A159" s="32"/>
      <c r="B159" s="17" t="s">
        <v>23</v>
      </c>
      <c r="C159" s="28"/>
      <c r="D159" s="28"/>
      <c r="E159" s="28"/>
      <c r="F159" s="28"/>
      <c r="G159" s="33"/>
      <c r="H159" s="28"/>
      <c r="I159" s="28"/>
      <c r="J159" s="28"/>
      <c r="K159" s="28"/>
      <c r="L159" s="35"/>
      <c r="M159" s="28"/>
      <c r="N159" s="36"/>
      <c r="O159" s="29">
        <f t="shared" si="2"/>
        <v>0</v>
      </c>
    </row>
    <row r="160" spans="1:15" x14ac:dyDescent="0.2">
      <c r="A160" s="32"/>
      <c r="B160" s="17" t="s">
        <v>23</v>
      </c>
      <c r="C160" s="28"/>
      <c r="D160" s="28"/>
      <c r="E160" s="28"/>
      <c r="F160" s="28"/>
      <c r="G160" s="33"/>
      <c r="H160" s="28"/>
      <c r="I160" s="28"/>
      <c r="J160" s="28"/>
      <c r="K160" s="28"/>
      <c r="L160" s="35"/>
      <c r="M160" s="28"/>
      <c r="N160" s="36"/>
      <c r="O160" s="29">
        <f t="shared" si="2"/>
        <v>0</v>
      </c>
    </row>
    <row r="161" spans="1:15" x14ac:dyDescent="0.2">
      <c r="A161" s="32"/>
      <c r="B161" s="17" t="s">
        <v>23</v>
      </c>
      <c r="C161" s="28"/>
      <c r="D161" s="28"/>
      <c r="E161" s="28"/>
      <c r="F161" s="28"/>
      <c r="G161" s="33"/>
      <c r="H161" s="28"/>
      <c r="I161" s="28"/>
      <c r="J161" s="28"/>
      <c r="K161" s="28"/>
      <c r="L161" s="35"/>
      <c r="M161" s="28"/>
      <c r="N161" s="36"/>
      <c r="O161" s="29">
        <f t="shared" si="2"/>
        <v>0</v>
      </c>
    </row>
    <row r="162" spans="1:15" x14ac:dyDescent="0.2">
      <c r="A162" s="32"/>
      <c r="B162" s="17" t="s">
        <v>23</v>
      </c>
      <c r="C162" s="28"/>
      <c r="D162" s="28"/>
      <c r="E162" s="28"/>
      <c r="F162" s="28"/>
      <c r="G162" s="33"/>
      <c r="H162" s="28"/>
      <c r="I162" s="28"/>
      <c r="J162" s="28"/>
      <c r="K162" s="28"/>
      <c r="L162" s="35"/>
      <c r="M162" s="28"/>
      <c r="N162" s="36"/>
      <c r="O162" s="29">
        <f t="shared" si="2"/>
        <v>0</v>
      </c>
    </row>
    <row r="163" spans="1:15" x14ac:dyDescent="0.2">
      <c r="A163" s="32"/>
      <c r="B163" s="17" t="s">
        <v>23</v>
      </c>
      <c r="C163" s="28"/>
      <c r="D163" s="28"/>
      <c r="E163" s="28"/>
      <c r="F163" s="28"/>
      <c r="G163" s="33"/>
      <c r="H163" s="28"/>
      <c r="I163" s="28"/>
      <c r="J163" s="28"/>
      <c r="K163" s="28"/>
      <c r="L163" s="35"/>
      <c r="M163" s="28"/>
      <c r="N163" s="36"/>
      <c r="O163" s="29">
        <f t="shared" si="2"/>
        <v>0</v>
      </c>
    </row>
    <row r="164" spans="1:15" x14ac:dyDescent="0.2">
      <c r="A164" s="32"/>
      <c r="B164" s="17" t="s">
        <v>23</v>
      </c>
      <c r="C164" s="28"/>
      <c r="D164" s="28"/>
      <c r="E164" s="28"/>
      <c r="F164" s="28"/>
      <c r="G164" s="33"/>
      <c r="H164" s="28"/>
      <c r="I164" s="28"/>
      <c r="J164" s="28"/>
      <c r="K164" s="28"/>
      <c r="L164" s="35"/>
      <c r="M164" s="28"/>
      <c r="N164" s="36"/>
      <c r="O164" s="29">
        <f t="shared" si="2"/>
        <v>0</v>
      </c>
    </row>
    <row r="165" spans="1:15" x14ac:dyDescent="0.2">
      <c r="A165" s="32"/>
      <c r="B165" s="17" t="s">
        <v>23</v>
      </c>
      <c r="C165" s="28"/>
      <c r="D165" s="28"/>
      <c r="E165" s="28"/>
      <c r="F165" s="28"/>
      <c r="G165" s="33"/>
      <c r="H165" s="28"/>
      <c r="I165" s="28"/>
      <c r="J165" s="28"/>
      <c r="K165" s="28"/>
      <c r="L165" s="35"/>
      <c r="M165" s="28"/>
      <c r="N165" s="36"/>
      <c r="O165" s="29">
        <f t="shared" si="2"/>
        <v>0</v>
      </c>
    </row>
    <row r="166" spans="1:15" x14ac:dyDescent="0.2">
      <c r="A166" s="32"/>
      <c r="B166" s="17" t="s">
        <v>23</v>
      </c>
      <c r="C166" s="28"/>
      <c r="D166" s="28"/>
      <c r="E166" s="28"/>
      <c r="F166" s="28"/>
      <c r="G166" s="33"/>
      <c r="H166" s="28"/>
      <c r="I166" s="28"/>
      <c r="J166" s="28"/>
      <c r="K166" s="28"/>
      <c r="L166" s="35"/>
      <c r="M166" s="28"/>
      <c r="N166" s="36"/>
      <c r="O166" s="29">
        <f t="shared" si="2"/>
        <v>0</v>
      </c>
    </row>
    <row r="167" spans="1:15" x14ac:dyDescent="0.2">
      <c r="A167" s="32"/>
      <c r="B167" s="17" t="s">
        <v>23</v>
      </c>
      <c r="C167" s="28"/>
      <c r="D167" s="28"/>
      <c r="E167" s="28"/>
      <c r="F167" s="28"/>
      <c r="G167" s="33"/>
      <c r="H167" s="28"/>
      <c r="I167" s="28"/>
      <c r="J167" s="28"/>
      <c r="K167" s="28"/>
      <c r="L167" s="35"/>
      <c r="M167" s="28"/>
      <c r="N167" s="36"/>
      <c r="O167" s="29">
        <f t="shared" si="2"/>
        <v>0</v>
      </c>
    </row>
    <row r="168" spans="1:15" x14ac:dyDescent="0.2">
      <c r="A168" s="32"/>
      <c r="B168" s="17" t="s">
        <v>23</v>
      </c>
      <c r="C168" s="28"/>
      <c r="D168" s="28"/>
      <c r="E168" s="28"/>
      <c r="F168" s="28"/>
      <c r="G168" s="33"/>
      <c r="H168" s="28"/>
      <c r="I168" s="28"/>
      <c r="J168" s="28"/>
      <c r="K168" s="28"/>
      <c r="L168" s="35"/>
      <c r="M168" s="28"/>
      <c r="N168" s="36"/>
      <c r="O168" s="29">
        <f t="shared" si="2"/>
        <v>0</v>
      </c>
    </row>
    <row r="169" spans="1:15" x14ac:dyDescent="0.2">
      <c r="A169" s="32"/>
      <c r="B169" s="17" t="s">
        <v>23</v>
      </c>
      <c r="C169" s="28"/>
      <c r="D169" s="28"/>
      <c r="E169" s="28"/>
      <c r="F169" s="28"/>
      <c r="G169" s="33"/>
      <c r="H169" s="28"/>
      <c r="I169" s="28"/>
      <c r="J169" s="28"/>
      <c r="K169" s="28"/>
      <c r="L169" s="35"/>
      <c r="M169" s="28"/>
      <c r="N169" s="36"/>
      <c r="O169" s="29">
        <f t="shared" si="2"/>
        <v>0</v>
      </c>
    </row>
    <row r="170" spans="1:15" x14ac:dyDescent="0.2">
      <c r="A170" s="32"/>
      <c r="B170" s="17" t="s">
        <v>23</v>
      </c>
      <c r="C170" s="28"/>
      <c r="D170" s="28"/>
      <c r="E170" s="28"/>
      <c r="F170" s="28"/>
      <c r="G170" s="33"/>
      <c r="H170" s="28"/>
      <c r="I170" s="28"/>
      <c r="J170" s="28"/>
      <c r="K170" s="28"/>
      <c r="L170" s="35"/>
      <c r="M170" s="28"/>
      <c r="N170" s="36"/>
      <c r="O170" s="29">
        <f t="shared" si="2"/>
        <v>0</v>
      </c>
    </row>
    <row r="171" spans="1:15" x14ac:dyDescent="0.2">
      <c r="A171" s="32"/>
      <c r="B171" s="17" t="s">
        <v>23</v>
      </c>
      <c r="C171" s="32"/>
      <c r="D171" s="28"/>
      <c r="E171" s="28"/>
      <c r="F171" s="28"/>
      <c r="G171" s="33"/>
      <c r="H171" s="28"/>
      <c r="I171" s="28"/>
      <c r="J171" s="28"/>
      <c r="K171" s="28"/>
      <c r="L171" s="35"/>
      <c r="M171" s="28"/>
      <c r="N171" s="36"/>
      <c r="O171" s="29">
        <f t="shared" si="2"/>
        <v>0</v>
      </c>
    </row>
    <row r="172" spans="1:15" x14ac:dyDescent="0.2">
      <c r="A172" s="32"/>
      <c r="B172" s="17" t="s">
        <v>23</v>
      </c>
      <c r="C172" s="28"/>
      <c r="D172" s="28"/>
      <c r="E172" s="28"/>
      <c r="F172" s="28"/>
      <c r="G172" s="33"/>
      <c r="H172" s="28"/>
      <c r="I172" s="28"/>
      <c r="J172" s="28"/>
      <c r="K172" s="28"/>
      <c r="L172" s="35"/>
      <c r="M172" s="28"/>
      <c r="N172" s="36"/>
      <c r="O172" s="29">
        <f t="shared" si="2"/>
        <v>0</v>
      </c>
    </row>
    <row r="173" spans="1:15" x14ac:dyDescent="0.2">
      <c r="A173" s="32"/>
      <c r="B173" s="17" t="s">
        <v>23</v>
      </c>
      <c r="C173" s="28"/>
      <c r="D173" s="28"/>
      <c r="E173" s="28"/>
      <c r="F173" s="28"/>
      <c r="G173" s="33"/>
      <c r="H173" s="28"/>
      <c r="I173" s="28"/>
      <c r="J173" s="28"/>
      <c r="K173" s="28"/>
      <c r="L173" s="35"/>
      <c r="M173" s="28"/>
      <c r="N173" s="36"/>
      <c r="O173" s="29">
        <f t="shared" si="2"/>
        <v>0</v>
      </c>
    </row>
    <row r="174" spans="1:15" x14ac:dyDescent="0.2">
      <c r="A174" s="32"/>
      <c r="B174" s="17" t="s">
        <v>23</v>
      </c>
      <c r="C174" s="28"/>
      <c r="D174" s="28"/>
      <c r="E174" s="28"/>
      <c r="F174" s="28"/>
      <c r="G174" s="33"/>
      <c r="H174" s="28"/>
      <c r="I174" s="28"/>
      <c r="J174" s="28"/>
      <c r="K174" s="28"/>
      <c r="L174" s="35"/>
      <c r="M174" s="28"/>
      <c r="N174" s="36"/>
      <c r="O174" s="29">
        <f t="shared" si="2"/>
        <v>0</v>
      </c>
    </row>
    <row r="175" spans="1:15" x14ac:dyDescent="0.2">
      <c r="A175" s="32"/>
      <c r="B175" s="17" t="s">
        <v>23</v>
      </c>
      <c r="C175" s="28"/>
      <c r="D175" s="28"/>
      <c r="E175" s="28"/>
      <c r="F175" s="28"/>
      <c r="G175" s="33"/>
      <c r="H175" s="28"/>
      <c r="I175" s="28"/>
      <c r="J175" s="28"/>
      <c r="K175" s="28"/>
      <c r="L175" s="35"/>
      <c r="M175" s="28"/>
      <c r="N175" s="36"/>
      <c r="O175" s="29">
        <f t="shared" si="2"/>
        <v>0</v>
      </c>
    </row>
    <row r="176" spans="1:15" x14ac:dyDescent="0.2">
      <c r="A176" s="32"/>
      <c r="B176" s="17" t="s">
        <v>23</v>
      </c>
      <c r="C176" s="28"/>
      <c r="D176" s="28"/>
      <c r="E176" s="28"/>
      <c r="F176" s="28"/>
      <c r="G176" s="33"/>
      <c r="H176" s="28"/>
      <c r="I176" s="28"/>
      <c r="J176" s="28"/>
      <c r="K176" s="28"/>
      <c r="L176" s="35"/>
      <c r="M176" s="28"/>
      <c r="N176" s="36"/>
      <c r="O176" s="29">
        <f t="shared" si="2"/>
        <v>0</v>
      </c>
    </row>
    <row r="177" spans="1:15" x14ac:dyDescent="0.2">
      <c r="A177" s="32"/>
      <c r="B177" s="17" t="s">
        <v>23</v>
      </c>
      <c r="C177" s="32"/>
      <c r="D177" s="28"/>
      <c r="E177" s="28"/>
      <c r="F177" s="28"/>
      <c r="G177" s="33"/>
      <c r="H177" s="28"/>
      <c r="I177" s="28"/>
      <c r="J177" s="28"/>
      <c r="K177" s="28"/>
      <c r="L177" s="35"/>
      <c r="M177" s="28"/>
      <c r="N177" s="36"/>
      <c r="O177" s="29">
        <f t="shared" si="2"/>
        <v>0</v>
      </c>
    </row>
    <row r="178" spans="1:15" x14ac:dyDescent="0.2">
      <c r="A178" s="32"/>
      <c r="B178" s="17" t="s">
        <v>23</v>
      </c>
      <c r="C178" s="28"/>
      <c r="D178" s="28"/>
      <c r="E178" s="28"/>
      <c r="F178" s="28"/>
      <c r="G178" s="33"/>
      <c r="H178" s="28"/>
      <c r="I178" s="28"/>
      <c r="J178" s="28"/>
      <c r="K178" s="28"/>
      <c r="L178" s="35"/>
      <c r="M178" s="28"/>
      <c r="N178" s="36"/>
      <c r="O178" s="29">
        <f t="shared" si="2"/>
        <v>0</v>
      </c>
    </row>
    <row r="179" spans="1:15" x14ac:dyDescent="0.2">
      <c r="A179" s="32"/>
      <c r="B179" s="17" t="s">
        <v>23</v>
      </c>
      <c r="C179" s="40"/>
      <c r="D179" s="40"/>
      <c r="E179" s="40"/>
      <c r="F179" s="33"/>
      <c r="G179" s="33"/>
      <c r="H179" s="28"/>
      <c r="I179" s="28"/>
      <c r="J179" s="28"/>
      <c r="K179" s="28"/>
      <c r="L179" s="35"/>
      <c r="M179" s="28"/>
      <c r="N179" s="36"/>
      <c r="O179" s="29">
        <f t="shared" si="2"/>
        <v>0</v>
      </c>
    </row>
    <row r="180" spans="1:15" x14ac:dyDescent="0.2">
      <c r="A180" s="32"/>
      <c r="B180" s="17" t="s">
        <v>23</v>
      </c>
      <c r="C180" s="28"/>
      <c r="D180" s="28"/>
      <c r="E180" s="28"/>
      <c r="F180" s="28"/>
      <c r="G180" s="33"/>
      <c r="H180" s="28"/>
      <c r="I180" s="28"/>
      <c r="J180" s="28"/>
      <c r="K180" s="28"/>
      <c r="L180" s="35"/>
      <c r="M180" s="28"/>
      <c r="N180" s="36"/>
      <c r="O180" s="29">
        <f t="shared" si="2"/>
        <v>0</v>
      </c>
    </row>
    <row r="181" spans="1:15" x14ac:dyDescent="0.2">
      <c r="A181" s="32"/>
      <c r="B181" s="17" t="s">
        <v>23</v>
      </c>
      <c r="C181" s="28"/>
      <c r="D181" s="28"/>
      <c r="E181" s="28"/>
      <c r="F181" s="28"/>
      <c r="G181" s="33"/>
      <c r="H181" s="28"/>
      <c r="I181" s="28"/>
      <c r="J181" s="28"/>
      <c r="K181" s="28"/>
      <c r="L181" s="35"/>
      <c r="M181" s="28"/>
      <c r="N181" s="36"/>
      <c r="O181" s="29">
        <f t="shared" si="2"/>
        <v>0</v>
      </c>
    </row>
    <row r="182" spans="1:15" x14ac:dyDescent="0.2">
      <c r="A182" s="32"/>
      <c r="B182" s="17" t="s">
        <v>23</v>
      </c>
      <c r="C182" s="28"/>
      <c r="D182" s="28"/>
      <c r="E182" s="28"/>
      <c r="F182" s="28"/>
      <c r="G182" s="33"/>
      <c r="H182" s="28"/>
      <c r="I182" s="28"/>
      <c r="J182" s="28"/>
      <c r="K182" s="28"/>
      <c r="L182" s="35"/>
      <c r="M182" s="28"/>
      <c r="N182" s="36"/>
      <c r="O182" s="29">
        <f t="shared" si="2"/>
        <v>0</v>
      </c>
    </row>
    <row r="183" spans="1:15" x14ac:dyDescent="0.2">
      <c r="A183" s="32"/>
      <c r="B183" s="17" t="s">
        <v>23</v>
      </c>
      <c r="C183" s="28"/>
      <c r="D183" s="28"/>
      <c r="E183" s="28"/>
      <c r="F183" s="28"/>
      <c r="G183" s="33"/>
      <c r="H183" s="28"/>
      <c r="I183" s="28"/>
      <c r="J183" s="28"/>
      <c r="K183" s="28"/>
      <c r="L183" s="35"/>
      <c r="M183" s="28"/>
      <c r="N183" s="36"/>
      <c r="O183" s="29">
        <f t="shared" si="2"/>
        <v>0</v>
      </c>
    </row>
    <row r="184" spans="1:15" x14ac:dyDescent="0.2">
      <c r="A184" s="32"/>
      <c r="B184" s="17" t="s">
        <v>23</v>
      </c>
      <c r="C184" s="28"/>
      <c r="D184" s="28"/>
      <c r="E184" s="28"/>
      <c r="F184" s="28"/>
      <c r="G184" s="33"/>
      <c r="H184" s="28"/>
      <c r="I184" s="28"/>
      <c r="J184" s="28"/>
      <c r="K184" s="28"/>
      <c r="L184" s="35"/>
      <c r="M184" s="28"/>
      <c r="N184" s="36"/>
      <c r="O184" s="29">
        <f t="shared" si="2"/>
        <v>0</v>
      </c>
    </row>
    <row r="185" spans="1:15" x14ac:dyDescent="0.2">
      <c r="A185" s="32"/>
      <c r="B185" s="17" t="s">
        <v>23</v>
      </c>
      <c r="C185" s="28"/>
      <c r="D185" s="28"/>
      <c r="E185" s="28"/>
      <c r="F185" s="28"/>
      <c r="G185" s="33"/>
      <c r="H185" s="28"/>
      <c r="I185" s="28"/>
      <c r="J185" s="28"/>
      <c r="K185" s="28"/>
      <c r="L185" s="35"/>
      <c r="M185" s="28"/>
      <c r="N185" s="36"/>
      <c r="O185" s="29">
        <f t="shared" si="2"/>
        <v>0</v>
      </c>
    </row>
    <row r="186" spans="1:15" x14ac:dyDescent="0.2">
      <c r="A186" s="32"/>
      <c r="B186" s="17" t="s">
        <v>23</v>
      </c>
      <c r="C186" s="28"/>
      <c r="D186" s="28"/>
      <c r="E186" s="28"/>
      <c r="F186" s="28"/>
      <c r="G186" s="33"/>
      <c r="H186" s="28"/>
      <c r="I186" s="28"/>
      <c r="J186" s="28"/>
      <c r="K186" s="28"/>
      <c r="L186" s="35"/>
      <c r="M186" s="28"/>
      <c r="N186" s="36"/>
      <c r="O186" s="29">
        <f t="shared" si="2"/>
        <v>0</v>
      </c>
    </row>
    <row r="187" spans="1:15" x14ac:dyDescent="0.2">
      <c r="A187" s="32"/>
      <c r="B187" s="17" t="s">
        <v>23</v>
      </c>
      <c r="C187" s="28"/>
      <c r="D187" s="28"/>
      <c r="E187" s="28"/>
      <c r="F187" s="28"/>
      <c r="G187" s="33"/>
      <c r="H187" s="28"/>
      <c r="I187" s="28"/>
      <c r="J187" s="28"/>
      <c r="K187" s="28"/>
      <c r="L187" s="35"/>
      <c r="M187" s="28"/>
      <c r="N187" s="36"/>
      <c r="O187" s="29">
        <f t="shared" si="2"/>
        <v>0</v>
      </c>
    </row>
    <row r="188" spans="1:15" x14ac:dyDescent="0.2">
      <c r="A188" s="32"/>
      <c r="B188" s="17" t="s">
        <v>23</v>
      </c>
      <c r="C188" s="28"/>
      <c r="D188" s="28"/>
      <c r="E188" s="28"/>
      <c r="F188" s="28"/>
      <c r="G188" s="33"/>
      <c r="H188" s="28"/>
      <c r="I188" s="28"/>
      <c r="J188" s="28"/>
      <c r="K188" s="28"/>
      <c r="L188" s="35"/>
      <c r="M188" s="28"/>
      <c r="N188" s="36"/>
      <c r="O188" s="29">
        <f t="shared" si="2"/>
        <v>0</v>
      </c>
    </row>
    <row r="189" spans="1:15" x14ac:dyDescent="0.2">
      <c r="A189" s="32"/>
      <c r="B189" s="17" t="s">
        <v>23</v>
      </c>
      <c r="C189" s="28"/>
      <c r="D189" s="28"/>
      <c r="E189" s="28"/>
      <c r="F189" s="28"/>
      <c r="G189" s="33"/>
      <c r="H189" s="28"/>
      <c r="I189" s="28"/>
      <c r="J189" s="28"/>
      <c r="K189" s="28"/>
      <c r="L189" s="35"/>
      <c r="M189" s="28"/>
      <c r="N189" s="36"/>
      <c r="O189" s="29">
        <f t="shared" si="2"/>
        <v>0</v>
      </c>
    </row>
    <row r="190" spans="1:15" x14ac:dyDescent="0.2">
      <c r="A190" s="32"/>
      <c r="B190" s="17" t="s">
        <v>23</v>
      </c>
      <c r="C190" s="28"/>
      <c r="D190" s="28"/>
      <c r="E190" s="28"/>
      <c r="F190" s="28"/>
      <c r="G190" s="33"/>
      <c r="H190" s="28"/>
      <c r="I190" s="28"/>
      <c r="J190" s="28"/>
      <c r="K190" s="28"/>
      <c r="L190" s="35"/>
      <c r="M190" s="28"/>
      <c r="N190" s="36"/>
      <c r="O190" s="29">
        <f t="shared" si="2"/>
        <v>0</v>
      </c>
    </row>
    <row r="191" spans="1:15" x14ac:dyDescent="0.2">
      <c r="A191" s="32"/>
      <c r="B191" s="17" t="s">
        <v>23</v>
      </c>
      <c r="C191" s="28"/>
      <c r="D191" s="28"/>
      <c r="E191" s="28"/>
      <c r="F191" s="28"/>
      <c r="G191" s="33"/>
      <c r="H191" s="28"/>
      <c r="I191" s="28"/>
      <c r="J191" s="28"/>
      <c r="K191" s="28"/>
      <c r="L191" s="35"/>
      <c r="M191" s="28"/>
      <c r="N191" s="36"/>
      <c r="O191" s="29">
        <f t="shared" si="2"/>
        <v>0</v>
      </c>
    </row>
    <row r="192" spans="1:15" x14ac:dyDescent="0.2">
      <c r="A192" s="32"/>
      <c r="B192" s="17" t="s">
        <v>23</v>
      </c>
      <c r="C192" s="28"/>
      <c r="D192" s="28"/>
      <c r="E192" s="28"/>
      <c r="F192" s="28"/>
      <c r="G192" s="33"/>
      <c r="H192" s="28"/>
      <c r="I192" s="28"/>
      <c r="J192" s="28"/>
      <c r="K192" s="28"/>
      <c r="L192" s="35"/>
      <c r="M192" s="28"/>
      <c r="N192" s="36"/>
      <c r="O192" s="29">
        <f t="shared" si="2"/>
        <v>0</v>
      </c>
    </row>
    <row r="193" spans="1:15" x14ac:dyDescent="0.2">
      <c r="A193" s="32"/>
      <c r="B193" s="17" t="s">
        <v>23</v>
      </c>
      <c r="C193" s="28"/>
      <c r="D193" s="28"/>
      <c r="E193" s="28"/>
      <c r="F193" s="28"/>
      <c r="G193" s="33"/>
      <c r="H193" s="28"/>
      <c r="I193" s="28"/>
      <c r="J193" s="28"/>
      <c r="K193" s="28"/>
      <c r="L193" s="35"/>
      <c r="M193" s="28"/>
      <c r="N193" s="36"/>
      <c r="O193" s="29">
        <f t="shared" si="2"/>
        <v>0</v>
      </c>
    </row>
    <row r="194" spans="1:15" x14ac:dyDescent="0.2">
      <c r="A194" s="32"/>
      <c r="B194" s="17" t="s">
        <v>23</v>
      </c>
      <c r="C194" s="28"/>
      <c r="D194" s="28"/>
      <c r="E194" s="28"/>
      <c r="F194" s="28"/>
      <c r="G194" s="33"/>
      <c r="H194" s="28"/>
      <c r="I194" s="28"/>
      <c r="J194" s="28"/>
      <c r="K194" s="28"/>
      <c r="L194" s="35"/>
      <c r="M194" s="28"/>
      <c r="N194" s="36"/>
      <c r="O194" s="29">
        <f t="shared" si="2"/>
        <v>0</v>
      </c>
    </row>
    <row r="195" spans="1:15" x14ac:dyDescent="0.2">
      <c r="A195" s="32"/>
      <c r="B195" s="17" t="s">
        <v>23</v>
      </c>
      <c r="C195" s="28"/>
      <c r="D195" s="28"/>
      <c r="E195" s="28"/>
      <c r="F195" s="28"/>
      <c r="G195" s="33"/>
      <c r="H195" s="28"/>
      <c r="I195" s="28"/>
      <c r="J195" s="28"/>
      <c r="K195" s="28"/>
      <c r="L195" s="35"/>
      <c r="M195" s="28"/>
      <c r="N195" s="36"/>
      <c r="O195" s="29">
        <f t="shared" ref="O195:O258" si="3">N195*J195</f>
        <v>0</v>
      </c>
    </row>
    <row r="196" spans="1:15" x14ac:dyDescent="0.2">
      <c r="A196" s="32"/>
      <c r="B196" s="17" t="s">
        <v>23</v>
      </c>
      <c r="C196" s="28"/>
      <c r="D196" s="28"/>
      <c r="E196" s="28"/>
      <c r="F196" s="28"/>
      <c r="G196" s="33"/>
      <c r="H196" s="28"/>
      <c r="I196" s="28"/>
      <c r="J196" s="28"/>
      <c r="K196" s="28"/>
      <c r="L196" s="35"/>
      <c r="M196" s="28"/>
      <c r="N196" s="36"/>
      <c r="O196" s="29">
        <f t="shared" si="3"/>
        <v>0</v>
      </c>
    </row>
    <row r="197" spans="1:15" x14ac:dyDescent="0.2">
      <c r="A197" s="32"/>
      <c r="B197" s="17" t="s">
        <v>23</v>
      </c>
      <c r="C197" s="28"/>
      <c r="D197" s="28"/>
      <c r="E197" s="28"/>
      <c r="F197" s="28"/>
      <c r="G197" s="33"/>
      <c r="H197" s="28"/>
      <c r="I197" s="28"/>
      <c r="J197" s="28"/>
      <c r="K197" s="28"/>
      <c r="L197" s="35"/>
      <c r="M197" s="28"/>
      <c r="N197" s="36"/>
      <c r="O197" s="29">
        <f t="shared" si="3"/>
        <v>0</v>
      </c>
    </row>
    <row r="198" spans="1:15" x14ac:dyDescent="0.2">
      <c r="A198" s="32"/>
      <c r="B198" s="17" t="s">
        <v>23</v>
      </c>
      <c r="C198" s="28"/>
      <c r="D198" s="28"/>
      <c r="E198" s="28"/>
      <c r="F198" s="28"/>
      <c r="G198" s="33"/>
      <c r="H198" s="28"/>
      <c r="I198" s="28"/>
      <c r="J198" s="28"/>
      <c r="K198" s="28"/>
      <c r="L198" s="35"/>
      <c r="M198" s="28"/>
      <c r="N198" s="36"/>
      <c r="O198" s="29">
        <f t="shared" si="3"/>
        <v>0</v>
      </c>
    </row>
    <row r="199" spans="1:15" x14ac:dyDescent="0.2">
      <c r="A199" s="32"/>
      <c r="B199" s="17" t="s">
        <v>23</v>
      </c>
      <c r="C199" s="28"/>
      <c r="D199" s="28"/>
      <c r="E199" s="28"/>
      <c r="F199" s="28"/>
      <c r="G199" s="33"/>
      <c r="H199" s="28"/>
      <c r="I199" s="28"/>
      <c r="J199" s="28"/>
      <c r="K199" s="28"/>
      <c r="L199" s="35"/>
      <c r="M199" s="28"/>
      <c r="N199" s="36"/>
      <c r="O199" s="29">
        <f t="shared" si="3"/>
        <v>0</v>
      </c>
    </row>
    <row r="200" spans="1:15" x14ac:dyDescent="0.2">
      <c r="A200" s="32"/>
      <c r="B200" s="17" t="s">
        <v>23</v>
      </c>
      <c r="C200" s="28"/>
      <c r="D200" s="28"/>
      <c r="E200" s="28"/>
      <c r="F200" s="28"/>
      <c r="G200" s="33"/>
      <c r="H200" s="28"/>
      <c r="I200" s="28"/>
      <c r="J200" s="28"/>
      <c r="K200" s="28"/>
      <c r="L200" s="35"/>
      <c r="M200" s="28"/>
      <c r="N200" s="36"/>
      <c r="O200" s="29">
        <f t="shared" si="3"/>
        <v>0</v>
      </c>
    </row>
    <row r="201" spans="1:15" x14ac:dyDescent="0.2">
      <c r="A201" s="32"/>
      <c r="B201" s="17" t="s">
        <v>23</v>
      </c>
      <c r="C201" s="28"/>
      <c r="D201" s="28"/>
      <c r="E201" s="28"/>
      <c r="F201" s="28"/>
      <c r="G201" s="33"/>
      <c r="H201" s="28"/>
      <c r="I201" s="28"/>
      <c r="J201" s="28"/>
      <c r="K201" s="28"/>
      <c r="L201" s="35"/>
      <c r="M201" s="28"/>
      <c r="N201" s="36"/>
      <c r="O201" s="29">
        <f t="shared" si="3"/>
        <v>0</v>
      </c>
    </row>
    <row r="202" spans="1:15" x14ac:dyDescent="0.2">
      <c r="A202" s="32"/>
      <c r="B202" s="17" t="s">
        <v>23</v>
      </c>
      <c r="C202" s="28"/>
      <c r="D202" s="28"/>
      <c r="E202" s="28"/>
      <c r="F202" s="28"/>
      <c r="G202" s="33"/>
      <c r="H202" s="28"/>
      <c r="I202" s="28"/>
      <c r="J202" s="28"/>
      <c r="K202" s="28"/>
      <c r="L202" s="35"/>
      <c r="M202" s="28"/>
      <c r="N202" s="36"/>
      <c r="O202" s="29">
        <f t="shared" si="3"/>
        <v>0</v>
      </c>
    </row>
    <row r="203" spans="1:15" x14ac:dyDescent="0.2">
      <c r="A203" s="32"/>
      <c r="B203" s="17" t="s">
        <v>23</v>
      </c>
      <c r="C203" s="28"/>
      <c r="D203" s="28"/>
      <c r="E203" s="28"/>
      <c r="F203" s="28"/>
      <c r="G203" s="33"/>
      <c r="H203" s="28"/>
      <c r="I203" s="28"/>
      <c r="J203" s="28"/>
      <c r="K203" s="28"/>
      <c r="L203" s="35"/>
      <c r="M203" s="28"/>
      <c r="N203" s="36"/>
      <c r="O203" s="29">
        <f t="shared" si="3"/>
        <v>0</v>
      </c>
    </row>
    <row r="204" spans="1:15" x14ac:dyDescent="0.2">
      <c r="A204" s="32"/>
      <c r="B204" s="17" t="s">
        <v>23</v>
      </c>
      <c r="C204" s="28"/>
      <c r="D204" s="28"/>
      <c r="E204" s="28"/>
      <c r="F204" s="28"/>
      <c r="G204" s="33"/>
      <c r="H204" s="28"/>
      <c r="I204" s="28"/>
      <c r="J204" s="28"/>
      <c r="K204" s="28"/>
      <c r="L204" s="35"/>
      <c r="M204" s="28"/>
      <c r="N204" s="36"/>
      <c r="O204" s="29">
        <f t="shared" si="3"/>
        <v>0</v>
      </c>
    </row>
    <row r="205" spans="1:15" x14ac:dyDescent="0.2">
      <c r="A205" s="32"/>
      <c r="B205" s="17" t="s">
        <v>23</v>
      </c>
      <c r="C205" s="28"/>
      <c r="D205" s="28"/>
      <c r="E205" s="28"/>
      <c r="F205" s="28"/>
      <c r="G205" s="33"/>
      <c r="H205" s="28"/>
      <c r="I205" s="28"/>
      <c r="J205" s="28"/>
      <c r="K205" s="28"/>
      <c r="L205" s="35"/>
      <c r="M205" s="28"/>
      <c r="N205" s="36"/>
      <c r="O205" s="29">
        <f t="shared" si="3"/>
        <v>0</v>
      </c>
    </row>
    <row r="206" spans="1:15" x14ac:dyDescent="0.2">
      <c r="A206" s="32"/>
      <c r="B206" s="17" t="s">
        <v>23</v>
      </c>
      <c r="C206" s="28"/>
      <c r="D206" s="28"/>
      <c r="E206" s="28"/>
      <c r="F206" s="28"/>
      <c r="G206" s="33"/>
      <c r="H206" s="28"/>
      <c r="I206" s="28"/>
      <c r="J206" s="28"/>
      <c r="K206" s="28"/>
      <c r="L206" s="35"/>
      <c r="M206" s="28"/>
      <c r="N206" s="36"/>
      <c r="O206" s="29">
        <f t="shared" si="3"/>
        <v>0</v>
      </c>
    </row>
    <row r="207" spans="1:15" x14ac:dyDescent="0.2">
      <c r="A207" s="32"/>
      <c r="B207" s="17" t="s">
        <v>23</v>
      </c>
      <c r="C207" s="28"/>
      <c r="D207" s="28"/>
      <c r="E207" s="28"/>
      <c r="F207" s="28"/>
      <c r="G207" s="33"/>
      <c r="H207" s="28"/>
      <c r="I207" s="28"/>
      <c r="J207" s="28"/>
      <c r="K207" s="28"/>
      <c r="L207" s="35"/>
      <c r="M207" s="28"/>
      <c r="N207" s="36"/>
      <c r="O207" s="29">
        <f t="shared" si="3"/>
        <v>0</v>
      </c>
    </row>
    <row r="208" spans="1:15" x14ac:dyDescent="0.2">
      <c r="A208" s="32"/>
      <c r="B208" s="17" t="s">
        <v>23</v>
      </c>
      <c r="C208" s="28"/>
      <c r="D208" s="28"/>
      <c r="E208" s="28"/>
      <c r="F208" s="28"/>
      <c r="G208" s="33"/>
      <c r="H208" s="28"/>
      <c r="I208" s="28"/>
      <c r="J208" s="28"/>
      <c r="K208" s="28"/>
      <c r="L208" s="35"/>
      <c r="M208" s="28"/>
      <c r="N208" s="36"/>
      <c r="O208" s="29">
        <f t="shared" si="3"/>
        <v>0</v>
      </c>
    </row>
    <row r="209" spans="1:15" x14ac:dyDescent="0.2">
      <c r="A209" s="32"/>
      <c r="B209" s="17" t="s">
        <v>23</v>
      </c>
      <c r="C209" s="28"/>
      <c r="D209" s="28"/>
      <c r="E209" s="28"/>
      <c r="F209" s="28"/>
      <c r="G209" s="33"/>
      <c r="H209" s="28"/>
      <c r="I209" s="28"/>
      <c r="J209" s="28"/>
      <c r="K209" s="28"/>
      <c r="L209" s="35"/>
      <c r="M209" s="28"/>
      <c r="N209" s="36"/>
      <c r="O209" s="29">
        <f t="shared" si="3"/>
        <v>0</v>
      </c>
    </row>
    <row r="210" spans="1:15" x14ac:dyDescent="0.2">
      <c r="A210" s="32"/>
      <c r="B210" s="17" t="s">
        <v>23</v>
      </c>
      <c r="C210" s="28"/>
      <c r="D210" s="28"/>
      <c r="E210" s="28"/>
      <c r="F210" s="28"/>
      <c r="G210" s="33"/>
      <c r="H210" s="28"/>
      <c r="I210" s="28"/>
      <c r="J210" s="28"/>
      <c r="K210" s="28"/>
      <c r="L210" s="35"/>
      <c r="M210" s="28"/>
      <c r="N210" s="36"/>
      <c r="O210" s="29">
        <f t="shared" si="3"/>
        <v>0</v>
      </c>
    </row>
    <row r="211" spans="1:15" x14ac:dyDescent="0.2">
      <c r="A211" s="32"/>
      <c r="B211" s="17" t="s">
        <v>23</v>
      </c>
      <c r="C211" s="28"/>
      <c r="D211" s="28"/>
      <c r="E211" s="28"/>
      <c r="F211" s="28"/>
      <c r="G211" s="33"/>
      <c r="H211" s="28"/>
      <c r="I211" s="28"/>
      <c r="J211" s="28"/>
      <c r="K211" s="28"/>
      <c r="L211" s="35"/>
      <c r="M211" s="28"/>
      <c r="N211" s="36"/>
      <c r="O211" s="29">
        <f t="shared" si="3"/>
        <v>0</v>
      </c>
    </row>
    <row r="212" spans="1:15" x14ac:dyDescent="0.2">
      <c r="A212" s="32"/>
      <c r="B212" s="17" t="s">
        <v>23</v>
      </c>
      <c r="C212" s="28"/>
      <c r="D212" s="28"/>
      <c r="E212" s="28"/>
      <c r="F212" s="28"/>
      <c r="G212" s="33"/>
      <c r="H212" s="28"/>
      <c r="I212" s="28"/>
      <c r="J212" s="28"/>
      <c r="K212" s="28"/>
      <c r="L212" s="35"/>
      <c r="M212" s="28"/>
      <c r="N212" s="36"/>
      <c r="O212" s="29">
        <f t="shared" si="3"/>
        <v>0</v>
      </c>
    </row>
    <row r="213" spans="1:15" x14ac:dyDescent="0.2">
      <c r="A213" s="32"/>
      <c r="B213" s="17" t="s">
        <v>23</v>
      </c>
      <c r="C213" s="28"/>
      <c r="D213" s="28"/>
      <c r="E213" s="28"/>
      <c r="F213" s="28"/>
      <c r="G213" s="33"/>
      <c r="H213" s="28"/>
      <c r="I213" s="28"/>
      <c r="J213" s="28"/>
      <c r="K213" s="28"/>
      <c r="L213" s="35"/>
      <c r="M213" s="28"/>
      <c r="N213" s="36"/>
      <c r="O213" s="29">
        <f t="shared" si="3"/>
        <v>0</v>
      </c>
    </row>
    <row r="214" spans="1:15" x14ac:dyDescent="0.2">
      <c r="A214" s="32"/>
      <c r="B214" s="17" t="s">
        <v>23</v>
      </c>
      <c r="C214" s="28"/>
      <c r="D214" s="28"/>
      <c r="E214" s="28"/>
      <c r="F214" s="28"/>
      <c r="G214" s="33"/>
      <c r="H214" s="28"/>
      <c r="I214" s="28"/>
      <c r="J214" s="28"/>
      <c r="K214" s="28"/>
      <c r="L214" s="35"/>
      <c r="M214" s="28"/>
      <c r="N214" s="36"/>
      <c r="O214" s="29">
        <f t="shared" si="3"/>
        <v>0</v>
      </c>
    </row>
    <row r="215" spans="1:15" x14ac:dyDescent="0.2">
      <c r="A215" s="32"/>
      <c r="B215" s="17" t="s">
        <v>23</v>
      </c>
      <c r="C215" s="28"/>
      <c r="D215" s="28"/>
      <c r="E215" s="28"/>
      <c r="F215" s="28"/>
      <c r="G215" s="33"/>
      <c r="H215" s="28"/>
      <c r="I215" s="28"/>
      <c r="J215" s="28"/>
      <c r="K215" s="28"/>
      <c r="L215" s="35"/>
      <c r="M215" s="28"/>
      <c r="N215" s="36"/>
      <c r="O215" s="29">
        <f t="shared" si="3"/>
        <v>0</v>
      </c>
    </row>
    <row r="216" spans="1:15" x14ac:dyDescent="0.2">
      <c r="A216" s="32"/>
      <c r="B216" s="17" t="s">
        <v>23</v>
      </c>
      <c r="C216" s="28"/>
      <c r="D216" s="28"/>
      <c r="E216" s="28"/>
      <c r="F216" s="28"/>
      <c r="G216" s="33"/>
      <c r="H216" s="28"/>
      <c r="I216" s="28"/>
      <c r="J216" s="28"/>
      <c r="K216" s="28"/>
      <c r="L216" s="35"/>
      <c r="M216" s="28"/>
      <c r="N216" s="36"/>
      <c r="O216" s="29">
        <f t="shared" si="3"/>
        <v>0</v>
      </c>
    </row>
    <row r="217" spans="1:15" x14ac:dyDescent="0.2">
      <c r="A217" s="32"/>
      <c r="B217" s="17" t="s">
        <v>23</v>
      </c>
      <c r="C217" s="28"/>
      <c r="D217" s="28"/>
      <c r="E217" s="28"/>
      <c r="F217" s="28"/>
      <c r="G217" s="33"/>
      <c r="H217" s="28"/>
      <c r="I217" s="28"/>
      <c r="J217" s="28"/>
      <c r="K217" s="28"/>
      <c r="L217" s="35"/>
      <c r="M217" s="28"/>
      <c r="N217" s="36"/>
      <c r="O217" s="29">
        <f t="shared" si="3"/>
        <v>0</v>
      </c>
    </row>
    <row r="218" spans="1:15" x14ac:dyDescent="0.2">
      <c r="A218" s="32"/>
      <c r="B218" s="17" t="s">
        <v>23</v>
      </c>
      <c r="C218" s="28"/>
      <c r="D218" s="28"/>
      <c r="E218" s="28"/>
      <c r="F218" s="28"/>
      <c r="G218" s="33"/>
      <c r="H218" s="28"/>
      <c r="I218" s="28"/>
      <c r="J218" s="28"/>
      <c r="K218" s="28"/>
      <c r="L218" s="35"/>
      <c r="M218" s="28"/>
      <c r="N218" s="36"/>
      <c r="O218" s="29">
        <f t="shared" si="3"/>
        <v>0</v>
      </c>
    </row>
    <row r="219" spans="1:15" x14ac:dyDescent="0.2">
      <c r="A219" s="32"/>
      <c r="B219" s="17" t="s">
        <v>23</v>
      </c>
      <c r="C219" s="28"/>
      <c r="D219" s="28"/>
      <c r="E219" s="28"/>
      <c r="F219" s="28"/>
      <c r="G219" s="33"/>
      <c r="H219" s="28"/>
      <c r="I219" s="28"/>
      <c r="J219" s="28"/>
      <c r="K219" s="28"/>
      <c r="L219" s="35"/>
      <c r="M219" s="28"/>
      <c r="N219" s="36"/>
      <c r="O219" s="29">
        <f t="shared" si="3"/>
        <v>0</v>
      </c>
    </row>
    <row r="220" spans="1:15" x14ac:dyDescent="0.2">
      <c r="A220" s="32"/>
      <c r="B220" s="17" t="s">
        <v>23</v>
      </c>
      <c r="C220" s="28"/>
      <c r="D220" s="28"/>
      <c r="E220" s="28"/>
      <c r="F220" s="28"/>
      <c r="G220" s="33"/>
      <c r="H220" s="28"/>
      <c r="I220" s="28"/>
      <c r="J220" s="28"/>
      <c r="K220" s="28"/>
      <c r="L220" s="35"/>
      <c r="M220" s="28"/>
      <c r="N220" s="36"/>
      <c r="O220" s="29">
        <f t="shared" si="3"/>
        <v>0</v>
      </c>
    </row>
    <row r="221" spans="1:15" x14ac:dyDescent="0.2">
      <c r="A221" s="32"/>
      <c r="B221" s="17" t="s">
        <v>23</v>
      </c>
      <c r="C221" s="28"/>
      <c r="D221" s="28"/>
      <c r="E221" s="28"/>
      <c r="F221" s="28"/>
      <c r="G221" s="33"/>
      <c r="H221" s="28"/>
      <c r="I221" s="28"/>
      <c r="J221" s="28"/>
      <c r="K221" s="28"/>
      <c r="L221" s="35"/>
      <c r="M221" s="28"/>
      <c r="N221" s="36"/>
      <c r="O221" s="29">
        <f t="shared" si="3"/>
        <v>0</v>
      </c>
    </row>
    <row r="222" spans="1:15" x14ac:dyDescent="0.2">
      <c r="A222" s="32"/>
      <c r="B222" s="17" t="s">
        <v>23</v>
      </c>
      <c r="C222" s="28"/>
      <c r="D222" s="28"/>
      <c r="E222" s="28"/>
      <c r="F222" s="28"/>
      <c r="G222" s="33"/>
      <c r="H222" s="28"/>
      <c r="I222" s="28"/>
      <c r="J222" s="28"/>
      <c r="K222" s="28"/>
      <c r="L222" s="35"/>
      <c r="M222" s="28"/>
      <c r="N222" s="36"/>
      <c r="O222" s="29">
        <f t="shared" si="3"/>
        <v>0</v>
      </c>
    </row>
    <row r="223" spans="1:15" x14ac:dyDescent="0.2">
      <c r="A223" s="32"/>
      <c r="B223" s="17" t="s">
        <v>23</v>
      </c>
      <c r="C223" s="28"/>
      <c r="D223" s="28"/>
      <c r="E223" s="28"/>
      <c r="F223" s="28"/>
      <c r="G223" s="33"/>
      <c r="H223" s="28"/>
      <c r="I223" s="28"/>
      <c r="J223" s="28"/>
      <c r="K223" s="28"/>
      <c r="L223" s="35"/>
      <c r="M223" s="28"/>
      <c r="N223" s="36"/>
      <c r="O223" s="29">
        <f t="shared" si="3"/>
        <v>0</v>
      </c>
    </row>
    <row r="224" spans="1:15" x14ac:dyDescent="0.2">
      <c r="A224" s="32"/>
      <c r="B224" s="17" t="s">
        <v>23</v>
      </c>
      <c r="C224" s="28"/>
      <c r="D224" s="28"/>
      <c r="E224" s="28"/>
      <c r="F224" s="28"/>
      <c r="G224" s="33"/>
      <c r="H224" s="28"/>
      <c r="I224" s="28"/>
      <c r="J224" s="28"/>
      <c r="K224" s="28"/>
      <c r="L224" s="35"/>
      <c r="M224" s="28"/>
      <c r="N224" s="36"/>
      <c r="O224" s="29">
        <f t="shared" si="3"/>
        <v>0</v>
      </c>
    </row>
    <row r="225" spans="1:15" x14ac:dyDescent="0.2">
      <c r="A225" s="32"/>
      <c r="B225" s="17" t="s">
        <v>23</v>
      </c>
      <c r="C225" s="28"/>
      <c r="D225" s="28"/>
      <c r="E225" s="28"/>
      <c r="F225" s="28"/>
      <c r="G225" s="33"/>
      <c r="H225" s="28"/>
      <c r="I225" s="28"/>
      <c r="J225" s="28"/>
      <c r="K225" s="28"/>
      <c r="L225" s="35"/>
      <c r="M225" s="28"/>
      <c r="N225" s="36"/>
      <c r="O225" s="29">
        <f t="shared" si="3"/>
        <v>0</v>
      </c>
    </row>
    <row r="226" spans="1:15" x14ac:dyDescent="0.2">
      <c r="A226" s="32"/>
      <c r="B226" s="17" t="s">
        <v>23</v>
      </c>
      <c r="C226" s="28"/>
      <c r="D226" s="28"/>
      <c r="E226" s="28"/>
      <c r="F226" s="28"/>
      <c r="G226" s="33"/>
      <c r="H226" s="28"/>
      <c r="I226" s="28"/>
      <c r="J226" s="28"/>
      <c r="K226" s="28"/>
      <c r="L226" s="35"/>
      <c r="M226" s="28"/>
      <c r="N226" s="36"/>
      <c r="O226" s="29">
        <f t="shared" si="3"/>
        <v>0</v>
      </c>
    </row>
    <row r="227" spans="1:15" x14ac:dyDescent="0.2">
      <c r="A227" s="32"/>
      <c r="B227" s="17" t="s">
        <v>23</v>
      </c>
      <c r="C227" s="28"/>
      <c r="D227" s="28"/>
      <c r="E227" s="28"/>
      <c r="F227" s="28"/>
      <c r="G227" s="33"/>
      <c r="H227" s="28"/>
      <c r="I227" s="28"/>
      <c r="J227" s="28"/>
      <c r="K227" s="28"/>
      <c r="L227" s="35"/>
      <c r="M227" s="28"/>
      <c r="N227" s="36"/>
      <c r="O227" s="29">
        <f t="shared" si="3"/>
        <v>0</v>
      </c>
    </row>
    <row r="228" spans="1:15" x14ac:dyDescent="0.2">
      <c r="A228" s="32"/>
      <c r="B228" s="17" t="s">
        <v>23</v>
      </c>
      <c r="C228" s="28"/>
      <c r="D228" s="28"/>
      <c r="E228" s="28"/>
      <c r="F228" s="28"/>
      <c r="G228" s="33"/>
      <c r="H228" s="28"/>
      <c r="I228" s="28"/>
      <c r="J228" s="28"/>
      <c r="K228" s="28"/>
      <c r="L228" s="35"/>
      <c r="M228" s="28"/>
      <c r="N228" s="36"/>
      <c r="O228" s="29">
        <f t="shared" si="3"/>
        <v>0</v>
      </c>
    </row>
    <row r="229" spans="1:15" x14ac:dyDescent="0.2">
      <c r="A229" s="32"/>
      <c r="B229" s="17" t="s">
        <v>23</v>
      </c>
      <c r="C229" s="28"/>
      <c r="D229" s="28"/>
      <c r="E229" s="28"/>
      <c r="F229" s="28"/>
      <c r="G229" s="33"/>
      <c r="H229" s="28"/>
      <c r="I229" s="28"/>
      <c r="J229" s="28"/>
      <c r="K229" s="28"/>
      <c r="L229" s="35"/>
      <c r="M229" s="28"/>
      <c r="N229" s="36"/>
      <c r="O229" s="29">
        <f t="shared" si="3"/>
        <v>0</v>
      </c>
    </row>
    <row r="230" spans="1:15" x14ac:dyDescent="0.2">
      <c r="A230" s="32"/>
      <c r="B230" s="17" t="s">
        <v>23</v>
      </c>
      <c r="C230" s="28"/>
      <c r="D230" s="28"/>
      <c r="E230" s="28"/>
      <c r="F230" s="28"/>
      <c r="G230" s="33"/>
      <c r="H230" s="28"/>
      <c r="I230" s="28"/>
      <c r="J230" s="28"/>
      <c r="K230" s="28"/>
      <c r="L230" s="35"/>
      <c r="M230" s="28"/>
      <c r="N230" s="36"/>
      <c r="O230" s="29">
        <f t="shared" si="3"/>
        <v>0</v>
      </c>
    </row>
    <row r="231" spans="1:15" x14ac:dyDescent="0.2">
      <c r="A231" s="32"/>
      <c r="B231" s="17" t="s">
        <v>23</v>
      </c>
      <c r="C231" s="28"/>
      <c r="D231" s="28"/>
      <c r="E231" s="28"/>
      <c r="F231" s="28"/>
      <c r="G231" s="33"/>
      <c r="H231" s="28"/>
      <c r="I231" s="28"/>
      <c r="J231" s="28"/>
      <c r="K231" s="28"/>
      <c r="L231" s="35"/>
      <c r="M231" s="28"/>
      <c r="N231" s="36"/>
      <c r="O231" s="29">
        <f t="shared" si="3"/>
        <v>0</v>
      </c>
    </row>
    <row r="232" spans="1:15" x14ac:dyDescent="0.2">
      <c r="A232" s="32"/>
      <c r="B232" s="17" t="s">
        <v>23</v>
      </c>
      <c r="C232" s="28"/>
      <c r="D232" s="28"/>
      <c r="E232" s="28"/>
      <c r="F232" s="28"/>
      <c r="G232" s="33"/>
      <c r="H232" s="28"/>
      <c r="I232" s="28"/>
      <c r="J232" s="28"/>
      <c r="K232" s="28"/>
      <c r="L232" s="35"/>
      <c r="M232" s="28"/>
      <c r="N232" s="36"/>
      <c r="O232" s="29">
        <f t="shared" si="3"/>
        <v>0</v>
      </c>
    </row>
    <row r="233" spans="1:15" x14ac:dyDescent="0.2">
      <c r="A233" s="32"/>
      <c r="B233" s="17" t="s">
        <v>23</v>
      </c>
      <c r="C233" s="28"/>
      <c r="D233" s="28"/>
      <c r="E233" s="28"/>
      <c r="F233" s="28"/>
      <c r="G233" s="33"/>
      <c r="H233" s="28"/>
      <c r="I233" s="28"/>
      <c r="J233" s="28"/>
      <c r="K233" s="28"/>
      <c r="L233" s="35"/>
      <c r="M233" s="28"/>
      <c r="N233" s="36"/>
      <c r="O233" s="29">
        <f t="shared" si="3"/>
        <v>0</v>
      </c>
    </row>
    <row r="234" spans="1:15" x14ac:dyDescent="0.2">
      <c r="A234" s="32"/>
      <c r="B234" s="17" t="s">
        <v>23</v>
      </c>
      <c r="C234" s="28"/>
      <c r="D234" s="28"/>
      <c r="E234" s="28"/>
      <c r="F234" s="28"/>
      <c r="G234" s="33"/>
      <c r="H234" s="28"/>
      <c r="I234" s="28"/>
      <c r="J234" s="28"/>
      <c r="K234" s="28"/>
      <c r="L234" s="35"/>
      <c r="M234" s="28"/>
      <c r="N234" s="36"/>
      <c r="O234" s="29">
        <f t="shared" si="3"/>
        <v>0</v>
      </c>
    </row>
    <row r="235" spans="1:15" x14ac:dyDescent="0.2">
      <c r="A235" s="32"/>
      <c r="B235" s="17" t="s">
        <v>23</v>
      </c>
      <c r="C235" s="28"/>
      <c r="D235" s="28"/>
      <c r="E235" s="28"/>
      <c r="F235" s="28"/>
      <c r="G235" s="33"/>
      <c r="H235" s="28"/>
      <c r="I235" s="28"/>
      <c r="J235" s="28"/>
      <c r="K235" s="28"/>
      <c r="L235" s="35"/>
      <c r="M235" s="28"/>
      <c r="N235" s="36"/>
      <c r="O235" s="29">
        <f t="shared" si="3"/>
        <v>0</v>
      </c>
    </row>
    <row r="236" spans="1:15" x14ac:dyDescent="0.2">
      <c r="A236" s="32"/>
      <c r="B236" s="17" t="s">
        <v>23</v>
      </c>
      <c r="C236" s="28"/>
      <c r="D236" s="28"/>
      <c r="E236" s="28"/>
      <c r="F236" s="28"/>
      <c r="G236" s="33"/>
      <c r="H236" s="28"/>
      <c r="I236" s="28"/>
      <c r="J236" s="28"/>
      <c r="K236" s="28"/>
      <c r="L236" s="35"/>
      <c r="M236" s="28"/>
      <c r="N236" s="36"/>
      <c r="O236" s="29">
        <f t="shared" si="3"/>
        <v>0</v>
      </c>
    </row>
    <row r="237" spans="1:15" x14ac:dyDescent="0.2">
      <c r="A237" s="32"/>
      <c r="B237" s="17" t="s">
        <v>23</v>
      </c>
      <c r="C237" s="28"/>
      <c r="D237" s="28"/>
      <c r="E237" s="28"/>
      <c r="F237" s="28"/>
      <c r="G237" s="33"/>
      <c r="H237" s="28"/>
      <c r="I237" s="28"/>
      <c r="J237" s="28"/>
      <c r="K237" s="28"/>
      <c r="L237" s="35"/>
      <c r="M237" s="28"/>
      <c r="N237" s="36"/>
      <c r="O237" s="29">
        <f t="shared" si="3"/>
        <v>0</v>
      </c>
    </row>
    <row r="238" spans="1:15" x14ac:dyDescent="0.2">
      <c r="A238" s="32"/>
      <c r="B238" s="17" t="s">
        <v>23</v>
      </c>
      <c r="C238" s="28"/>
      <c r="D238" s="28"/>
      <c r="E238" s="28"/>
      <c r="F238" s="28"/>
      <c r="G238" s="33"/>
      <c r="H238" s="28"/>
      <c r="I238" s="28"/>
      <c r="J238" s="28"/>
      <c r="K238" s="28"/>
      <c r="L238" s="35"/>
      <c r="M238" s="28">
        <v>-15</v>
      </c>
      <c r="N238" s="36"/>
      <c r="O238" s="29">
        <f t="shared" si="3"/>
        <v>0</v>
      </c>
    </row>
    <row r="239" spans="1:15" x14ac:dyDescent="0.2">
      <c r="A239" s="32"/>
      <c r="B239" s="17" t="s">
        <v>23</v>
      </c>
      <c r="C239" s="28"/>
      <c r="D239" s="28"/>
      <c r="E239" s="28"/>
      <c r="F239" s="28"/>
      <c r="G239" s="33"/>
      <c r="H239" s="28"/>
      <c r="I239" s="28"/>
      <c r="J239" s="28"/>
      <c r="K239" s="28"/>
      <c r="L239" s="35"/>
      <c r="M239" s="28">
        <v>-15</v>
      </c>
      <c r="N239" s="36"/>
      <c r="O239" s="29">
        <f t="shared" si="3"/>
        <v>0</v>
      </c>
    </row>
    <row r="240" spans="1:15" x14ac:dyDescent="0.2">
      <c r="A240" s="32"/>
      <c r="B240" s="17" t="s">
        <v>23</v>
      </c>
      <c r="C240" s="28"/>
      <c r="D240" s="28"/>
      <c r="E240" s="28"/>
      <c r="F240" s="28"/>
      <c r="G240" s="33"/>
      <c r="H240" s="28"/>
      <c r="I240" s="28"/>
      <c r="J240" s="28"/>
      <c r="K240" s="28"/>
      <c r="L240" s="35"/>
      <c r="M240" s="28">
        <v>-15</v>
      </c>
      <c r="N240" s="36"/>
      <c r="O240" s="29">
        <f t="shared" si="3"/>
        <v>0</v>
      </c>
    </row>
    <row r="241" spans="1:15" x14ac:dyDescent="0.2">
      <c r="A241" s="32"/>
      <c r="B241" s="17" t="s">
        <v>23</v>
      </c>
      <c r="C241" s="28"/>
      <c r="D241" s="28"/>
      <c r="E241" s="28"/>
      <c r="F241" s="28"/>
      <c r="G241" s="33"/>
      <c r="H241" s="28"/>
      <c r="I241" s="28"/>
      <c r="J241" s="28"/>
      <c r="K241" s="28"/>
      <c r="L241" s="35"/>
      <c r="M241" s="28">
        <v>-15</v>
      </c>
      <c r="N241" s="36"/>
      <c r="O241" s="29">
        <f t="shared" si="3"/>
        <v>0</v>
      </c>
    </row>
    <row r="242" spans="1:15" x14ac:dyDescent="0.2">
      <c r="A242" s="32"/>
      <c r="B242" s="17" t="s">
        <v>23</v>
      </c>
      <c r="C242" s="28"/>
      <c r="D242" s="28"/>
      <c r="E242" s="28"/>
      <c r="F242" s="28"/>
      <c r="G242" s="33"/>
      <c r="H242" s="28"/>
      <c r="I242" s="28"/>
      <c r="J242" s="28"/>
      <c r="K242" s="28"/>
      <c r="L242" s="35"/>
      <c r="M242" s="28">
        <v>-15</v>
      </c>
      <c r="N242" s="36"/>
      <c r="O242" s="29">
        <f t="shared" si="3"/>
        <v>0</v>
      </c>
    </row>
    <row r="243" spans="1:15" x14ac:dyDescent="0.2">
      <c r="A243" s="32"/>
      <c r="B243" s="17" t="s">
        <v>23</v>
      </c>
      <c r="C243" s="28"/>
      <c r="D243" s="28"/>
      <c r="E243" s="28"/>
      <c r="F243" s="28"/>
      <c r="G243" s="33"/>
      <c r="H243" s="28"/>
      <c r="I243" s="28"/>
      <c r="J243" s="28"/>
      <c r="K243" s="28"/>
      <c r="L243" s="35"/>
      <c r="M243" s="28">
        <v>-15</v>
      </c>
      <c r="N243" s="36"/>
      <c r="O243" s="29">
        <f t="shared" si="3"/>
        <v>0</v>
      </c>
    </row>
    <row r="244" spans="1:15" x14ac:dyDescent="0.2">
      <c r="A244" s="32"/>
      <c r="B244" s="17" t="s">
        <v>23</v>
      </c>
      <c r="C244" s="28"/>
      <c r="D244" s="28"/>
      <c r="E244" s="28"/>
      <c r="F244" s="28"/>
      <c r="G244" s="33"/>
      <c r="H244" s="28"/>
      <c r="I244" s="28"/>
      <c r="J244" s="28"/>
      <c r="K244" s="28"/>
      <c r="L244" s="35"/>
      <c r="M244" s="28">
        <v>-15</v>
      </c>
      <c r="N244" s="36"/>
      <c r="O244" s="29">
        <f t="shared" si="3"/>
        <v>0</v>
      </c>
    </row>
    <row r="245" spans="1:15" x14ac:dyDescent="0.2">
      <c r="A245" s="32"/>
      <c r="B245" s="17" t="s">
        <v>23</v>
      </c>
      <c r="C245" s="28"/>
      <c r="D245" s="28"/>
      <c r="E245" s="28"/>
      <c r="F245" s="28"/>
      <c r="G245" s="33"/>
      <c r="H245" s="28"/>
      <c r="I245" s="28"/>
      <c r="J245" s="28"/>
      <c r="K245" s="28"/>
      <c r="L245" s="35"/>
      <c r="M245" s="28">
        <v>-15</v>
      </c>
      <c r="N245" s="36"/>
      <c r="O245" s="29">
        <f t="shared" si="3"/>
        <v>0</v>
      </c>
    </row>
    <row r="246" spans="1:15" x14ac:dyDescent="0.2">
      <c r="A246" s="32"/>
      <c r="B246" s="17" t="s">
        <v>23</v>
      </c>
      <c r="C246" s="28"/>
      <c r="D246" s="28"/>
      <c r="E246" s="28"/>
      <c r="F246" s="28"/>
      <c r="G246" s="33"/>
      <c r="H246" s="28"/>
      <c r="I246" s="28"/>
      <c r="J246" s="28"/>
      <c r="K246" s="28"/>
      <c r="L246" s="35"/>
      <c r="M246" s="28">
        <v>-15</v>
      </c>
      <c r="N246" s="36"/>
      <c r="O246" s="29">
        <f t="shared" si="3"/>
        <v>0</v>
      </c>
    </row>
    <row r="247" spans="1:15" x14ac:dyDescent="0.2">
      <c r="A247" s="32"/>
      <c r="B247" s="17" t="s">
        <v>23</v>
      </c>
      <c r="C247" s="28"/>
      <c r="D247" s="28"/>
      <c r="E247" s="28"/>
      <c r="F247" s="28"/>
      <c r="G247" s="33"/>
      <c r="H247" s="28"/>
      <c r="I247" s="28"/>
      <c r="J247" s="28"/>
      <c r="K247" s="28"/>
      <c r="L247" s="35"/>
      <c r="M247" s="28">
        <v>-15</v>
      </c>
      <c r="N247" s="36"/>
      <c r="O247" s="29">
        <f t="shared" si="3"/>
        <v>0</v>
      </c>
    </row>
    <row r="248" spans="1:15" x14ac:dyDescent="0.2">
      <c r="A248" s="32"/>
      <c r="B248" s="17" t="s">
        <v>23</v>
      </c>
      <c r="C248" s="28"/>
      <c r="D248" s="28"/>
      <c r="E248" s="28"/>
      <c r="F248" s="28"/>
      <c r="G248" s="33"/>
      <c r="H248" s="28"/>
      <c r="I248" s="28"/>
      <c r="J248" s="28"/>
      <c r="K248" s="28"/>
      <c r="L248" s="35"/>
      <c r="M248" s="28">
        <v>-15</v>
      </c>
      <c r="N248" s="36"/>
      <c r="O248" s="29">
        <f t="shared" si="3"/>
        <v>0</v>
      </c>
    </row>
    <row r="249" spans="1:15" x14ac:dyDescent="0.2">
      <c r="A249" s="32"/>
      <c r="B249" s="17" t="s">
        <v>23</v>
      </c>
      <c r="C249" s="28"/>
      <c r="D249" s="28"/>
      <c r="E249" s="28"/>
      <c r="F249" s="28"/>
      <c r="G249" s="33"/>
      <c r="H249" s="28"/>
      <c r="I249" s="28"/>
      <c r="J249" s="28"/>
      <c r="K249" s="28"/>
      <c r="L249" s="35"/>
      <c r="M249" s="28">
        <v>-15</v>
      </c>
      <c r="N249" s="36"/>
      <c r="O249" s="29">
        <f t="shared" si="3"/>
        <v>0</v>
      </c>
    </row>
    <row r="250" spans="1:15" x14ac:dyDescent="0.2">
      <c r="A250" s="32"/>
      <c r="B250" s="17" t="s">
        <v>23</v>
      </c>
      <c r="C250" s="28"/>
      <c r="D250" s="28"/>
      <c r="E250" s="28"/>
      <c r="F250" s="28"/>
      <c r="G250" s="33"/>
      <c r="H250" s="28"/>
      <c r="I250" s="28"/>
      <c r="J250" s="28"/>
      <c r="K250" s="28"/>
      <c r="L250" s="35"/>
      <c r="M250" s="28">
        <v>-15</v>
      </c>
      <c r="N250" s="36"/>
      <c r="O250" s="29">
        <f t="shared" si="3"/>
        <v>0</v>
      </c>
    </row>
    <row r="251" spans="1:15" x14ac:dyDescent="0.2">
      <c r="A251" s="32"/>
      <c r="B251" s="17" t="s">
        <v>23</v>
      </c>
      <c r="C251" s="28"/>
      <c r="D251" s="28"/>
      <c r="E251" s="28"/>
      <c r="F251" s="28"/>
      <c r="G251" s="33"/>
      <c r="H251" s="28"/>
      <c r="I251" s="28"/>
      <c r="J251" s="28"/>
      <c r="K251" s="28"/>
      <c r="L251" s="35"/>
      <c r="M251" s="28">
        <v>-15</v>
      </c>
      <c r="N251" s="36"/>
      <c r="O251" s="29">
        <f t="shared" si="3"/>
        <v>0</v>
      </c>
    </row>
    <row r="252" spans="1:15" x14ac:dyDescent="0.2">
      <c r="A252" s="32"/>
      <c r="B252" s="17" t="s">
        <v>23</v>
      </c>
      <c r="C252" s="28"/>
      <c r="D252" s="28"/>
      <c r="E252" s="28"/>
      <c r="F252" s="28"/>
      <c r="G252" s="33"/>
      <c r="H252" s="28"/>
      <c r="I252" s="28"/>
      <c r="J252" s="28"/>
      <c r="K252" s="28"/>
      <c r="L252" s="35"/>
      <c r="M252" s="28">
        <v>-15</v>
      </c>
      <c r="N252" s="36"/>
      <c r="O252" s="29">
        <f t="shared" si="3"/>
        <v>0</v>
      </c>
    </row>
    <row r="253" spans="1:15" x14ac:dyDescent="0.2">
      <c r="A253" s="32"/>
      <c r="B253" s="17" t="s">
        <v>23</v>
      </c>
      <c r="C253" s="28"/>
      <c r="D253" s="28"/>
      <c r="E253" s="28"/>
      <c r="F253" s="28"/>
      <c r="G253" s="33"/>
      <c r="H253" s="28"/>
      <c r="I253" s="28"/>
      <c r="J253" s="28"/>
      <c r="K253" s="28"/>
      <c r="L253" s="35"/>
      <c r="M253" s="28">
        <v>-15</v>
      </c>
      <c r="N253" s="36"/>
      <c r="O253" s="29">
        <f t="shared" si="3"/>
        <v>0</v>
      </c>
    </row>
    <row r="254" spans="1:15" x14ac:dyDescent="0.2">
      <c r="A254" s="32"/>
      <c r="B254" s="17" t="s">
        <v>23</v>
      </c>
      <c r="C254" s="28"/>
      <c r="D254" s="28"/>
      <c r="E254" s="28"/>
      <c r="F254" s="28"/>
      <c r="G254" s="33"/>
      <c r="H254" s="28"/>
      <c r="I254" s="28"/>
      <c r="J254" s="28"/>
      <c r="K254" s="28"/>
      <c r="L254" s="35"/>
      <c r="M254" s="28">
        <v>-15</v>
      </c>
      <c r="N254" s="36"/>
      <c r="O254" s="29">
        <f t="shared" si="3"/>
        <v>0</v>
      </c>
    </row>
    <row r="255" spans="1:15" x14ac:dyDescent="0.2">
      <c r="A255" s="32"/>
      <c r="B255" s="17" t="s">
        <v>23</v>
      </c>
      <c r="C255" s="28"/>
      <c r="D255" s="28"/>
      <c r="E255" s="28"/>
      <c r="F255" s="28"/>
      <c r="G255" s="33"/>
      <c r="H255" s="28"/>
      <c r="I255" s="28"/>
      <c r="J255" s="28"/>
      <c r="K255" s="28"/>
      <c r="L255" s="35"/>
      <c r="M255" s="28">
        <v>-15</v>
      </c>
      <c r="N255" s="36"/>
      <c r="O255" s="29">
        <f t="shared" si="3"/>
        <v>0</v>
      </c>
    </row>
    <row r="256" spans="1:15" x14ac:dyDescent="0.2">
      <c r="A256" s="32"/>
      <c r="B256" s="17" t="s">
        <v>23</v>
      </c>
      <c r="C256" s="28"/>
      <c r="D256" s="28"/>
      <c r="E256" s="28"/>
      <c r="F256" s="28"/>
      <c r="G256" s="33"/>
      <c r="H256" s="28"/>
      <c r="I256" s="28"/>
      <c r="J256" s="28"/>
      <c r="K256" s="28"/>
      <c r="L256" s="35"/>
      <c r="M256" s="28">
        <v>-15</v>
      </c>
      <c r="N256" s="36"/>
      <c r="O256" s="29">
        <f t="shared" si="3"/>
        <v>0</v>
      </c>
    </row>
    <row r="257" spans="1:15" x14ac:dyDescent="0.2">
      <c r="A257" s="32"/>
      <c r="B257" s="17" t="s">
        <v>23</v>
      </c>
      <c r="C257" s="28"/>
      <c r="D257" s="28"/>
      <c r="E257" s="28"/>
      <c r="F257" s="28"/>
      <c r="G257" s="33"/>
      <c r="H257" s="28"/>
      <c r="I257" s="28"/>
      <c r="J257" s="28"/>
      <c r="K257" s="28"/>
      <c r="L257" s="35"/>
      <c r="M257" s="28">
        <v>-15</v>
      </c>
      <c r="N257" s="36"/>
      <c r="O257" s="29">
        <f t="shared" si="3"/>
        <v>0</v>
      </c>
    </row>
    <row r="258" spans="1:15" x14ac:dyDescent="0.2">
      <c r="A258" s="32"/>
      <c r="B258" s="17" t="s">
        <v>23</v>
      </c>
      <c r="C258" s="28"/>
      <c r="D258" s="28"/>
      <c r="E258" s="28"/>
      <c r="F258" s="28"/>
      <c r="G258" s="33"/>
      <c r="H258" s="28"/>
      <c r="I258" s="28"/>
      <c r="J258" s="28"/>
      <c r="K258" s="28"/>
      <c r="L258" s="35"/>
      <c r="M258" s="28">
        <v>-15</v>
      </c>
      <c r="N258" s="36"/>
      <c r="O258" s="29">
        <f t="shared" si="3"/>
        <v>0</v>
      </c>
    </row>
    <row r="259" spans="1:15" x14ac:dyDescent="0.2">
      <c r="A259" s="32"/>
      <c r="B259" s="17" t="s">
        <v>23</v>
      </c>
      <c r="C259" s="28"/>
      <c r="D259" s="28"/>
      <c r="E259" s="28"/>
      <c r="F259" s="28"/>
      <c r="G259" s="33"/>
      <c r="H259" s="28"/>
      <c r="I259" s="28"/>
      <c r="J259" s="28"/>
      <c r="K259" s="28"/>
      <c r="L259" s="35"/>
      <c r="M259" s="28">
        <v>-15</v>
      </c>
      <c r="N259" s="36"/>
      <c r="O259" s="29">
        <f t="shared" ref="O259:O322" si="4">N259*J259</f>
        <v>0</v>
      </c>
    </row>
    <row r="260" spans="1:15" x14ac:dyDescent="0.2">
      <c r="A260" s="32"/>
      <c r="B260" s="17" t="s">
        <v>23</v>
      </c>
      <c r="C260" s="28"/>
      <c r="D260" s="28"/>
      <c r="E260" s="28"/>
      <c r="F260" s="28"/>
      <c r="G260" s="33"/>
      <c r="H260" s="28"/>
      <c r="I260" s="28"/>
      <c r="J260" s="28"/>
      <c r="K260" s="28"/>
      <c r="L260" s="35"/>
      <c r="M260" s="28">
        <v>-15</v>
      </c>
      <c r="N260" s="36"/>
      <c r="O260" s="29">
        <f t="shared" si="4"/>
        <v>0</v>
      </c>
    </row>
    <row r="261" spans="1:15" x14ac:dyDescent="0.2">
      <c r="A261" s="32"/>
      <c r="B261" s="17" t="s">
        <v>23</v>
      </c>
      <c r="C261" s="28"/>
      <c r="D261" s="28"/>
      <c r="E261" s="28"/>
      <c r="F261" s="28"/>
      <c r="G261" s="33"/>
      <c r="H261" s="28"/>
      <c r="I261" s="28"/>
      <c r="J261" s="28"/>
      <c r="K261" s="28"/>
      <c r="L261" s="35"/>
      <c r="M261" s="28">
        <v>-15</v>
      </c>
      <c r="N261" s="36"/>
      <c r="O261" s="29">
        <f t="shared" si="4"/>
        <v>0</v>
      </c>
    </row>
    <row r="262" spans="1:15" x14ac:dyDescent="0.2">
      <c r="A262" s="32"/>
      <c r="B262" s="17" t="s">
        <v>23</v>
      </c>
      <c r="C262" s="28"/>
      <c r="D262" s="28"/>
      <c r="E262" s="28"/>
      <c r="F262" s="28"/>
      <c r="G262" s="33"/>
      <c r="H262" s="28"/>
      <c r="I262" s="28"/>
      <c r="J262" s="28"/>
      <c r="K262" s="28"/>
      <c r="L262" s="35"/>
      <c r="M262" s="28">
        <v>-15</v>
      </c>
      <c r="N262" s="36"/>
      <c r="O262" s="29">
        <f t="shared" si="4"/>
        <v>0</v>
      </c>
    </row>
    <row r="263" spans="1:15" x14ac:dyDescent="0.2">
      <c r="A263" s="32"/>
      <c r="B263" s="17" t="s">
        <v>23</v>
      </c>
      <c r="C263" s="28"/>
      <c r="D263" s="28"/>
      <c r="E263" s="28"/>
      <c r="F263" s="28"/>
      <c r="G263" s="33"/>
      <c r="H263" s="28"/>
      <c r="I263" s="28"/>
      <c r="J263" s="28"/>
      <c r="K263" s="28"/>
      <c r="L263" s="35"/>
      <c r="M263" s="28">
        <v>-15</v>
      </c>
      <c r="N263" s="36"/>
      <c r="O263" s="29">
        <f t="shared" si="4"/>
        <v>0</v>
      </c>
    </row>
    <row r="264" spans="1:15" x14ac:dyDescent="0.2">
      <c r="A264" s="32"/>
      <c r="B264" s="17" t="s">
        <v>23</v>
      </c>
      <c r="C264" s="28"/>
      <c r="D264" s="28"/>
      <c r="E264" s="28"/>
      <c r="F264" s="28"/>
      <c r="G264" s="33"/>
      <c r="H264" s="28"/>
      <c r="I264" s="28"/>
      <c r="J264" s="28"/>
      <c r="K264" s="28"/>
      <c r="L264" s="35"/>
      <c r="M264" s="28">
        <v>-15</v>
      </c>
      <c r="N264" s="36"/>
      <c r="O264" s="29">
        <f t="shared" si="4"/>
        <v>0</v>
      </c>
    </row>
    <row r="265" spans="1:15" x14ac:dyDescent="0.2">
      <c r="A265" s="32"/>
      <c r="B265" s="27" t="s">
        <v>21</v>
      </c>
      <c r="C265" s="28"/>
      <c r="D265" s="28"/>
      <c r="E265" s="28"/>
      <c r="F265" s="28"/>
      <c r="G265" s="33"/>
      <c r="H265" s="28"/>
      <c r="I265" s="28"/>
      <c r="J265" s="28"/>
      <c r="K265" s="28"/>
      <c r="L265" s="35"/>
      <c r="M265" s="28">
        <v>-15</v>
      </c>
      <c r="N265" s="36"/>
      <c r="O265" s="29">
        <f t="shared" si="4"/>
        <v>0</v>
      </c>
    </row>
    <row r="266" spans="1:15" x14ac:dyDescent="0.2">
      <c r="A266" s="32"/>
      <c r="B266" s="27" t="s">
        <v>21</v>
      </c>
      <c r="C266" s="28"/>
      <c r="D266" s="28"/>
      <c r="E266" s="28"/>
      <c r="F266" s="28"/>
      <c r="G266" s="33"/>
      <c r="H266" s="28"/>
      <c r="I266" s="28"/>
      <c r="J266" s="28"/>
      <c r="K266" s="28"/>
      <c r="L266" s="35"/>
      <c r="M266" s="28">
        <v>-15</v>
      </c>
      <c r="N266" s="36"/>
      <c r="O266" s="29">
        <f t="shared" si="4"/>
        <v>0</v>
      </c>
    </row>
    <row r="267" spans="1:15" x14ac:dyDescent="0.2">
      <c r="A267" s="32"/>
      <c r="B267" s="27" t="s">
        <v>21</v>
      </c>
      <c r="C267" s="28"/>
      <c r="D267" s="28"/>
      <c r="E267" s="28"/>
      <c r="F267" s="28"/>
      <c r="G267" s="33"/>
      <c r="H267" s="28"/>
      <c r="I267" s="28"/>
      <c r="J267" s="28"/>
      <c r="K267" s="28"/>
      <c r="L267" s="35"/>
      <c r="M267" s="28">
        <v>-15</v>
      </c>
      <c r="N267" s="36"/>
      <c r="O267" s="29">
        <f t="shared" si="4"/>
        <v>0</v>
      </c>
    </row>
    <row r="268" spans="1:15" x14ac:dyDescent="0.2">
      <c r="A268" s="32"/>
      <c r="B268" s="27" t="s">
        <v>21</v>
      </c>
      <c r="C268" s="28"/>
      <c r="D268" s="28"/>
      <c r="E268" s="28"/>
      <c r="F268" s="28"/>
      <c r="G268" s="33"/>
      <c r="H268" s="28"/>
      <c r="I268" s="28"/>
      <c r="J268" s="28"/>
      <c r="K268" s="28"/>
      <c r="L268" s="35"/>
      <c r="M268" s="28"/>
      <c r="N268" s="36"/>
      <c r="O268" s="29">
        <f t="shared" si="4"/>
        <v>0</v>
      </c>
    </row>
    <row r="269" spans="1:15" x14ac:dyDescent="0.2">
      <c r="A269" s="32"/>
      <c r="B269" s="27" t="s">
        <v>21</v>
      </c>
      <c r="C269" s="28"/>
      <c r="D269" s="28"/>
      <c r="E269" s="28"/>
      <c r="F269" s="28"/>
      <c r="G269" s="33"/>
      <c r="H269" s="28"/>
      <c r="I269" s="28"/>
      <c r="J269" s="28"/>
      <c r="K269" s="28"/>
      <c r="L269" s="35"/>
      <c r="M269" s="28"/>
      <c r="N269" s="36"/>
      <c r="O269" s="29">
        <f t="shared" si="4"/>
        <v>0</v>
      </c>
    </row>
    <row r="270" spans="1:15" x14ac:dyDescent="0.2">
      <c r="A270" s="32"/>
      <c r="B270" s="27" t="s">
        <v>21</v>
      </c>
      <c r="C270" s="28"/>
      <c r="D270" s="28"/>
      <c r="E270" s="28"/>
      <c r="F270" s="28"/>
      <c r="G270" s="33"/>
      <c r="H270" s="28"/>
      <c r="I270" s="28"/>
      <c r="J270" s="28"/>
      <c r="K270" s="28"/>
      <c r="L270" s="35"/>
      <c r="M270" s="28"/>
      <c r="N270" s="36"/>
      <c r="O270" s="29">
        <f t="shared" si="4"/>
        <v>0</v>
      </c>
    </row>
    <row r="271" spans="1:15" x14ac:dyDescent="0.2">
      <c r="A271" s="32"/>
      <c r="B271" s="27" t="s">
        <v>21</v>
      </c>
      <c r="C271" s="28"/>
      <c r="D271" s="28"/>
      <c r="E271" s="28"/>
      <c r="F271" s="28"/>
      <c r="G271" s="33"/>
      <c r="H271" s="28"/>
      <c r="I271" s="28"/>
      <c r="J271" s="28"/>
      <c r="K271" s="28"/>
      <c r="L271" s="35"/>
      <c r="M271" s="28"/>
      <c r="N271" s="36"/>
      <c r="O271" s="29">
        <f t="shared" si="4"/>
        <v>0</v>
      </c>
    </row>
    <row r="272" spans="1:15" x14ac:dyDescent="0.2">
      <c r="A272" s="32"/>
      <c r="B272" s="27" t="s">
        <v>21</v>
      </c>
      <c r="C272" s="28"/>
      <c r="D272" s="28"/>
      <c r="E272" s="28"/>
      <c r="F272" s="28"/>
      <c r="G272" s="33"/>
      <c r="H272" s="28"/>
      <c r="I272" s="28"/>
      <c r="J272" s="28"/>
      <c r="K272" s="28"/>
      <c r="L272" s="35"/>
      <c r="M272" s="28"/>
      <c r="N272" s="36"/>
      <c r="O272" s="29">
        <f t="shared" si="4"/>
        <v>0</v>
      </c>
    </row>
    <row r="273" spans="1:15" x14ac:dyDescent="0.2">
      <c r="A273" s="32"/>
      <c r="B273" s="27" t="s">
        <v>21</v>
      </c>
      <c r="C273" s="28"/>
      <c r="D273" s="28"/>
      <c r="E273" s="28"/>
      <c r="F273" s="28"/>
      <c r="G273" s="33"/>
      <c r="H273" s="28"/>
      <c r="I273" s="28"/>
      <c r="J273" s="28"/>
      <c r="K273" s="28"/>
      <c r="L273" s="35"/>
      <c r="M273" s="28"/>
      <c r="N273" s="36"/>
      <c r="O273" s="29">
        <f t="shared" si="4"/>
        <v>0</v>
      </c>
    </row>
    <row r="274" spans="1:15" x14ac:dyDescent="0.2">
      <c r="A274" s="32"/>
      <c r="B274" s="27" t="s">
        <v>21</v>
      </c>
      <c r="C274" s="28"/>
      <c r="D274" s="28"/>
      <c r="E274" s="28"/>
      <c r="F274" s="28"/>
      <c r="G274" s="33"/>
      <c r="H274" s="28"/>
      <c r="I274" s="28"/>
      <c r="J274" s="28"/>
      <c r="K274" s="28"/>
      <c r="L274" s="35"/>
      <c r="M274" s="28"/>
      <c r="N274" s="36"/>
      <c r="O274" s="29">
        <f t="shared" si="4"/>
        <v>0</v>
      </c>
    </row>
    <row r="275" spans="1:15" x14ac:dyDescent="0.2">
      <c r="A275" s="32"/>
      <c r="B275" s="27" t="s">
        <v>21</v>
      </c>
      <c r="C275" s="28"/>
      <c r="D275" s="28"/>
      <c r="E275" s="28"/>
      <c r="F275" s="28"/>
      <c r="G275" s="33"/>
      <c r="H275" s="28"/>
      <c r="I275" s="28"/>
      <c r="J275" s="28"/>
      <c r="K275" s="28"/>
      <c r="L275" s="35"/>
      <c r="M275" s="28"/>
      <c r="N275" s="36"/>
      <c r="O275" s="29">
        <f t="shared" si="4"/>
        <v>0</v>
      </c>
    </row>
    <row r="276" spans="1:15" x14ac:dyDescent="0.2">
      <c r="A276" s="32"/>
      <c r="B276" s="27" t="s">
        <v>21</v>
      </c>
      <c r="C276" s="28"/>
      <c r="D276" s="28"/>
      <c r="E276" s="28"/>
      <c r="F276" s="28"/>
      <c r="G276" s="33"/>
      <c r="H276" s="28"/>
      <c r="I276" s="28"/>
      <c r="J276" s="28"/>
      <c r="K276" s="28"/>
      <c r="L276" s="35"/>
      <c r="M276" s="28"/>
      <c r="N276" s="36"/>
      <c r="O276" s="29">
        <f t="shared" si="4"/>
        <v>0</v>
      </c>
    </row>
    <row r="277" spans="1:15" x14ac:dyDescent="0.2">
      <c r="A277" s="32"/>
      <c r="B277" s="27" t="s">
        <v>21</v>
      </c>
      <c r="C277" s="28"/>
      <c r="D277" s="28"/>
      <c r="E277" s="28"/>
      <c r="F277" s="28"/>
      <c r="G277" s="35"/>
      <c r="H277" s="28"/>
      <c r="I277" s="28"/>
      <c r="J277" s="28"/>
      <c r="K277" s="28"/>
      <c r="L277" s="35"/>
      <c r="M277" s="28"/>
      <c r="N277" s="36"/>
      <c r="O277" s="29">
        <f t="shared" si="4"/>
        <v>0</v>
      </c>
    </row>
    <row r="278" spans="1:15" x14ac:dyDescent="0.2">
      <c r="A278" s="32"/>
      <c r="B278" s="27" t="s">
        <v>21</v>
      </c>
      <c r="C278" s="28"/>
      <c r="D278" s="28"/>
      <c r="E278" s="28"/>
      <c r="F278" s="28"/>
      <c r="G278" s="35"/>
      <c r="H278" s="28"/>
      <c r="I278" s="28"/>
      <c r="J278" s="28"/>
      <c r="K278" s="28"/>
      <c r="L278" s="35"/>
      <c r="M278" s="28"/>
      <c r="N278" s="36"/>
      <c r="O278" s="29">
        <f t="shared" si="4"/>
        <v>0</v>
      </c>
    </row>
    <row r="279" spans="1:15" x14ac:dyDescent="0.2">
      <c r="A279" s="32"/>
      <c r="B279" s="27" t="s">
        <v>21</v>
      </c>
      <c r="C279" s="28"/>
      <c r="D279" s="28"/>
      <c r="E279" s="28"/>
      <c r="F279" s="28"/>
      <c r="G279" s="35"/>
      <c r="H279" s="28"/>
      <c r="I279" s="28"/>
      <c r="J279" s="28"/>
      <c r="K279" s="28"/>
      <c r="L279" s="35"/>
      <c r="M279" s="28"/>
      <c r="N279" s="36"/>
      <c r="O279" s="29">
        <f t="shared" si="4"/>
        <v>0</v>
      </c>
    </row>
    <row r="280" spans="1:15" x14ac:dyDescent="0.2">
      <c r="A280" s="32"/>
      <c r="B280" s="27" t="s">
        <v>21</v>
      </c>
      <c r="C280" s="28"/>
      <c r="D280" s="28"/>
      <c r="E280" s="28"/>
      <c r="F280" s="28"/>
      <c r="G280" s="35"/>
      <c r="H280" s="28"/>
      <c r="I280" s="28"/>
      <c r="J280" s="28"/>
      <c r="K280" s="28"/>
      <c r="L280" s="35"/>
      <c r="M280" s="28"/>
      <c r="N280" s="36"/>
      <c r="O280" s="29">
        <f t="shared" si="4"/>
        <v>0</v>
      </c>
    </row>
    <row r="281" spans="1:15" x14ac:dyDescent="0.2">
      <c r="A281" s="32"/>
      <c r="B281" s="27" t="s">
        <v>21</v>
      </c>
      <c r="C281" s="28"/>
      <c r="D281" s="28"/>
      <c r="E281" s="28"/>
      <c r="F281" s="28"/>
      <c r="G281" s="35"/>
      <c r="H281" s="28"/>
      <c r="I281" s="28"/>
      <c r="J281" s="28"/>
      <c r="K281" s="28"/>
      <c r="L281" s="35"/>
      <c r="M281" s="28"/>
      <c r="N281" s="36"/>
      <c r="O281" s="29">
        <f t="shared" si="4"/>
        <v>0</v>
      </c>
    </row>
    <row r="282" spans="1:15" x14ac:dyDescent="0.2">
      <c r="A282" s="32"/>
      <c r="B282" s="27" t="s">
        <v>21</v>
      </c>
      <c r="C282" s="28"/>
      <c r="D282" s="28"/>
      <c r="E282" s="28"/>
      <c r="F282" s="28"/>
      <c r="G282" s="35"/>
      <c r="H282" s="28"/>
      <c r="I282" s="28"/>
      <c r="J282" s="28"/>
      <c r="K282" s="28"/>
      <c r="L282" s="35"/>
      <c r="M282" s="28"/>
      <c r="N282" s="36"/>
      <c r="O282" s="29">
        <f t="shared" si="4"/>
        <v>0</v>
      </c>
    </row>
    <row r="283" spans="1:15" x14ac:dyDescent="0.2">
      <c r="A283" s="32"/>
      <c r="B283" s="27" t="s">
        <v>21</v>
      </c>
      <c r="C283" s="28"/>
      <c r="D283" s="28"/>
      <c r="E283" s="28"/>
      <c r="F283" s="28"/>
      <c r="G283" s="35"/>
      <c r="H283" s="28"/>
      <c r="I283" s="28"/>
      <c r="J283" s="28"/>
      <c r="K283" s="28"/>
      <c r="L283" s="35"/>
      <c r="M283" s="28"/>
      <c r="N283" s="36"/>
      <c r="O283" s="29">
        <f t="shared" si="4"/>
        <v>0</v>
      </c>
    </row>
    <row r="284" spans="1:15" x14ac:dyDescent="0.2">
      <c r="A284" s="32"/>
      <c r="B284" s="27" t="s">
        <v>21</v>
      </c>
      <c r="C284" s="28"/>
      <c r="D284" s="28"/>
      <c r="E284" s="28"/>
      <c r="F284" s="28"/>
      <c r="G284" s="35"/>
      <c r="H284" s="28"/>
      <c r="I284" s="28"/>
      <c r="J284" s="28"/>
      <c r="K284" s="28"/>
      <c r="L284" s="35"/>
      <c r="M284" s="28"/>
      <c r="N284" s="36"/>
      <c r="O284" s="29">
        <f t="shared" si="4"/>
        <v>0</v>
      </c>
    </row>
    <row r="285" spans="1:15" x14ac:dyDescent="0.2">
      <c r="A285" s="32"/>
      <c r="B285" s="27" t="s">
        <v>21</v>
      </c>
      <c r="C285" s="28"/>
      <c r="D285" s="28"/>
      <c r="E285" s="28"/>
      <c r="F285" s="28"/>
      <c r="G285" s="35"/>
      <c r="H285" s="28"/>
      <c r="I285" s="28"/>
      <c r="J285" s="28"/>
      <c r="K285" s="28"/>
      <c r="L285" s="35"/>
      <c r="M285" s="28"/>
      <c r="N285" s="36"/>
      <c r="O285" s="29">
        <f t="shared" si="4"/>
        <v>0</v>
      </c>
    </row>
    <row r="286" spans="1:15" x14ac:dyDescent="0.2">
      <c r="A286" s="32"/>
      <c r="B286" s="27" t="s">
        <v>21</v>
      </c>
      <c r="C286" s="28"/>
      <c r="D286" s="28"/>
      <c r="E286" s="28"/>
      <c r="F286" s="28"/>
      <c r="G286" s="35"/>
      <c r="H286" s="28"/>
      <c r="I286" s="28"/>
      <c r="J286" s="28"/>
      <c r="K286" s="28"/>
      <c r="L286" s="35"/>
      <c r="M286" s="28"/>
      <c r="N286" s="36"/>
      <c r="O286" s="29">
        <f t="shared" si="4"/>
        <v>0</v>
      </c>
    </row>
    <row r="287" spans="1:15" x14ac:dyDescent="0.2">
      <c r="A287" s="32"/>
      <c r="B287" s="27" t="s">
        <v>21</v>
      </c>
      <c r="C287" s="28"/>
      <c r="D287" s="28"/>
      <c r="E287" s="28"/>
      <c r="F287" s="28"/>
      <c r="G287" s="35"/>
      <c r="H287" s="28"/>
      <c r="I287" s="28"/>
      <c r="J287" s="28"/>
      <c r="K287" s="28"/>
      <c r="L287" s="35"/>
      <c r="M287" s="28"/>
      <c r="N287" s="36"/>
      <c r="O287" s="29">
        <f t="shared" si="4"/>
        <v>0</v>
      </c>
    </row>
    <row r="288" spans="1:15" x14ac:dyDescent="0.2">
      <c r="A288" s="32"/>
      <c r="B288" s="27" t="s">
        <v>21</v>
      </c>
      <c r="C288" s="28"/>
      <c r="D288" s="28"/>
      <c r="E288" s="28"/>
      <c r="F288" s="28"/>
      <c r="G288" s="35"/>
      <c r="H288" s="28"/>
      <c r="I288" s="28"/>
      <c r="J288" s="28"/>
      <c r="K288" s="28"/>
      <c r="L288" s="35"/>
      <c r="M288" s="28"/>
      <c r="N288" s="36"/>
      <c r="O288" s="29">
        <f t="shared" si="4"/>
        <v>0</v>
      </c>
    </row>
    <row r="289" spans="1:15" x14ac:dyDescent="0.2">
      <c r="A289" s="32"/>
      <c r="B289" s="27" t="s">
        <v>21</v>
      </c>
      <c r="C289" s="28"/>
      <c r="D289" s="28"/>
      <c r="E289" s="28"/>
      <c r="F289" s="28"/>
      <c r="G289" s="35"/>
      <c r="H289" s="28"/>
      <c r="I289" s="28"/>
      <c r="J289" s="28"/>
      <c r="K289" s="28"/>
      <c r="L289" s="35"/>
      <c r="M289" s="28"/>
      <c r="N289" s="36"/>
      <c r="O289" s="29">
        <f t="shared" si="4"/>
        <v>0</v>
      </c>
    </row>
    <row r="290" spans="1:15" x14ac:dyDescent="0.2">
      <c r="A290" s="32"/>
      <c r="B290" s="27" t="s">
        <v>21</v>
      </c>
      <c r="C290" s="28"/>
      <c r="D290" s="28"/>
      <c r="E290" s="28"/>
      <c r="F290" s="28"/>
      <c r="G290" s="35"/>
      <c r="H290" s="28"/>
      <c r="I290" s="28"/>
      <c r="J290" s="28"/>
      <c r="K290" s="28"/>
      <c r="L290" s="35"/>
      <c r="M290" s="28"/>
      <c r="N290" s="36"/>
      <c r="O290" s="29">
        <f t="shared" si="4"/>
        <v>0</v>
      </c>
    </row>
    <row r="291" spans="1:15" x14ac:dyDescent="0.2">
      <c r="A291" s="41"/>
      <c r="B291" s="27" t="s">
        <v>21</v>
      </c>
      <c r="C291" s="40"/>
      <c r="D291" s="40"/>
      <c r="E291" s="40"/>
      <c r="F291" s="40"/>
      <c r="G291" s="33"/>
      <c r="H291" s="40"/>
      <c r="I291" s="40"/>
      <c r="J291" s="40"/>
      <c r="K291" s="40"/>
      <c r="L291" s="35"/>
      <c r="M291" s="28"/>
      <c r="N291" s="36"/>
      <c r="O291" s="29">
        <f t="shared" si="4"/>
        <v>0</v>
      </c>
    </row>
    <row r="292" spans="1:15" x14ac:dyDescent="0.2">
      <c r="A292" s="32"/>
      <c r="B292" s="27" t="s">
        <v>21</v>
      </c>
      <c r="C292" s="28"/>
      <c r="D292" s="28"/>
      <c r="E292" s="28"/>
      <c r="F292" s="28"/>
      <c r="G292" s="35"/>
      <c r="H292" s="28"/>
      <c r="I292" s="28"/>
      <c r="J292" s="28"/>
      <c r="K292" s="28"/>
      <c r="L292" s="35"/>
      <c r="M292" s="28"/>
      <c r="N292" s="36"/>
      <c r="O292" s="29">
        <f t="shared" si="4"/>
        <v>0</v>
      </c>
    </row>
    <row r="293" spans="1:15" x14ac:dyDescent="0.2">
      <c r="A293" s="32"/>
      <c r="B293" s="27" t="s">
        <v>21</v>
      </c>
      <c r="C293" s="28"/>
      <c r="D293" s="28"/>
      <c r="E293" s="28"/>
      <c r="F293" s="28"/>
      <c r="G293" s="35"/>
      <c r="H293" s="28"/>
      <c r="I293" s="28"/>
      <c r="J293" s="28"/>
      <c r="K293" s="28"/>
      <c r="L293" s="35"/>
      <c r="M293" s="28"/>
      <c r="N293" s="36"/>
      <c r="O293" s="29">
        <f t="shared" si="4"/>
        <v>0</v>
      </c>
    </row>
    <row r="294" spans="1:15" x14ac:dyDescent="0.2">
      <c r="A294" s="32"/>
      <c r="B294" s="27" t="s">
        <v>21</v>
      </c>
      <c r="C294" s="28"/>
      <c r="D294" s="28"/>
      <c r="E294" s="28"/>
      <c r="F294" s="28"/>
      <c r="G294" s="35"/>
      <c r="H294" s="28"/>
      <c r="I294" s="28"/>
      <c r="J294" s="28"/>
      <c r="K294" s="28"/>
      <c r="L294" s="35"/>
      <c r="M294" s="28"/>
      <c r="N294" s="36"/>
      <c r="O294" s="29">
        <f t="shared" si="4"/>
        <v>0</v>
      </c>
    </row>
    <row r="295" spans="1:15" x14ac:dyDescent="0.2">
      <c r="A295" s="32"/>
      <c r="B295" s="27" t="s">
        <v>21</v>
      </c>
      <c r="C295" s="28"/>
      <c r="D295" s="28"/>
      <c r="E295" s="28"/>
      <c r="F295" s="28"/>
      <c r="G295" s="35"/>
      <c r="H295" s="28"/>
      <c r="I295" s="28"/>
      <c r="J295" s="28"/>
      <c r="K295" s="28"/>
      <c r="L295" s="35"/>
      <c r="M295" s="28"/>
      <c r="N295" s="36"/>
      <c r="O295" s="29">
        <f t="shared" si="4"/>
        <v>0</v>
      </c>
    </row>
    <row r="296" spans="1:15" x14ac:dyDescent="0.2">
      <c r="A296" s="32"/>
      <c r="B296" s="27" t="s">
        <v>21</v>
      </c>
      <c r="C296" s="28"/>
      <c r="D296" s="28"/>
      <c r="E296" s="28"/>
      <c r="F296" s="28"/>
      <c r="G296" s="35"/>
      <c r="H296" s="28"/>
      <c r="I296" s="28"/>
      <c r="J296" s="28"/>
      <c r="K296" s="28"/>
      <c r="L296" s="35"/>
      <c r="M296" s="28"/>
      <c r="N296" s="36"/>
      <c r="O296" s="29">
        <f t="shared" si="4"/>
        <v>0</v>
      </c>
    </row>
    <row r="297" spans="1:15" x14ac:dyDescent="0.2">
      <c r="A297" s="32"/>
      <c r="B297" s="27" t="s">
        <v>21</v>
      </c>
      <c r="C297" s="28"/>
      <c r="D297" s="28"/>
      <c r="E297" s="28"/>
      <c r="F297" s="28"/>
      <c r="G297" s="35"/>
      <c r="H297" s="28"/>
      <c r="I297" s="28"/>
      <c r="J297" s="28"/>
      <c r="K297" s="28"/>
      <c r="L297" s="35"/>
      <c r="M297" s="28"/>
      <c r="N297" s="36"/>
      <c r="O297" s="29">
        <f t="shared" si="4"/>
        <v>0</v>
      </c>
    </row>
    <row r="298" spans="1:15" x14ac:dyDescent="0.2">
      <c r="A298" s="32"/>
      <c r="B298" s="27" t="s">
        <v>21</v>
      </c>
      <c r="C298" s="28"/>
      <c r="D298" s="28"/>
      <c r="E298" s="28"/>
      <c r="F298" s="28"/>
      <c r="G298" s="35"/>
      <c r="H298" s="28"/>
      <c r="I298" s="28"/>
      <c r="J298" s="28"/>
      <c r="K298" s="28"/>
      <c r="L298" s="35"/>
      <c r="M298" s="28"/>
      <c r="N298" s="36"/>
      <c r="O298" s="29">
        <f t="shared" si="4"/>
        <v>0</v>
      </c>
    </row>
    <row r="299" spans="1:15" x14ac:dyDescent="0.2">
      <c r="A299" s="32"/>
      <c r="B299" s="27" t="s">
        <v>21</v>
      </c>
      <c r="C299" s="28"/>
      <c r="D299" s="28"/>
      <c r="E299" s="28"/>
      <c r="F299" s="28"/>
      <c r="G299" s="35"/>
      <c r="H299" s="28"/>
      <c r="I299" s="28"/>
      <c r="J299" s="28"/>
      <c r="K299" s="28"/>
      <c r="L299" s="35"/>
      <c r="M299" s="28"/>
      <c r="N299" s="36"/>
      <c r="O299" s="29">
        <f t="shared" si="4"/>
        <v>0</v>
      </c>
    </row>
    <row r="300" spans="1:15" x14ac:dyDescent="0.2">
      <c r="A300" s="32"/>
      <c r="B300" s="27" t="s">
        <v>21</v>
      </c>
      <c r="C300" s="28"/>
      <c r="D300" s="28"/>
      <c r="E300" s="28"/>
      <c r="F300" s="28"/>
      <c r="G300" s="35"/>
      <c r="H300" s="28"/>
      <c r="I300" s="28"/>
      <c r="J300" s="28"/>
      <c r="K300" s="28"/>
      <c r="L300" s="35"/>
      <c r="M300" s="28"/>
      <c r="N300" s="36"/>
      <c r="O300" s="29">
        <f t="shared" si="4"/>
        <v>0</v>
      </c>
    </row>
    <row r="301" spans="1:15" x14ac:dyDescent="0.2">
      <c r="A301" s="32"/>
      <c r="B301" s="27" t="s">
        <v>21</v>
      </c>
      <c r="C301" s="28"/>
      <c r="D301" s="28"/>
      <c r="E301" s="28"/>
      <c r="F301" s="28"/>
      <c r="G301" s="35"/>
      <c r="H301" s="28"/>
      <c r="I301" s="28"/>
      <c r="J301" s="28"/>
      <c r="K301" s="28"/>
      <c r="L301" s="35"/>
      <c r="M301" s="28"/>
      <c r="N301" s="36"/>
      <c r="O301" s="29">
        <f t="shared" si="4"/>
        <v>0</v>
      </c>
    </row>
    <row r="302" spans="1:15" x14ac:dyDescent="0.2">
      <c r="A302" s="32"/>
      <c r="B302" s="27" t="s">
        <v>21</v>
      </c>
      <c r="C302" s="28"/>
      <c r="D302" s="28"/>
      <c r="E302" s="28"/>
      <c r="F302" s="28"/>
      <c r="G302" s="35"/>
      <c r="H302" s="28"/>
      <c r="I302" s="28"/>
      <c r="J302" s="28"/>
      <c r="K302" s="28"/>
      <c r="L302" s="35"/>
      <c r="M302" s="28"/>
      <c r="N302" s="36"/>
      <c r="O302" s="29">
        <f t="shared" si="4"/>
        <v>0</v>
      </c>
    </row>
    <row r="303" spans="1:15" x14ac:dyDescent="0.2">
      <c r="A303" s="32"/>
      <c r="B303" s="27" t="s">
        <v>21</v>
      </c>
      <c r="C303" s="28"/>
      <c r="D303" s="28"/>
      <c r="E303" s="28"/>
      <c r="F303" s="28"/>
      <c r="G303" s="35"/>
      <c r="H303" s="28"/>
      <c r="I303" s="28"/>
      <c r="J303" s="28"/>
      <c r="K303" s="28"/>
      <c r="L303" s="35"/>
      <c r="M303" s="28"/>
      <c r="N303" s="36"/>
      <c r="O303" s="29">
        <f t="shared" si="4"/>
        <v>0</v>
      </c>
    </row>
    <row r="304" spans="1:15" x14ac:dyDescent="0.2">
      <c r="A304" s="32"/>
      <c r="B304" s="27" t="s">
        <v>21</v>
      </c>
      <c r="C304" s="28"/>
      <c r="D304" s="28"/>
      <c r="E304" s="28"/>
      <c r="F304" s="28"/>
      <c r="G304" s="35"/>
      <c r="H304" s="28"/>
      <c r="I304" s="28"/>
      <c r="J304" s="28"/>
      <c r="K304" s="28"/>
      <c r="L304" s="35"/>
      <c r="M304" s="28"/>
      <c r="N304" s="36"/>
      <c r="O304" s="29">
        <f t="shared" si="4"/>
        <v>0</v>
      </c>
    </row>
    <row r="305" spans="1:15" x14ac:dyDescent="0.2">
      <c r="A305" s="32"/>
      <c r="B305" s="27" t="s">
        <v>21</v>
      </c>
      <c r="C305" s="28"/>
      <c r="D305" s="28"/>
      <c r="E305" s="28"/>
      <c r="F305" s="28"/>
      <c r="G305" s="35"/>
      <c r="H305" s="28"/>
      <c r="I305" s="28"/>
      <c r="J305" s="28"/>
      <c r="K305" s="28"/>
      <c r="L305" s="35"/>
      <c r="M305" s="28"/>
      <c r="N305" s="36"/>
      <c r="O305" s="29">
        <f t="shared" si="4"/>
        <v>0</v>
      </c>
    </row>
    <row r="306" spans="1:15" x14ac:dyDescent="0.2">
      <c r="A306" s="32"/>
      <c r="B306" s="27" t="s">
        <v>21</v>
      </c>
      <c r="C306" s="28"/>
      <c r="D306" s="28"/>
      <c r="E306" s="28"/>
      <c r="F306" s="28"/>
      <c r="G306" s="35"/>
      <c r="H306" s="28"/>
      <c r="I306" s="28"/>
      <c r="J306" s="28"/>
      <c r="K306" s="28"/>
      <c r="L306" s="35"/>
      <c r="M306" s="28"/>
      <c r="N306" s="36"/>
      <c r="O306" s="29">
        <f t="shared" si="4"/>
        <v>0</v>
      </c>
    </row>
    <row r="307" spans="1:15" x14ac:dyDescent="0.2">
      <c r="A307" s="32"/>
      <c r="B307" s="27" t="s">
        <v>21</v>
      </c>
      <c r="C307" s="28"/>
      <c r="D307" s="28"/>
      <c r="E307" s="28"/>
      <c r="F307" s="28"/>
      <c r="G307" s="35"/>
      <c r="H307" s="28"/>
      <c r="I307" s="28"/>
      <c r="J307" s="28"/>
      <c r="K307" s="28"/>
      <c r="L307" s="35"/>
      <c r="M307" s="28"/>
      <c r="N307" s="36"/>
      <c r="O307" s="29">
        <f t="shared" si="4"/>
        <v>0</v>
      </c>
    </row>
    <row r="308" spans="1:15" x14ac:dyDescent="0.2">
      <c r="A308" s="32"/>
      <c r="B308" s="27" t="s">
        <v>21</v>
      </c>
      <c r="C308" s="28"/>
      <c r="D308" s="28"/>
      <c r="E308" s="28"/>
      <c r="F308" s="28"/>
      <c r="G308" s="35"/>
      <c r="H308" s="28"/>
      <c r="I308" s="28"/>
      <c r="J308" s="28"/>
      <c r="K308" s="28"/>
      <c r="L308" s="35"/>
      <c r="M308" s="28"/>
      <c r="N308" s="36"/>
      <c r="O308" s="29">
        <f t="shared" si="4"/>
        <v>0</v>
      </c>
    </row>
    <row r="309" spans="1:15" x14ac:dyDescent="0.2">
      <c r="A309" s="32"/>
      <c r="B309" s="27" t="s">
        <v>21</v>
      </c>
      <c r="C309" s="28"/>
      <c r="D309" s="28"/>
      <c r="E309" s="28"/>
      <c r="F309" s="28"/>
      <c r="G309" s="35"/>
      <c r="H309" s="28"/>
      <c r="I309" s="28"/>
      <c r="J309" s="28"/>
      <c r="K309" s="28"/>
      <c r="L309" s="35"/>
      <c r="M309" s="28"/>
      <c r="N309" s="36"/>
      <c r="O309" s="29">
        <f t="shared" si="4"/>
        <v>0</v>
      </c>
    </row>
    <row r="310" spans="1:15" x14ac:dyDescent="0.2">
      <c r="A310" s="32"/>
      <c r="B310" s="27" t="s">
        <v>21</v>
      </c>
      <c r="C310" s="28"/>
      <c r="D310" s="28"/>
      <c r="E310" s="28"/>
      <c r="F310" s="28"/>
      <c r="G310" s="35"/>
      <c r="H310" s="28"/>
      <c r="I310" s="28"/>
      <c r="J310" s="28"/>
      <c r="K310" s="28"/>
      <c r="L310" s="35"/>
      <c r="M310" s="28"/>
      <c r="N310" s="36"/>
      <c r="O310" s="29">
        <f t="shared" si="4"/>
        <v>0</v>
      </c>
    </row>
    <row r="311" spans="1:15" x14ac:dyDescent="0.2">
      <c r="A311" s="32"/>
      <c r="B311" s="27" t="s">
        <v>21</v>
      </c>
      <c r="C311" s="28"/>
      <c r="D311" s="28"/>
      <c r="E311" s="28"/>
      <c r="F311" s="28"/>
      <c r="G311" s="35"/>
      <c r="H311" s="28"/>
      <c r="I311" s="28"/>
      <c r="J311" s="28"/>
      <c r="K311" s="28"/>
      <c r="L311" s="35"/>
      <c r="M311" s="28"/>
      <c r="N311" s="36"/>
      <c r="O311" s="29">
        <f t="shared" si="4"/>
        <v>0</v>
      </c>
    </row>
    <row r="312" spans="1:15" x14ac:dyDescent="0.2">
      <c r="A312" s="32"/>
      <c r="B312" s="27" t="s">
        <v>21</v>
      </c>
      <c r="C312" s="28"/>
      <c r="D312" s="28"/>
      <c r="E312" s="28"/>
      <c r="F312" s="28"/>
      <c r="G312" s="35"/>
      <c r="H312" s="28"/>
      <c r="I312" s="28"/>
      <c r="J312" s="28"/>
      <c r="K312" s="28"/>
      <c r="L312" s="35"/>
      <c r="M312" s="28"/>
      <c r="N312" s="36"/>
      <c r="O312" s="29">
        <f t="shared" si="4"/>
        <v>0</v>
      </c>
    </row>
    <row r="313" spans="1:15" x14ac:dyDescent="0.2">
      <c r="A313" s="32"/>
      <c r="B313" s="27" t="s">
        <v>21</v>
      </c>
      <c r="C313" s="28"/>
      <c r="D313" s="28"/>
      <c r="E313" s="28"/>
      <c r="F313" s="28"/>
      <c r="G313" s="35"/>
      <c r="H313" s="28"/>
      <c r="I313" s="28"/>
      <c r="J313" s="28"/>
      <c r="K313" s="28"/>
      <c r="L313" s="35"/>
      <c r="M313" s="28"/>
      <c r="N313" s="36"/>
      <c r="O313" s="29">
        <f t="shared" si="4"/>
        <v>0</v>
      </c>
    </row>
    <row r="314" spans="1:15" x14ac:dyDescent="0.2">
      <c r="A314" s="32"/>
      <c r="B314" s="27" t="s">
        <v>21</v>
      </c>
      <c r="C314" s="28"/>
      <c r="D314" s="28"/>
      <c r="E314" s="28"/>
      <c r="F314" s="28"/>
      <c r="G314" s="35"/>
      <c r="H314" s="28"/>
      <c r="I314" s="28"/>
      <c r="J314" s="28"/>
      <c r="K314" s="28"/>
      <c r="L314" s="35"/>
      <c r="M314" s="28"/>
      <c r="N314" s="36"/>
      <c r="O314" s="29">
        <f t="shared" si="4"/>
        <v>0</v>
      </c>
    </row>
    <row r="315" spans="1:15" x14ac:dyDescent="0.2">
      <c r="A315" s="32"/>
      <c r="B315" s="27" t="s">
        <v>21</v>
      </c>
      <c r="C315" s="28"/>
      <c r="D315" s="28"/>
      <c r="E315" s="28"/>
      <c r="F315" s="28"/>
      <c r="G315" s="35"/>
      <c r="H315" s="28"/>
      <c r="I315" s="28"/>
      <c r="J315" s="28"/>
      <c r="K315" s="28"/>
      <c r="L315" s="35"/>
      <c r="M315" s="28"/>
      <c r="N315" s="36"/>
      <c r="O315" s="29">
        <f t="shared" si="4"/>
        <v>0</v>
      </c>
    </row>
    <row r="316" spans="1:15" x14ac:dyDescent="0.2">
      <c r="A316" s="32"/>
      <c r="B316" s="27" t="s">
        <v>21</v>
      </c>
      <c r="C316" s="28"/>
      <c r="D316" s="28"/>
      <c r="E316" s="28"/>
      <c r="F316" s="28"/>
      <c r="G316" s="35"/>
      <c r="H316" s="28"/>
      <c r="I316" s="28"/>
      <c r="J316" s="28"/>
      <c r="K316" s="28"/>
      <c r="L316" s="35"/>
      <c r="M316" s="28"/>
      <c r="N316" s="36"/>
      <c r="O316" s="29">
        <f t="shared" si="4"/>
        <v>0</v>
      </c>
    </row>
    <row r="317" spans="1:15" x14ac:dyDescent="0.2">
      <c r="A317" s="32"/>
      <c r="B317" s="27" t="s">
        <v>21</v>
      </c>
      <c r="C317" s="28"/>
      <c r="D317" s="28"/>
      <c r="E317" s="28"/>
      <c r="F317" s="28"/>
      <c r="G317" s="35"/>
      <c r="H317" s="28"/>
      <c r="I317" s="28"/>
      <c r="J317" s="28"/>
      <c r="K317" s="28"/>
      <c r="L317" s="35"/>
      <c r="M317" s="28"/>
      <c r="N317" s="36"/>
      <c r="O317" s="29">
        <f t="shared" si="4"/>
        <v>0</v>
      </c>
    </row>
    <row r="318" spans="1:15" x14ac:dyDescent="0.2">
      <c r="A318" s="32"/>
      <c r="B318" s="27" t="s">
        <v>21</v>
      </c>
      <c r="C318" s="28"/>
      <c r="D318" s="28"/>
      <c r="E318" s="28"/>
      <c r="F318" s="28"/>
      <c r="G318" s="35"/>
      <c r="H318" s="28"/>
      <c r="I318" s="28"/>
      <c r="J318" s="28"/>
      <c r="K318" s="28"/>
      <c r="L318" s="35"/>
      <c r="M318" s="28"/>
      <c r="N318" s="36"/>
      <c r="O318" s="29">
        <f t="shared" si="4"/>
        <v>0</v>
      </c>
    </row>
    <row r="319" spans="1:15" x14ac:dyDescent="0.2">
      <c r="A319" s="32"/>
      <c r="B319" s="27" t="s">
        <v>21</v>
      </c>
      <c r="C319" s="28"/>
      <c r="D319" s="28"/>
      <c r="E319" s="28"/>
      <c r="F319" s="28"/>
      <c r="G319" s="35"/>
      <c r="H319" s="28"/>
      <c r="I319" s="28"/>
      <c r="J319" s="28"/>
      <c r="K319" s="28"/>
      <c r="L319" s="35"/>
      <c r="M319" s="28"/>
      <c r="N319" s="36"/>
      <c r="O319" s="29">
        <f t="shared" si="4"/>
        <v>0</v>
      </c>
    </row>
    <row r="320" spans="1:15" x14ac:dyDescent="0.2">
      <c r="A320" s="32"/>
      <c r="B320" s="27" t="s">
        <v>21</v>
      </c>
      <c r="C320" s="28"/>
      <c r="D320" s="28"/>
      <c r="E320" s="28"/>
      <c r="F320" s="28"/>
      <c r="G320" s="35"/>
      <c r="H320" s="28"/>
      <c r="I320" s="28"/>
      <c r="J320" s="28"/>
      <c r="K320" s="28"/>
      <c r="L320" s="35"/>
      <c r="M320" s="28"/>
      <c r="N320" s="36"/>
      <c r="O320" s="29">
        <f t="shared" si="4"/>
        <v>0</v>
      </c>
    </row>
    <row r="321" spans="1:15" x14ac:dyDescent="0.2">
      <c r="A321" s="32"/>
      <c r="B321" s="27" t="s">
        <v>21</v>
      </c>
      <c r="C321" s="28"/>
      <c r="D321" s="28"/>
      <c r="E321" s="28"/>
      <c r="F321" s="28"/>
      <c r="G321" s="35"/>
      <c r="H321" s="28"/>
      <c r="I321" s="28"/>
      <c r="J321" s="28"/>
      <c r="K321" s="28"/>
      <c r="L321" s="35"/>
      <c r="M321" s="28"/>
      <c r="N321" s="36"/>
      <c r="O321" s="29">
        <f t="shared" si="4"/>
        <v>0</v>
      </c>
    </row>
    <row r="322" spans="1:15" x14ac:dyDescent="0.2">
      <c r="A322" s="32"/>
      <c r="B322" s="27" t="s">
        <v>21</v>
      </c>
      <c r="C322" s="28"/>
      <c r="D322" s="28"/>
      <c r="E322" s="28"/>
      <c r="F322" s="28"/>
      <c r="G322" s="35"/>
      <c r="H322" s="28"/>
      <c r="I322" s="28"/>
      <c r="J322" s="28"/>
      <c r="K322" s="28"/>
      <c r="L322" s="35"/>
      <c r="M322" s="28"/>
      <c r="N322" s="36"/>
      <c r="O322" s="29">
        <f t="shared" si="4"/>
        <v>0</v>
      </c>
    </row>
    <row r="323" spans="1:15" x14ac:dyDescent="0.2">
      <c r="A323" s="32"/>
      <c r="B323" s="27" t="s">
        <v>21</v>
      </c>
      <c r="C323" s="28"/>
      <c r="D323" s="28"/>
      <c r="E323" s="28"/>
      <c r="F323" s="28"/>
      <c r="G323" s="35"/>
      <c r="H323" s="28"/>
      <c r="I323" s="28"/>
      <c r="J323" s="28"/>
      <c r="K323" s="28"/>
      <c r="L323" s="35"/>
      <c r="M323" s="28"/>
      <c r="N323" s="36"/>
      <c r="O323" s="29">
        <f t="shared" ref="O323:O386" si="5">N323*J323</f>
        <v>0</v>
      </c>
    </row>
    <row r="324" spans="1:15" x14ac:dyDescent="0.2">
      <c r="A324" s="32"/>
      <c r="B324" s="27" t="s">
        <v>21</v>
      </c>
      <c r="C324" s="28"/>
      <c r="D324" s="28"/>
      <c r="E324" s="28"/>
      <c r="F324" s="28"/>
      <c r="G324" s="35"/>
      <c r="H324" s="28"/>
      <c r="I324" s="28"/>
      <c r="J324" s="28"/>
      <c r="K324" s="28"/>
      <c r="L324" s="35"/>
      <c r="M324" s="28"/>
      <c r="N324" s="36"/>
      <c r="O324" s="29">
        <f t="shared" si="5"/>
        <v>0</v>
      </c>
    </row>
    <row r="325" spans="1:15" x14ac:dyDescent="0.2">
      <c r="A325" s="32"/>
      <c r="B325" s="27" t="s">
        <v>21</v>
      </c>
      <c r="C325" s="28"/>
      <c r="D325" s="28"/>
      <c r="E325" s="28"/>
      <c r="F325" s="28"/>
      <c r="G325" s="35"/>
      <c r="H325" s="28"/>
      <c r="I325" s="28"/>
      <c r="J325" s="28"/>
      <c r="K325" s="28"/>
      <c r="L325" s="35"/>
      <c r="M325" s="28"/>
      <c r="N325" s="36"/>
      <c r="O325" s="29">
        <f t="shared" si="5"/>
        <v>0</v>
      </c>
    </row>
    <row r="326" spans="1:15" x14ac:dyDescent="0.2">
      <c r="A326" s="41"/>
      <c r="B326" s="27" t="s">
        <v>21</v>
      </c>
      <c r="C326" s="40"/>
      <c r="D326" s="40"/>
      <c r="E326" s="40"/>
      <c r="F326" s="40"/>
      <c r="G326" s="33"/>
      <c r="H326" s="40"/>
      <c r="I326" s="40"/>
      <c r="J326" s="40"/>
      <c r="K326" s="40"/>
      <c r="L326" s="35"/>
      <c r="M326" s="28"/>
      <c r="N326" s="36"/>
      <c r="O326" s="29">
        <f t="shared" si="5"/>
        <v>0</v>
      </c>
    </row>
    <row r="327" spans="1:15" x14ac:dyDescent="0.2">
      <c r="A327" s="32"/>
      <c r="B327" s="27" t="s">
        <v>21</v>
      </c>
      <c r="C327" s="28"/>
      <c r="D327" s="28"/>
      <c r="E327" s="28"/>
      <c r="F327" s="28"/>
      <c r="G327" s="35"/>
      <c r="H327" s="28"/>
      <c r="I327" s="28"/>
      <c r="J327" s="28"/>
      <c r="K327" s="28"/>
      <c r="L327" s="35"/>
      <c r="M327" s="28"/>
      <c r="N327" s="36"/>
      <c r="O327" s="29">
        <f t="shared" si="5"/>
        <v>0</v>
      </c>
    </row>
    <row r="328" spans="1:15" x14ac:dyDescent="0.2">
      <c r="A328" s="32"/>
      <c r="B328" s="27" t="s">
        <v>21</v>
      </c>
      <c r="C328" s="28"/>
      <c r="D328" s="28"/>
      <c r="E328" s="28"/>
      <c r="F328" s="28"/>
      <c r="G328" s="35"/>
      <c r="H328" s="28"/>
      <c r="I328" s="28"/>
      <c r="J328" s="28"/>
      <c r="K328" s="28"/>
      <c r="L328" s="35"/>
      <c r="M328" s="28"/>
      <c r="N328" s="36"/>
      <c r="O328" s="29">
        <f t="shared" si="5"/>
        <v>0</v>
      </c>
    </row>
    <row r="329" spans="1:15" x14ac:dyDescent="0.2">
      <c r="A329" s="32"/>
      <c r="B329" s="27" t="s">
        <v>21</v>
      </c>
      <c r="C329" s="28"/>
      <c r="D329" s="28"/>
      <c r="E329" s="28"/>
      <c r="F329" s="28"/>
      <c r="G329" s="35"/>
      <c r="H329" s="28"/>
      <c r="I329" s="28"/>
      <c r="J329" s="28"/>
      <c r="K329" s="28"/>
      <c r="L329" s="35"/>
      <c r="M329" s="28"/>
      <c r="N329" s="36"/>
      <c r="O329" s="29">
        <f t="shared" si="5"/>
        <v>0</v>
      </c>
    </row>
    <row r="330" spans="1:15" x14ac:dyDescent="0.2">
      <c r="A330" s="32"/>
      <c r="B330" s="27" t="s">
        <v>21</v>
      </c>
      <c r="C330" s="28"/>
      <c r="D330" s="28"/>
      <c r="E330" s="28"/>
      <c r="F330" s="28"/>
      <c r="G330" s="35"/>
      <c r="H330" s="28"/>
      <c r="I330" s="28"/>
      <c r="J330" s="28"/>
      <c r="K330" s="28"/>
      <c r="L330" s="35"/>
      <c r="M330" s="28"/>
      <c r="N330" s="36"/>
      <c r="O330" s="29">
        <f t="shared" si="5"/>
        <v>0</v>
      </c>
    </row>
    <row r="331" spans="1:15" x14ac:dyDescent="0.2">
      <c r="A331" s="32"/>
      <c r="B331" s="27" t="s">
        <v>21</v>
      </c>
      <c r="C331" s="28"/>
      <c r="D331" s="28"/>
      <c r="E331" s="28"/>
      <c r="F331" s="28"/>
      <c r="G331" s="35"/>
      <c r="H331" s="28"/>
      <c r="I331" s="28"/>
      <c r="J331" s="28"/>
      <c r="K331" s="28"/>
      <c r="L331" s="35"/>
      <c r="M331" s="28"/>
      <c r="N331" s="36"/>
      <c r="O331" s="29">
        <f t="shared" si="5"/>
        <v>0</v>
      </c>
    </row>
    <row r="332" spans="1:15" x14ac:dyDescent="0.2">
      <c r="A332" s="32"/>
      <c r="B332" s="27" t="s">
        <v>21</v>
      </c>
      <c r="C332" s="28"/>
      <c r="D332" s="28"/>
      <c r="E332" s="28"/>
      <c r="F332" s="28"/>
      <c r="G332" s="35"/>
      <c r="H332" s="28"/>
      <c r="I332" s="28"/>
      <c r="J332" s="28"/>
      <c r="K332" s="28"/>
      <c r="L332" s="35"/>
      <c r="M332" s="28"/>
      <c r="N332" s="36"/>
      <c r="O332" s="29">
        <f t="shared" si="5"/>
        <v>0</v>
      </c>
    </row>
    <row r="333" spans="1:15" x14ac:dyDescent="0.2">
      <c r="A333" s="32"/>
      <c r="B333" s="27" t="s">
        <v>21</v>
      </c>
      <c r="C333" s="28"/>
      <c r="D333" s="28"/>
      <c r="E333" s="28"/>
      <c r="F333" s="28"/>
      <c r="G333" s="35"/>
      <c r="H333" s="28"/>
      <c r="I333" s="28"/>
      <c r="J333" s="28"/>
      <c r="K333" s="28"/>
      <c r="L333" s="35"/>
      <c r="M333" s="28"/>
      <c r="N333" s="36"/>
      <c r="O333" s="29">
        <f t="shared" si="5"/>
        <v>0</v>
      </c>
    </row>
    <row r="334" spans="1:15" x14ac:dyDescent="0.2">
      <c r="A334" s="32"/>
      <c r="B334" s="27" t="s">
        <v>21</v>
      </c>
      <c r="C334" s="28"/>
      <c r="D334" s="28"/>
      <c r="E334" s="28"/>
      <c r="F334" s="28"/>
      <c r="G334" s="35"/>
      <c r="H334" s="28"/>
      <c r="I334" s="28"/>
      <c r="J334" s="28"/>
      <c r="K334" s="28"/>
      <c r="L334" s="35"/>
      <c r="M334" s="28"/>
      <c r="N334" s="36"/>
      <c r="O334" s="29">
        <f t="shared" si="5"/>
        <v>0</v>
      </c>
    </row>
    <row r="335" spans="1:15" x14ac:dyDescent="0.2">
      <c r="A335" s="32"/>
      <c r="B335" s="27" t="s">
        <v>21</v>
      </c>
      <c r="C335" s="28"/>
      <c r="D335" s="28"/>
      <c r="E335" s="28"/>
      <c r="F335" s="28"/>
      <c r="G335" s="35"/>
      <c r="H335" s="28"/>
      <c r="I335" s="28"/>
      <c r="J335" s="28"/>
      <c r="K335" s="28"/>
      <c r="L335" s="35"/>
      <c r="M335" s="28"/>
      <c r="N335" s="36"/>
      <c r="O335" s="29">
        <f t="shared" si="5"/>
        <v>0</v>
      </c>
    </row>
    <row r="336" spans="1:15" x14ac:dyDescent="0.2">
      <c r="A336" s="32"/>
      <c r="B336" s="27" t="s">
        <v>21</v>
      </c>
      <c r="C336" s="28"/>
      <c r="D336" s="28"/>
      <c r="E336" s="28"/>
      <c r="F336" s="28"/>
      <c r="G336" s="35"/>
      <c r="H336" s="28"/>
      <c r="I336" s="28"/>
      <c r="J336" s="28"/>
      <c r="K336" s="28"/>
      <c r="L336" s="35"/>
      <c r="M336" s="28"/>
      <c r="N336" s="36"/>
      <c r="O336" s="29">
        <f t="shared" si="5"/>
        <v>0</v>
      </c>
    </row>
    <row r="337" spans="1:15" x14ac:dyDescent="0.2">
      <c r="A337" s="32"/>
      <c r="B337" s="27" t="s">
        <v>21</v>
      </c>
      <c r="C337" s="28"/>
      <c r="D337" s="28"/>
      <c r="E337" s="28"/>
      <c r="F337" s="28"/>
      <c r="G337" s="35"/>
      <c r="H337" s="28"/>
      <c r="I337" s="28"/>
      <c r="J337" s="28"/>
      <c r="K337" s="28"/>
      <c r="L337" s="35"/>
      <c r="M337" s="28"/>
      <c r="N337" s="36"/>
      <c r="O337" s="29">
        <f t="shared" si="5"/>
        <v>0</v>
      </c>
    </row>
    <row r="338" spans="1:15" x14ac:dyDescent="0.2">
      <c r="A338" s="32"/>
      <c r="B338" s="27" t="s">
        <v>21</v>
      </c>
      <c r="C338" s="28"/>
      <c r="D338" s="28"/>
      <c r="E338" s="28"/>
      <c r="F338" s="28"/>
      <c r="G338" s="35"/>
      <c r="H338" s="28"/>
      <c r="I338" s="28"/>
      <c r="J338" s="28"/>
      <c r="K338" s="28"/>
      <c r="L338" s="35"/>
      <c r="M338" s="28"/>
      <c r="N338" s="36"/>
      <c r="O338" s="29">
        <f t="shared" si="5"/>
        <v>0</v>
      </c>
    </row>
    <row r="339" spans="1:15" x14ac:dyDescent="0.2">
      <c r="A339" s="32"/>
      <c r="B339" s="27" t="s">
        <v>21</v>
      </c>
      <c r="C339" s="28"/>
      <c r="D339" s="28"/>
      <c r="E339" s="28"/>
      <c r="F339" s="28"/>
      <c r="G339" s="35"/>
      <c r="H339" s="28"/>
      <c r="I339" s="28"/>
      <c r="J339" s="28"/>
      <c r="K339" s="28"/>
      <c r="L339" s="35"/>
      <c r="M339" s="28"/>
      <c r="N339" s="36"/>
      <c r="O339" s="29">
        <f t="shared" si="5"/>
        <v>0</v>
      </c>
    </row>
    <row r="340" spans="1:15" x14ac:dyDescent="0.2">
      <c r="A340" s="32"/>
      <c r="B340" s="27" t="s">
        <v>21</v>
      </c>
      <c r="C340" s="28"/>
      <c r="D340" s="28"/>
      <c r="E340" s="28"/>
      <c r="F340" s="28"/>
      <c r="G340" s="35"/>
      <c r="H340" s="28"/>
      <c r="I340" s="28"/>
      <c r="J340" s="28"/>
      <c r="K340" s="28"/>
      <c r="L340" s="35"/>
      <c r="M340" s="28"/>
      <c r="N340" s="36"/>
      <c r="O340" s="29">
        <f t="shared" si="5"/>
        <v>0</v>
      </c>
    </row>
    <row r="341" spans="1:15" x14ac:dyDescent="0.2">
      <c r="A341" s="32"/>
      <c r="B341" s="27" t="s">
        <v>21</v>
      </c>
      <c r="C341" s="28"/>
      <c r="D341" s="28"/>
      <c r="E341" s="28"/>
      <c r="F341" s="28"/>
      <c r="G341" s="35"/>
      <c r="H341" s="28"/>
      <c r="I341" s="28"/>
      <c r="J341" s="28"/>
      <c r="K341" s="28"/>
      <c r="L341" s="35"/>
      <c r="M341" s="28"/>
      <c r="N341" s="36"/>
      <c r="O341" s="29">
        <f t="shared" si="5"/>
        <v>0</v>
      </c>
    </row>
    <row r="342" spans="1:15" x14ac:dyDescent="0.2">
      <c r="A342" s="32"/>
      <c r="B342" s="27" t="s">
        <v>21</v>
      </c>
      <c r="C342" s="28"/>
      <c r="D342" s="28"/>
      <c r="E342" s="28"/>
      <c r="F342" s="28"/>
      <c r="G342" s="35"/>
      <c r="H342" s="28"/>
      <c r="I342" s="28"/>
      <c r="J342" s="28"/>
      <c r="K342" s="28"/>
      <c r="L342" s="35"/>
      <c r="M342" s="28"/>
      <c r="N342" s="36"/>
      <c r="O342" s="29">
        <f t="shared" si="5"/>
        <v>0</v>
      </c>
    </row>
    <row r="343" spans="1:15" x14ac:dyDescent="0.2">
      <c r="A343" s="32"/>
      <c r="B343" s="27" t="s">
        <v>21</v>
      </c>
      <c r="C343" s="28"/>
      <c r="D343" s="28"/>
      <c r="E343" s="28"/>
      <c r="F343" s="28"/>
      <c r="G343" s="35"/>
      <c r="H343" s="28"/>
      <c r="I343" s="28"/>
      <c r="J343" s="28"/>
      <c r="K343" s="28"/>
      <c r="L343" s="35"/>
      <c r="M343" s="28"/>
      <c r="N343" s="36"/>
      <c r="O343" s="29">
        <f t="shared" si="5"/>
        <v>0</v>
      </c>
    </row>
    <row r="344" spans="1:15" x14ac:dyDescent="0.2">
      <c r="A344" s="32"/>
      <c r="B344" s="27" t="s">
        <v>21</v>
      </c>
      <c r="C344" s="28"/>
      <c r="D344" s="28"/>
      <c r="E344" s="28"/>
      <c r="F344" s="28"/>
      <c r="G344" s="35"/>
      <c r="H344" s="28"/>
      <c r="I344" s="28"/>
      <c r="J344" s="28"/>
      <c r="K344" s="28"/>
      <c r="L344" s="35"/>
      <c r="M344" s="28"/>
      <c r="N344" s="36"/>
      <c r="O344" s="29">
        <f t="shared" si="5"/>
        <v>0</v>
      </c>
    </row>
    <row r="345" spans="1:15" x14ac:dyDescent="0.2">
      <c r="A345" s="32"/>
      <c r="B345" s="27" t="s">
        <v>21</v>
      </c>
      <c r="C345" s="28"/>
      <c r="D345" s="28"/>
      <c r="E345" s="28"/>
      <c r="F345" s="28"/>
      <c r="G345" s="35"/>
      <c r="H345" s="28"/>
      <c r="I345" s="28"/>
      <c r="J345" s="28"/>
      <c r="K345" s="28"/>
      <c r="L345" s="35"/>
      <c r="M345" s="28"/>
      <c r="N345" s="36"/>
      <c r="O345" s="29">
        <f t="shared" si="5"/>
        <v>0</v>
      </c>
    </row>
    <row r="346" spans="1:15" x14ac:dyDescent="0.2">
      <c r="A346" s="32"/>
      <c r="B346" s="27" t="s">
        <v>21</v>
      </c>
      <c r="C346" s="28"/>
      <c r="D346" s="28"/>
      <c r="E346" s="28"/>
      <c r="F346" s="28"/>
      <c r="G346" s="35"/>
      <c r="H346" s="28"/>
      <c r="I346" s="28"/>
      <c r="J346" s="28"/>
      <c r="K346" s="28"/>
      <c r="L346" s="35"/>
      <c r="M346" s="28"/>
      <c r="N346" s="36"/>
      <c r="O346" s="29">
        <f t="shared" si="5"/>
        <v>0</v>
      </c>
    </row>
    <row r="347" spans="1:15" x14ac:dyDescent="0.2">
      <c r="A347" s="32"/>
      <c r="B347" s="27" t="s">
        <v>21</v>
      </c>
      <c r="C347" s="28"/>
      <c r="D347" s="28"/>
      <c r="E347" s="28"/>
      <c r="F347" s="28"/>
      <c r="G347" s="35"/>
      <c r="H347" s="28"/>
      <c r="I347" s="28"/>
      <c r="J347" s="28"/>
      <c r="K347" s="28"/>
      <c r="L347" s="35"/>
      <c r="M347" s="28"/>
      <c r="N347" s="36"/>
      <c r="O347" s="29">
        <f t="shared" si="5"/>
        <v>0</v>
      </c>
    </row>
    <row r="348" spans="1:15" x14ac:dyDescent="0.2">
      <c r="A348" s="32"/>
      <c r="B348" s="27" t="s">
        <v>21</v>
      </c>
      <c r="C348" s="28"/>
      <c r="D348" s="28"/>
      <c r="E348" s="28"/>
      <c r="F348" s="28"/>
      <c r="G348" s="35"/>
      <c r="H348" s="28"/>
      <c r="I348" s="28"/>
      <c r="J348" s="28"/>
      <c r="K348" s="28"/>
      <c r="L348" s="35"/>
      <c r="M348" s="28"/>
      <c r="N348" s="36"/>
      <c r="O348" s="29">
        <f t="shared" si="5"/>
        <v>0</v>
      </c>
    </row>
    <row r="349" spans="1:15" x14ac:dyDescent="0.2">
      <c r="A349" s="32"/>
      <c r="B349" s="27" t="s">
        <v>21</v>
      </c>
      <c r="C349" s="28"/>
      <c r="D349" s="28"/>
      <c r="E349" s="28"/>
      <c r="F349" s="28"/>
      <c r="G349" s="35"/>
      <c r="H349" s="28"/>
      <c r="I349" s="28"/>
      <c r="J349" s="28"/>
      <c r="K349" s="28"/>
      <c r="L349" s="35"/>
      <c r="M349" s="28"/>
      <c r="N349" s="36"/>
      <c r="O349" s="29">
        <f t="shared" si="5"/>
        <v>0</v>
      </c>
    </row>
    <row r="350" spans="1:15" x14ac:dyDescent="0.2">
      <c r="A350" s="32"/>
      <c r="B350" s="27" t="s">
        <v>21</v>
      </c>
      <c r="C350" s="28"/>
      <c r="D350" s="28"/>
      <c r="E350" s="28"/>
      <c r="F350" s="28"/>
      <c r="G350" s="35"/>
      <c r="H350" s="28"/>
      <c r="I350" s="28"/>
      <c r="J350" s="28"/>
      <c r="K350" s="28"/>
      <c r="L350" s="35"/>
      <c r="M350" s="28"/>
      <c r="N350" s="36"/>
      <c r="O350" s="29">
        <f t="shared" si="5"/>
        <v>0</v>
      </c>
    </row>
    <row r="351" spans="1:15" x14ac:dyDescent="0.2">
      <c r="A351" s="32"/>
      <c r="B351" s="27" t="s">
        <v>21</v>
      </c>
      <c r="C351" s="28"/>
      <c r="D351" s="28"/>
      <c r="E351" s="28"/>
      <c r="F351" s="28"/>
      <c r="G351" s="35"/>
      <c r="H351" s="28"/>
      <c r="I351" s="28"/>
      <c r="J351" s="28"/>
      <c r="K351" s="28"/>
      <c r="L351" s="35"/>
      <c r="M351" s="28"/>
      <c r="N351" s="36"/>
      <c r="O351" s="29">
        <f t="shared" si="5"/>
        <v>0</v>
      </c>
    </row>
    <row r="352" spans="1:15" x14ac:dyDescent="0.2">
      <c r="A352" s="32"/>
      <c r="B352" s="27" t="s">
        <v>21</v>
      </c>
      <c r="C352" s="28"/>
      <c r="D352" s="28"/>
      <c r="E352" s="28"/>
      <c r="F352" s="28"/>
      <c r="G352" s="35"/>
      <c r="H352" s="28"/>
      <c r="I352" s="28"/>
      <c r="J352" s="28"/>
      <c r="K352" s="28"/>
      <c r="L352" s="35"/>
      <c r="M352" s="28"/>
      <c r="N352" s="36"/>
      <c r="O352" s="29">
        <f t="shared" si="5"/>
        <v>0</v>
      </c>
    </row>
    <row r="353" spans="1:15" x14ac:dyDescent="0.2">
      <c r="A353" s="32"/>
      <c r="B353" s="27" t="s">
        <v>21</v>
      </c>
      <c r="C353" s="28"/>
      <c r="D353" s="28"/>
      <c r="E353" s="28"/>
      <c r="F353" s="28"/>
      <c r="G353" s="35"/>
      <c r="H353" s="28"/>
      <c r="I353" s="28"/>
      <c r="J353" s="28"/>
      <c r="K353" s="28"/>
      <c r="L353" s="35"/>
      <c r="M353" s="28"/>
      <c r="N353" s="36"/>
      <c r="O353" s="29">
        <f t="shared" si="5"/>
        <v>0</v>
      </c>
    </row>
    <row r="354" spans="1:15" x14ac:dyDescent="0.2">
      <c r="A354" s="32"/>
      <c r="B354" s="27" t="s">
        <v>21</v>
      </c>
      <c r="C354" s="28"/>
      <c r="D354" s="28"/>
      <c r="E354" s="28"/>
      <c r="F354" s="28"/>
      <c r="G354" s="35"/>
      <c r="H354" s="28"/>
      <c r="I354" s="28"/>
      <c r="J354" s="28"/>
      <c r="K354" s="28"/>
      <c r="L354" s="35"/>
      <c r="M354" s="28"/>
      <c r="N354" s="36"/>
      <c r="O354" s="29">
        <f t="shared" si="5"/>
        <v>0</v>
      </c>
    </row>
    <row r="355" spans="1:15" x14ac:dyDescent="0.2">
      <c r="A355" s="32"/>
      <c r="B355" s="27" t="s">
        <v>21</v>
      </c>
      <c r="C355" s="28"/>
      <c r="D355" s="28"/>
      <c r="E355" s="28"/>
      <c r="F355" s="28"/>
      <c r="G355" s="35"/>
      <c r="H355" s="28"/>
      <c r="I355" s="28"/>
      <c r="J355" s="28"/>
      <c r="K355" s="28"/>
      <c r="L355" s="35"/>
      <c r="M355" s="28"/>
      <c r="N355" s="36"/>
      <c r="O355" s="29">
        <f t="shared" si="5"/>
        <v>0</v>
      </c>
    </row>
    <row r="356" spans="1:15" x14ac:dyDescent="0.2">
      <c r="A356" s="32"/>
      <c r="B356" s="27" t="s">
        <v>21</v>
      </c>
      <c r="C356" s="28"/>
      <c r="D356" s="28"/>
      <c r="E356" s="28"/>
      <c r="F356" s="28"/>
      <c r="G356" s="35"/>
      <c r="H356" s="28"/>
      <c r="I356" s="28"/>
      <c r="J356" s="28"/>
      <c r="K356" s="28"/>
      <c r="L356" s="35"/>
      <c r="M356" s="28"/>
      <c r="N356" s="36"/>
      <c r="O356" s="29">
        <f t="shared" si="5"/>
        <v>0</v>
      </c>
    </row>
    <row r="357" spans="1:15" x14ac:dyDescent="0.2">
      <c r="A357" s="32"/>
      <c r="B357" s="27" t="s">
        <v>21</v>
      </c>
      <c r="C357" s="28"/>
      <c r="D357" s="28"/>
      <c r="E357" s="28"/>
      <c r="F357" s="28"/>
      <c r="G357" s="35"/>
      <c r="H357" s="28"/>
      <c r="I357" s="28"/>
      <c r="J357" s="28"/>
      <c r="K357" s="28"/>
      <c r="L357" s="35"/>
      <c r="M357" s="28"/>
      <c r="N357" s="36"/>
      <c r="O357" s="29">
        <f t="shared" si="5"/>
        <v>0</v>
      </c>
    </row>
    <row r="358" spans="1:15" x14ac:dyDescent="0.2">
      <c r="A358" s="32"/>
      <c r="B358" s="27" t="s">
        <v>21</v>
      </c>
      <c r="C358" s="28"/>
      <c r="D358" s="28"/>
      <c r="E358" s="28"/>
      <c r="F358" s="28"/>
      <c r="G358" s="35"/>
      <c r="H358" s="28"/>
      <c r="I358" s="28"/>
      <c r="J358" s="28"/>
      <c r="K358" s="28"/>
      <c r="L358" s="35"/>
      <c r="M358" s="28"/>
      <c r="N358" s="36"/>
      <c r="O358" s="29">
        <f t="shared" si="5"/>
        <v>0</v>
      </c>
    </row>
    <row r="359" spans="1:15" x14ac:dyDescent="0.2">
      <c r="A359" s="32"/>
      <c r="B359" s="27" t="s">
        <v>21</v>
      </c>
      <c r="C359" s="28"/>
      <c r="D359" s="28"/>
      <c r="E359" s="28"/>
      <c r="F359" s="28"/>
      <c r="G359" s="35"/>
      <c r="H359" s="28"/>
      <c r="I359" s="28"/>
      <c r="J359" s="28"/>
      <c r="K359" s="28"/>
      <c r="L359" s="35"/>
      <c r="M359" s="28"/>
      <c r="N359" s="36"/>
      <c r="O359" s="29">
        <f t="shared" si="5"/>
        <v>0</v>
      </c>
    </row>
    <row r="360" spans="1:15" x14ac:dyDescent="0.2">
      <c r="A360" s="32"/>
      <c r="B360" s="27" t="s">
        <v>21</v>
      </c>
      <c r="C360" s="28"/>
      <c r="D360" s="28"/>
      <c r="E360" s="28"/>
      <c r="F360" s="28"/>
      <c r="G360" s="35"/>
      <c r="H360" s="28"/>
      <c r="I360" s="28"/>
      <c r="J360" s="28"/>
      <c r="K360" s="28"/>
      <c r="L360" s="35"/>
      <c r="M360" s="28"/>
      <c r="N360" s="36"/>
      <c r="O360" s="29">
        <f t="shared" si="5"/>
        <v>0</v>
      </c>
    </row>
    <row r="361" spans="1:15" x14ac:dyDescent="0.2">
      <c r="A361" s="32"/>
      <c r="B361" s="27" t="s">
        <v>21</v>
      </c>
      <c r="C361" s="28"/>
      <c r="D361" s="28"/>
      <c r="E361" s="28"/>
      <c r="F361" s="28"/>
      <c r="G361" s="35"/>
      <c r="H361" s="28"/>
      <c r="I361" s="28"/>
      <c r="J361" s="28"/>
      <c r="K361" s="28"/>
      <c r="L361" s="35"/>
      <c r="M361" s="28"/>
      <c r="N361" s="36"/>
      <c r="O361" s="29">
        <f t="shared" si="5"/>
        <v>0</v>
      </c>
    </row>
    <row r="362" spans="1:15" x14ac:dyDescent="0.2">
      <c r="A362" s="32"/>
      <c r="B362" s="27" t="s">
        <v>21</v>
      </c>
      <c r="C362" s="28"/>
      <c r="D362" s="28"/>
      <c r="E362" s="28"/>
      <c r="F362" s="28"/>
      <c r="G362" s="35"/>
      <c r="H362" s="28"/>
      <c r="I362" s="28"/>
      <c r="J362" s="28"/>
      <c r="K362" s="28"/>
      <c r="L362" s="35"/>
      <c r="M362" s="28"/>
      <c r="N362" s="36"/>
      <c r="O362" s="29">
        <f t="shared" si="5"/>
        <v>0</v>
      </c>
    </row>
    <row r="363" spans="1:15" x14ac:dyDescent="0.2">
      <c r="A363" s="32"/>
      <c r="B363" s="27" t="s">
        <v>21</v>
      </c>
      <c r="C363" s="28"/>
      <c r="D363" s="28"/>
      <c r="E363" s="28"/>
      <c r="F363" s="28"/>
      <c r="G363" s="35"/>
      <c r="H363" s="28"/>
      <c r="I363" s="28"/>
      <c r="J363" s="28"/>
      <c r="K363" s="28"/>
      <c r="L363" s="35"/>
      <c r="M363" s="28"/>
      <c r="N363" s="36"/>
      <c r="O363" s="29">
        <f t="shared" si="5"/>
        <v>0</v>
      </c>
    </row>
    <row r="364" spans="1:15" x14ac:dyDescent="0.2">
      <c r="A364" s="32"/>
      <c r="B364" s="27" t="s">
        <v>21</v>
      </c>
      <c r="C364" s="28"/>
      <c r="D364" s="28"/>
      <c r="E364" s="28"/>
      <c r="F364" s="28"/>
      <c r="G364" s="35"/>
      <c r="H364" s="28"/>
      <c r="I364" s="28"/>
      <c r="J364" s="28"/>
      <c r="K364" s="28"/>
      <c r="L364" s="35"/>
      <c r="M364" s="28"/>
      <c r="N364" s="36"/>
      <c r="O364" s="29">
        <f t="shared" si="5"/>
        <v>0</v>
      </c>
    </row>
    <row r="365" spans="1:15" x14ac:dyDescent="0.2">
      <c r="A365" s="32"/>
      <c r="B365" s="27" t="s">
        <v>21</v>
      </c>
      <c r="C365" s="28"/>
      <c r="D365" s="28"/>
      <c r="E365" s="28"/>
      <c r="F365" s="28"/>
      <c r="G365" s="35"/>
      <c r="H365" s="28"/>
      <c r="I365" s="28"/>
      <c r="J365" s="28"/>
      <c r="K365" s="28"/>
      <c r="L365" s="35"/>
      <c r="M365" s="28"/>
      <c r="N365" s="36"/>
      <c r="O365" s="29">
        <f t="shared" si="5"/>
        <v>0</v>
      </c>
    </row>
    <row r="366" spans="1:15" x14ac:dyDescent="0.2">
      <c r="A366" s="32"/>
      <c r="B366" s="27" t="s">
        <v>21</v>
      </c>
      <c r="C366" s="28"/>
      <c r="D366" s="28"/>
      <c r="E366" s="28"/>
      <c r="F366" s="28"/>
      <c r="G366" s="35"/>
      <c r="H366" s="28"/>
      <c r="I366" s="28"/>
      <c r="J366" s="28"/>
      <c r="K366" s="28"/>
      <c r="L366" s="35"/>
      <c r="M366" s="28"/>
      <c r="N366" s="36"/>
      <c r="O366" s="29">
        <f t="shared" si="5"/>
        <v>0</v>
      </c>
    </row>
    <row r="367" spans="1:15" x14ac:dyDescent="0.2">
      <c r="A367" s="32"/>
      <c r="B367" s="27" t="s">
        <v>21</v>
      </c>
      <c r="C367" s="28"/>
      <c r="D367" s="28"/>
      <c r="E367" s="28"/>
      <c r="F367" s="28"/>
      <c r="G367" s="35"/>
      <c r="H367" s="28"/>
      <c r="I367" s="28"/>
      <c r="J367" s="28"/>
      <c r="K367" s="28"/>
      <c r="L367" s="35"/>
      <c r="M367" s="28"/>
      <c r="N367" s="36"/>
      <c r="O367" s="29">
        <f t="shared" si="5"/>
        <v>0</v>
      </c>
    </row>
    <row r="368" spans="1:15" x14ac:dyDescent="0.2">
      <c r="A368" s="32"/>
      <c r="B368" s="27" t="s">
        <v>21</v>
      </c>
      <c r="C368" s="28"/>
      <c r="D368" s="28"/>
      <c r="E368" s="28"/>
      <c r="F368" s="28"/>
      <c r="G368" s="35"/>
      <c r="H368" s="28"/>
      <c r="I368" s="28"/>
      <c r="J368" s="28"/>
      <c r="K368" s="28"/>
      <c r="L368" s="35"/>
      <c r="M368" s="28"/>
      <c r="N368" s="36"/>
      <c r="O368" s="29">
        <f t="shared" si="5"/>
        <v>0</v>
      </c>
    </row>
    <row r="369" spans="1:15" x14ac:dyDescent="0.2">
      <c r="A369" s="32"/>
      <c r="B369" s="27" t="s">
        <v>21</v>
      </c>
      <c r="C369" s="28"/>
      <c r="D369" s="28"/>
      <c r="E369" s="28"/>
      <c r="F369" s="28"/>
      <c r="G369" s="35"/>
      <c r="H369" s="28"/>
      <c r="I369" s="28"/>
      <c r="J369" s="28"/>
      <c r="K369" s="28"/>
      <c r="L369" s="35"/>
      <c r="M369" s="28"/>
      <c r="N369" s="36"/>
      <c r="O369" s="29">
        <f t="shared" si="5"/>
        <v>0</v>
      </c>
    </row>
    <row r="370" spans="1:15" x14ac:dyDescent="0.2">
      <c r="A370" s="32"/>
      <c r="B370" s="27" t="s">
        <v>21</v>
      </c>
      <c r="C370" s="28"/>
      <c r="D370" s="28"/>
      <c r="E370" s="28"/>
      <c r="F370" s="28"/>
      <c r="G370" s="35"/>
      <c r="H370" s="28"/>
      <c r="I370" s="28"/>
      <c r="J370" s="28"/>
      <c r="K370" s="28"/>
      <c r="L370" s="35"/>
      <c r="M370" s="28"/>
      <c r="N370" s="36"/>
      <c r="O370" s="29">
        <f t="shared" si="5"/>
        <v>0</v>
      </c>
    </row>
    <row r="371" spans="1:15" x14ac:dyDescent="0.2">
      <c r="A371" s="32"/>
      <c r="B371" s="27" t="s">
        <v>21</v>
      </c>
      <c r="C371" s="28"/>
      <c r="D371" s="28"/>
      <c r="E371" s="28"/>
      <c r="F371" s="28"/>
      <c r="G371" s="35"/>
      <c r="H371" s="28"/>
      <c r="I371" s="28"/>
      <c r="J371" s="28"/>
      <c r="K371" s="28"/>
      <c r="L371" s="35"/>
      <c r="M371" s="28"/>
      <c r="N371" s="36"/>
      <c r="O371" s="29">
        <f t="shared" si="5"/>
        <v>0</v>
      </c>
    </row>
    <row r="372" spans="1:15" x14ac:dyDescent="0.2">
      <c r="A372" s="32"/>
      <c r="B372" s="27" t="s">
        <v>21</v>
      </c>
      <c r="C372" s="28"/>
      <c r="D372" s="28"/>
      <c r="E372" s="28"/>
      <c r="F372" s="28"/>
      <c r="G372" s="35"/>
      <c r="H372" s="28"/>
      <c r="I372" s="28"/>
      <c r="J372" s="28"/>
      <c r="K372" s="28"/>
      <c r="L372" s="35"/>
      <c r="M372" s="28"/>
      <c r="N372" s="36"/>
      <c r="O372" s="29">
        <f t="shared" si="5"/>
        <v>0</v>
      </c>
    </row>
    <row r="373" spans="1:15" x14ac:dyDescent="0.2">
      <c r="A373" s="32"/>
      <c r="B373" s="27" t="s">
        <v>21</v>
      </c>
      <c r="C373" s="28"/>
      <c r="D373" s="28"/>
      <c r="E373" s="28"/>
      <c r="F373" s="28"/>
      <c r="G373" s="35"/>
      <c r="H373" s="28"/>
      <c r="I373" s="28"/>
      <c r="J373" s="28"/>
      <c r="K373" s="28"/>
      <c r="L373" s="35"/>
      <c r="M373" s="28"/>
      <c r="N373" s="36"/>
      <c r="O373" s="29">
        <f t="shared" si="5"/>
        <v>0</v>
      </c>
    </row>
    <row r="374" spans="1:15" x14ac:dyDescent="0.2">
      <c r="A374" s="32"/>
      <c r="B374" s="27" t="s">
        <v>21</v>
      </c>
      <c r="C374" s="28"/>
      <c r="D374" s="28"/>
      <c r="E374" s="28"/>
      <c r="F374" s="28"/>
      <c r="G374" s="35"/>
      <c r="H374" s="28"/>
      <c r="I374" s="28"/>
      <c r="J374" s="28"/>
      <c r="K374" s="28"/>
      <c r="L374" s="35"/>
      <c r="M374" s="28"/>
      <c r="N374" s="36"/>
      <c r="O374" s="29">
        <f t="shared" si="5"/>
        <v>0</v>
      </c>
    </row>
    <row r="375" spans="1:15" x14ac:dyDescent="0.2">
      <c r="A375" s="32"/>
      <c r="B375" s="27" t="s">
        <v>21</v>
      </c>
      <c r="C375" s="28"/>
      <c r="D375" s="28"/>
      <c r="E375" s="28"/>
      <c r="F375" s="28"/>
      <c r="G375" s="35"/>
      <c r="H375" s="28"/>
      <c r="I375" s="28"/>
      <c r="J375" s="28"/>
      <c r="K375" s="28"/>
      <c r="L375" s="35"/>
      <c r="M375" s="28"/>
      <c r="N375" s="36"/>
      <c r="O375" s="29">
        <f t="shared" si="5"/>
        <v>0</v>
      </c>
    </row>
    <row r="376" spans="1:15" x14ac:dyDescent="0.2">
      <c r="A376" s="32"/>
      <c r="B376" s="27" t="s">
        <v>21</v>
      </c>
      <c r="C376" s="28"/>
      <c r="D376" s="28"/>
      <c r="E376" s="28"/>
      <c r="F376" s="28"/>
      <c r="G376" s="35"/>
      <c r="H376" s="28"/>
      <c r="I376" s="28"/>
      <c r="J376" s="28"/>
      <c r="K376" s="28"/>
      <c r="L376" s="35"/>
      <c r="M376" s="28"/>
      <c r="N376" s="36"/>
      <c r="O376" s="29">
        <f t="shared" si="5"/>
        <v>0</v>
      </c>
    </row>
    <row r="377" spans="1:15" x14ac:dyDescent="0.2">
      <c r="A377" s="32"/>
      <c r="B377" s="27" t="s">
        <v>21</v>
      </c>
      <c r="C377" s="28"/>
      <c r="D377" s="28"/>
      <c r="E377" s="28"/>
      <c r="F377" s="28"/>
      <c r="G377" s="35"/>
      <c r="H377" s="28"/>
      <c r="I377" s="28"/>
      <c r="J377" s="28"/>
      <c r="K377" s="28"/>
      <c r="L377" s="35"/>
      <c r="M377" s="28"/>
      <c r="N377" s="36"/>
      <c r="O377" s="29">
        <f t="shared" si="5"/>
        <v>0</v>
      </c>
    </row>
    <row r="378" spans="1:15" x14ac:dyDescent="0.2">
      <c r="A378" s="32"/>
      <c r="B378" s="27" t="s">
        <v>21</v>
      </c>
      <c r="C378" s="28"/>
      <c r="D378" s="28"/>
      <c r="E378" s="28"/>
      <c r="F378" s="28"/>
      <c r="G378" s="35"/>
      <c r="H378" s="28"/>
      <c r="I378" s="28"/>
      <c r="J378" s="28"/>
      <c r="K378" s="28"/>
      <c r="L378" s="35"/>
      <c r="M378" s="28"/>
      <c r="N378" s="36"/>
      <c r="O378" s="29">
        <f t="shared" si="5"/>
        <v>0</v>
      </c>
    </row>
    <row r="379" spans="1:15" x14ac:dyDescent="0.2">
      <c r="A379" s="32"/>
      <c r="B379" s="27" t="s">
        <v>21</v>
      </c>
      <c r="C379" s="28"/>
      <c r="D379" s="28"/>
      <c r="E379" s="28"/>
      <c r="F379" s="28"/>
      <c r="G379" s="35"/>
      <c r="H379" s="28"/>
      <c r="I379" s="28"/>
      <c r="J379" s="28"/>
      <c r="K379" s="28"/>
      <c r="L379" s="35"/>
      <c r="M379" s="28"/>
      <c r="N379" s="36"/>
      <c r="O379" s="29">
        <f t="shared" si="5"/>
        <v>0</v>
      </c>
    </row>
    <row r="380" spans="1:15" x14ac:dyDescent="0.2">
      <c r="A380" s="32"/>
      <c r="B380" s="27" t="s">
        <v>21</v>
      </c>
      <c r="C380" s="28"/>
      <c r="D380" s="28"/>
      <c r="E380" s="28"/>
      <c r="F380" s="28"/>
      <c r="G380" s="35"/>
      <c r="H380" s="28"/>
      <c r="I380" s="28"/>
      <c r="J380" s="28"/>
      <c r="K380" s="28"/>
      <c r="L380" s="35"/>
      <c r="M380" s="28"/>
      <c r="N380" s="36"/>
      <c r="O380" s="29">
        <f t="shared" si="5"/>
        <v>0</v>
      </c>
    </row>
    <row r="381" spans="1:15" x14ac:dyDescent="0.2">
      <c r="A381" s="32"/>
      <c r="B381" s="27" t="s">
        <v>21</v>
      </c>
      <c r="C381" s="28"/>
      <c r="D381" s="28"/>
      <c r="E381" s="28"/>
      <c r="F381" s="28"/>
      <c r="G381" s="35"/>
      <c r="H381" s="28"/>
      <c r="I381" s="28"/>
      <c r="J381" s="28"/>
      <c r="K381" s="28"/>
      <c r="L381" s="35"/>
      <c r="M381" s="28"/>
      <c r="N381" s="36"/>
      <c r="O381" s="29">
        <f t="shared" si="5"/>
        <v>0</v>
      </c>
    </row>
    <row r="382" spans="1:15" x14ac:dyDescent="0.2">
      <c r="A382" s="32"/>
      <c r="B382" s="27" t="s">
        <v>21</v>
      </c>
      <c r="C382" s="28"/>
      <c r="D382" s="28"/>
      <c r="E382" s="28"/>
      <c r="F382" s="28"/>
      <c r="G382" s="35"/>
      <c r="H382" s="28"/>
      <c r="I382" s="28"/>
      <c r="J382" s="28"/>
      <c r="K382" s="28"/>
      <c r="L382" s="35"/>
      <c r="M382" s="28"/>
      <c r="N382" s="36"/>
      <c r="O382" s="29">
        <f t="shared" si="5"/>
        <v>0</v>
      </c>
    </row>
    <row r="383" spans="1:15" x14ac:dyDescent="0.2">
      <c r="A383" s="32"/>
      <c r="B383" s="27" t="s">
        <v>21</v>
      </c>
      <c r="C383" s="28"/>
      <c r="D383" s="28"/>
      <c r="E383" s="28"/>
      <c r="F383" s="28"/>
      <c r="G383" s="35"/>
      <c r="H383" s="28"/>
      <c r="I383" s="28"/>
      <c r="J383" s="28"/>
      <c r="K383" s="28"/>
      <c r="L383" s="35"/>
      <c r="M383" s="28"/>
      <c r="N383" s="36"/>
      <c r="O383" s="29">
        <f t="shared" si="5"/>
        <v>0</v>
      </c>
    </row>
    <row r="384" spans="1:15" x14ac:dyDescent="0.2">
      <c r="A384" s="32"/>
      <c r="B384" s="27" t="s">
        <v>21</v>
      </c>
      <c r="C384" s="28"/>
      <c r="D384" s="28"/>
      <c r="E384" s="28"/>
      <c r="F384" s="28"/>
      <c r="G384" s="35"/>
      <c r="H384" s="28"/>
      <c r="I384" s="28"/>
      <c r="J384" s="28"/>
      <c r="K384" s="28"/>
      <c r="L384" s="35"/>
      <c r="M384" s="28"/>
      <c r="N384" s="36"/>
      <c r="O384" s="29">
        <f t="shared" si="5"/>
        <v>0</v>
      </c>
    </row>
    <row r="385" spans="1:15" x14ac:dyDescent="0.2">
      <c r="A385" s="32"/>
      <c r="B385" s="27" t="s">
        <v>21</v>
      </c>
      <c r="C385" s="28"/>
      <c r="D385" s="28"/>
      <c r="E385" s="28"/>
      <c r="F385" s="28"/>
      <c r="G385" s="35"/>
      <c r="H385" s="28"/>
      <c r="I385" s="28"/>
      <c r="J385" s="28"/>
      <c r="K385" s="28"/>
      <c r="L385" s="35"/>
      <c r="M385" s="28"/>
      <c r="N385" s="36"/>
      <c r="O385" s="29">
        <f t="shared" si="5"/>
        <v>0</v>
      </c>
    </row>
    <row r="386" spans="1:15" x14ac:dyDescent="0.2">
      <c r="A386" s="32"/>
      <c r="B386" s="27" t="s">
        <v>21</v>
      </c>
      <c r="C386" s="28"/>
      <c r="D386" s="28"/>
      <c r="E386" s="28"/>
      <c r="F386" s="28"/>
      <c r="G386" s="35"/>
      <c r="H386" s="28"/>
      <c r="I386" s="28"/>
      <c r="J386" s="28"/>
      <c r="K386" s="28"/>
      <c r="L386" s="35"/>
      <c r="M386" s="28"/>
      <c r="N386" s="36"/>
      <c r="O386" s="29">
        <f t="shared" si="5"/>
        <v>0</v>
      </c>
    </row>
    <row r="387" spans="1:15" x14ac:dyDescent="0.2">
      <c r="A387" s="32"/>
      <c r="B387" s="27" t="s">
        <v>21</v>
      </c>
      <c r="C387" s="28"/>
      <c r="D387" s="28"/>
      <c r="E387" s="28"/>
      <c r="F387" s="28"/>
      <c r="G387" s="35"/>
      <c r="H387" s="28"/>
      <c r="I387" s="28"/>
      <c r="J387" s="28"/>
      <c r="K387" s="28"/>
      <c r="L387" s="35"/>
      <c r="M387" s="28"/>
      <c r="N387" s="36"/>
      <c r="O387" s="29">
        <f t="shared" ref="O387:O450" si="6">N387*J387</f>
        <v>0</v>
      </c>
    </row>
    <row r="388" spans="1:15" x14ac:dyDescent="0.2">
      <c r="A388" s="32"/>
      <c r="B388" s="27" t="s">
        <v>21</v>
      </c>
      <c r="C388" s="28"/>
      <c r="D388" s="28"/>
      <c r="E388" s="28"/>
      <c r="F388" s="28"/>
      <c r="G388" s="35"/>
      <c r="H388" s="28"/>
      <c r="I388" s="28"/>
      <c r="J388" s="28"/>
      <c r="K388" s="28"/>
      <c r="L388" s="35"/>
      <c r="M388" s="28"/>
      <c r="N388" s="36"/>
      <c r="O388" s="29">
        <f t="shared" si="6"/>
        <v>0</v>
      </c>
    </row>
    <row r="389" spans="1:15" x14ac:dyDescent="0.2">
      <c r="A389" s="32"/>
      <c r="B389" s="27" t="s">
        <v>21</v>
      </c>
      <c r="C389" s="28"/>
      <c r="D389" s="28"/>
      <c r="E389" s="28"/>
      <c r="F389" s="28"/>
      <c r="G389" s="35"/>
      <c r="H389" s="28"/>
      <c r="I389" s="28"/>
      <c r="J389" s="28"/>
      <c r="K389" s="28"/>
      <c r="L389" s="35"/>
      <c r="M389" s="28"/>
      <c r="N389" s="36"/>
      <c r="O389" s="29">
        <f t="shared" si="6"/>
        <v>0</v>
      </c>
    </row>
    <row r="390" spans="1:15" x14ac:dyDescent="0.2">
      <c r="A390" s="32"/>
      <c r="B390" s="27" t="s">
        <v>21</v>
      </c>
      <c r="C390" s="28"/>
      <c r="D390" s="28"/>
      <c r="E390" s="28"/>
      <c r="F390" s="28"/>
      <c r="G390" s="35"/>
      <c r="H390" s="28"/>
      <c r="I390" s="28"/>
      <c r="J390" s="28"/>
      <c r="K390" s="28"/>
      <c r="L390" s="35"/>
      <c r="M390" s="28"/>
      <c r="N390" s="36"/>
      <c r="O390" s="29">
        <f t="shared" si="6"/>
        <v>0</v>
      </c>
    </row>
    <row r="391" spans="1:15" x14ac:dyDescent="0.2">
      <c r="A391" s="32"/>
      <c r="B391" s="27" t="s">
        <v>21</v>
      </c>
      <c r="C391" s="28"/>
      <c r="D391" s="28"/>
      <c r="E391" s="28"/>
      <c r="F391" s="28"/>
      <c r="G391" s="35"/>
      <c r="H391" s="28"/>
      <c r="I391" s="28"/>
      <c r="J391" s="28"/>
      <c r="K391" s="28"/>
      <c r="L391" s="35"/>
      <c r="M391" s="28"/>
      <c r="N391" s="36"/>
      <c r="O391" s="29">
        <f t="shared" si="6"/>
        <v>0</v>
      </c>
    </row>
    <row r="392" spans="1:15" x14ac:dyDescent="0.2">
      <c r="A392" s="32"/>
      <c r="B392" s="27" t="s">
        <v>21</v>
      </c>
      <c r="C392" s="28"/>
      <c r="D392" s="28"/>
      <c r="E392" s="28"/>
      <c r="F392" s="28"/>
      <c r="G392" s="35"/>
      <c r="H392" s="28"/>
      <c r="I392" s="28"/>
      <c r="J392" s="28"/>
      <c r="K392" s="28"/>
      <c r="L392" s="35"/>
      <c r="M392" s="28"/>
      <c r="N392" s="36"/>
      <c r="O392" s="29">
        <f t="shared" si="6"/>
        <v>0</v>
      </c>
    </row>
    <row r="393" spans="1:15" x14ac:dyDescent="0.2">
      <c r="A393" s="32"/>
      <c r="B393" s="27" t="s">
        <v>21</v>
      </c>
      <c r="C393" s="28"/>
      <c r="D393" s="28"/>
      <c r="E393" s="28"/>
      <c r="F393" s="28"/>
      <c r="G393" s="35"/>
      <c r="H393" s="28"/>
      <c r="I393" s="28"/>
      <c r="J393" s="28"/>
      <c r="K393" s="28"/>
      <c r="L393" s="35"/>
      <c r="M393" s="28"/>
      <c r="N393" s="36"/>
      <c r="O393" s="29">
        <f t="shared" si="6"/>
        <v>0</v>
      </c>
    </row>
    <row r="394" spans="1:15" x14ac:dyDescent="0.2">
      <c r="A394" s="32"/>
      <c r="B394" s="27" t="s">
        <v>21</v>
      </c>
      <c r="C394" s="28"/>
      <c r="D394" s="28"/>
      <c r="E394" s="28"/>
      <c r="F394" s="28"/>
      <c r="G394" s="35"/>
      <c r="H394" s="28"/>
      <c r="I394" s="28"/>
      <c r="J394" s="28"/>
      <c r="K394" s="28"/>
      <c r="L394" s="35"/>
      <c r="M394" s="28"/>
      <c r="N394" s="36"/>
      <c r="O394" s="29">
        <f t="shared" si="6"/>
        <v>0</v>
      </c>
    </row>
    <row r="395" spans="1:15" x14ac:dyDescent="0.2">
      <c r="A395" s="32"/>
      <c r="B395" s="27" t="s">
        <v>21</v>
      </c>
      <c r="C395" s="28"/>
      <c r="D395" s="28"/>
      <c r="E395" s="28"/>
      <c r="F395" s="28"/>
      <c r="G395" s="35"/>
      <c r="H395" s="28"/>
      <c r="I395" s="28"/>
      <c r="J395" s="28"/>
      <c r="K395" s="28"/>
      <c r="L395" s="35"/>
      <c r="M395" s="28"/>
      <c r="N395" s="36"/>
      <c r="O395" s="29">
        <f t="shared" si="6"/>
        <v>0</v>
      </c>
    </row>
    <row r="396" spans="1:15" x14ac:dyDescent="0.2">
      <c r="A396" s="32"/>
      <c r="B396" s="27" t="s">
        <v>21</v>
      </c>
      <c r="C396" s="28"/>
      <c r="D396" s="28"/>
      <c r="E396" s="28"/>
      <c r="F396" s="28"/>
      <c r="G396" s="35"/>
      <c r="H396" s="28"/>
      <c r="I396" s="28"/>
      <c r="J396" s="28"/>
      <c r="K396" s="28"/>
      <c r="L396" s="35"/>
      <c r="M396" s="28"/>
      <c r="N396" s="36"/>
      <c r="O396" s="29">
        <f t="shared" si="6"/>
        <v>0</v>
      </c>
    </row>
    <row r="397" spans="1:15" x14ac:dyDescent="0.2">
      <c r="A397" s="32"/>
      <c r="B397" s="27" t="s">
        <v>21</v>
      </c>
      <c r="C397" s="28"/>
      <c r="D397" s="28"/>
      <c r="E397" s="28"/>
      <c r="F397" s="28"/>
      <c r="G397" s="35"/>
      <c r="H397" s="28"/>
      <c r="I397" s="28"/>
      <c r="J397" s="28"/>
      <c r="K397" s="28"/>
      <c r="L397" s="35"/>
      <c r="M397" s="28"/>
      <c r="N397" s="36"/>
      <c r="O397" s="29">
        <f t="shared" si="6"/>
        <v>0</v>
      </c>
    </row>
    <row r="398" spans="1:15" x14ac:dyDescent="0.2">
      <c r="A398" s="32"/>
      <c r="B398" s="27" t="s">
        <v>21</v>
      </c>
      <c r="C398" s="28"/>
      <c r="D398" s="28"/>
      <c r="E398" s="28"/>
      <c r="F398" s="28"/>
      <c r="G398" s="35"/>
      <c r="H398" s="28"/>
      <c r="I398" s="28"/>
      <c r="J398" s="28"/>
      <c r="K398" s="28"/>
      <c r="L398" s="35"/>
      <c r="M398" s="28"/>
      <c r="N398" s="36"/>
      <c r="O398" s="29">
        <f t="shared" si="6"/>
        <v>0</v>
      </c>
    </row>
    <row r="399" spans="1:15" x14ac:dyDescent="0.2">
      <c r="A399" s="32"/>
      <c r="B399" s="27" t="s">
        <v>21</v>
      </c>
      <c r="C399" s="28"/>
      <c r="D399" s="28"/>
      <c r="E399" s="28"/>
      <c r="F399" s="28"/>
      <c r="G399" s="35"/>
      <c r="H399" s="28"/>
      <c r="I399" s="28"/>
      <c r="J399" s="28"/>
      <c r="K399" s="28"/>
      <c r="L399" s="35"/>
      <c r="M399" s="28"/>
      <c r="N399" s="36"/>
      <c r="O399" s="29">
        <f t="shared" si="6"/>
        <v>0</v>
      </c>
    </row>
    <row r="400" spans="1:15" x14ac:dyDescent="0.2">
      <c r="A400" s="32"/>
      <c r="B400" s="27" t="s">
        <v>21</v>
      </c>
      <c r="C400" s="28"/>
      <c r="D400" s="28"/>
      <c r="E400" s="28"/>
      <c r="F400" s="28"/>
      <c r="G400" s="35"/>
      <c r="H400" s="28"/>
      <c r="I400" s="28"/>
      <c r="J400" s="28"/>
      <c r="K400" s="28"/>
      <c r="L400" s="35"/>
      <c r="M400" s="28"/>
      <c r="N400" s="36"/>
      <c r="O400" s="29">
        <f t="shared" si="6"/>
        <v>0</v>
      </c>
    </row>
    <row r="401" spans="1:15" x14ac:dyDescent="0.2">
      <c r="A401" s="32"/>
      <c r="B401" s="27" t="s">
        <v>21</v>
      </c>
      <c r="C401" s="28"/>
      <c r="D401" s="28"/>
      <c r="E401" s="28"/>
      <c r="F401" s="28"/>
      <c r="G401" s="35"/>
      <c r="H401" s="28"/>
      <c r="I401" s="28"/>
      <c r="J401" s="28"/>
      <c r="K401" s="28"/>
      <c r="L401" s="35"/>
      <c r="M401" s="28"/>
      <c r="N401" s="36"/>
      <c r="O401" s="29">
        <f t="shared" si="6"/>
        <v>0</v>
      </c>
    </row>
    <row r="402" spans="1:15" x14ac:dyDescent="0.2">
      <c r="A402" s="32"/>
      <c r="B402" s="27" t="s">
        <v>21</v>
      </c>
      <c r="C402" s="28"/>
      <c r="D402" s="28"/>
      <c r="E402" s="28"/>
      <c r="F402" s="28"/>
      <c r="G402" s="35"/>
      <c r="H402" s="28"/>
      <c r="I402" s="28"/>
      <c r="J402" s="28"/>
      <c r="K402" s="28"/>
      <c r="L402" s="35"/>
      <c r="M402" s="28"/>
      <c r="N402" s="36"/>
      <c r="O402" s="29">
        <f t="shared" si="6"/>
        <v>0</v>
      </c>
    </row>
    <row r="403" spans="1:15" x14ac:dyDescent="0.2">
      <c r="A403" s="32"/>
      <c r="B403" s="27" t="s">
        <v>21</v>
      </c>
      <c r="C403" s="28"/>
      <c r="D403" s="28"/>
      <c r="E403" s="28"/>
      <c r="F403" s="28"/>
      <c r="G403" s="35"/>
      <c r="H403" s="28"/>
      <c r="I403" s="28"/>
      <c r="J403" s="28"/>
      <c r="K403" s="28"/>
      <c r="L403" s="35"/>
      <c r="M403" s="28"/>
      <c r="N403" s="36"/>
      <c r="O403" s="29">
        <f t="shared" si="6"/>
        <v>0</v>
      </c>
    </row>
    <row r="404" spans="1:15" x14ac:dyDescent="0.2">
      <c r="A404" s="32"/>
      <c r="B404" s="27"/>
      <c r="C404" s="28"/>
      <c r="D404" s="28"/>
      <c r="E404" s="28"/>
      <c r="F404" s="28"/>
      <c r="G404" s="35"/>
      <c r="H404" s="28"/>
      <c r="I404" s="28"/>
      <c r="J404" s="28"/>
      <c r="K404" s="28"/>
      <c r="L404" s="35"/>
      <c r="M404" s="28"/>
      <c r="N404" s="36"/>
      <c r="O404" s="29">
        <f t="shared" si="6"/>
        <v>0</v>
      </c>
    </row>
    <row r="405" spans="1:15" x14ac:dyDescent="0.2">
      <c r="A405" s="32"/>
      <c r="B405" s="27"/>
      <c r="C405" s="28"/>
      <c r="D405" s="28"/>
      <c r="E405" s="28"/>
      <c r="F405" s="28"/>
      <c r="G405" s="35"/>
      <c r="H405" s="28"/>
      <c r="I405" s="28"/>
      <c r="J405" s="28"/>
      <c r="K405" s="28"/>
      <c r="L405" s="35"/>
      <c r="M405" s="28"/>
      <c r="N405" s="36"/>
      <c r="O405" s="29">
        <f t="shared" si="6"/>
        <v>0</v>
      </c>
    </row>
    <row r="406" spans="1:15" x14ac:dyDescent="0.2">
      <c r="A406" s="32"/>
      <c r="B406" s="27"/>
      <c r="C406" s="28"/>
      <c r="D406" s="28"/>
      <c r="E406" s="28"/>
      <c r="F406" s="28"/>
      <c r="G406" s="35"/>
      <c r="H406" s="28"/>
      <c r="I406" s="28"/>
      <c r="J406" s="28"/>
      <c r="K406" s="28"/>
      <c r="L406" s="35"/>
      <c r="M406" s="28"/>
      <c r="N406" s="36"/>
      <c r="O406" s="29">
        <f t="shared" si="6"/>
        <v>0</v>
      </c>
    </row>
    <row r="407" spans="1:15" x14ac:dyDescent="0.2">
      <c r="A407" s="32"/>
      <c r="B407" s="27"/>
      <c r="C407" s="28"/>
      <c r="D407" s="28"/>
      <c r="E407" s="28"/>
      <c r="F407" s="28"/>
      <c r="G407" s="35"/>
      <c r="H407" s="28"/>
      <c r="I407" s="28"/>
      <c r="J407" s="28"/>
      <c r="K407" s="28"/>
      <c r="L407" s="35"/>
      <c r="M407" s="28"/>
      <c r="N407" s="36"/>
      <c r="O407" s="29">
        <f t="shared" si="6"/>
        <v>0</v>
      </c>
    </row>
    <row r="408" spans="1:15" x14ac:dyDescent="0.2">
      <c r="A408" s="32"/>
      <c r="B408" s="27"/>
      <c r="C408" s="28"/>
      <c r="D408" s="28"/>
      <c r="E408" s="28"/>
      <c r="F408" s="28"/>
      <c r="G408" s="35"/>
      <c r="H408" s="28"/>
      <c r="I408" s="28"/>
      <c r="J408" s="28"/>
      <c r="K408" s="28"/>
      <c r="L408" s="35"/>
      <c r="M408" s="28"/>
      <c r="N408" s="36"/>
      <c r="O408" s="29">
        <f t="shared" si="6"/>
        <v>0</v>
      </c>
    </row>
    <row r="409" spans="1:15" x14ac:dyDescent="0.2">
      <c r="A409" s="32"/>
      <c r="B409" s="27"/>
      <c r="C409" s="28"/>
      <c r="D409" s="28"/>
      <c r="E409" s="28"/>
      <c r="F409" s="28"/>
      <c r="G409" s="35"/>
      <c r="H409" s="28"/>
      <c r="I409" s="28"/>
      <c r="J409" s="28"/>
      <c r="K409" s="28"/>
      <c r="L409" s="35"/>
      <c r="M409" s="28"/>
      <c r="N409" s="36"/>
      <c r="O409" s="29">
        <f t="shared" si="6"/>
        <v>0</v>
      </c>
    </row>
    <row r="410" spans="1:15" x14ac:dyDescent="0.2">
      <c r="A410" s="32"/>
      <c r="B410" s="27"/>
      <c r="C410" s="28"/>
      <c r="D410" s="28"/>
      <c r="E410" s="28"/>
      <c r="F410" s="28"/>
      <c r="G410" s="35"/>
      <c r="H410" s="28"/>
      <c r="I410" s="28"/>
      <c r="J410" s="28"/>
      <c r="K410" s="28"/>
      <c r="L410" s="35"/>
      <c r="M410" s="28"/>
      <c r="N410" s="36"/>
      <c r="O410" s="29">
        <f t="shared" si="6"/>
        <v>0</v>
      </c>
    </row>
    <row r="411" spans="1:15" x14ac:dyDescent="0.2">
      <c r="A411" s="32"/>
      <c r="B411" s="27"/>
      <c r="C411" s="28"/>
      <c r="D411" s="28"/>
      <c r="E411" s="28"/>
      <c r="F411" s="28"/>
      <c r="G411" s="35"/>
      <c r="H411" s="28"/>
      <c r="I411" s="28"/>
      <c r="J411" s="28"/>
      <c r="K411" s="28"/>
      <c r="L411" s="35"/>
      <c r="M411" s="28"/>
      <c r="N411" s="36"/>
      <c r="O411" s="29">
        <f t="shared" si="6"/>
        <v>0</v>
      </c>
    </row>
    <row r="412" spans="1:15" x14ac:dyDescent="0.2">
      <c r="A412" s="32"/>
      <c r="B412" s="27"/>
      <c r="C412" s="28"/>
      <c r="D412" s="28"/>
      <c r="E412" s="28"/>
      <c r="F412" s="28"/>
      <c r="G412" s="35"/>
      <c r="H412" s="28"/>
      <c r="I412" s="28"/>
      <c r="J412" s="28"/>
      <c r="K412" s="28"/>
      <c r="L412" s="35"/>
      <c r="M412" s="28"/>
      <c r="N412" s="36"/>
      <c r="O412" s="29">
        <f t="shared" si="6"/>
        <v>0</v>
      </c>
    </row>
    <row r="413" spans="1:15" x14ac:dyDescent="0.2">
      <c r="A413" s="32"/>
      <c r="B413" s="27"/>
      <c r="C413" s="28"/>
      <c r="D413" s="28"/>
      <c r="E413" s="28"/>
      <c r="F413" s="28"/>
      <c r="G413" s="35"/>
      <c r="H413" s="28"/>
      <c r="I413" s="28"/>
      <c r="J413" s="28"/>
      <c r="K413" s="28"/>
      <c r="L413" s="35"/>
      <c r="M413" s="28"/>
      <c r="N413" s="36"/>
      <c r="O413" s="29">
        <f t="shared" si="6"/>
        <v>0</v>
      </c>
    </row>
    <row r="414" spans="1:15" x14ac:dyDescent="0.2">
      <c r="A414" s="32"/>
      <c r="B414" s="27"/>
      <c r="C414" s="28"/>
      <c r="D414" s="28"/>
      <c r="E414" s="28"/>
      <c r="F414" s="28"/>
      <c r="G414" s="35"/>
      <c r="H414" s="28"/>
      <c r="I414" s="28"/>
      <c r="J414" s="28"/>
      <c r="K414" s="28"/>
      <c r="L414" s="35"/>
      <c r="M414" s="28"/>
      <c r="N414" s="36"/>
      <c r="O414" s="29">
        <f t="shared" si="6"/>
        <v>0</v>
      </c>
    </row>
    <row r="415" spans="1:15" x14ac:dyDescent="0.2">
      <c r="A415" s="32"/>
      <c r="B415" s="27"/>
      <c r="C415" s="28"/>
      <c r="D415" s="28"/>
      <c r="E415" s="28"/>
      <c r="F415" s="28"/>
      <c r="G415" s="35"/>
      <c r="H415" s="28"/>
      <c r="I415" s="28"/>
      <c r="J415" s="28"/>
      <c r="K415" s="28"/>
      <c r="L415" s="35"/>
      <c r="M415" s="28"/>
      <c r="N415" s="36"/>
      <c r="O415" s="29">
        <f t="shared" si="6"/>
        <v>0</v>
      </c>
    </row>
    <row r="416" spans="1:15" x14ac:dyDescent="0.2">
      <c r="A416" s="32"/>
      <c r="B416" s="27"/>
      <c r="C416" s="28"/>
      <c r="D416" s="28"/>
      <c r="E416" s="28"/>
      <c r="F416" s="28"/>
      <c r="G416" s="35"/>
      <c r="H416" s="28"/>
      <c r="I416" s="28"/>
      <c r="J416" s="28"/>
      <c r="K416" s="28"/>
      <c r="L416" s="35"/>
      <c r="M416" s="28"/>
      <c r="N416" s="36"/>
      <c r="O416" s="29">
        <f t="shared" si="6"/>
        <v>0</v>
      </c>
    </row>
    <row r="417" spans="1:15" x14ac:dyDescent="0.2">
      <c r="A417" s="32"/>
      <c r="B417" s="27"/>
      <c r="C417" s="28"/>
      <c r="D417" s="28"/>
      <c r="E417" s="28"/>
      <c r="F417" s="28"/>
      <c r="G417" s="35"/>
      <c r="H417" s="28"/>
      <c r="I417" s="28"/>
      <c r="J417" s="28"/>
      <c r="K417" s="28"/>
      <c r="L417" s="35"/>
      <c r="M417" s="28"/>
      <c r="N417" s="36"/>
      <c r="O417" s="29">
        <f t="shared" si="6"/>
        <v>0</v>
      </c>
    </row>
    <row r="418" spans="1:15" x14ac:dyDescent="0.2">
      <c r="A418" s="32"/>
      <c r="B418" s="27"/>
      <c r="C418" s="28"/>
      <c r="D418" s="28"/>
      <c r="E418" s="28"/>
      <c r="F418" s="28"/>
      <c r="G418" s="35"/>
      <c r="H418" s="28"/>
      <c r="I418" s="28"/>
      <c r="J418" s="28"/>
      <c r="K418" s="28"/>
      <c r="L418" s="35"/>
      <c r="M418" s="28"/>
      <c r="N418" s="36"/>
      <c r="O418" s="29">
        <f t="shared" si="6"/>
        <v>0</v>
      </c>
    </row>
    <row r="419" spans="1:15" x14ac:dyDescent="0.2">
      <c r="A419" s="32"/>
      <c r="B419" s="27"/>
      <c r="C419" s="28"/>
      <c r="D419" s="28"/>
      <c r="E419" s="28"/>
      <c r="F419" s="28"/>
      <c r="G419" s="35"/>
      <c r="H419" s="28"/>
      <c r="I419" s="28"/>
      <c r="J419" s="28"/>
      <c r="K419" s="28"/>
      <c r="L419" s="35"/>
      <c r="M419" s="28"/>
      <c r="N419" s="36"/>
      <c r="O419" s="29">
        <f t="shared" si="6"/>
        <v>0</v>
      </c>
    </row>
    <row r="420" spans="1:15" x14ac:dyDescent="0.2">
      <c r="A420" s="32"/>
      <c r="B420" s="27"/>
      <c r="C420" s="28"/>
      <c r="D420" s="28"/>
      <c r="E420" s="28"/>
      <c r="F420" s="28"/>
      <c r="G420" s="35"/>
      <c r="H420" s="28"/>
      <c r="I420" s="28"/>
      <c r="J420" s="28"/>
      <c r="K420" s="28"/>
      <c r="L420" s="35"/>
      <c r="M420" s="28"/>
      <c r="N420" s="36"/>
      <c r="O420" s="29">
        <f t="shared" si="6"/>
        <v>0</v>
      </c>
    </row>
    <row r="421" spans="1:15" x14ac:dyDescent="0.2">
      <c r="A421" s="32"/>
      <c r="B421" s="27"/>
      <c r="C421" s="28"/>
      <c r="D421" s="28"/>
      <c r="E421" s="28"/>
      <c r="F421" s="28"/>
      <c r="G421" s="35"/>
      <c r="H421" s="28"/>
      <c r="I421" s="28"/>
      <c r="J421" s="28"/>
      <c r="K421" s="28"/>
      <c r="L421" s="35"/>
      <c r="M421" s="28"/>
      <c r="N421" s="36"/>
      <c r="O421" s="29">
        <f t="shared" si="6"/>
        <v>0</v>
      </c>
    </row>
    <row r="422" spans="1:15" x14ac:dyDescent="0.2">
      <c r="A422" s="32"/>
      <c r="B422" s="27"/>
      <c r="C422" s="28"/>
      <c r="D422" s="28"/>
      <c r="E422" s="28"/>
      <c r="F422" s="28"/>
      <c r="G422" s="35"/>
      <c r="H422" s="28"/>
      <c r="I422" s="28"/>
      <c r="J422" s="28"/>
      <c r="K422" s="28"/>
      <c r="L422" s="35"/>
      <c r="M422" s="28"/>
      <c r="N422" s="36"/>
      <c r="O422" s="29">
        <f t="shared" si="6"/>
        <v>0</v>
      </c>
    </row>
    <row r="423" spans="1:15" x14ac:dyDescent="0.2">
      <c r="A423" s="32"/>
      <c r="B423" s="27"/>
      <c r="C423" s="28"/>
      <c r="D423" s="28"/>
      <c r="E423" s="28"/>
      <c r="F423" s="28"/>
      <c r="G423" s="35"/>
      <c r="H423" s="28"/>
      <c r="I423" s="28"/>
      <c r="J423" s="28"/>
      <c r="K423" s="28"/>
      <c r="L423" s="35"/>
      <c r="M423" s="28"/>
      <c r="N423" s="36"/>
      <c r="O423" s="29">
        <f t="shared" si="6"/>
        <v>0</v>
      </c>
    </row>
    <row r="424" spans="1:15" x14ac:dyDescent="0.2">
      <c r="A424" s="32"/>
      <c r="B424" s="27"/>
      <c r="C424" s="28"/>
      <c r="D424" s="28"/>
      <c r="E424" s="28"/>
      <c r="F424" s="28"/>
      <c r="G424" s="35"/>
      <c r="H424" s="28"/>
      <c r="I424" s="28"/>
      <c r="J424" s="28"/>
      <c r="K424" s="28"/>
      <c r="L424" s="35"/>
      <c r="M424" s="28"/>
      <c r="N424" s="36"/>
      <c r="O424" s="29">
        <f t="shared" si="6"/>
        <v>0</v>
      </c>
    </row>
    <row r="425" spans="1:15" x14ac:dyDescent="0.2">
      <c r="A425" s="32"/>
      <c r="B425" s="27"/>
      <c r="C425" s="28"/>
      <c r="D425" s="28"/>
      <c r="E425" s="28"/>
      <c r="F425" s="28"/>
      <c r="G425" s="35"/>
      <c r="H425" s="28"/>
      <c r="I425" s="28"/>
      <c r="J425" s="28"/>
      <c r="K425" s="28"/>
      <c r="L425" s="35"/>
      <c r="M425" s="28"/>
      <c r="N425" s="36"/>
      <c r="O425" s="29">
        <f t="shared" si="6"/>
        <v>0</v>
      </c>
    </row>
    <row r="426" spans="1:15" x14ac:dyDescent="0.2">
      <c r="A426" s="32"/>
      <c r="B426" s="27"/>
      <c r="C426" s="28"/>
      <c r="D426" s="28"/>
      <c r="E426" s="28"/>
      <c r="F426" s="28"/>
      <c r="G426" s="35"/>
      <c r="H426" s="28"/>
      <c r="I426" s="28"/>
      <c r="J426" s="28"/>
      <c r="K426" s="28"/>
      <c r="L426" s="35"/>
      <c r="M426" s="28"/>
      <c r="N426" s="36"/>
      <c r="O426" s="29">
        <f t="shared" si="6"/>
        <v>0</v>
      </c>
    </row>
    <row r="427" spans="1:15" x14ac:dyDescent="0.2">
      <c r="A427" s="32"/>
      <c r="B427" s="27"/>
      <c r="C427" s="28"/>
      <c r="D427" s="28"/>
      <c r="E427" s="28"/>
      <c r="F427" s="28"/>
      <c r="G427" s="35"/>
      <c r="H427" s="28"/>
      <c r="I427" s="28"/>
      <c r="J427" s="28"/>
      <c r="K427" s="28"/>
      <c r="L427" s="35"/>
      <c r="M427" s="28"/>
      <c r="N427" s="36"/>
      <c r="O427" s="29">
        <f t="shared" si="6"/>
        <v>0</v>
      </c>
    </row>
    <row r="428" spans="1:15" x14ac:dyDescent="0.2">
      <c r="A428" s="32"/>
      <c r="B428" s="27"/>
      <c r="C428" s="28"/>
      <c r="D428" s="28"/>
      <c r="E428" s="28"/>
      <c r="F428" s="28"/>
      <c r="G428" s="35"/>
      <c r="H428" s="28"/>
      <c r="I428" s="28"/>
      <c r="J428" s="28"/>
      <c r="K428" s="28"/>
      <c r="L428" s="35"/>
      <c r="M428" s="28"/>
      <c r="N428" s="36"/>
      <c r="O428" s="29">
        <f t="shared" si="6"/>
        <v>0</v>
      </c>
    </row>
    <row r="429" spans="1:15" x14ac:dyDescent="0.2">
      <c r="A429" s="32"/>
      <c r="B429" s="27"/>
      <c r="C429" s="28"/>
      <c r="D429" s="28"/>
      <c r="E429" s="28"/>
      <c r="F429" s="28"/>
      <c r="G429" s="35"/>
      <c r="H429" s="28"/>
      <c r="I429" s="28"/>
      <c r="J429" s="28"/>
      <c r="K429" s="28"/>
      <c r="L429" s="35"/>
      <c r="M429" s="28"/>
      <c r="N429" s="36"/>
      <c r="O429" s="29">
        <f t="shared" si="6"/>
        <v>0</v>
      </c>
    </row>
    <row r="430" spans="1:15" x14ac:dyDescent="0.2">
      <c r="A430" s="32"/>
      <c r="B430" s="27"/>
      <c r="C430" s="28"/>
      <c r="D430" s="28"/>
      <c r="E430" s="28"/>
      <c r="F430" s="28"/>
      <c r="G430" s="35"/>
      <c r="H430" s="28"/>
      <c r="I430" s="28"/>
      <c r="J430" s="28"/>
      <c r="K430" s="28"/>
      <c r="L430" s="35"/>
      <c r="M430" s="28"/>
      <c r="N430" s="36"/>
      <c r="O430" s="29">
        <f t="shared" si="6"/>
        <v>0</v>
      </c>
    </row>
    <row r="431" spans="1:15" x14ac:dyDescent="0.2">
      <c r="A431" s="32"/>
      <c r="B431" s="27"/>
      <c r="C431" s="28"/>
      <c r="D431" s="28"/>
      <c r="E431" s="28"/>
      <c r="F431" s="28"/>
      <c r="G431" s="35"/>
      <c r="H431" s="28"/>
      <c r="I431" s="28"/>
      <c r="J431" s="28"/>
      <c r="K431" s="28"/>
      <c r="L431" s="35"/>
      <c r="M431" s="28"/>
      <c r="N431" s="36"/>
      <c r="O431" s="29">
        <f t="shared" si="6"/>
        <v>0</v>
      </c>
    </row>
    <row r="432" spans="1:15" x14ac:dyDescent="0.2">
      <c r="A432" s="32"/>
      <c r="B432" s="27"/>
      <c r="C432" s="28"/>
      <c r="D432" s="28"/>
      <c r="E432" s="28"/>
      <c r="F432" s="28"/>
      <c r="G432" s="35"/>
      <c r="H432" s="28"/>
      <c r="I432" s="28"/>
      <c r="J432" s="28"/>
      <c r="K432" s="28"/>
      <c r="L432" s="35"/>
      <c r="M432" s="28"/>
      <c r="N432" s="36"/>
      <c r="O432" s="29">
        <f t="shared" si="6"/>
        <v>0</v>
      </c>
    </row>
    <row r="433" spans="1:15" x14ac:dyDescent="0.2">
      <c r="A433" s="32"/>
      <c r="B433" s="27"/>
      <c r="C433" s="28"/>
      <c r="D433" s="28"/>
      <c r="E433" s="28"/>
      <c r="F433" s="28"/>
      <c r="G433" s="35"/>
      <c r="H433" s="28"/>
      <c r="I433" s="28"/>
      <c r="J433" s="28"/>
      <c r="K433" s="28"/>
      <c r="L433" s="35"/>
      <c r="M433" s="28"/>
      <c r="N433" s="36"/>
      <c r="O433" s="29">
        <f t="shared" si="6"/>
        <v>0</v>
      </c>
    </row>
    <row r="434" spans="1:15" x14ac:dyDescent="0.2">
      <c r="A434" s="32"/>
      <c r="B434" s="27"/>
      <c r="C434" s="28"/>
      <c r="D434" s="28"/>
      <c r="E434" s="28"/>
      <c r="F434" s="28"/>
      <c r="G434" s="35"/>
      <c r="H434" s="28"/>
      <c r="I434" s="28"/>
      <c r="J434" s="28"/>
      <c r="K434" s="28"/>
      <c r="L434" s="35"/>
      <c r="M434" s="28"/>
      <c r="N434" s="36"/>
      <c r="O434" s="29">
        <f t="shared" si="6"/>
        <v>0</v>
      </c>
    </row>
    <row r="435" spans="1:15" x14ac:dyDescent="0.2">
      <c r="A435" s="32"/>
      <c r="B435" s="27"/>
      <c r="C435" s="28"/>
      <c r="D435" s="28"/>
      <c r="E435" s="28"/>
      <c r="F435" s="28"/>
      <c r="G435" s="35"/>
      <c r="H435" s="28"/>
      <c r="I435" s="28"/>
      <c r="J435" s="28"/>
      <c r="K435" s="28"/>
      <c r="L435" s="35"/>
      <c r="M435" s="28"/>
      <c r="N435" s="36"/>
      <c r="O435" s="29">
        <f t="shared" si="6"/>
        <v>0</v>
      </c>
    </row>
    <row r="436" spans="1:15" x14ac:dyDescent="0.2">
      <c r="A436" s="32"/>
      <c r="B436" s="27"/>
      <c r="C436" s="28"/>
      <c r="D436" s="28"/>
      <c r="E436" s="28"/>
      <c r="F436" s="28"/>
      <c r="G436" s="35"/>
      <c r="H436" s="28"/>
      <c r="I436" s="28"/>
      <c r="J436" s="28"/>
      <c r="K436" s="28"/>
      <c r="L436" s="35"/>
      <c r="M436" s="28"/>
      <c r="N436" s="36"/>
      <c r="O436" s="29">
        <f t="shared" si="6"/>
        <v>0</v>
      </c>
    </row>
    <row r="437" spans="1:15" x14ac:dyDescent="0.2">
      <c r="A437" s="32"/>
      <c r="B437" s="27"/>
      <c r="C437" s="28"/>
      <c r="D437" s="28"/>
      <c r="E437" s="28"/>
      <c r="F437" s="28"/>
      <c r="G437" s="35"/>
      <c r="H437" s="28"/>
      <c r="I437" s="28"/>
      <c r="J437" s="28"/>
      <c r="K437" s="28"/>
      <c r="L437" s="35"/>
      <c r="M437" s="28"/>
      <c r="N437" s="36"/>
      <c r="O437" s="29">
        <f t="shared" si="6"/>
        <v>0</v>
      </c>
    </row>
    <row r="438" spans="1:15" x14ac:dyDescent="0.2">
      <c r="A438" s="32"/>
      <c r="B438" s="27"/>
      <c r="C438" s="28"/>
      <c r="D438" s="28"/>
      <c r="E438" s="28"/>
      <c r="F438" s="28"/>
      <c r="G438" s="35"/>
      <c r="H438" s="28"/>
      <c r="I438" s="28"/>
      <c r="J438" s="28"/>
      <c r="K438" s="28"/>
      <c r="L438" s="35"/>
      <c r="M438" s="28"/>
      <c r="N438" s="36"/>
      <c r="O438" s="29">
        <f t="shared" si="6"/>
        <v>0</v>
      </c>
    </row>
    <row r="439" spans="1:15" x14ac:dyDescent="0.2">
      <c r="A439" s="32"/>
      <c r="B439" s="27"/>
      <c r="C439" s="28"/>
      <c r="D439" s="28"/>
      <c r="E439" s="28"/>
      <c r="F439" s="28"/>
      <c r="G439" s="35"/>
      <c r="H439" s="28"/>
      <c r="I439" s="28"/>
      <c r="J439" s="28"/>
      <c r="K439" s="28"/>
      <c r="L439" s="35"/>
      <c r="M439" s="28"/>
      <c r="N439" s="36"/>
      <c r="O439" s="29">
        <f t="shared" si="6"/>
        <v>0</v>
      </c>
    </row>
    <row r="440" spans="1:15" x14ac:dyDescent="0.2">
      <c r="A440" s="32"/>
      <c r="B440" s="27"/>
      <c r="C440" s="28"/>
      <c r="D440" s="28"/>
      <c r="E440" s="28"/>
      <c r="F440" s="28"/>
      <c r="G440" s="35"/>
      <c r="H440" s="28"/>
      <c r="I440" s="28"/>
      <c r="J440" s="28"/>
      <c r="K440" s="28"/>
      <c r="L440" s="35"/>
      <c r="M440" s="28"/>
      <c r="N440" s="36"/>
      <c r="O440" s="29">
        <f t="shared" si="6"/>
        <v>0</v>
      </c>
    </row>
    <row r="441" spans="1:15" x14ac:dyDescent="0.2">
      <c r="A441" s="32"/>
      <c r="B441" s="27"/>
      <c r="C441" s="28"/>
      <c r="D441" s="28"/>
      <c r="E441" s="28"/>
      <c r="F441" s="28"/>
      <c r="G441" s="35"/>
      <c r="H441" s="28"/>
      <c r="I441" s="28"/>
      <c r="J441" s="28"/>
      <c r="K441" s="28"/>
      <c r="L441" s="35"/>
      <c r="M441" s="28"/>
      <c r="N441" s="36"/>
      <c r="O441" s="29">
        <f t="shared" si="6"/>
        <v>0</v>
      </c>
    </row>
    <row r="442" spans="1:15" x14ac:dyDescent="0.2">
      <c r="A442" s="32"/>
      <c r="B442" s="27"/>
      <c r="C442" s="28"/>
      <c r="D442" s="28"/>
      <c r="E442" s="28"/>
      <c r="F442" s="28"/>
      <c r="G442" s="35"/>
      <c r="H442" s="28"/>
      <c r="I442" s="28"/>
      <c r="J442" s="28"/>
      <c r="K442" s="28"/>
      <c r="L442" s="35"/>
      <c r="M442" s="28"/>
      <c r="N442" s="36"/>
      <c r="O442" s="29">
        <f t="shared" si="6"/>
        <v>0</v>
      </c>
    </row>
    <row r="443" spans="1:15" x14ac:dyDescent="0.2">
      <c r="A443" s="32"/>
      <c r="B443" s="27"/>
      <c r="C443" s="28"/>
      <c r="D443" s="28"/>
      <c r="E443" s="28"/>
      <c r="F443" s="28"/>
      <c r="G443" s="35"/>
      <c r="H443" s="28"/>
      <c r="I443" s="28"/>
      <c r="J443" s="28"/>
      <c r="K443" s="28"/>
      <c r="L443" s="35"/>
      <c r="M443" s="28"/>
      <c r="N443" s="36"/>
      <c r="O443" s="29">
        <f t="shared" si="6"/>
        <v>0</v>
      </c>
    </row>
    <row r="444" spans="1:15" x14ac:dyDescent="0.2">
      <c r="A444" s="32"/>
      <c r="B444" s="27"/>
      <c r="C444" s="28"/>
      <c r="D444" s="28"/>
      <c r="E444" s="28"/>
      <c r="F444" s="28"/>
      <c r="G444" s="35"/>
      <c r="H444" s="28"/>
      <c r="I444" s="28"/>
      <c r="J444" s="28"/>
      <c r="K444" s="28"/>
      <c r="L444" s="35"/>
      <c r="M444" s="28"/>
      <c r="N444" s="36"/>
      <c r="O444" s="29">
        <f t="shared" si="6"/>
        <v>0</v>
      </c>
    </row>
    <row r="445" spans="1:15" x14ac:dyDescent="0.2">
      <c r="A445" s="32"/>
      <c r="B445" s="27"/>
      <c r="C445" s="28"/>
      <c r="D445" s="28"/>
      <c r="E445" s="28"/>
      <c r="F445" s="28"/>
      <c r="G445" s="35"/>
      <c r="H445" s="28"/>
      <c r="I445" s="28"/>
      <c r="J445" s="28"/>
      <c r="K445" s="28"/>
      <c r="L445" s="35"/>
      <c r="M445" s="28"/>
      <c r="N445" s="36"/>
      <c r="O445" s="29">
        <f t="shared" si="6"/>
        <v>0</v>
      </c>
    </row>
    <row r="446" spans="1:15" x14ac:dyDescent="0.2">
      <c r="A446" s="32"/>
      <c r="B446" s="27"/>
      <c r="C446" s="28"/>
      <c r="D446" s="28"/>
      <c r="E446" s="28"/>
      <c r="F446" s="28"/>
      <c r="G446" s="35"/>
      <c r="H446" s="28"/>
      <c r="I446" s="28"/>
      <c r="J446" s="28"/>
      <c r="K446" s="28"/>
      <c r="L446" s="35"/>
      <c r="M446" s="28"/>
      <c r="N446" s="36"/>
      <c r="O446" s="29">
        <f t="shared" si="6"/>
        <v>0</v>
      </c>
    </row>
    <row r="447" spans="1:15" x14ac:dyDescent="0.2">
      <c r="A447" s="32"/>
      <c r="B447" s="27"/>
      <c r="C447" s="28"/>
      <c r="D447" s="28"/>
      <c r="E447" s="28"/>
      <c r="F447" s="28"/>
      <c r="G447" s="35"/>
      <c r="H447" s="28"/>
      <c r="I447" s="28"/>
      <c r="J447" s="28"/>
      <c r="K447" s="28"/>
      <c r="L447" s="35"/>
      <c r="M447" s="28"/>
      <c r="N447" s="36"/>
      <c r="O447" s="29">
        <f t="shared" si="6"/>
        <v>0</v>
      </c>
    </row>
    <row r="448" spans="1:15" x14ac:dyDescent="0.2">
      <c r="A448" s="32"/>
      <c r="B448" s="27"/>
      <c r="C448" s="28"/>
      <c r="D448" s="28"/>
      <c r="E448" s="28"/>
      <c r="F448" s="28"/>
      <c r="G448" s="35"/>
      <c r="H448" s="28"/>
      <c r="I448" s="28"/>
      <c r="J448" s="28"/>
      <c r="K448" s="28"/>
      <c r="L448" s="35"/>
      <c r="M448" s="28"/>
      <c r="N448" s="36"/>
      <c r="O448" s="29">
        <f t="shared" si="6"/>
        <v>0</v>
      </c>
    </row>
    <row r="449" spans="1:15" x14ac:dyDescent="0.2">
      <c r="A449" s="32"/>
      <c r="B449" s="27"/>
      <c r="C449" s="28"/>
      <c r="D449" s="28"/>
      <c r="E449" s="28"/>
      <c r="F449" s="28"/>
      <c r="G449" s="35"/>
      <c r="H449" s="28"/>
      <c r="I449" s="28"/>
      <c r="J449" s="28"/>
      <c r="K449" s="28"/>
      <c r="L449" s="35"/>
      <c r="M449" s="28"/>
      <c r="N449" s="36"/>
      <c r="O449" s="29">
        <f t="shared" si="6"/>
        <v>0</v>
      </c>
    </row>
    <row r="450" spans="1:15" x14ac:dyDescent="0.2">
      <c r="A450" s="32"/>
      <c r="B450" s="27"/>
      <c r="C450" s="28"/>
      <c r="D450" s="28"/>
      <c r="E450" s="28"/>
      <c r="F450" s="28"/>
      <c r="G450" s="35"/>
      <c r="H450" s="28"/>
      <c r="I450" s="28"/>
      <c r="J450" s="28"/>
      <c r="K450" s="28"/>
      <c r="L450" s="35"/>
      <c r="M450" s="28"/>
      <c r="N450" s="36"/>
      <c r="O450" s="29">
        <f t="shared" si="6"/>
        <v>0</v>
      </c>
    </row>
    <row r="451" spans="1:15" x14ac:dyDescent="0.2">
      <c r="A451" s="32"/>
      <c r="B451" s="27"/>
      <c r="C451" s="28"/>
      <c r="D451" s="28"/>
      <c r="E451" s="28"/>
      <c r="F451" s="28"/>
      <c r="G451" s="35"/>
      <c r="H451" s="28"/>
      <c r="I451" s="28"/>
      <c r="J451" s="28"/>
      <c r="K451" s="28"/>
      <c r="L451" s="35"/>
      <c r="M451" s="28"/>
      <c r="N451" s="36"/>
      <c r="O451" s="29">
        <f t="shared" ref="O451:O514" si="7">N451*J451</f>
        <v>0</v>
      </c>
    </row>
    <row r="452" spans="1:15" x14ac:dyDescent="0.2">
      <c r="A452" s="32"/>
      <c r="B452" s="27"/>
      <c r="C452" s="28"/>
      <c r="D452" s="28"/>
      <c r="E452" s="28"/>
      <c r="F452" s="28"/>
      <c r="G452" s="35"/>
      <c r="H452" s="28"/>
      <c r="I452" s="28"/>
      <c r="J452" s="28"/>
      <c r="K452" s="28"/>
      <c r="L452" s="35"/>
      <c r="M452" s="28"/>
      <c r="N452" s="36"/>
      <c r="O452" s="29">
        <f t="shared" si="7"/>
        <v>0</v>
      </c>
    </row>
    <row r="453" spans="1:15" x14ac:dyDescent="0.2">
      <c r="A453" s="32"/>
      <c r="B453" s="27"/>
      <c r="C453" s="28"/>
      <c r="D453" s="28"/>
      <c r="E453" s="28"/>
      <c r="F453" s="28"/>
      <c r="G453" s="35"/>
      <c r="H453" s="28"/>
      <c r="I453" s="28"/>
      <c r="J453" s="28"/>
      <c r="K453" s="28"/>
      <c r="L453" s="35"/>
      <c r="M453" s="28"/>
      <c r="N453" s="36"/>
      <c r="O453" s="29">
        <f t="shared" si="7"/>
        <v>0</v>
      </c>
    </row>
    <row r="454" spans="1:15" x14ac:dyDescent="0.2">
      <c r="A454" s="32"/>
      <c r="B454" s="27"/>
      <c r="C454" s="28"/>
      <c r="D454" s="28"/>
      <c r="E454" s="28"/>
      <c r="F454" s="28"/>
      <c r="G454" s="35"/>
      <c r="H454" s="28"/>
      <c r="I454" s="28"/>
      <c r="J454" s="28"/>
      <c r="K454" s="28"/>
      <c r="L454" s="35"/>
      <c r="M454" s="28"/>
      <c r="N454" s="36"/>
      <c r="O454" s="29">
        <f t="shared" si="7"/>
        <v>0</v>
      </c>
    </row>
    <row r="455" spans="1:15" x14ac:dyDescent="0.2">
      <c r="A455" s="32"/>
      <c r="B455" s="27"/>
      <c r="C455" s="28"/>
      <c r="D455" s="28"/>
      <c r="E455" s="28"/>
      <c r="F455" s="28"/>
      <c r="G455" s="35"/>
      <c r="H455" s="28"/>
      <c r="I455" s="28"/>
      <c r="J455" s="28"/>
      <c r="K455" s="28"/>
      <c r="L455" s="35"/>
      <c r="M455" s="28"/>
      <c r="N455" s="36"/>
      <c r="O455" s="29">
        <f t="shared" si="7"/>
        <v>0</v>
      </c>
    </row>
    <row r="456" spans="1:15" x14ac:dyDescent="0.2">
      <c r="A456" s="32"/>
      <c r="B456" s="27"/>
      <c r="C456" s="28"/>
      <c r="D456" s="28"/>
      <c r="E456" s="28"/>
      <c r="F456" s="28"/>
      <c r="G456" s="35"/>
      <c r="H456" s="28"/>
      <c r="I456" s="28"/>
      <c r="J456" s="28"/>
      <c r="K456" s="28"/>
      <c r="L456" s="35"/>
      <c r="M456" s="28"/>
      <c r="N456" s="36"/>
      <c r="O456" s="29">
        <f t="shared" si="7"/>
        <v>0</v>
      </c>
    </row>
    <row r="457" spans="1:15" x14ac:dyDescent="0.2">
      <c r="A457" s="32"/>
      <c r="B457" s="27"/>
      <c r="C457" s="28"/>
      <c r="D457" s="28"/>
      <c r="E457" s="28"/>
      <c r="F457" s="28"/>
      <c r="G457" s="35"/>
      <c r="H457" s="28"/>
      <c r="I457" s="28"/>
      <c r="J457" s="28"/>
      <c r="K457" s="28"/>
      <c r="L457" s="35"/>
      <c r="M457" s="28"/>
      <c r="N457" s="36"/>
      <c r="O457" s="29">
        <f t="shared" si="7"/>
        <v>0</v>
      </c>
    </row>
    <row r="458" spans="1:15" x14ac:dyDescent="0.2">
      <c r="A458" s="32"/>
      <c r="B458" s="27"/>
      <c r="C458" s="28"/>
      <c r="D458" s="28"/>
      <c r="E458" s="28"/>
      <c r="F458" s="28"/>
      <c r="G458" s="35"/>
      <c r="H458" s="28"/>
      <c r="I458" s="28"/>
      <c r="J458" s="28"/>
      <c r="K458" s="28"/>
      <c r="L458" s="35"/>
      <c r="M458" s="28"/>
      <c r="N458" s="36"/>
      <c r="O458" s="29">
        <f t="shared" si="7"/>
        <v>0</v>
      </c>
    </row>
    <row r="459" spans="1:15" x14ac:dyDescent="0.2">
      <c r="A459" s="32"/>
      <c r="B459" s="27"/>
      <c r="C459" s="28"/>
      <c r="D459" s="28"/>
      <c r="E459" s="28"/>
      <c r="F459" s="28"/>
      <c r="G459" s="35"/>
      <c r="H459" s="28"/>
      <c r="I459" s="28"/>
      <c r="J459" s="28"/>
      <c r="K459" s="28"/>
      <c r="L459" s="35"/>
      <c r="M459" s="28"/>
      <c r="N459" s="36"/>
      <c r="O459" s="29">
        <f t="shared" si="7"/>
        <v>0</v>
      </c>
    </row>
    <row r="460" spans="1:15" x14ac:dyDescent="0.2">
      <c r="A460" s="32"/>
      <c r="B460" s="27"/>
      <c r="C460" s="28"/>
      <c r="D460" s="28"/>
      <c r="E460" s="28"/>
      <c r="F460" s="28"/>
      <c r="G460" s="35"/>
      <c r="H460" s="28"/>
      <c r="I460" s="28"/>
      <c r="J460" s="28"/>
      <c r="K460" s="28"/>
      <c r="L460" s="35"/>
      <c r="M460" s="28"/>
      <c r="N460" s="36"/>
      <c r="O460" s="29">
        <f t="shared" si="7"/>
        <v>0</v>
      </c>
    </row>
    <row r="461" spans="1:15" x14ac:dyDescent="0.2">
      <c r="A461" s="32"/>
      <c r="B461" s="27"/>
      <c r="C461" s="28"/>
      <c r="D461" s="28"/>
      <c r="E461" s="28"/>
      <c r="F461" s="28"/>
      <c r="G461" s="35"/>
      <c r="H461" s="28"/>
      <c r="I461" s="28"/>
      <c r="J461" s="28"/>
      <c r="K461" s="28"/>
      <c r="L461" s="35"/>
      <c r="M461" s="28"/>
      <c r="N461" s="36"/>
      <c r="O461" s="29">
        <f t="shared" si="7"/>
        <v>0</v>
      </c>
    </row>
    <row r="462" spans="1:15" x14ac:dyDescent="0.2">
      <c r="A462" s="32"/>
      <c r="B462" s="27"/>
      <c r="C462" s="28"/>
      <c r="D462" s="28"/>
      <c r="E462" s="28"/>
      <c r="F462" s="28"/>
      <c r="G462" s="35"/>
      <c r="H462" s="28"/>
      <c r="I462" s="28"/>
      <c r="J462" s="28"/>
      <c r="K462" s="28"/>
      <c r="L462" s="35"/>
      <c r="M462" s="28"/>
      <c r="N462" s="36"/>
      <c r="O462" s="29">
        <f t="shared" si="7"/>
        <v>0</v>
      </c>
    </row>
    <row r="463" spans="1:15" x14ac:dyDescent="0.2">
      <c r="A463" s="32"/>
      <c r="B463" s="27"/>
      <c r="C463" s="28"/>
      <c r="D463" s="28"/>
      <c r="E463" s="28"/>
      <c r="F463" s="28"/>
      <c r="G463" s="35"/>
      <c r="H463" s="28"/>
      <c r="I463" s="28"/>
      <c r="J463" s="28"/>
      <c r="K463" s="28"/>
      <c r="L463" s="35"/>
      <c r="M463" s="28"/>
      <c r="N463" s="36"/>
      <c r="O463" s="29">
        <f t="shared" si="7"/>
        <v>0</v>
      </c>
    </row>
    <row r="464" spans="1:15" x14ac:dyDescent="0.2">
      <c r="A464" s="32"/>
      <c r="B464" s="27"/>
      <c r="C464" s="28"/>
      <c r="D464" s="28"/>
      <c r="E464" s="28"/>
      <c r="F464" s="28"/>
      <c r="G464" s="35"/>
      <c r="H464" s="28"/>
      <c r="I464" s="28"/>
      <c r="J464" s="28"/>
      <c r="K464" s="28"/>
      <c r="L464" s="35"/>
      <c r="M464" s="28"/>
      <c r="N464" s="36"/>
      <c r="O464" s="29">
        <f t="shared" si="7"/>
        <v>0</v>
      </c>
    </row>
    <row r="465" spans="1:15" x14ac:dyDescent="0.2">
      <c r="A465" s="32"/>
      <c r="B465" s="27"/>
      <c r="C465" s="28"/>
      <c r="D465" s="28"/>
      <c r="E465" s="28"/>
      <c r="F465" s="28"/>
      <c r="G465" s="35"/>
      <c r="H465" s="28"/>
      <c r="I465" s="28"/>
      <c r="J465" s="28"/>
      <c r="K465" s="28"/>
      <c r="L465" s="35"/>
      <c r="M465" s="28"/>
      <c r="N465" s="36"/>
      <c r="O465" s="29">
        <f t="shared" si="7"/>
        <v>0</v>
      </c>
    </row>
    <row r="466" spans="1:15" x14ac:dyDescent="0.2">
      <c r="A466" s="32"/>
      <c r="B466" s="27"/>
      <c r="C466" s="28"/>
      <c r="D466" s="28"/>
      <c r="E466" s="28"/>
      <c r="F466" s="28"/>
      <c r="G466" s="35"/>
      <c r="H466" s="28"/>
      <c r="I466" s="28"/>
      <c r="J466" s="28"/>
      <c r="K466" s="28"/>
      <c r="L466" s="35"/>
      <c r="M466" s="28"/>
      <c r="N466" s="36"/>
      <c r="O466" s="29">
        <f t="shared" si="7"/>
        <v>0</v>
      </c>
    </row>
    <row r="467" spans="1:15" x14ac:dyDescent="0.2">
      <c r="A467" s="32"/>
      <c r="B467" s="27"/>
      <c r="C467" s="28"/>
      <c r="D467" s="28"/>
      <c r="E467" s="28"/>
      <c r="F467" s="28"/>
      <c r="G467" s="35"/>
      <c r="H467" s="28"/>
      <c r="I467" s="28"/>
      <c r="J467" s="28"/>
      <c r="K467" s="28"/>
      <c r="L467" s="35"/>
      <c r="M467" s="28"/>
      <c r="N467" s="36"/>
      <c r="O467" s="29">
        <f t="shared" si="7"/>
        <v>0</v>
      </c>
    </row>
    <row r="468" spans="1:15" x14ac:dyDescent="0.2">
      <c r="A468" s="32"/>
      <c r="B468" s="27"/>
      <c r="C468" s="28"/>
      <c r="D468" s="28"/>
      <c r="E468" s="28"/>
      <c r="F468" s="28"/>
      <c r="G468" s="35"/>
      <c r="H468" s="28"/>
      <c r="I468" s="28"/>
      <c r="J468" s="28"/>
      <c r="K468" s="28"/>
      <c r="L468" s="35"/>
      <c r="M468" s="28"/>
      <c r="N468" s="36"/>
      <c r="O468" s="29">
        <f t="shared" si="7"/>
        <v>0</v>
      </c>
    </row>
    <row r="469" spans="1:15" x14ac:dyDescent="0.2">
      <c r="A469" s="32"/>
      <c r="B469" s="27"/>
      <c r="C469" s="28"/>
      <c r="D469" s="28"/>
      <c r="E469" s="28"/>
      <c r="F469" s="28"/>
      <c r="G469" s="35"/>
      <c r="H469" s="28"/>
      <c r="I469" s="28"/>
      <c r="J469" s="28"/>
      <c r="K469" s="28"/>
      <c r="L469" s="35"/>
      <c r="M469" s="28"/>
      <c r="N469" s="36"/>
      <c r="O469" s="29">
        <f t="shared" si="7"/>
        <v>0</v>
      </c>
    </row>
    <row r="470" spans="1:15" x14ac:dyDescent="0.2">
      <c r="A470" s="32"/>
      <c r="B470" s="27"/>
      <c r="C470" s="28"/>
      <c r="D470" s="28"/>
      <c r="E470" s="28"/>
      <c r="F470" s="28"/>
      <c r="G470" s="35"/>
      <c r="H470" s="28"/>
      <c r="I470" s="28"/>
      <c r="J470" s="28"/>
      <c r="K470" s="28"/>
      <c r="L470" s="35"/>
      <c r="M470" s="28"/>
      <c r="N470" s="36"/>
      <c r="O470" s="29">
        <f t="shared" si="7"/>
        <v>0</v>
      </c>
    </row>
    <row r="471" spans="1:15" x14ac:dyDescent="0.2">
      <c r="A471" s="32"/>
      <c r="B471" s="27"/>
      <c r="C471" s="28"/>
      <c r="D471" s="28"/>
      <c r="E471" s="28"/>
      <c r="F471" s="28"/>
      <c r="G471" s="35"/>
      <c r="H471" s="28"/>
      <c r="I471" s="28"/>
      <c r="J471" s="28"/>
      <c r="K471" s="28"/>
      <c r="L471" s="35"/>
      <c r="M471" s="28"/>
      <c r="N471" s="36"/>
      <c r="O471" s="29">
        <f t="shared" si="7"/>
        <v>0</v>
      </c>
    </row>
    <row r="472" spans="1:15" x14ac:dyDescent="0.2">
      <c r="A472" s="32"/>
      <c r="B472" s="27"/>
      <c r="C472" s="28"/>
      <c r="D472" s="28"/>
      <c r="E472" s="28"/>
      <c r="F472" s="28"/>
      <c r="G472" s="35"/>
      <c r="H472" s="28"/>
      <c r="I472" s="28"/>
      <c r="J472" s="28"/>
      <c r="K472" s="28"/>
      <c r="L472" s="35"/>
      <c r="M472" s="28"/>
      <c r="N472" s="36"/>
      <c r="O472" s="29">
        <f t="shared" si="7"/>
        <v>0</v>
      </c>
    </row>
    <row r="473" spans="1:15" x14ac:dyDescent="0.2">
      <c r="A473" s="32"/>
      <c r="B473" s="27"/>
      <c r="C473" s="28"/>
      <c r="D473" s="28"/>
      <c r="E473" s="28"/>
      <c r="F473" s="28"/>
      <c r="G473" s="35"/>
      <c r="H473" s="28"/>
      <c r="I473" s="28"/>
      <c r="J473" s="28"/>
      <c r="K473" s="28"/>
      <c r="L473" s="35"/>
      <c r="M473" s="28"/>
      <c r="N473" s="36"/>
      <c r="O473" s="29">
        <f t="shared" si="7"/>
        <v>0</v>
      </c>
    </row>
    <row r="474" spans="1:15" x14ac:dyDescent="0.2">
      <c r="A474" s="32"/>
      <c r="B474" s="27"/>
      <c r="C474" s="28"/>
      <c r="D474" s="28"/>
      <c r="E474" s="28"/>
      <c r="F474" s="28"/>
      <c r="G474" s="35"/>
      <c r="H474" s="28"/>
      <c r="I474" s="28"/>
      <c r="J474" s="28"/>
      <c r="K474" s="28"/>
      <c r="L474" s="35"/>
      <c r="M474" s="28"/>
      <c r="N474" s="36"/>
      <c r="O474" s="29">
        <f t="shared" si="7"/>
        <v>0</v>
      </c>
    </row>
    <row r="475" spans="1:15" x14ac:dyDescent="0.2">
      <c r="A475" s="32"/>
      <c r="B475" s="27"/>
      <c r="C475" s="28"/>
      <c r="D475" s="28"/>
      <c r="E475" s="28"/>
      <c r="F475" s="28"/>
      <c r="G475" s="35"/>
      <c r="H475" s="28"/>
      <c r="I475" s="28"/>
      <c r="J475" s="28"/>
      <c r="K475" s="28"/>
      <c r="L475" s="28"/>
      <c r="M475" s="28"/>
      <c r="N475" s="36"/>
      <c r="O475" s="29">
        <f t="shared" si="7"/>
        <v>0</v>
      </c>
    </row>
    <row r="476" spans="1:15" x14ac:dyDescent="0.2">
      <c r="A476" s="28"/>
      <c r="B476" s="27"/>
      <c r="C476" s="28"/>
      <c r="D476" s="28"/>
      <c r="E476" s="28"/>
      <c r="F476" s="28"/>
      <c r="G476" s="35"/>
      <c r="H476" s="28"/>
      <c r="I476" s="28"/>
      <c r="J476" s="28"/>
      <c r="K476" s="28"/>
      <c r="L476" s="28"/>
      <c r="M476" s="28"/>
      <c r="N476" s="36"/>
      <c r="O476" s="29">
        <f t="shared" si="7"/>
        <v>0</v>
      </c>
    </row>
    <row r="477" spans="1:15" x14ac:dyDescent="0.2">
      <c r="A477" s="28"/>
      <c r="B477" s="27"/>
      <c r="C477" s="28"/>
      <c r="D477" s="28"/>
      <c r="E477" s="28"/>
      <c r="F477" s="28"/>
      <c r="G477" s="35"/>
      <c r="H477" s="28"/>
      <c r="I477" s="28"/>
      <c r="J477" s="28"/>
      <c r="K477" s="28"/>
      <c r="L477" s="28"/>
      <c r="M477" s="28"/>
      <c r="N477" s="36"/>
      <c r="O477" s="29">
        <f t="shared" si="7"/>
        <v>0</v>
      </c>
    </row>
    <row r="478" spans="1:15" x14ac:dyDescent="0.2">
      <c r="A478" s="28"/>
      <c r="B478" s="27"/>
      <c r="C478" s="28"/>
      <c r="D478" s="28"/>
      <c r="E478" s="28"/>
      <c r="F478" s="28"/>
      <c r="G478" s="35"/>
      <c r="H478" s="28"/>
      <c r="I478" s="28"/>
      <c r="J478" s="28"/>
      <c r="K478" s="28"/>
      <c r="L478" s="28"/>
      <c r="M478" s="28"/>
      <c r="N478" s="36"/>
      <c r="O478" s="29">
        <f t="shared" si="7"/>
        <v>0</v>
      </c>
    </row>
    <row r="479" spans="1:15" x14ac:dyDescent="0.2">
      <c r="A479" s="28"/>
      <c r="B479" s="27"/>
      <c r="C479" s="28"/>
      <c r="D479" s="28"/>
      <c r="E479" s="28"/>
      <c r="F479" s="28"/>
      <c r="G479" s="35"/>
      <c r="H479" s="28"/>
      <c r="I479" s="28"/>
      <c r="J479" s="28"/>
      <c r="K479" s="28"/>
      <c r="L479" s="28"/>
      <c r="M479" s="28"/>
      <c r="N479" s="36"/>
      <c r="O479" s="29">
        <f t="shared" si="7"/>
        <v>0</v>
      </c>
    </row>
    <row r="480" spans="1:15" x14ac:dyDescent="0.2">
      <c r="A480" s="28"/>
      <c r="B480" s="27"/>
      <c r="C480" s="28"/>
      <c r="D480" s="28"/>
      <c r="E480" s="28"/>
      <c r="F480" s="28"/>
      <c r="G480" s="35"/>
      <c r="H480" s="28"/>
      <c r="I480" s="28"/>
      <c r="J480" s="28"/>
      <c r="K480" s="28"/>
      <c r="L480" s="28"/>
      <c r="M480" s="28"/>
      <c r="N480" s="36"/>
      <c r="O480" s="29">
        <f t="shared" si="7"/>
        <v>0</v>
      </c>
    </row>
    <row r="481" spans="1:15" x14ac:dyDescent="0.2">
      <c r="A481" s="28"/>
      <c r="B481" s="27"/>
      <c r="C481" s="28"/>
      <c r="D481" s="28"/>
      <c r="E481" s="28"/>
      <c r="F481" s="28"/>
      <c r="G481" s="35"/>
      <c r="H481" s="28"/>
      <c r="I481" s="28"/>
      <c r="J481" s="28"/>
      <c r="K481" s="28"/>
      <c r="L481" s="28"/>
      <c r="M481" s="28"/>
      <c r="N481" s="36"/>
      <c r="O481" s="29">
        <f t="shared" si="7"/>
        <v>0</v>
      </c>
    </row>
    <row r="482" spans="1:15" x14ac:dyDescent="0.2">
      <c r="A482" s="28"/>
      <c r="B482" s="27"/>
      <c r="C482" s="28"/>
      <c r="D482" s="28"/>
      <c r="E482" s="28"/>
      <c r="F482" s="28"/>
      <c r="G482" s="35"/>
      <c r="H482" s="28"/>
      <c r="I482" s="28"/>
      <c r="J482" s="28"/>
      <c r="K482" s="28"/>
      <c r="L482" s="28"/>
      <c r="M482" s="28"/>
      <c r="N482" s="36"/>
      <c r="O482" s="29">
        <f t="shared" si="7"/>
        <v>0</v>
      </c>
    </row>
    <row r="483" spans="1:15" x14ac:dyDescent="0.2">
      <c r="A483" s="28"/>
      <c r="B483" s="27"/>
      <c r="C483" s="28"/>
      <c r="D483" s="28"/>
      <c r="E483" s="28"/>
      <c r="F483" s="28"/>
      <c r="G483" s="35"/>
      <c r="H483" s="28"/>
      <c r="I483" s="28"/>
      <c r="J483" s="28"/>
      <c r="K483" s="28"/>
      <c r="L483" s="28"/>
      <c r="M483" s="28"/>
      <c r="N483" s="36"/>
      <c r="O483" s="29">
        <f t="shared" si="7"/>
        <v>0</v>
      </c>
    </row>
    <row r="484" spans="1:15" x14ac:dyDescent="0.2">
      <c r="A484" s="28"/>
      <c r="B484" s="27"/>
      <c r="C484" s="28"/>
      <c r="D484" s="28"/>
      <c r="E484" s="28"/>
      <c r="F484" s="28"/>
      <c r="G484" s="35"/>
      <c r="H484" s="28"/>
      <c r="I484" s="28"/>
      <c r="J484" s="28"/>
      <c r="K484" s="28"/>
      <c r="L484" s="28"/>
      <c r="M484" s="28"/>
      <c r="N484" s="36"/>
      <c r="O484" s="29">
        <f t="shared" si="7"/>
        <v>0</v>
      </c>
    </row>
    <row r="485" spans="1:15" x14ac:dyDescent="0.2">
      <c r="A485" s="28"/>
      <c r="B485" s="27"/>
      <c r="C485" s="28"/>
      <c r="D485" s="28"/>
      <c r="E485" s="28"/>
      <c r="F485" s="28"/>
      <c r="G485" s="35"/>
      <c r="H485" s="28"/>
      <c r="I485" s="28"/>
      <c r="J485" s="28"/>
      <c r="K485" s="28"/>
      <c r="L485" s="28"/>
      <c r="M485" s="28"/>
      <c r="N485" s="36"/>
      <c r="O485" s="29">
        <f t="shared" si="7"/>
        <v>0</v>
      </c>
    </row>
    <row r="486" spans="1:15" x14ac:dyDescent="0.2">
      <c r="A486" s="28"/>
      <c r="B486" s="27"/>
      <c r="C486" s="28"/>
      <c r="D486" s="28"/>
      <c r="E486" s="28"/>
      <c r="F486" s="28"/>
      <c r="G486" s="35"/>
      <c r="H486" s="28"/>
      <c r="I486" s="28"/>
      <c r="J486" s="28"/>
      <c r="K486" s="28"/>
      <c r="L486" s="28"/>
      <c r="M486" s="28"/>
      <c r="N486" s="36"/>
      <c r="O486" s="29">
        <f t="shared" si="7"/>
        <v>0</v>
      </c>
    </row>
    <row r="487" spans="1:15" x14ac:dyDescent="0.2">
      <c r="A487" s="28"/>
      <c r="B487" s="27"/>
      <c r="C487" s="28"/>
      <c r="D487" s="28"/>
      <c r="E487" s="28"/>
      <c r="F487" s="28"/>
      <c r="G487" s="35"/>
      <c r="H487" s="28"/>
      <c r="I487" s="28"/>
      <c r="J487" s="28"/>
      <c r="K487" s="28"/>
      <c r="L487" s="28"/>
      <c r="M487" s="28"/>
      <c r="N487" s="36"/>
      <c r="O487" s="29">
        <f t="shared" si="7"/>
        <v>0</v>
      </c>
    </row>
    <row r="488" spans="1:15" x14ac:dyDescent="0.2">
      <c r="A488" s="28"/>
      <c r="B488" s="27"/>
      <c r="C488" s="28"/>
      <c r="D488" s="28"/>
      <c r="E488" s="28"/>
      <c r="F488" s="28"/>
      <c r="G488" s="35"/>
      <c r="H488" s="28"/>
      <c r="I488" s="28"/>
      <c r="J488" s="28"/>
      <c r="K488" s="28"/>
      <c r="L488" s="28"/>
      <c r="M488" s="28"/>
      <c r="N488" s="36"/>
      <c r="O488" s="29">
        <f t="shared" si="7"/>
        <v>0</v>
      </c>
    </row>
    <row r="489" spans="1:15" x14ac:dyDescent="0.2">
      <c r="A489" s="28"/>
      <c r="B489" s="27"/>
      <c r="C489" s="28"/>
      <c r="D489" s="28"/>
      <c r="E489" s="28"/>
      <c r="F489" s="28"/>
      <c r="G489" s="35"/>
      <c r="H489" s="28"/>
      <c r="I489" s="28"/>
      <c r="J489" s="28"/>
      <c r="K489" s="28"/>
      <c r="L489" s="28"/>
      <c r="M489" s="28"/>
      <c r="N489" s="36"/>
      <c r="O489" s="29">
        <f t="shared" si="7"/>
        <v>0</v>
      </c>
    </row>
    <row r="490" spans="1:15" x14ac:dyDescent="0.2">
      <c r="A490" s="28"/>
      <c r="B490" s="27"/>
      <c r="C490" s="28"/>
      <c r="D490" s="28"/>
      <c r="E490" s="28"/>
      <c r="F490" s="28"/>
      <c r="G490" s="35"/>
      <c r="H490" s="28"/>
      <c r="I490" s="28"/>
      <c r="J490" s="28"/>
      <c r="K490" s="28"/>
      <c r="L490" s="28"/>
      <c r="M490" s="28"/>
      <c r="N490" s="36"/>
      <c r="O490" s="29">
        <f t="shared" si="7"/>
        <v>0</v>
      </c>
    </row>
    <row r="491" spans="1:15" x14ac:dyDescent="0.2">
      <c r="A491" s="28"/>
      <c r="B491" s="27"/>
      <c r="C491" s="28"/>
      <c r="D491" s="28"/>
      <c r="E491" s="28"/>
      <c r="F491" s="28"/>
      <c r="G491" s="35"/>
      <c r="H491" s="28"/>
      <c r="I491" s="28"/>
      <c r="J491" s="28"/>
      <c r="K491" s="28"/>
      <c r="L491" s="28"/>
      <c r="M491" s="28"/>
      <c r="N491" s="36"/>
      <c r="O491" s="29">
        <f t="shared" si="7"/>
        <v>0</v>
      </c>
    </row>
    <row r="492" spans="1:15" x14ac:dyDescent="0.2">
      <c r="A492" s="28"/>
      <c r="B492" s="27"/>
      <c r="C492" s="28"/>
      <c r="D492" s="28"/>
      <c r="E492" s="28"/>
      <c r="F492" s="28"/>
      <c r="G492" s="35"/>
      <c r="H492" s="28"/>
      <c r="I492" s="28"/>
      <c r="J492" s="28"/>
      <c r="K492" s="28"/>
      <c r="L492" s="28"/>
      <c r="M492" s="28"/>
      <c r="N492" s="36"/>
      <c r="O492" s="29">
        <f t="shared" si="7"/>
        <v>0</v>
      </c>
    </row>
    <row r="493" spans="1:15" x14ac:dyDescent="0.2">
      <c r="A493" s="28"/>
      <c r="B493" s="27"/>
      <c r="C493" s="28"/>
      <c r="D493" s="28"/>
      <c r="E493" s="28"/>
      <c r="F493" s="28"/>
      <c r="G493" s="35"/>
      <c r="H493" s="28"/>
      <c r="I493" s="28"/>
      <c r="J493" s="28"/>
      <c r="K493" s="28"/>
      <c r="L493" s="28"/>
      <c r="M493" s="28"/>
      <c r="N493" s="36"/>
      <c r="O493" s="29">
        <f t="shared" si="7"/>
        <v>0</v>
      </c>
    </row>
    <row r="494" spans="1:15" x14ac:dyDescent="0.2">
      <c r="A494" s="28"/>
      <c r="B494" s="27"/>
      <c r="C494" s="28"/>
      <c r="D494" s="28"/>
      <c r="E494" s="28"/>
      <c r="F494" s="28"/>
      <c r="G494" s="35"/>
      <c r="H494" s="28"/>
      <c r="I494" s="28"/>
      <c r="J494" s="28"/>
      <c r="K494" s="28"/>
      <c r="L494" s="28"/>
      <c r="M494" s="28"/>
      <c r="N494" s="36"/>
      <c r="O494" s="29">
        <f t="shared" si="7"/>
        <v>0</v>
      </c>
    </row>
    <row r="495" spans="1:15" x14ac:dyDescent="0.2">
      <c r="A495" s="28"/>
      <c r="B495" s="27"/>
      <c r="C495" s="28"/>
      <c r="D495" s="28"/>
      <c r="E495" s="28"/>
      <c r="F495" s="28"/>
      <c r="G495" s="35"/>
      <c r="H495" s="28"/>
      <c r="I495" s="28"/>
      <c r="J495" s="28"/>
      <c r="K495" s="28"/>
      <c r="L495" s="28"/>
      <c r="M495" s="28"/>
      <c r="N495" s="36"/>
      <c r="O495" s="29">
        <f t="shared" si="7"/>
        <v>0</v>
      </c>
    </row>
    <row r="496" spans="1:15" x14ac:dyDescent="0.2">
      <c r="A496" s="28"/>
      <c r="B496" s="27"/>
      <c r="C496" s="28"/>
      <c r="D496" s="28"/>
      <c r="E496" s="28"/>
      <c r="F496" s="28"/>
      <c r="G496" s="35"/>
      <c r="H496" s="28"/>
      <c r="I496" s="28"/>
      <c r="J496" s="28"/>
      <c r="K496" s="28"/>
      <c r="L496" s="28"/>
      <c r="M496" s="28"/>
      <c r="N496" s="36"/>
      <c r="O496" s="29">
        <f t="shared" si="7"/>
        <v>0</v>
      </c>
    </row>
    <row r="497" spans="1:15" x14ac:dyDescent="0.2">
      <c r="A497" s="28"/>
      <c r="B497" s="27"/>
      <c r="C497" s="28"/>
      <c r="D497" s="28"/>
      <c r="E497" s="28"/>
      <c r="F497" s="28"/>
      <c r="G497" s="35"/>
      <c r="H497" s="28"/>
      <c r="I497" s="28"/>
      <c r="J497" s="28"/>
      <c r="K497" s="28"/>
      <c r="L497" s="28"/>
      <c r="M497" s="28"/>
      <c r="N497" s="36"/>
      <c r="O497" s="29">
        <f t="shared" si="7"/>
        <v>0</v>
      </c>
    </row>
    <row r="498" spans="1:15" x14ac:dyDescent="0.2">
      <c r="A498" s="28"/>
      <c r="B498" s="27"/>
      <c r="C498" s="28"/>
      <c r="D498" s="28"/>
      <c r="E498" s="28"/>
      <c r="F498" s="28"/>
      <c r="G498" s="35"/>
      <c r="H498" s="28"/>
      <c r="I498" s="28"/>
      <c r="J498" s="28"/>
      <c r="K498" s="28"/>
      <c r="L498" s="28"/>
      <c r="M498" s="28"/>
      <c r="N498" s="36"/>
      <c r="O498" s="29">
        <f t="shared" si="7"/>
        <v>0</v>
      </c>
    </row>
    <row r="499" spans="1:15" x14ac:dyDescent="0.2">
      <c r="A499" s="28"/>
      <c r="B499" s="27"/>
      <c r="C499" s="28"/>
      <c r="D499" s="28"/>
      <c r="E499" s="28"/>
      <c r="F499" s="28"/>
      <c r="G499" s="35"/>
      <c r="H499" s="28"/>
      <c r="I499" s="28"/>
      <c r="J499" s="28"/>
      <c r="K499" s="28"/>
      <c r="L499" s="28"/>
      <c r="M499" s="28"/>
      <c r="N499" s="36"/>
      <c r="O499" s="29">
        <f t="shared" si="7"/>
        <v>0</v>
      </c>
    </row>
    <row r="500" spans="1:15" x14ac:dyDescent="0.2">
      <c r="A500" s="28"/>
      <c r="B500" s="27"/>
      <c r="C500" s="28"/>
      <c r="D500" s="28"/>
      <c r="E500" s="28"/>
      <c r="F500" s="28"/>
      <c r="G500" s="35"/>
      <c r="H500" s="28"/>
      <c r="I500" s="28"/>
      <c r="J500" s="28"/>
      <c r="K500" s="28"/>
      <c r="L500" s="28"/>
      <c r="M500" s="28"/>
      <c r="N500" s="36"/>
      <c r="O500" s="29">
        <f t="shared" si="7"/>
        <v>0</v>
      </c>
    </row>
    <row r="501" spans="1:15" x14ac:dyDescent="0.2">
      <c r="A501" s="28"/>
      <c r="B501" s="27"/>
      <c r="C501" s="28"/>
      <c r="D501" s="28"/>
      <c r="E501" s="28"/>
      <c r="F501" s="28"/>
      <c r="G501" s="35"/>
      <c r="H501" s="28"/>
      <c r="I501" s="28"/>
      <c r="J501" s="28"/>
      <c r="K501" s="28"/>
      <c r="L501" s="28"/>
      <c r="M501" s="28"/>
      <c r="N501" s="36"/>
      <c r="O501" s="29">
        <f t="shared" si="7"/>
        <v>0</v>
      </c>
    </row>
    <row r="502" spans="1:15" x14ac:dyDescent="0.2">
      <c r="A502" s="28"/>
      <c r="B502" s="27"/>
      <c r="C502" s="28"/>
      <c r="D502" s="28"/>
      <c r="E502" s="28"/>
      <c r="F502" s="28"/>
      <c r="G502" s="35"/>
      <c r="H502" s="28"/>
      <c r="I502" s="28"/>
      <c r="J502" s="28"/>
      <c r="K502" s="28"/>
      <c r="L502" s="28"/>
      <c r="M502" s="28"/>
      <c r="N502" s="36"/>
      <c r="O502" s="29">
        <f t="shared" si="7"/>
        <v>0</v>
      </c>
    </row>
    <row r="503" spans="1:15" x14ac:dyDescent="0.2">
      <c r="A503" s="28"/>
      <c r="B503" s="27"/>
      <c r="C503" s="28"/>
      <c r="D503" s="28"/>
      <c r="E503" s="28"/>
      <c r="F503" s="28"/>
      <c r="G503" s="35"/>
      <c r="H503" s="28"/>
      <c r="I503" s="28"/>
      <c r="J503" s="28"/>
      <c r="K503" s="28"/>
      <c r="L503" s="28"/>
      <c r="M503" s="28"/>
      <c r="N503" s="36"/>
      <c r="O503" s="29">
        <f t="shared" si="7"/>
        <v>0</v>
      </c>
    </row>
    <row r="504" spans="1:15" x14ac:dyDescent="0.2">
      <c r="A504" s="28"/>
      <c r="B504" s="27"/>
      <c r="C504" s="28"/>
      <c r="D504" s="28"/>
      <c r="E504" s="28"/>
      <c r="F504" s="28"/>
      <c r="G504" s="35"/>
      <c r="H504" s="28"/>
      <c r="I504" s="28"/>
      <c r="J504" s="28"/>
      <c r="K504" s="28"/>
      <c r="L504" s="28"/>
      <c r="M504" s="28"/>
      <c r="N504" s="36"/>
      <c r="O504" s="29">
        <f t="shared" si="7"/>
        <v>0</v>
      </c>
    </row>
    <row r="505" spans="1:15" x14ac:dyDescent="0.2">
      <c r="A505" s="28"/>
      <c r="B505" s="27"/>
      <c r="C505" s="28"/>
      <c r="D505" s="28"/>
      <c r="E505" s="28"/>
      <c r="F505" s="28"/>
      <c r="G505" s="35"/>
      <c r="H505" s="28"/>
      <c r="I505" s="28"/>
      <c r="J505" s="28"/>
      <c r="K505" s="28"/>
      <c r="L505" s="28"/>
      <c r="M505" s="28"/>
      <c r="N505" s="36"/>
      <c r="O505" s="29">
        <f t="shared" si="7"/>
        <v>0</v>
      </c>
    </row>
    <row r="506" spans="1:15" x14ac:dyDescent="0.2">
      <c r="A506" s="28"/>
      <c r="B506" s="27"/>
      <c r="C506" s="28"/>
      <c r="D506" s="28"/>
      <c r="E506" s="28"/>
      <c r="F506" s="28"/>
      <c r="G506" s="35"/>
      <c r="H506" s="28"/>
      <c r="I506" s="28"/>
      <c r="J506" s="28"/>
      <c r="K506" s="28"/>
      <c r="L506" s="28"/>
      <c r="M506" s="28"/>
      <c r="N506" s="36"/>
      <c r="O506" s="29">
        <f t="shared" si="7"/>
        <v>0</v>
      </c>
    </row>
    <row r="507" spans="1:15" x14ac:dyDescent="0.2">
      <c r="A507" s="28"/>
      <c r="B507" s="27"/>
      <c r="C507" s="28"/>
      <c r="D507" s="28"/>
      <c r="E507" s="28"/>
      <c r="F507" s="28"/>
      <c r="G507" s="35"/>
      <c r="H507" s="28"/>
      <c r="I507" s="28"/>
      <c r="J507" s="28"/>
      <c r="K507" s="28"/>
      <c r="L507" s="28"/>
      <c r="M507" s="28"/>
      <c r="N507" s="36"/>
      <c r="O507" s="29">
        <f t="shared" si="7"/>
        <v>0</v>
      </c>
    </row>
    <row r="508" spans="1:15" x14ac:dyDescent="0.2">
      <c r="A508" s="28"/>
      <c r="B508" s="27"/>
      <c r="C508" s="28"/>
      <c r="D508" s="28"/>
      <c r="E508" s="28"/>
      <c r="F508" s="28"/>
      <c r="G508" s="35"/>
      <c r="H508" s="28"/>
      <c r="I508" s="28"/>
      <c r="J508" s="28"/>
      <c r="K508" s="28"/>
      <c r="L508" s="28"/>
      <c r="M508" s="28"/>
      <c r="N508" s="36"/>
      <c r="O508" s="29">
        <f t="shared" si="7"/>
        <v>0</v>
      </c>
    </row>
    <row r="509" spans="1:15" x14ac:dyDescent="0.2">
      <c r="A509" s="28"/>
      <c r="B509" s="27"/>
      <c r="C509" s="28"/>
      <c r="D509" s="28"/>
      <c r="E509" s="28"/>
      <c r="F509" s="28"/>
      <c r="G509" s="35"/>
      <c r="H509" s="28"/>
      <c r="I509" s="28"/>
      <c r="J509" s="28"/>
      <c r="K509" s="28"/>
      <c r="L509" s="28"/>
      <c r="M509" s="28"/>
      <c r="N509" s="36"/>
      <c r="O509" s="29">
        <f t="shared" si="7"/>
        <v>0</v>
      </c>
    </row>
    <row r="510" spans="1:15" x14ac:dyDescent="0.2">
      <c r="A510" s="28"/>
      <c r="B510" s="27"/>
      <c r="C510" s="28"/>
      <c r="D510" s="28"/>
      <c r="E510" s="28"/>
      <c r="F510" s="28"/>
      <c r="G510" s="35"/>
      <c r="H510" s="28"/>
      <c r="I510" s="28"/>
      <c r="J510" s="28"/>
      <c r="K510" s="28"/>
      <c r="L510" s="28"/>
      <c r="M510" s="28"/>
      <c r="N510" s="36"/>
      <c r="O510" s="29">
        <f t="shared" si="7"/>
        <v>0</v>
      </c>
    </row>
    <row r="511" spans="1:15" x14ac:dyDescent="0.2">
      <c r="A511" s="28"/>
      <c r="B511" s="27"/>
      <c r="C511" s="28"/>
      <c r="D511" s="28"/>
      <c r="E511" s="28"/>
      <c r="F511" s="28"/>
      <c r="G511" s="35"/>
      <c r="H511" s="28"/>
      <c r="I511" s="28"/>
      <c r="J511" s="28"/>
      <c r="K511" s="28"/>
      <c r="L511" s="28"/>
      <c r="M511" s="28"/>
      <c r="N511" s="36"/>
      <c r="O511" s="29">
        <f t="shared" si="7"/>
        <v>0</v>
      </c>
    </row>
    <row r="512" spans="1:15" x14ac:dyDescent="0.2">
      <c r="A512" s="28"/>
      <c r="B512" s="27"/>
      <c r="C512" s="28"/>
      <c r="D512" s="28"/>
      <c r="E512" s="28"/>
      <c r="F512" s="28"/>
      <c r="G512" s="35"/>
      <c r="H512" s="28"/>
      <c r="I512" s="28"/>
      <c r="J512" s="28"/>
      <c r="K512" s="28"/>
      <c r="L512" s="28"/>
      <c r="M512" s="28"/>
      <c r="N512" s="36"/>
      <c r="O512" s="29">
        <f t="shared" si="7"/>
        <v>0</v>
      </c>
    </row>
    <row r="513" spans="1:15" x14ac:dyDescent="0.2">
      <c r="A513" s="28"/>
      <c r="B513" s="27"/>
      <c r="C513" s="28"/>
      <c r="D513" s="28"/>
      <c r="E513" s="28"/>
      <c r="F513" s="28"/>
      <c r="G513" s="35"/>
      <c r="H513" s="28"/>
      <c r="I513" s="28"/>
      <c r="J513" s="28"/>
      <c r="K513" s="28"/>
      <c r="L513" s="28"/>
      <c r="M513" s="28"/>
      <c r="N513" s="36"/>
      <c r="O513" s="29">
        <f t="shared" si="7"/>
        <v>0</v>
      </c>
    </row>
    <row r="514" spans="1:15" x14ac:dyDescent="0.2">
      <c r="A514" s="28"/>
      <c r="B514" s="27"/>
      <c r="C514" s="28"/>
      <c r="D514" s="28"/>
      <c r="E514" s="28"/>
      <c r="F514" s="28"/>
      <c r="G514" s="35"/>
      <c r="H514" s="28"/>
      <c r="I514" s="28"/>
      <c r="J514" s="28"/>
      <c r="K514" s="28"/>
      <c r="L514" s="28"/>
      <c r="M514" s="28"/>
      <c r="N514" s="36"/>
      <c r="O514" s="29">
        <f t="shared" si="7"/>
        <v>0</v>
      </c>
    </row>
    <row r="515" spans="1:15" x14ac:dyDescent="0.2">
      <c r="A515" s="28"/>
      <c r="B515" s="27"/>
      <c r="C515" s="28"/>
      <c r="D515" s="28"/>
      <c r="E515" s="28"/>
      <c r="F515" s="28"/>
      <c r="G515" s="35"/>
      <c r="H515" s="28"/>
      <c r="I515" s="28"/>
      <c r="J515" s="28"/>
      <c r="K515" s="28"/>
      <c r="L515" s="28"/>
      <c r="M515" s="28"/>
      <c r="N515" s="36"/>
      <c r="O515" s="29">
        <f t="shared" ref="O515:O578" si="8">N515*J515</f>
        <v>0</v>
      </c>
    </row>
    <row r="516" spans="1:15" x14ac:dyDescent="0.2">
      <c r="A516" s="28"/>
      <c r="B516" s="27"/>
      <c r="C516" s="28"/>
      <c r="D516" s="28"/>
      <c r="E516" s="28"/>
      <c r="F516" s="28"/>
      <c r="G516" s="35"/>
      <c r="H516" s="28"/>
      <c r="I516" s="28"/>
      <c r="J516" s="28"/>
      <c r="K516" s="28"/>
      <c r="L516" s="28"/>
      <c r="M516" s="28"/>
      <c r="N516" s="36"/>
      <c r="O516" s="29">
        <f t="shared" si="8"/>
        <v>0</v>
      </c>
    </row>
    <row r="517" spans="1:15" x14ac:dyDescent="0.2">
      <c r="A517" s="28"/>
      <c r="B517" s="27"/>
      <c r="C517" s="28"/>
      <c r="D517" s="28"/>
      <c r="E517" s="28"/>
      <c r="F517" s="28"/>
      <c r="G517" s="35"/>
      <c r="H517" s="28"/>
      <c r="I517" s="28"/>
      <c r="J517" s="28"/>
      <c r="K517" s="28"/>
      <c r="L517" s="28"/>
      <c r="M517" s="28"/>
      <c r="N517" s="36"/>
      <c r="O517" s="29">
        <f t="shared" si="8"/>
        <v>0</v>
      </c>
    </row>
    <row r="518" spans="1:15" x14ac:dyDescent="0.2">
      <c r="A518" s="28"/>
      <c r="B518" s="27"/>
      <c r="C518" s="28"/>
      <c r="D518" s="28"/>
      <c r="E518" s="28"/>
      <c r="F518" s="28"/>
      <c r="G518" s="35"/>
      <c r="H518" s="28"/>
      <c r="I518" s="28"/>
      <c r="J518" s="28"/>
      <c r="K518" s="28"/>
      <c r="L518" s="28"/>
      <c r="M518" s="28"/>
      <c r="N518" s="36"/>
      <c r="O518" s="29">
        <f t="shared" si="8"/>
        <v>0</v>
      </c>
    </row>
    <row r="519" spans="1:15" x14ac:dyDescent="0.2">
      <c r="A519" s="28"/>
      <c r="B519" s="27"/>
      <c r="C519" s="28"/>
      <c r="D519" s="28"/>
      <c r="E519" s="28"/>
      <c r="F519" s="28"/>
      <c r="G519" s="35"/>
      <c r="H519" s="28"/>
      <c r="I519" s="28"/>
      <c r="J519" s="28"/>
      <c r="K519" s="28"/>
      <c r="L519" s="28"/>
      <c r="M519" s="28"/>
      <c r="N519" s="36"/>
      <c r="O519" s="29">
        <f t="shared" si="8"/>
        <v>0</v>
      </c>
    </row>
    <row r="520" spans="1:15" x14ac:dyDescent="0.2">
      <c r="A520" s="28"/>
      <c r="B520" s="27"/>
      <c r="C520" s="28"/>
      <c r="D520" s="28"/>
      <c r="E520" s="28"/>
      <c r="F520" s="28"/>
      <c r="G520" s="35"/>
      <c r="H520" s="28"/>
      <c r="I520" s="28"/>
      <c r="J520" s="28"/>
      <c r="K520" s="28"/>
      <c r="L520" s="28"/>
      <c r="M520" s="28"/>
      <c r="N520" s="36"/>
      <c r="O520" s="29">
        <f t="shared" si="8"/>
        <v>0</v>
      </c>
    </row>
    <row r="521" spans="1:15" x14ac:dyDescent="0.2">
      <c r="A521" s="28"/>
      <c r="B521" s="27"/>
      <c r="C521" s="28"/>
      <c r="D521" s="28"/>
      <c r="E521" s="28"/>
      <c r="F521" s="28"/>
      <c r="G521" s="35"/>
      <c r="H521" s="28"/>
      <c r="I521" s="28"/>
      <c r="J521" s="28"/>
      <c r="K521" s="28"/>
      <c r="L521" s="28"/>
      <c r="M521" s="28"/>
      <c r="N521" s="36"/>
      <c r="O521" s="29">
        <f t="shared" si="8"/>
        <v>0</v>
      </c>
    </row>
    <row r="522" spans="1:15" x14ac:dyDescent="0.2">
      <c r="A522" s="28"/>
      <c r="B522" s="27"/>
      <c r="C522" s="28"/>
      <c r="D522" s="28"/>
      <c r="E522" s="28"/>
      <c r="F522" s="28"/>
      <c r="G522" s="35"/>
      <c r="H522" s="28"/>
      <c r="I522" s="28"/>
      <c r="J522" s="28"/>
      <c r="K522" s="28"/>
      <c r="L522" s="28"/>
      <c r="M522" s="28"/>
      <c r="N522" s="36"/>
      <c r="O522" s="29">
        <f t="shared" si="8"/>
        <v>0</v>
      </c>
    </row>
    <row r="523" spans="1:15" x14ac:dyDescent="0.2">
      <c r="A523" s="28"/>
      <c r="B523" s="27"/>
      <c r="C523" s="28"/>
      <c r="D523" s="28"/>
      <c r="E523" s="28"/>
      <c r="F523" s="28"/>
      <c r="G523" s="35"/>
      <c r="H523" s="28"/>
      <c r="I523" s="28"/>
      <c r="J523" s="28"/>
      <c r="K523" s="28"/>
      <c r="L523" s="28"/>
      <c r="M523" s="28"/>
      <c r="N523" s="36"/>
      <c r="O523" s="29">
        <f t="shared" si="8"/>
        <v>0</v>
      </c>
    </row>
    <row r="524" spans="1:15" x14ac:dyDescent="0.2">
      <c r="A524" s="28"/>
      <c r="B524" s="27"/>
      <c r="C524" s="28"/>
      <c r="D524" s="28"/>
      <c r="E524" s="28"/>
      <c r="F524" s="28"/>
      <c r="G524" s="35"/>
      <c r="H524" s="28"/>
      <c r="I524" s="28"/>
      <c r="J524" s="28"/>
      <c r="K524" s="28"/>
      <c r="L524" s="28"/>
      <c r="M524" s="28"/>
      <c r="N524" s="36"/>
      <c r="O524" s="29">
        <f t="shared" si="8"/>
        <v>0</v>
      </c>
    </row>
    <row r="525" spans="1:15" x14ac:dyDescent="0.2">
      <c r="A525" s="28"/>
      <c r="B525" s="27"/>
      <c r="C525" s="28"/>
      <c r="D525" s="28"/>
      <c r="E525" s="28"/>
      <c r="F525" s="28"/>
      <c r="G525" s="35"/>
      <c r="H525" s="28"/>
      <c r="I525" s="28"/>
      <c r="J525" s="28"/>
      <c r="K525" s="28"/>
      <c r="L525" s="28"/>
      <c r="M525" s="28"/>
      <c r="N525" s="36"/>
      <c r="O525" s="29">
        <f t="shared" si="8"/>
        <v>0</v>
      </c>
    </row>
    <row r="526" spans="1:15" x14ac:dyDescent="0.2">
      <c r="A526" s="28"/>
      <c r="B526" s="27"/>
      <c r="C526" s="28"/>
      <c r="D526" s="28"/>
      <c r="E526" s="28"/>
      <c r="F526" s="28"/>
      <c r="G526" s="35"/>
      <c r="H526" s="28"/>
      <c r="I526" s="28"/>
      <c r="J526" s="28"/>
      <c r="K526" s="28"/>
      <c r="L526" s="28"/>
      <c r="M526" s="28"/>
      <c r="N526" s="36"/>
      <c r="O526" s="29">
        <f t="shared" si="8"/>
        <v>0</v>
      </c>
    </row>
    <row r="527" spans="1:15" x14ac:dyDescent="0.2">
      <c r="A527" s="28"/>
      <c r="B527" s="27"/>
      <c r="C527" s="28"/>
      <c r="D527" s="28"/>
      <c r="E527" s="28"/>
      <c r="F527" s="28"/>
      <c r="G527" s="35"/>
      <c r="H527" s="28"/>
      <c r="I527" s="28"/>
      <c r="J527" s="28"/>
      <c r="K527" s="28"/>
      <c r="L527" s="28"/>
      <c r="M527" s="28"/>
      <c r="N527" s="36"/>
      <c r="O527" s="29">
        <f t="shared" si="8"/>
        <v>0</v>
      </c>
    </row>
    <row r="528" spans="1:15" x14ac:dyDescent="0.2">
      <c r="A528" s="28"/>
      <c r="B528" s="27"/>
      <c r="C528" s="28"/>
      <c r="D528" s="28"/>
      <c r="E528" s="28"/>
      <c r="F528" s="28"/>
      <c r="G528" s="35"/>
      <c r="H528" s="28"/>
      <c r="I528" s="28"/>
      <c r="J528" s="28"/>
      <c r="K528" s="28"/>
      <c r="L528" s="28"/>
      <c r="M528" s="28"/>
      <c r="N528" s="36"/>
      <c r="O528" s="29">
        <f t="shared" si="8"/>
        <v>0</v>
      </c>
    </row>
    <row r="529" spans="1:15" x14ac:dyDescent="0.2">
      <c r="A529" s="28"/>
      <c r="B529" s="27"/>
      <c r="C529" s="28"/>
      <c r="D529" s="28"/>
      <c r="E529" s="28"/>
      <c r="F529" s="28"/>
      <c r="G529" s="35"/>
      <c r="H529" s="28"/>
      <c r="I529" s="28"/>
      <c r="J529" s="28"/>
      <c r="K529" s="28"/>
      <c r="L529" s="28"/>
      <c r="M529" s="28"/>
      <c r="N529" s="36"/>
      <c r="O529" s="29">
        <f t="shared" si="8"/>
        <v>0</v>
      </c>
    </row>
    <row r="530" spans="1:15" x14ac:dyDescent="0.2">
      <c r="A530" s="28"/>
      <c r="B530" s="27"/>
      <c r="C530" s="28"/>
      <c r="D530" s="28"/>
      <c r="E530" s="28"/>
      <c r="F530" s="28"/>
      <c r="G530" s="35"/>
      <c r="H530" s="28"/>
      <c r="I530" s="28"/>
      <c r="J530" s="28"/>
      <c r="K530" s="28"/>
      <c r="L530" s="28"/>
      <c r="M530" s="28"/>
      <c r="N530" s="36"/>
      <c r="O530" s="29">
        <f t="shared" si="8"/>
        <v>0</v>
      </c>
    </row>
    <row r="531" spans="1:15" x14ac:dyDescent="0.2">
      <c r="A531" s="28"/>
      <c r="B531" s="27"/>
      <c r="C531" s="28"/>
      <c r="D531" s="28"/>
      <c r="E531" s="28"/>
      <c r="F531" s="28"/>
      <c r="G531" s="35"/>
      <c r="H531" s="28"/>
      <c r="I531" s="28"/>
      <c r="J531" s="28"/>
      <c r="K531" s="28"/>
      <c r="L531" s="28"/>
      <c r="M531" s="28"/>
      <c r="N531" s="36"/>
      <c r="O531" s="29">
        <f t="shared" si="8"/>
        <v>0</v>
      </c>
    </row>
    <row r="532" spans="1:15" x14ac:dyDescent="0.2">
      <c r="A532" s="28"/>
      <c r="B532" s="27"/>
      <c r="C532" s="28"/>
      <c r="D532" s="28"/>
      <c r="E532" s="28"/>
      <c r="F532" s="28"/>
      <c r="G532" s="35"/>
      <c r="H532" s="28"/>
      <c r="I532" s="28"/>
      <c r="J532" s="28"/>
      <c r="K532" s="28"/>
      <c r="L532" s="28"/>
      <c r="M532" s="28"/>
      <c r="N532" s="36"/>
      <c r="O532" s="29">
        <f t="shared" si="8"/>
        <v>0</v>
      </c>
    </row>
    <row r="533" spans="1:15" x14ac:dyDescent="0.2">
      <c r="A533" s="28"/>
      <c r="B533" s="27"/>
      <c r="C533" s="28"/>
      <c r="D533" s="28"/>
      <c r="E533" s="28"/>
      <c r="F533" s="28"/>
      <c r="G533" s="35"/>
      <c r="H533" s="28"/>
      <c r="I533" s="28"/>
      <c r="J533" s="28"/>
      <c r="K533" s="28"/>
      <c r="L533" s="28"/>
      <c r="M533" s="28"/>
      <c r="N533" s="36"/>
      <c r="O533" s="29">
        <f t="shared" si="8"/>
        <v>0</v>
      </c>
    </row>
    <row r="534" spans="1:15" x14ac:dyDescent="0.2">
      <c r="A534" s="28"/>
      <c r="B534" s="27"/>
      <c r="C534" s="28"/>
      <c r="D534" s="28"/>
      <c r="E534" s="28"/>
      <c r="F534" s="28"/>
      <c r="G534" s="35"/>
      <c r="H534" s="28"/>
      <c r="I534" s="28"/>
      <c r="J534" s="28"/>
      <c r="K534" s="28"/>
      <c r="L534" s="28"/>
      <c r="M534" s="28"/>
      <c r="N534" s="36"/>
      <c r="O534" s="29">
        <f t="shared" si="8"/>
        <v>0</v>
      </c>
    </row>
    <row r="535" spans="1:15" x14ac:dyDescent="0.2">
      <c r="A535" s="28"/>
      <c r="B535" s="27"/>
      <c r="C535" s="28"/>
      <c r="D535" s="28"/>
      <c r="E535" s="28"/>
      <c r="F535" s="28"/>
      <c r="G535" s="35"/>
      <c r="H535" s="28"/>
      <c r="I535" s="28"/>
      <c r="J535" s="28"/>
      <c r="K535" s="28"/>
      <c r="L535" s="28"/>
      <c r="M535" s="28"/>
      <c r="N535" s="36"/>
      <c r="O535" s="29">
        <f t="shared" si="8"/>
        <v>0</v>
      </c>
    </row>
    <row r="536" spans="1:15" x14ac:dyDescent="0.2">
      <c r="A536" s="28"/>
      <c r="B536" s="27"/>
      <c r="C536" s="28"/>
      <c r="D536" s="28"/>
      <c r="E536" s="28"/>
      <c r="F536" s="28"/>
      <c r="G536" s="35"/>
      <c r="H536" s="28"/>
      <c r="I536" s="28"/>
      <c r="J536" s="28"/>
      <c r="K536" s="28"/>
      <c r="L536" s="28"/>
      <c r="M536" s="28"/>
      <c r="N536" s="36"/>
      <c r="O536" s="29">
        <f t="shared" si="8"/>
        <v>0</v>
      </c>
    </row>
    <row r="537" spans="1:15" x14ac:dyDescent="0.2">
      <c r="A537" s="28"/>
      <c r="B537" s="27"/>
      <c r="C537" s="28"/>
      <c r="D537" s="28"/>
      <c r="E537" s="28"/>
      <c r="F537" s="28"/>
      <c r="G537" s="35"/>
      <c r="H537" s="28"/>
      <c r="I537" s="28"/>
      <c r="J537" s="28"/>
      <c r="K537" s="28"/>
      <c r="L537" s="28"/>
      <c r="M537" s="28"/>
      <c r="N537" s="36"/>
      <c r="O537" s="29">
        <f t="shared" si="8"/>
        <v>0</v>
      </c>
    </row>
    <row r="538" spans="1:15" x14ac:dyDescent="0.2">
      <c r="A538" s="28"/>
      <c r="B538" s="27"/>
      <c r="C538" s="28"/>
      <c r="D538" s="28"/>
      <c r="E538" s="28"/>
      <c r="F538" s="28"/>
      <c r="G538" s="35"/>
      <c r="H538" s="28"/>
      <c r="I538" s="28"/>
      <c r="J538" s="28"/>
      <c r="K538" s="28"/>
      <c r="L538" s="28"/>
      <c r="M538" s="28"/>
      <c r="N538" s="36"/>
      <c r="O538" s="29">
        <f t="shared" si="8"/>
        <v>0</v>
      </c>
    </row>
    <row r="539" spans="1:15" x14ac:dyDescent="0.2">
      <c r="A539" s="28"/>
      <c r="B539" s="27"/>
      <c r="C539" s="28"/>
      <c r="D539" s="28"/>
      <c r="E539" s="28"/>
      <c r="F539" s="28"/>
      <c r="G539" s="35"/>
      <c r="H539" s="28"/>
      <c r="I539" s="28"/>
      <c r="J539" s="28"/>
      <c r="K539" s="28"/>
      <c r="L539" s="28"/>
      <c r="M539" s="28"/>
      <c r="N539" s="36"/>
      <c r="O539" s="29">
        <f t="shared" si="8"/>
        <v>0</v>
      </c>
    </row>
    <row r="540" spans="1:15" x14ac:dyDescent="0.2">
      <c r="A540" s="28"/>
      <c r="B540" s="27"/>
      <c r="C540" s="28"/>
      <c r="D540" s="28"/>
      <c r="E540" s="28"/>
      <c r="F540" s="28"/>
      <c r="G540" s="35"/>
      <c r="H540" s="28"/>
      <c r="I540" s="28"/>
      <c r="J540" s="28"/>
      <c r="K540" s="28"/>
      <c r="L540" s="28"/>
      <c r="M540" s="28"/>
      <c r="N540" s="36"/>
      <c r="O540" s="29">
        <f t="shared" si="8"/>
        <v>0</v>
      </c>
    </row>
    <row r="541" spans="1:15" x14ac:dyDescent="0.2">
      <c r="A541" s="28"/>
      <c r="B541" s="27"/>
      <c r="C541" s="28"/>
      <c r="D541" s="28"/>
      <c r="E541" s="28"/>
      <c r="F541" s="28"/>
      <c r="G541" s="35"/>
      <c r="H541" s="28"/>
      <c r="I541" s="28"/>
      <c r="J541" s="28"/>
      <c r="K541" s="28"/>
      <c r="L541" s="28"/>
      <c r="M541" s="28"/>
      <c r="N541" s="36"/>
      <c r="O541" s="29">
        <f t="shared" si="8"/>
        <v>0</v>
      </c>
    </row>
    <row r="542" spans="1:15" x14ac:dyDescent="0.2">
      <c r="A542" s="28"/>
      <c r="B542" s="27"/>
      <c r="C542" s="28"/>
      <c r="D542" s="28"/>
      <c r="E542" s="28"/>
      <c r="F542" s="28"/>
      <c r="G542" s="35"/>
      <c r="H542" s="28"/>
      <c r="I542" s="28"/>
      <c r="J542" s="28"/>
      <c r="K542" s="28"/>
      <c r="L542" s="28"/>
      <c r="M542" s="28"/>
      <c r="N542" s="36"/>
      <c r="O542" s="29">
        <f t="shared" si="8"/>
        <v>0</v>
      </c>
    </row>
    <row r="543" spans="1:15" x14ac:dyDescent="0.2">
      <c r="A543" s="28"/>
      <c r="B543" s="27"/>
      <c r="C543" s="28"/>
      <c r="D543" s="28"/>
      <c r="E543" s="28"/>
      <c r="F543" s="28"/>
      <c r="G543" s="35"/>
      <c r="H543" s="28"/>
      <c r="I543" s="28"/>
      <c r="J543" s="28"/>
      <c r="K543" s="28"/>
      <c r="L543" s="28"/>
      <c r="M543" s="28"/>
      <c r="N543" s="36"/>
      <c r="O543" s="29">
        <f t="shared" si="8"/>
        <v>0</v>
      </c>
    </row>
    <row r="544" spans="1:15" x14ac:dyDescent="0.2">
      <c r="A544" s="28"/>
      <c r="B544" s="27"/>
      <c r="C544" s="28"/>
      <c r="D544" s="28"/>
      <c r="E544" s="28"/>
      <c r="F544" s="28"/>
      <c r="G544" s="35"/>
      <c r="H544" s="28"/>
      <c r="I544" s="28"/>
      <c r="J544" s="28"/>
      <c r="K544" s="28"/>
      <c r="L544" s="28"/>
      <c r="M544" s="28"/>
      <c r="N544" s="36"/>
      <c r="O544" s="29">
        <f t="shared" si="8"/>
        <v>0</v>
      </c>
    </row>
    <row r="545" spans="1:15" x14ac:dyDescent="0.2">
      <c r="A545" s="28"/>
      <c r="B545" s="27"/>
      <c r="C545" s="28"/>
      <c r="D545" s="28"/>
      <c r="E545" s="28"/>
      <c r="F545" s="28"/>
      <c r="G545" s="35"/>
      <c r="H545" s="28"/>
      <c r="I545" s="28"/>
      <c r="J545" s="28"/>
      <c r="K545" s="28"/>
      <c r="L545" s="28"/>
      <c r="M545" s="28"/>
      <c r="N545" s="36"/>
      <c r="O545" s="29">
        <f t="shared" si="8"/>
        <v>0</v>
      </c>
    </row>
    <row r="546" spans="1:15" x14ac:dyDescent="0.2">
      <c r="N546" s="36"/>
      <c r="O546" s="29">
        <f t="shared" si="8"/>
        <v>0</v>
      </c>
    </row>
    <row r="547" spans="1:15" x14ac:dyDescent="0.2">
      <c r="N547" s="36"/>
      <c r="O547" s="29">
        <f t="shared" si="8"/>
        <v>0</v>
      </c>
    </row>
    <row r="548" spans="1:15" x14ac:dyDescent="0.2">
      <c r="N548" s="36"/>
      <c r="O548" s="29">
        <f t="shared" si="8"/>
        <v>0</v>
      </c>
    </row>
    <row r="549" spans="1:15" x14ac:dyDescent="0.2">
      <c r="N549" s="36"/>
      <c r="O549" s="29">
        <f t="shared" si="8"/>
        <v>0</v>
      </c>
    </row>
    <row r="550" spans="1:15" x14ac:dyDescent="0.2">
      <c r="N550" s="36"/>
      <c r="O550" s="29">
        <f t="shared" si="8"/>
        <v>0</v>
      </c>
    </row>
    <row r="551" spans="1:15" x14ac:dyDescent="0.2">
      <c r="N551" s="36"/>
      <c r="O551" s="29">
        <f t="shared" si="8"/>
        <v>0</v>
      </c>
    </row>
    <row r="552" spans="1:15" x14ac:dyDescent="0.2">
      <c r="N552" s="36"/>
      <c r="O552" s="29">
        <f t="shared" si="8"/>
        <v>0</v>
      </c>
    </row>
    <row r="553" spans="1:15" x14ac:dyDescent="0.2">
      <c r="N553" s="36"/>
      <c r="O553" s="29">
        <f t="shared" si="8"/>
        <v>0</v>
      </c>
    </row>
    <row r="554" spans="1:15" x14ac:dyDescent="0.2">
      <c r="N554" s="36"/>
      <c r="O554" s="29">
        <f t="shared" si="8"/>
        <v>0</v>
      </c>
    </row>
    <row r="555" spans="1:15" x14ac:dyDescent="0.2">
      <c r="N555" s="36"/>
      <c r="O555" s="29">
        <f t="shared" si="8"/>
        <v>0</v>
      </c>
    </row>
    <row r="556" spans="1:15" x14ac:dyDescent="0.2">
      <c r="N556" s="36"/>
      <c r="O556" s="29">
        <f t="shared" si="8"/>
        <v>0</v>
      </c>
    </row>
    <row r="557" spans="1:15" x14ac:dyDescent="0.2">
      <c r="N557" s="36"/>
      <c r="O557" s="29">
        <f t="shared" si="8"/>
        <v>0</v>
      </c>
    </row>
    <row r="558" spans="1:15" x14ac:dyDescent="0.2">
      <c r="N558" s="36"/>
      <c r="O558" s="29">
        <f t="shared" si="8"/>
        <v>0</v>
      </c>
    </row>
    <row r="559" spans="1:15" x14ac:dyDescent="0.2">
      <c r="N559" s="36"/>
      <c r="O559" s="29">
        <f t="shared" si="8"/>
        <v>0</v>
      </c>
    </row>
    <row r="560" spans="1:15" x14ac:dyDescent="0.2">
      <c r="N560" s="36"/>
      <c r="O560" s="29">
        <f t="shared" si="8"/>
        <v>0</v>
      </c>
    </row>
    <row r="561" spans="14:15" x14ac:dyDescent="0.2">
      <c r="N561" s="36"/>
      <c r="O561" s="29">
        <f t="shared" si="8"/>
        <v>0</v>
      </c>
    </row>
    <row r="562" spans="14:15" x14ac:dyDescent="0.2">
      <c r="N562" s="36"/>
      <c r="O562" s="29">
        <f t="shared" si="8"/>
        <v>0</v>
      </c>
    </row>
    <row r="563" spans="14:15" x14ac:dyDescent="0.2">
      <c r="N563" s="36"/>
      <c r="O563" s="29">
        <f t="shared" si="8"/>
        <v>0</v>
      </c>
    </row>
    <row r="564" spans="14:15" x14ac:dyDescent="0.2">
      <c r="N564" s="36"/>
      <c r="O564" s="29">
        <f t="shared" si="8"/>
        <v>0</v>
      </c>
    </row>
    <row r="565" spans="14:15" x14ac:dyDescent="0.2">
      <c r="O565" s="29">
        <f t="shared" si="8"/>
        <v>0</v>
      </c>
    </row>
    <row r="566" spans="14:15" x14ac:dyDescent="0.2">
      <c r="O566" s="29">
        <f t="shared" si="8"/>
        <v>0</v>
      </c>
    </row>
    <row r="567" spans="14:15" x14ac:dyDescent="0.2">
      <c r="O567" s="29">
        <f t="shared" si="8"/>
        <v>0</v>
      </c>
    </row>
    <row r="568" spans="14:15" x14ac:dyDescent="0.2">
      <c r="O568" s="29">
        <f t="shared" si="8"/>
        <v>0</v>
      </c>
    </row>
    <row r="569" spans="14:15" x14ac:dyDescent="0.2">
      <c r="O569" s="29">
        <f t="shared" si="8"/>
        <v>0</v>
      </c>
    </row>
    <row r="570" spans="14:15" x14ac:dyDescent="0.2">
      <c r="O570" s="29">
        <f t="shared" si="8"/>
        <v>0</v>
      </c>
    </row>
    <row r="571" spans="14:15" x14ac:dyDescent="0.2">
      <c r="O571" s="29">
        <f t="shared" si="8"/>
        <v>0</v>
      </c>
    </row>
    <row r="572" spans="14:15" x14ac:dyDescent="0.2">
      <c r="O572" s="29">
        <f t="shared" si="8"/>
        <v>0</v>
      </c>
    </row>
    <row r="573" spans="14:15" x14ac:dyDescent="0.2">
      <c r="O573" s="29">
        <f t="shared" si="8"/>
        <v>0</v>
      </c>
    </row>
    <row r="574" spans="14:15" x14ac:dyDescent="0.2">
      <c r="O574" s="29">
        <f t="shared" si="8"/>
        <v>0</v>
      </c>
    </row>
    <row r="575" spans="14:15" x14ac:dyDescent="0.2">
      <c r="O575" s="29">
        <f t="shared" si="8"/>
        <v>0</v>
      </c>
    </row>
    <row r="576" spans="14:15" x14ac:dyDescent="0.2">
      <c r="O576" s="29">
        <f t="shared" si="8"/>
        <v>0</v>
      </c>
    </row>
    <row r="577" spans="15:15" x14ac:dyDescent="0.2">
      <c r="O577" s="29">
        <f t="shared" si="8"/>
        <v>0</v>
      </c>
    </row>
    <row r="578" spans="15:15" x14ac:dyDescent="0.2">
      <c r="O578" s="29">
        <f t="shared" si="8"/>
        <v>0</v>
      </c>
    </row>
    <row r="579" spans="15:15" x14ac:dyDescent="0.2">
      <c r="O579" s="29">
        <f t="shared" ref="O579:O642" si="9">N579*J579</f>
        <v>0</v>
      </c>
    </row>
    <row r="580" spans="15:15" x14ac:dyDescent="0.2">
      <c r="O580" s="29">
        <f t="shared" si="9"/>
        <v>0</v>
      </c>
    </row>
    <row r="581" spans="15:15" x14ac:dyDescent="0.2">
      <c r="O581" s="29">
        <f t="shared" si="9"/>
        <v>0</v>
      </c>
    </row>
    <row r="582" spans="15:15" x14ac:dyDescent="0.2">
      <c r="O582" s="29">
        <f t="shared" si="9"/>
        <v>0</v>
      </c>
    </row>
    <row r="583" spans="15:15" x14ac:dyDescent="0.2">
      <c r="O583" s="29">
        <f t="shared" si="9"/>
        <v>0</v>
      </c>
    </row>
    <row r="584" spans="15:15" x14ac:dyDescent="0.2">
      <c r="O584" s="29">
        <f t="shared" si="9"/>
        <v>0</v>
      </c>
    </row>
    <row r="585" spans="15:15" x14ac:dyDescent="0.2">
      <c r="O585" s="29">
        <f t="shared" si="9"/>
        <v>0</v>
      </c>
    </row>
    <row r="586" spans="15:15" x14ac:dyDescent="0.2">
      <c r="O586" s="29">
        <f t="shared" si="9"/>
        <v>0</v>
      </c>
    </row>
    <row r="587" spans="15:15" x14ac:dyDescent="0.2">
      <c r="O587" s="29">
        <f t="shared" si="9"/>
        <v>0</v>
      </c>
    </row>
    <row r="588" spans="15:15" x14ac:dyDescent="0.2">
      <c r="O588" s="29">
        <f t="shared" si="9"/>
        <v>0</v>
      </c>
    </row>
    <row r="589" spans="15:15" x14ac:dyDescent="0.2">
      <c r="O589" s="29">
        <f t="shared" si="9"/>
        <v>0</v>
      </c>
    </row>
    <row r="590" spans="15:15" x14ac:dyDescent="0.2">
      <c r="O590" s="29">
        <f t="shared" si="9"/>
        <v>0</v>
      </c>
    </row>
    <row r="591" spans="15:15" x14ac:dyDescent="0.2">
      <c r="O591" s="29">
        <f t="shared" si="9"/>
        <v>0</v>
      </c>
    </row>
    <row r="592" spans="15:15" x14ac:dyDescent="0.2">
      <c r="O592" s="29">
        <f t="shared" si="9"/>
        <v>0</v>
      </c>
    </row>
    <row r="593" spans="15:15" x14ac:dyDescent="0.2">
      <c r="O593" s="29">
        <f t="shared" si="9"/>
        <v>0</v>
      </c>
    </row>
    <row r="594" spans="15:15" x14ac:dyDescent="0.2">
      <c r="O594" s="29">
        <f t="shared" si="9"/>
        <v>0</v>
      </c>
    </row>
    <row r="595" spans="15:15" x14ac:dyDescent="0.2">
      <c r="O595" s="29">
        <f t="shared" si="9"/>
        <v>0</v>
      </c>
    </row>
    <row r="596" spans="15:15" x14ac:dyDescent="0.2">
      <c r="O596" s="29">
        <f t="shared" si="9"/>
        <v>0</v>
      </c>
    </row>
    <row r="597" spans="15:15" x14ac:dyDescent="0.2">
      <c r="O597" s="29">
        <f t="shared" si="9"/>
        <v>0</v>
      </c>
    </row>
    <row r="598" spans="15:15" x14ac:dyDescent="0.2">
      <c r="O598" s="29">
        <f t="shared" si="9"/>
        <v>0</v>
      </c>
    </row>
    <row r="599" spans="15:15" x14ac:dyDescent="0.2">
      <c r="O599" s="29">
        <f t="shared" si="9"/>
        <v>0</v>
      </c>
    </row>
    <row r="600" spans="15:15" x14ac:dyDescent="0.2">
      <c r="O600" s="29">
        <f t="shared" si="9"/>
        <v>0</v>
      </c>
    </row>
    <row r="601" spans="15:15" x14ac:dyDescent="0.2">
      <c r="O601" s="29">
        <f t="shared" si="9"/>
        <v>0</v>
      </c>
    </row>
    <row r="602" spans="15:15" x14ac:dyDescent="0.2">
      <c r="O602" s="29">
        <f t="shared" si="9"/>
        <v>0</v>
      </c>
    </row>
    <row r="603" spans="15:15" x14ac:dyDescent="0.2">
      <c r="O603" s="29">
        <f t="shared" si="9"/>
        <v>0</v>
      </c>
    </row>
    <row r="604" spans="15:15" x14ac:dyDescent="0.2">
      <c r="O604" s="29">
        <f t="shared" si="9"/>
        <v>0</v>
      </c>
    </row>
    <row r="605" spans="15:15" x14ac:dyDescent="0.2">
      <c r="O605" s="29">
        <f t="shared" si="9"/>
        <v>0</v>
      </c>
    </row>
    <row r="606" spans="15:15" x14ac:dyDescent="0.2">
      <c r="O606" s="29">
        <f t="shared" si="9"/>
        <v>0</v>
      </c>
    </row>
    <row r="607" spans="15:15" x14ac:dyDescent="0.2">
      <c r="O607" s="29">
        <f t="shared" si="9"/>
        <v>0</v>
      </c>
    </row>
    <row r="608" spans="15:15" x14ac:dyDescent="0.2">
      <c r="O608" s="29">
        <f t="shared" si="9"/>
        <v>0</v>
      </c>
    </row>
    <row r="609" spans="15:15" x14ac:dyDescent="0.2">
      <c r="O609" s="29">
        <f t="shared" si="9"/>
        <v>0</v>
      </c>
    </row>
    <row r="610" spans="15:15" x14ac:dyDescent="0.2">
      <c r="O610" s="29">
        <f t="shared" si="9"/>
        <v>0</v>
      </c>
    </row>
    <row r="611" spans="15:15" x14ac:dyDescent="0.2">
      <c r="O611" s="29">
        <f t="shared" si="9"/>
        <v>0</v>
      </c>
    </row>
    <row r="612" spans="15:15" x14ac:dyDescent="0.2">
      <c r="O612" s="29">
        <f t="shared" si="9"/>
        <v>0</v>
      </c>
    </row>
    <row r="613" spans="15:15" x14ac:dyDescent="0.2">
      <c r="O613" s="29">
        <f t="shared" si="9"/>
        <v>0</v>
      </c>
    </row>
    <row r="614" spans="15:15" x14ac:dyDescent="0.2">
      <c r="O614" s="29">
        <f t="shared" si="9"/>
        <v>0</v>
      </c>
    </row>
    <row r="615" spans="15:15" x14ac:dyDescent="0.2">
      <c r="O615" s="29">
        <f t="shared" si="9"/>
        <v>0</v>
      </c>
    </row>
    <row r="616" spans="15:15" x14ac:dyDescent="0.2">
      <c r="O616" s="29">
        <f t="shared" si="9"/>
        <v>0</v>
      </c>
    </row>
    <row r="617" spans="15:15" x14ac:dyDescent="0.2">
      <c r="O617" s="29">
        <f t="shared" si="9"/>
        <v>0</v>
      </c>
    </row>
    <row r="618" spans="15:15" x14ac:dyDescent="0.2">
      <c r="O618" s="29">
        <f t="shared" si="9"/>
        <v>0</v>
      </c>
    </row>
    <row r="619" spans="15:15" x14ac:dyDescent="0.2">
      <c r="O619" s="29">
        <f t="shared" si="9"/>
        <v>0</v>
      </c>
    </row>
    <row r="620" spans="15:15" x14ac:dyDescent="0.2">
      <c r="O620" s="29">
        <f t="shared" si="9"/>
        <v>0</v>
      </c>
    </row>
    <row r="621" spans="15:15" x14ac:dyDescent="0.2">
      <c r="O621" s="29">
        <f t="shared" si="9"/>
        <v>0</v>
      </c>
    </row>
    <row r="622" spans="15:15" x14ac:dyDescent="0.2">
      <c r="O622" s="29">
        <f t="shared" si="9"/>
        <v>0</v>
      </c>
    </row>
    <row r="623" spans="15:15" x14ac:dyDescent="0.2">
      <c r="O623" s="29">
        <f t="shared" si="9"/>
        <v>0</v>
      </c>
    </row>
    <row r="624" spans="15:15" x14ac:dyDescent="0.2">
      <c r="O624" s="29">
        <f t="shared" si="9"/>
        <v>0</v>
      </c>
    </row>
    <row r="625" spans="15:15" x14ac:dyDescent="0.2">
      <c r="O625" s="29">
        <f t="shared" si="9"/>
        <v>0</v>
      </c>
    </row>
    <row r="626" spans="15:15" x14ac:dyDescent="0.2">
      <c r="O626" s="29">
        <f t="shared" si="9"/>
        <v>0</v>
      </c>
    </row>
    <row r="627" spans="15:15" x14ac:dyDescent="0.2">
      <c r="O627" s="29">
        <f t="shared" si="9"/>
        <v>0</v>
      </c>
    </row>
    <row r="628" spans="15:15" x14ac:dyDescent="0.2">
      <c r="O628" s="29">
        <f t="shared" si="9"/>
        <v>0</v>
      </c>
    </row>
    <row r="629" spans="15:15" x14ac:dyDescent="0.2">
      <c r="O629" s="29">
        <f t="shared" si="9"/>
        <v>0</v>
      </c>
    </row>
    <row r="630" spans="15:15" x14ac:dyDescent="0.2">
      <c r="O630" s="29">
        <f t="shared" si="9"/>
        <v>0</v>
      </c>
    </row>
    <row r="631" spans="15:15" x14ac:dyDescent="0.2">
      <c r="O631" s="29">
        <f t="shared" si="9"/>
        <v>0</v>
      </c>
    </row>
    <row r="632" spans="15:15" x14ac:dyDescent="0.2">
      <c r="O632" s="29">
        <f t="shared" si="9"/>
        <v>0</v>
      </c>
    </row>
    <row r="633" spans="15:15" x14ac:dyDescent="0.2">
      <c r="O633" s="29">
        <f t="shared" si="9"/>
        <v>0</v>
      </c>
    </row>
    <row r="634" spans="15:15" x14ac:dyDescent="0.2">
      <c r="O634" s="29">
        <f t="shared" si="9"/>
        <v>0</v>
      </c>
    </row>
    <row r="635" spans="15:15" x14ac:dyDescent="0.2">
      <c r="O635" s="29">
        <f t="shared" si="9"/>
        <v>0</v>
      </c>
    </row>
    <row r="636" spans="15:15" x14ac:dyDescent="0.2">
      <c r="O636" s="29">
        <f t="shared" si="9"/>
        <v>0</v>
      </c>
    </row>
    <row r="637" spans="15:15" x14ac:dyDescent="0.2">
      <c r="O637" s="29">
        <f t="shared" si="9"/>
        <v>0</v>
      </c>
    </row>
    <row r="638" spans="15:15" x14ac:dyDescent="0.2">
      <c r="O638" s="29">
        <f t="shared" si="9"/>
        <v>0</v>
      </c>
    </row>
    <row r="639" spans="15:15" x14ac:dyDescent="0.2">
      <c r="O639" s="29">
        <f t="shared" si="9"/>
        <v>0</v>
      </c>
    </row>
    <row r="640" spans="15:15" x14ac:dyDescent="0.2">
      <c r="O640" s="29">
        <f t="shared" si="9"/>
        <v>0</v>
      </c>
    </row>
    <row r="641" spans="15:15" x14ac:dyDescent="0.2">
      <c r="O641" s="29">
        <f t="shared" si="9"/>
        <v>0</v>
      </c>
    </row>
    <row r="642" spans="15:15" x14ac:dyDescent="0.2">
      <c r="O642" s="29">
        <f t="shared" si="9"/>
        <v>0</v>
      </c>
    </row>
    <row r="643" spans="15:15" x14ac:dyDescent="0.2">
      <c r="O643" s="29">
        <f t="shared" ref="O643:O683" si="10">N643*J643</f>
        <v>0</v>
      </c>
    </row>
    <row r="644" spans="15:15" x14ac:dyDescent="0.2">
      <c r="O644" s="29">
        <f t="shared" si="10"/>
        <v>0</v>
      </c>
    </row>
    <row r="645" spans="15:15" x14ac:dyDescent="0.2">
      <c r="O645" s="29">
        <f t="shared" si="10"/>
        <v>0</v>
      </c>
    </row>
    <row r="646" spans="15:15" x14ac:dyDescent="0.2">
      <c r="O646" s="29">
        <f t="shared" si="10"/>
        <v>0</v>
      </c>
    </row>
    <row r="647" spans="15:15" x14ac:dyDescent="0.2">
      <c r="O647" s="29">
        <f t="shared" si="10"/>
        <v>0</v>
      </c>
    </row>
    <row r="648" spans="15:15" x14ac:dyDescent="0.2">
      <c r="O648" s="29">
        <f t="shared" si="10"/>
        <v>0</v>
      </c>
    </row>
    <row r="649" spans="15:15" x14ac:dyDescent="0.2">
      <c r="O649" s="29">
        <f t="shared" si="10"/>
        <v>0</v>
      </c>
    </row>
    <row r="650" spans="15:15" x14ac:dyDescent="0.2">
      <c r="O650" s="29">
        <f t="shared" si="10"/>
        <v>0</v>
      </c>
    </row>
    <row r="651" spans="15:15" x14ac:dyDescent="0.2">
      <c r="O651" s="29">
        <f t="shared" si="10"/>
        <v>0</v>
      </c>
    </row>
    <row r="652" spans="15:15" x14ac:dyDescent="0.2">
      <c r="O652" s="29">
        <f t="shared" si="10"/>
        <v>0</v>
      </c>
    </row>
    <row r="653" spans="15:15" x14ac:dyDescent="0.2">
      <c r="O653" s="29">
        <f t="shared" si="10"/>
        <v>0</v>
      </c>
    </row>
    <row r="654" spans="15:15" x14ac:dyDescent="0.2">
      <c r="O654" s="29">
        <f t="shared" si="10"/>
        <v>0</v>
      </c>
    </row>
    <row r="655" spans="15:15" x14ac:dyDescent="0.2">
      <c r="O655" s="29">
        <f t="shared" si="10"/>
        <v>0</v>
      </c>
    </row>
    <row r="656" spans="15:15" x14ac:dyDescent="0.2">
      <c r="O656" s="29">
        <f t="shared" si="10"/>
        <v>0</v>
      </c>
    </row>
    <row r="657" spans="15:15" x14ac:dyDescent="0.2">
      <c r="O657" s="29">
        <f t="shared" si="10"/>
        <v>0</v>
      </c>
    </row>
    <row r="658" spans="15:15" x14ac:dyDescent="0.2">
      <c r="O658" s="29">
        <f t="shared" si="10"/>
        <v>0</v>
      </c>
    </row>
    <row r="659" spans="15:15" x14ac:dyDescent="0.2">
      <c r="O659" s="29">
        <f t="shared" si="10"/>
        <v>0</v>
      </c>
    </row>
    <row r="660" spans="15:15" x14ac:dyDescent="0.2">
      <c r="O660" s="29">
        <f t="shared" si="10"/>
        <v>0</v>
      </c>
    </row>
    <row r="661" spans="15:15" x14ac:dyDescent="0.2">
      <c r="O661" s="29">
        <f t="shared" si="10"/>
        <v>0</v>
      </c>
    </row>
    <row r="662" spans="15:15" x14ac:dyDescent="0.2">
      <c r="O662" s="29">
        <f t="shared" si="10"/>
        <v>0</v>
      </c>
    </row>
    <row r="663" spans="15:15" x14ac:dyDescent="0.2">
      <c r="O663" s="29">
        <f t="shared" si="10"/>
        <v>0</v>
      </c>
    </row>
    <row r="664" spans="15:15" x14ac:dyDescent="0.2">
      <c r="O664" s="29">
        <f t="shared" si="10"/>
        <v>0</v>
      </c>
    </row>
    <row r="665" spans="15:15" x14ac:dyDescent="0.2">
      <c r="O665" s="29">
        <f t="shared" si="10"/>
        <v>0</v>
      </c>
    </row>
    <row r="666" spans="15:15" x14ac:dyDescent="0.2">
      <c r="O666" s="29">
        <f t="shared" si="10"/>
        <v>0</v>
      </c>
    </row>
    <row r="667" spans="15:15" x14ac:dyDescent="0.2">
      <c r="O667" s="29">
        <f t="shared" si="10"/>
        <v>0</v>
      </c>
    </row>
    <row r="668" spans="15:15" x14ac:dyDescent="0.2">
      <c r="O668" s="29">
        <f t="shared" si="10"/>
        <v>0</v>
      </c>
    </row>
    <row r="669" spans="15:15" x14ac:dyDescent="0.2">
      <c r="O669" s="29">
        <f t="shared" si="10"/>
        <v>0</v>
      </c>
    </row>
    <row r="670" spans="15:15" x14ac:dyDescent="0.2">
      <c r="O670" s="29">
        <f t="shared" si="10"/>
        <v>0</v>
      </c>
    </row>
    <row r="671" spans="15:15" x14ac:dyDescent="0.2">
      <c r="O671" s="29">
        <f t="shared" si="10"/>
        <v>0</v>
      </c>
    </row>
    <row r="672" spans="15:15" x14ac:dyDescent="0.2">
      <c r="O672" s="29">
        <f t="shared" si="10"/>
        <v>0</v>
      </c>
    </row>
    <row r="673" spans="15:15" x14ac:dyDescent="0.2">
      <c r="O673" s="29">
        <f t="shared" si="10"/>
        <v>0</v>
      </c>
    </row>
    <row r="674" spans="15:15" x14ac:dyDescent="0.2">
      <c r="O674" s="29">
        <f t="shared" si="10"/>
        <v>0</v>
      </c>
    </row>
    <row r="675" spans="15:15" x14ac:dyDescent="0.2">
      <c r="O675" s="29">
        <f t="shared" si="10"/>
        <v>0</v>
      </c>
    </row>
    <row r="676" spans="15:15" x14ac:dyDescent="0.2">
      <c r="O676" s="29">
        <f t="shared" si="10"/>
        <v>0</v>
      </c>
    </row>
    <row r="677" spans="15:15" x14ac:dyDescent="0.2">
      <c r="O677" s="29">
        <f t="shared" si="10"/>
        <v>0</v>
      </c>
    </row>
    <row r="678" spans="15:15" x14ac:dyDescent="0.2">
      <c r="O678" s="29">
        <f t="shared" si="10"/>
        <v>0</v>
      </c>
    </row>
    <row r="679" spans="15:15" x14ac:dyDescent="0.2">
      <c r="O679" s="29">
        <f t="shared" si="10"/>
        <v>0</v>
      </c>
    </row>
    <row r="680" spans="15:15" x14ac:dyDescent="0.2">
      <c r="O680" s="29">
        <f t="shared" si="10"/>
        <v>0</v>
      </c>
    </row>
    <row r="681" spans="15:15" x14ac:dyDescent="0.2">
      <c r="O681" s="29">
        <f t="shared" si="10"/>
        <v>0</v>
      </c>
    </row>
    <row r="682" spans="15:15" x14ac:dyDescent="0.2">
      <c r="O682" s="29">
        <f t="shared" si="10"/>
        <v>0</v>
      </c>
    </row>
    <row r="683" spans="15:15" x14ac:dyDescent="0.2">
      <c r="O683" s="29">
        <f t="shared" si="10"/>
        <v>0</v>
      </c>
    </row>
    <row r="684" spans="15:15" x14ac:dyDescent="0.2">
      <c r="O684" s="5" t="e">
        <f>N684*#REF!</f>
        <v>#REF!</v>
      </c>
    </row>
    <row r="685" spans="15:15" x14ac:dyDescent="0.2">
      <c r="O685" s="5" t="e">
        <f>N685*#REF!</f>
        <v>#REF!</v>
      </c>
    </row>
    <row r="686" spans="15:15" x14ac:dyDescent="0.2">
      <c r="O686" s="5" t="e">
        <f>N686*#REF!</f>
        <v>#REF!</v>
      </c>
    </row>
    <row r="687" spans="15:15" x14ac:dyDescent="0.2">
      <c r="O687" s="5" t="e">
        <f>N687*#REF!</f>
        <v>#REF!</v>
      </c>
    </row>
    <row r="688" spans="15:15" x14ac:dyDescent="0.2">
      <c r="O688" s="5" t="e">
        <f>N688*#REF!</f>
        <v>#REF!</v>
      </c>
    </row>
    <row r="689" spans="15:15" x14ac:dyDescent="0.2">
      <c r="O689" s="5" t="e">
        <f>N689*#REF!</f>
        <v>#REF!</v>
      </c>
    </row>
  </sheetData>
  <mergeCells count="1">
    <mergeCell ref="N1:O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2"/>
  <sheetViews>
    <sheetView zoomScale="65" zoomScaleNormal="65" workbookViewId="0">
      <selection activeCell="O7" sqref="O7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2.33203125" style="66" customWidth="1"/>
    <col min="12" max="12" width="12.1640625" style="65" customWidth="1"/>
    <col min="13" max="13" width="9.8320312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>
        <v>45078</v>
      </c>
      <c r="B2" s="76" t="s">
        <v>36</v>
      </c>
      <c r="C2" s="77"/>
      <c r="D2" s="77"/>
      <c r="E2" s="77"/>
      <c r="F2" s="77"/>
      <c r="G2" s="78"/>
      <c r="H2" s="79"/>
      <c r="I2" s="80"/>
      <c r="J2" s="81"/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0.42361111111111099</v>
      </c>
      <c r="B3" s="85" t="s">
        <v>38</v>
      </c>
      <c r="C3" s="70">
        <v>47699560</v>
      </c>
      <c r="D3" s="70">
        <v>47710600</v>
      </c>
      <c r="E3" s="86">
        <f t="shared" ref="E3:E29" si="0">SUM(D3-C3)</f>
        <v>11040</v>
      </c>
      <c r="F3" s="87">
        <v>11020</v>
      </c>
      <c r="G3" s="40">
        <v>0.84050000000000002</v>
      </c>
      <c r="H3" s="88">
        <f t="shared" ref="H3:H29" si="1">SUM(G3*F3)</f>
        <v>9262.31</v>
      </c>
      <c r="I3" s="28">
        <v>237</v>
      </c>
      <c r="J3" s="28">
        <v>6192</v>
      </c>
      <c r="K3" s="89" t="s">
        <v>18</v>
      </c>
      <c r="L3" s="90">
        <v>0.41666666666666702</v>
      </c>
      <c r="M3" s="91" t="s">
        <v>39</v>
      </c>
      <c r="N3" s="92">
        <v>7618780</v>
      </c>
      <c r="O3" s="93">
        <v>7618910</v>
      </c>
      <c r="P3" s="94">
        <f t="shared" ref="P3:P16" si="2">SUM(O3-N3)</f>
        <v>130</v>
      </c>
      <c r="Q3" s="95">
        <v>0.84019999999999995</v>
      </c>
      <c r="R3" s="96">
        <f t="shared" ref="R3:R16" si="3">SUM(Q3*P3)</f>
        <v>109.226</v>
      </c>
      <c r="S3" s="97" t="s">
        <v>40</v>
      </c>
      <c r="V3" t="s">
        <v>41</v>
      </c>
    </row>
    <row r="4" spans="1:22" ht="16" x14ac:dyDescent="0.2">
      <c r="A4" s="84">
        <v>0.44097222222222199</v>
      </c>
      <c r="B4" s="85" t="s">
        <v>38</v>
      </c>
      <c r="C4" s="92">
        <f t="shared" ref="C4:C27" si="4">SUM(D3)</f>
        <v>47710600</v>
      </c>
      <c r="D4" s="70">
        <v>47719770</v>
      </c>
      <c r="E4" s="86">
        <f t="shared" si="0"/>
        <v>9170</v>
      </c>
      <c r="F4" s="98">
        <v>9161</v>
      </c>
      <c r="G4" s="40">
        <v>0.84050000000000002</v>
      </c>
      <c r="H4" s="88">
        <f t="shared" si="1"/>
        <v>7699.8204999999998</v>
      </c>
      <c r="I4" s="28">
        <v>787</v>
      </c>
      <c r="J4" s="28">
        <v>6195</v>
      </c>
      <c r="K4" s="89" t="s">
        <v>18</v>
      </c>
      <c r="L4" s="90">
        <v>0.47569444444444398</v>
      </c>
      <c r="M4" s="99" t="s">
        <v>38</v>
      </c>
      <c r="N4" s="94">
        <f t="shared" ref="N4:N16" si="5">SUM(O3)</f>
        <v>7618910</v>
      </c>
      <c r="O4" s="93">
        <v>7619120</v>
      </c>
      <c r="P4" s="94">
        <f t="shared" si="2"/>
        <v>210</v>
      </c>
      <c r="Q4" s="100">
        <v>0.84050000000000002</v>
      </c>
      <c r="R4" s="96">
        <f t="shared" si="3"/>
        <v>176.505</v>
      </c>
      <c r="S4" s="97" t="s">
        <v>42</v>
      </c>
    </row>
    <row r="5" spans="1:22" ht="16" x14ac:dyDescent="0.2">
      <c r="A5" s="84">
        <v>0.44097222222222199</v>
      </c>
      <c r="B5" s="85" t="s">
        <v>38</v>
      </c>
      <c r="C5" s="92">
        <f t="shared" si="4"/>
        <v>47719770</v>
      </c>
      <c r="D5" s="70">
        <v>47728860</v>
      </c>
      <c r="E5" s="86">
        <f t="shared" si="0"/>
        <v>9090</v>
      </c>
      <c r="F5" s="98">
        <v>9080</v>
      </c>
      <c r="G5" s="40">
        <v>0.84050000000000002</v>
      </c>
      <c r="H5" s="88">
        <f t="shared" si="1"/>
        <v>7631.74</v>
      </c>
      <c r="I5" s="28">
        <v>787</v>
      </c>
      <c r="J5" s="28">
        <v>6196</v>
      </c>
      <c r="K5" s="89" t="s">
        <v>18</v>
      </c>
      <c r="L5" s="90">
        <v>0.52083333333333304</v>
      </c>
      <c r="M5" s="99" t="s">
        <v>39</v>
      </c>
      <c r="N5" s="94">
        <f t="shared" si="5"/>
        <v>7619120</v>
      </c>
      <c r="O5" s="93">
        <v>7619430</v>
      </c>
      <c r="P5" s="94">
        <f t="shared" si="2"/>
        <v>310</v>
      </c>
      <c r="Q5" s="95">
        <v>0.84119999999999995</v>
      </c>
      <c r="R5" s="96">
        <f t="shared" si="3"/>
        <v>260.77199999999999</v>
      </c>
      <c r="S5" s="97" t="s">
        <v>43</v>
      </c>
    </row>
    <row r="6" spans="1:22" ht="16" x14ac:dyDescent="0.2">
      <c r="A6" s="84">
        <v>0.45486111111111099</v>
      </c>
      <c r="B6" s="85" t="s">
        <v>44</v>
      </c>
      <c r="C6" s="92">
        <f t="shared" si="4"/>
        <v>47728860</v>
      </c>
      <c r="D6" s="70">
        <v>47745890</v>
      </c>
      <c r="E6" s="86">
        <f t="shared" si="0"/>
        <v>17030</v>
      </c>
      <c r="F6" s="101">
        <v>17019</v>
      </c>
      <c r="G6" s="40">
        <v>0.83819999999999995</v>
      </c>
      <c r="H6" s="88">
        <f t="shared" si="1"/>
        <v>14265.325799999999</v>
      </c>
      <c r="I6" s="28">
        <v>251</v>
      </c>
      <c r="J6" s="28">
        <v>6197</v>
      </c>
      <c r="K6" s="89" t="s">
        <v>18</v>
      </c>
      <c r="L6" s="90">
        <v>4.1666666666666699E-2</v>
      </c>
      <c r="M6" s="99" t="s">
        <v>38</v>
      </c>
      <c r="N6" s="94">
        <f t="shared" si="5"/>
        <v>7619430</v>
      </c>
      <c r="O6" s="93">
        <v>7619650</v>
      </c>
      <c r="P6" s="94">
        <f t="shared" si="2"/>
        <v>220</v>
      </c>
      <c r="Q6" s="40">
        <v>0.83750000000000002</v>
      </c>
      <c r="R6" s="96">
        <f t="shared" si="3"/>
        <v>184.25</v>
      </c>
      <c r="S6" s="97" t="s">
        <v>45</v>
      </c>
    </row>
    <row r="7" spans="1:22" ht="16" x14ac:dyDescent="0.2">
      <c r="A7" s="84">
        <v>0.47916666666666702</v>
      </c>
      <c r="B7" s="85" t="s">
        <v>44</v>
      </c>
      <c r="C7" s="92">
        <f t="shared" si="4"/>
        <v>47745890</v>
      </c>
      <c r="D7" s="70">
        <v>47754140</v>
      </c>
      <c r="E7" s="86">
        <f t="shared" si="0"/>
        <v>8250</v>
      </c>
      <c r="F7" s="87">
        <f>SUM(D7-C7)</f>
        <v>8250</v>
      </c>
      <c r="G7" s="40">
        <v>0.83819999999999995</v>
      </c>
      <c r="H7" s="88">
        <f t="shared" si="1"/>
        <v>6915.15</v>
      </c>
      <c r="I7" s="28">
        <v>248</v>
      </c>
      <c r="J7" s="28">
        <v>6200</v>
      </c>
      <c r="K7" s="89" t="s">
        <v>18</v>
      </c>
      <c r="L7" s="90">
        <v>6.25E-2</v>
      </c>
      <c r="M7" s="99" t="s">
        <v>46</v>
      </c>
      <c r="N7" s="94">
        <f t="shared" si="5"/>
        <v>7619650</v>
      </c>
      <c r="O7" s="93">
        <v>7619770</v>
      </c>
      <c r="P7" s="94">
        <f t="shared" si="2"/>
        <v>120</v>
      </c>
      <c r="Q7" s="40">
        <v>0.83850000000000002</v>
      </c>
      <c r="R7" s="96">
        <f t="shared" si="3"/>
        <v>100.62</v>
      </c>
      <c r="S7" s="97" t="s">
        <v>47</v>
      </c>
    </row>
    <row r="8" spans="1:22" ht="16" x14ac:dyDescent="0.2">
      <c r="A8" s="84">
        <v>0.49305555555555602</v>
      </c>
      <c r="B8" s="85" t="s">
        <v>44</v>
      </c>
      <c r="C8" s="92">
        <f t="shared" si="4"/>
        <v>47754140</v>
      </c>
      <c r="D8" s="70">
        <v>47755140</v>
      </c>
      <c r="E8" s="86">
        <f t="shared" si="0"/>
        <v>1000</v>
      </c>
      <c r="F8" s="87">
        <f>SUM(D8-C8)</f>
        <v>1000</v>
      </c>
      <c r="G8" s="40">
        <v>0.83819999999999995</v>
      </c>
      <c r="H8" s="88">
        <f t="shared" si="1"/>
        <v>838.19999999999993</v>
      </c>
      <c r="I8" s="28">
        <v>237</v>
      </c>
      <c r="J8" s="28">
        <v>6201</v>
      </c>
      <c r="K8" s="89" t="s">
        <v>18</v>
      </c>
      <c r="L8" s="90"/>
      <c r="M8" s="91"/>
      <c r="N8" s="94">
        <f t="shared" si="5"/>
        <v>7619770</v>
      </c>
      <c r="O8" s="93"/>
      <c r="P8" s="94">
        <f t="shared" si="2"/>
        <v>-7619770</v>
      </c>
      <c r="Q8" s="95"/>
      <c r="R8" s="96">
        <f t="shared" si="3"/>
        <v>0</v>
      </c>
      <c r="S8" s="1"/>
    </row>
    <row r="9" spans="1:22" ht="16" x14ac:dyDescent="0.2">
      <c r="A9" s="84">
        <v>0.5</v>
      </c>
      <c r="B9" s="85" t="s">
        <v>39</v>
      </c>
      <c r="C9" s="92">
        <f t="shared" si="4"/>
        <v>47755140</v>
      </c>
      <c r="D9" s="70">
        <v>47773410</v>
      </c>
      <c r="E9" s="86">
        <f t="shared" si="0"/>
        <v>18270</v>
      </c>
      <c r="F9" s="98">
        <v>18241</v>
      </c>
      <c r="G9" s="40">
        <v>0.84119999999999995</v>
      </c>
      <c r="H9" s="88">
        <f t="shared" si="1"/>
        <v>15344.329199999998</v>
      </c>
      <c r="I9" s="28">
        <v>787</v>
      </c>
      <c r="J9" s="28">
        <v>6202</v>
      </c>
      <c r="K9" s="89" t="s">
        <v>18</v>
      </c>
      <c r="L9" s="90"/>
      <c r="M9" s="91"/>
      <c r="N9" s="94">
        <f t="shared" si="5"/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0.64236111111111105</v>
      </c>
      <c r="B10" s="85" t="s">
        <v>48</v>
      </c>
      <c r="C10" s="92">
        <f t="shared" si="4"/>
        <v>47773410</v>
      </c>
      <c r="D10" s="70">
        <v>47782570</v>
      </c>
      <c r="E10" s="86">
        <f t="shared" si="0"/>
        <v>9160</v>
      </c>
      <c r="F10" s="98">
        <v>9161</v>
      </c>
      <c r="G10" s="40">
        <v>0.8347</v>
      </c>
      <c r="H10" s="88">
        <f t="shared" si="1"/>
        <v>7646.6867000000002</v>
      </c>
      <c r="I10" s="28">
        <v>787</v>
      </c>
      <c r="J10" s="28">
        <v>6205</v>
      </c>
      <c r="K10" s="89" t="s">
        <v>18</v>
      </c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0.64236111111111105</v>
      </c>
      <c r="B11" s="85" t="s">
        <v>48</v>
      </c>
      <c r="C11" s="92">
        <f t="shared" si="4"/>
        <v>47782570</v>
      </c>
      <c r="D11" s="70">
        <v>47791650</v>
      </c>
      <c r="E11" s="86">
        <f t="shared" si="0"/>
        <v>9080</v>
      </c>
      <c r="F11" s="98">
        <v>9080</v>
      </c>
      <c r="G11" s="40">
        <v>0.8347</v>
      </c>
      <c r="H11" s="88">
        <f t="shared" si="1"/>
        <v>7579.076</v>
      </c>
      <c r="I11" s="28">
        <v>787</v>
      </c>
      <c r="J11" s="28">
        <v>6206</v>
      </c>
      <c r="K11" s="89" t="s">
        <v>18</v>
      </c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0.69444444444444398</v>
      </c>
      <c r="B12" s="85" t="s">
        <v>48</v>
      </c>
      <c r="C12" s="92">
        <f t="shared" si="4"/>
        <v>47791650</v>
      </c>
      <c r="D12" s="70">
        <v>47800810</v>
      </c>
      <c r="E12" s="86">
        <f t="shared" si="0"/>
        <v>9160</v>
      </c>
      <c r="F12" s="98">
        <v>9161</v>
      </c>
      <c r="G12" s="40">
        <v>0.83520000000000005</v>
      </c>
      <c r="H12" s="88">
        <f t="shared" si="1"/>
        <v>7651.2672000000002</v>
      </c>
      <c r="I12" s="28">
        <v>787</v>
      </c>
      <c r="J12" s="28">
        <v>6207</v>
      </c>
      <c r="K12" s="89" t="s">
        <v>18</v>
      </c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0.69444444444444398</v>
      </c>
      <c r="B13" s="85" t="s">
        <v>44</v>
      </c>
      <c r="C13" s="92">
        <f t="shared" si="4"/>
        <v>47800810</v>
      </c>
      <c r="D13" s="70">
        <v>47809900</v>
      </c>
      <c r="E13" s="86">
        <f t="shared" si="0"/>
        <v>9090</v>
      </c>
      <c r="F13" s="98">
        <v>9080</v>
      </c>
      <c r="G13" s="40">
        <v>0.83520000000000005</v>
      </c>
      <c r="H13" s="88">
        <f t="shared" si="1"/>
        <v>7583.6160000000009</v>
      </c>
      <c r="I13" s="28">
        <v>787</v>
      </c>
      <c r="J13" s="28">
        <v>6207</v>
      </c>
      <c r="K13" s="89" t="s">
        <v>18</v>
      </c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0.74652777777777801</v>
      </c>
      <c r="B14" s="85" t="s">
        <v>38</v>
      </c>
      <c r="C14" s="92">
        <f t="shared" si="4"/>
        <v>47809900</v>
      </c>
      <c r="D14" s="70">
        <v>47828140</v>
      </c>
      <c r="E14" s="86">
        <f t="shared" si="0"/>
        <v>18240</v>
      </c>
      <c r="F14" s="98">
        <v>18241</v>
      </c>
      <c r="G14" s="40">
        <v>0.83650000000000002</v>
      </c>
      <c r="H14" s="88">
        <f t="shared" si="1"/>
        <v>15258.5965</v>
      </c>
      <c r="I14" s="28">
        <v>787</v>
      </c>
      <c r="J14" s="28">
        <v>6209</v>
      </c>
      <c r="K14" s="89" t="s">
        <v>18</v>
      </c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0.8125</v>
      </c>
      <c r="B15" s="85" t="s">
        <v>38</v>
      </c>
      <c r="C15" s="92">
        <f t="shared" si="4"/>
        <v>47828140</v>
      </c>
      <c r="D15" s="70">
        <v>47846380</v>
      </c>
      <c r="E15" s="86">
        <f t="shared" si="0"/>
        <v>18240</v>
      </c>
      <c r="F15" s="98">
        <v>18241</v>
      </c>
      <c r="G15" s="40">
        <v>0.83650000000000002</v>
      </c>
      <c r="H15" s="88">
        <f t="shared" si="1"/>
        <v>15258.5965</v>
      </c>
      <c r="I15" s="28">
        <v>787</v>
      </c>
      <c r="J15" s="28">
        <v>6213</v>
      </c>
      <c r="K15" s="89" t="s">
        <v>18</v>
      </c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0.88888888888888895</v>
      </c>
      <c r="B16" s="85" t="s">
        <v>46</v>
      </c>
      <c r="C16" s="92">
        <f t="shared" si="4"/>
        <v>47846380</v>
      </c>
      <c r="D16" s="70">
        <v>47854850</v>
      </c>
      <c r="E16" s="86">
        <f t="shared" si="0"/>
        <v>8470</v>
      </c>
      <c r="F16" s="87">
        <f>SUM(D16-C16)</f>
        <v>8470</v>
      </c>
      <c r="G16" s="40">
        <v>0.83350000000000002</v>
      </c>
      <c r="H16" s="88">
        <f t="shared" si="1"/>
        <v>7059.7449999999999</v>
      </c>
      <c r="I16" s="28">
        <v>237</v>
      </c>
      <c r="J16" s="28">
        <v>6215</v>
      </c>
      <c r="K16" s="89" t="s">
        <v>18</v>
      </c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0.90277777777777801</v>
      </c>
      <c r="B17" s="85" t="s">
        <v>46</v>
      </c>
      <c r="C17" s="92">
        <f t="shared" si="4"/>
        <v>47854850</v>
      </c>
      <c r="D17" s="70">
        <v>47864830</v>
      </c>
      <c r="E17" s="86">
        <f t="shared" si="0"/>
        <v>9980</v>
      </c>
      <c r="F17" s="101">
        <v>9986</v>
      </c>
      <c r="G17" s="40">
        <v>0.83350000000000002</v>
      </c>
      <c r="H17" s="88">
        <f t="shared" si="1"/>
        <v>8323.3310000000001</v>
      </c>
      <c r="I17" s="28">
        <v>251</v>
      </c>
      <c r="J17" s="28">
        <v>6217</v>
      </c>
      <c r="K17" s="89" t="s">
        <v>18</v>
      </c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0.91319444444444398</v>
      </c>
      <c r="B18" s="85" t="s">
        <v>46</v>
      </c>
      <c r="C18" s="92">
        <f t="shared" si="4"/>
        <v>47864830</v>
      </c>
      <c r="D18" s="70">
        <v>47873890</v>
      </c>
      <c r="E18" s="86">
        <f t="shared" si="0"/>
        <v>9060</v>
      </c>
      <c r="F18" s="98">
        <v>9161</v>
      </c>
      <c r="G18" s="40">
        <v>0.83479999999999999</v>
      </c>
      <c r="H18" s="88">
        <f t="shared" si="1"/>
        <v>7647.6027999999997</v>
      </c>
      <c r="I18" s="28">
        <v>787</v>
      </c>
      <c r="J18" s="28">
        <v>6218</v>
      </c>
      <c r="K18" s="89" t="s">
        <v>18</v>
      </c>
      <c r="L18" s="90">
        <v>0.59722222222222199</v>
      </c>
      <c r="M18" s="99" t="s">
        <v>50</v>
      </c>
      <c r="N18" s="102">
        <v>3562620</v>
      </c>
      <c r="O18" s="93">
        <v>3562720</v>
      </c>
      <c r="P18" s="103">
        <f t="shared" ref="P18:P31" si="6">SUM(O18-N18)</f>
        <v>100</v>
      </c>
      <c r="Q18" s="40">
        <v>0.84240000000000004</v>
      </c>
      <c r="R18" s="88">
        <f t="shared" ref="R18:R31" si="7">SUM(Q18*P18)</f>
        <v>84.240000000000009</v>
      </c>
      <c r="S18" s="97" t="s">
        <v>51</v>
      </c>
      <c r="T18" t="s">
        <v>41</v>
      </c>
    </row>
    <row r="19" spans="1:20" ht="16" x14ac:dyDescent="0.2">
      <c r="A19" s="84">
        <v>0.91319444444444398</v>
      </c>
      <c r="B19" s="85" t="s">
        <v>46</v>
      </c>
      <c r="C19" s="92">
        <f t="shared" si="4"/>
        <v>47873890</v>
      </c>
      <c r="D19" s="70">
        <v>47883080</v>
      </c>
      <c r="E19" s="86">
        <f t="shared" si="0"/>
        <v>9190</v>
      </c>
      <c r="F19" s="98">
        <v>9080</v>
      </c>
      <c r="G19" s="40">
        <v>0.83479999999999999</v>
      </c>
      <c r="H19" s="88">
        <f t="shared" si="1"/>
        <v>7579.9839999999995</v>
      </c>
      <c r="I19" s="28">
        <v>787</v>
      </c>
      <c r="J19" s="28">
        <v>6219</v>
      </c>
      <c r="K19" s="89" t="s">
        <v>18</v>
      </c>
      <c r="L19" s="90">
        <v>0.83333333333333304</v>
      </c>
      <c r="M19" s="99" t="s">
        <v>52</v>
      </c>
      <c r="N19" s="102">
        <v>3636360</v>
      </c>
      <c r="O19" s="93">
        <v>3636470</v>
      </c>
      <c r="P19" s="103">
        <f t="shared" si="6"/>
        <v>110</v>
      </c>
      <c r="Q19" s="40">
        <v>0.83850000000000002</v>
      </c>
      <c r="R19" s="88">
        <f t="shared" si="7"/>
        <v>92.234999999999999</v>
      </c>
      <c r="S19" s="97" t="s">
        <v>53</v>
      </c>
    </row>
    <row r="20" spans="1:20" ht="16" x14ac:dyDescent="0.2">
      <c r="A20" s="84">
        <v>0.96875</v>
      </c>
      <c r="B20" s="85" t="s">
        <v>46</v>
      </c>
      <c r="C20" s="92">
        <f t="shared" si="4"/>
        <v>47883080</v>
      </c>
      <c r="D20" s="70">
        <v>47892240</v>
      </c>
      <c r="E20" s="86">
        <f t="shared" si="0"/>
        <v>9160</v>
      </c>
      <c r="F20" s="98">
        <v>9161</v>
      </c>
      <c r="G20" s="40">
        <v>0.83479999999999999</v>
      </c>
      <c r="H20" s="88">
        <f t="shared" si="1"/>
        <v>7647.6027999999997</v>
      </c>
      <c r="I20" s="1">
        <v>787</v>
      </c>
      <c r="J20" s="28">
        <v>6223</v>
      </c>
      <c r="K20" s="89" t="s">
        <v>18</v>
      </c>
      <c r="L20" s="90"/>
      <c r="M20" s="99"/>
      <c r="N20" s="92">
        <f t="shared" ref="N20:N31" si="8">SUM(O19)</f>
        <v>3636470</v>
      </c>
      <c r="O20" s="93"/>
      <c r="P20" s="103">
        <f t="shared" si="6"/>
        <v>-3636470</v>
      </c>
      <c r="Q20" s="40"/>
      <c r="R20" s="88">
        <f t="shared" si="7"/>
        <v>0</v>
      </c>
      <c r="S20" s="97"/>
    </row>
    <row r="21" spans="1:20" ht="16" x14ac:dyDescent="0.2">
      <c r="A21" s="84">
        <v>0.97569444444444398</v>
      </c>
      <c r="B21" s="85" t="s">
        <v>46</v>
      </c>
      <c r="C21" s="92">
        <f t="shared" si="4"/>
        <v>47892240</v>
      </c>
      <c r="D21" s="70">
        <v>47909260</v>
      </c>
      <c r="E21" s="86">
        <f t="shared" si="0"/>
        <v>17020</v>
      </c>
      <c r="F21" s="101">
        <v>17019</v>
      </c>
      <c r="G21" s="40">
        <v>0.83479999999999999</v>
      </c>
      <c r="H21" s="88">
        <f t="shared" si="1"/>
        <v>14207.4612</v>
      </c>
      <c r="I21" s="1">
        <v>251</v>
      </c>
      <c r="J21" s="28">
        <v>6224</v>
      </c>
      <c r="K21" s="89" t="s">
        <v>18</v>
      </c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ht="16" x14ac:dyDescent="0.2">
      <c r="A22" s="84">
        <v>6.9444444444444397E-3</v>
      </c>
      <c r="B22" s="85" t="s">
        <v>38</v>
      </c>
      <c r="C22" s="92">
        <f t="shared" si="4"/>
        <v>47909260</v>
      </c>
      <c r="D22" s="70">
        <v>47927500</v>
      </c>
      <c r="E22" s="86">
        <f t="shared" si="0"/>
        <v>18240</v>
      </c>
      <c r="F22" s="98">
        <v>18241</v>
      </c>
      <c r="G22" s="40">
        <v>0.83750000000000002</v>
      </c>
      <c r="H22" s="88">
        <f t="shared" si="1"/>
        <v>15276.8375</v>
      </c>
      <c r="I22" s="1">
        <v>787</v>
      </c>
      <c r="J22" s="28">
        <v>6225</v>
      </c>
      <c r="K22" s="89" t="s">
        <v>18</v>
      </c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ht="16" x14ac:dyDescent="0.2">
      <c r="A23" s="84">
        <v>0.22916666666666699</v>
      </c>
      <c r="B23" s="85" t="s">
        <v>46</v>
      </c>
      <c r="C23" s="92">
        <f t="shared" si="4"/>
        <v>47927500</v>
      </c>
      <c r="D23" s="70">
        <v>47945760</v>
      </c>
      <c r="E23" s="86">
        <f t="shared" si="0"/>
        <v>18260</v>
      </c>
      <c r="F23" s="98">
        <v>18241</v>
      </c>
      <c r="G23" s="40">
        <v>0.83750000000000002</v>
      </c>
      <c r="H23" s="88">
        <f t="shared" si="1"/>
        <v>15276.8375</v>
      </c>
      <c r="I23" s="1">
        <v>787</v>
      </c>
      <c r="J23" s="28">
        <v>6229</v>
      </c>
      <c r="K23" s="89" t="s">
        <v>18</v>
      </c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ht="16" x14ac:dyDescent="0.2">
      <c r="A24" s="84">
        <v>0.27430555555555503</v>
      </c>
      <c r="B24" s="85" t="s">
        <v>46</v>
      </c>
      <c r="C24" s="92">
        <f t="shared" si="4"/>
        <v>47945760</v>
      </c>
      <c r="D24" s="70">
        <v>47954920</v>
      </c>
      <c r="E24" s="86">
        <f t="shared" si="0"/>
        <v>9160</v>
      </c>
      <c r="F24" s="98">
        <v>9161</v>
      </c>
      <c r="G24" s="40">
        <v>0.8387</v>
      </c>
      <c r="H24" s="88">
        <f t="shared" si="1"/>
        <v>7683.3307000000004</v>
      </c>
      <c r="I24" s="1">
        <v>787</v>
      </c>
      <c r="J24" s="28">
        <v>6231</v>
      </c>
      <c r="K24" s="89" t="s">
        <v>18</v>
      </c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ht="16" x14ac:dyDescent="0.2">
      <c r="A25" s="84">
        <v>0.27430555555555503</v>
      </c>
      <c r="B25" s="85" t="s">
        <v>54</v>
      </c>
      <c r="C25" s="92">
        <f t="shared" si="4"/>
        <v>47954920</v>
      </c>
      <c r="D25" s="70">
        <v>47964000</v>
      </c>
      <c r="E25" s="86">
        <f t="shared" si="0"/>
        <v>9080</v>
      </c>
      <c r="F25" s="98">
        <v>9080</v>
      </c>
      <c r="G25" s="40">
        <v>0.8387</v>
      </c>
      <c r="H25" s="88">
        <f t="shared" si="1"/>
        <v>7615.3959999999997</v>
      </c>
      <c r="I25" s="1">
        <v>787</v>
      </c>
      <c r="J25" s="28">
        <v>6231</v>
      </c>
      <c r="K25" s="89" t="s">
        <v>18</v>
      </c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ht="16" x14ac:dyDescent="0.2">
      <c r="A26" s="84">
        <v>0.30555555555555503</v>
      </c>
      <c r="B26" s="85" t="s">
        <v>54</v>
      </c>
      <c r="C26" s="92">
        <f t="shared" si="4"/>
        <v>47964000</v>
      </c>
      <c r="D26" s="70">
        <v>47981030</v>
      </c>
      <c r="E26" s="86">
        <f t="shared" si="0"/>
        <v>17030</v>
      </c>
      <c r="F26" s="101">
        <v>17019</v>
      </c>
      <c r="G26" s="40">
        <v>0.83950000000000002</v>
      </c>
      <c r="H26" s="88">
        <f t="shared" si="1"/>
        <v>14287.450500000001</v>
      </c>
      <c r="I26" s="1">
        <v>251</v>
      </c>
      <c r="J26" s="28">
        <v>6232</v>
      </c>
      <c r="K26" s="89" t="s">
        <v>18</v>
      </c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ht="16" x14ac:dyDescent="0.2">
      <c r="A27" s="84">
        <v>0.31944444444444398</v>
      </c>
      <c r="B27" s="85" t="s">
        <v>54</v>
      </c>
      <c r="C27" s="92">
        <f t="shared" si="4"/>
        <v>47981030</v>
      </c>
      <c r="D27" s="70">
        <v>47999270</v>
      </c>
      <c r="E27" s="86">
        <f t="shared" si="0"/>
        <v>18240</v>
      </c>
      <c r="F27" s="98">
        <v>18241</v>
      </c>
      <c r="G27" s="40">
        <v>0.83950000000000002</v>
      </c>
      <c r="H27" s="88">
        <f t="shared" si="1"/>
        <v>15313.3195</v>
      </c>
      <c r="I27" s="1">
        <v>787</v>
      </c>
      <c r="J27" s="28">
        <v>6233</v>
      </c>
      <c r="K27" s="89" t="s">
        <v>18</v>
      </c>
      <c r="L27" s="90"/>
      <c r="M27" s="91"/>
      <c r="N27" s="92">
        <f t="shared" si="8"/>
        <v>0</v>
      </c>
      <c r="O27" s="93"/>
      <c r="P27" s="103">
        <f t="shared" si="6"/>
        <v>0</v>
      </c>
      <c r="Q27" s="95"/>
      <c r="R27" s="88">
        <f t="shared" si="7"/>
        <v>0</v>
      </c>
      <c r="S27" s="1"/>
    </row>
    <row r="28" spans="1:20" x14ac:dyDescent="0.2">
      <c r="A28" s="84"/>
      <c r="B28" s="85"/>
      <c r="C28" s="92"/>
      <c r="D28" s="70"/>
      <c r="E28" s="86">
        <f t="shared" si="0"/>
        <v>0</v>
      </c>
      <c r="F28" s="103">
        <f>SUM(D28-C28)</f>
        <v>0</v>
      </c>
      <c r="G28" s="40"/>
      <c r="H28" s="88">
        <f t="shared" si="1"/>
        <v>0</v>
      </c>
      <c r="I28" s="1"/>
      <c r="J28" s="28"/>
      <c r="K28" s="89"/>
      <c r="L28" s="90"/>
      <c r="M28" s="91"/>
      <c r="N28" s="92">
        <f t="shared" si="8"/>
        <v>0</v>
      </c>
      <c r="O28" s="93"/>
      <c r="P28" s="103">
        <f t="shared" si="6"/>
        <v>0</v>
      </c>
      <c r="Q28" s="95"/>
      <c r="R28" s="88">
        <f t="shared" si="7"/>
        <v>0</v>
      </c>
      <c r="S28" s="1"/>
    </row>
    <row r="29" spans="1:20" x14ac:dyDescent="0.2">
      <c r="A29" s="84"/>
      <c r="B29" s="85"/>
      <c r="C29" s="92">
        <f>SUM(D28)</f>
        <v>0</v>
      </c>
      <c r="D29" s="70"/>
      <c r="E29" s="86">
        <f t="shared" si="0"/>
        <v>0</v>
      </c>
      <c r="F29" s="103">
        <f>SUM(D29-C29)</f>
        <v>0</v>
      </c>
      <c r="G29" s="40"/>
      <c r="H29" s="88">
        <f t="shared" si="1"/>
        <v>0</v>
      </c>
      <c r="I29" s="1"/>
      <c r="J29" s="1"/>
      <c r="K29" s="89"/>
      <c r="L29" s="90"/>
      <c r="M29" s="91"/>
      <c r="N29" s="92">
        <f t="shared" si="8"/>
        <v>0</v>
      </c>
      <c r="O29" s="93"/>
      <c r="P29" s="103">
        <f t="shared" si="6"/>
        <v>0</v>
      </c>
      <c r="Q29" s="95"/>
      <c r="R29" s="88">
        <f t="shared" si="7"/>
        <v>0</v>
      </c>
      <c r="S29" s="1"/>
    </row>
    <row r="30" spans="1:20" x14ac:dyDescent="0.2">
      <c r="A30" s="84"/>
      <c r="B30" s="85"/>
      <c r="C30" s="92">
        <f>SUM(D29)</f>
        <v>0</v>
      </c>
      <c r="D30" s="70"/>
      <c r="E30" s="104"/>
      <c r="F30" s="103">
        <f>SUM(F3:F29)</f>
        <v>299595</v>
      </c>
      <c r="G30" s="40"/>
      <c r="H30" s="88">
        <f>SUM(H3:H29)</f>
        <v>250853.61289999998</v>
      </c>
      <c r="I30" s="1"/>
      <c r="J30" s="1"/>
      <c r="K30" s="105"/>
      <c r="L30" s="90"/>
      <c r="M30" s="91"/>
      <c r="N30" s="92">
        <f t="shared" si="8"/>
        <v>0</v>
      </c>
      <c r="O30" s="93"/>
      <c r="P30" s="103">
        <f t="shared" si="6"/>
        <v>0</v>
      </c>
      <c r="Q30" s="95"/>
      <c r="R30" s="88">
        <f t="shared" si="7"/>
        <v>0</v>
      </c>
      <c r="S30" s="1"/>
    </row>
    <row r="31" spans="1:20" x14ac:dyDescent="0.2">
      <c r="A31" s="83"/>
      <c r="B31" s="76" t="s">
        <v>49</v>
      </c>
      <c r="C31" s="77"/>
      <c r="D31" s="77"/>
      <c r="E31" s="77"/>
      <c r="F31" s="77"/>
      <c r="G31" s="78"/>
      <c r="H31" s="79"/>
      <c r="I31" s="80"/>
      <c r="J31" s="80"/>
      <c r="K31" s="89"/>
      <c r="L31" s="90"/>
      <c r="M31" s="91"/>
      <c r="N31" s="92">
        <f t="shared" si="8"/>
        <v>0</v>
      </c>
      <c r="O31" s="93"/>
      <c r="P31" s="103">
        <f t="shared" si="6"/>
        <v>0</v>
      </c>
      <c r="Q31" s="95"/>
      <c r="R31" s="88">
        <f t="shared" si="7"/>
        <v>0</v>
      </c>
      <c r="S31" s="1"/>
    </row>
    <row r="32" spans="1:20" ht="16" x14ac:dyDescent="0.2">
      <c r="A32" s="84">
        <v>0.42361111111111099</v>
      </c>
      <c r="B32" s="85" t="s">
        <v>55</v>
      </c>
      <c r="C32" s="102">
        <v>3534490</v>
      </c>
      <c r="D32" s="102">
        <v>3539870</v>
      </c>
      <c r="E32" s="86">
        <f t="shared" ref="E32:E56" si="9">SUM(D32-C32)</f>
        <v>5380</v>
      </c>
      <c r="F32" s="103">
        <f t="shared" ref="F32:F37" si="10">SUM(D32-C32)</f>
        <v>5380</v>
      </c>
      <c r="G32" s="40">
        <v>0.82620000000000005</v>
      </c>
      <c r="H32" s="88">
        <f t="shared" ref="H32:H55" si="11">SUM(G32*F32)</f>
        <v>4444.9560000000001</v>
      </c>
      <c r="I32" s="28">
        <v>382</v>
      </c>
      <c r="J32" s="1">
        <v>6193</v>
      </c>
      <c r="K32" s="106" t="s">
        <v>56</v>
      </c>
      <c r="L32" s="107"/>
      <c r="M32" s="108"/>
      <c r="N32" s="108"/>
      <c r="O32" s="109"/>
      <c r="P32" s="110"/>
      <c r="Q32" s="111"/>
      <c r="R32" s="112"/>
      <c r="S32" s="112"/>
    </row>
    <row r="33" spans="1:19" ht="16" x14ac:dyDescent="0.2">
      <c r="A33" s="84">
        <v>0.4375</v>
      </c>
      <c r="B33" s="85" t="s">
        <v>55</v>
      </c>
      <c r="C33" s="92">
        <f>SUM(D32)</f>
        <v>3539870</v>
      </c>
      <c r="D33" s="102">
        <v>3549370</v>
      </c>
      <c r="E33" s="86">
        <f t="shared" si="9"/>
        <v>9500</v>
      </c>
      <c r="F33" s="103">
        <f t="shared" si="10"/>
        <v>9500</v>
      </c>
      <c r="G33" s="40">
        <v>0.82620000000000005</v>
      </c>
      <c r="H33" s="88">
        <f t="shared" si="11"/>
        <v>7848.9000000000005</v>
      </c>
      <c r="I33" s="28">
        <v>81</v>
      </c>
      <c r="J33" s="1">
        <v>6194</v>
      </c>
      <c r="K33" s="106" t="s">
        <v>56</v>
      </c>
      <c r="L33" s="113"/>
      <c r="M33" s="113"/>
      <c r="N33" s="113"/>
      <c r="O33" s="113"/>
      <c r="P33" s="113"/>
      <c r="Q33" s="113"/>
      <c r="R33" s="113"/>
      <c r="S33" s="113"/>
    </row>
    <row r="34" spans="1:19" ht="16" x14ac:dyDescent="0.2">
      <c r="A34" s="84">
        <v>0.45833333333333298</v>
      </c>
      <c r="B34" s="85" t="s">
        <v>57</v>
      </c>
      <c r="C34" s="92">
        <f>SUM(D33)</f>
        <v>3549370</v>
      </c>
      <c r="D34" s="102">
        <v>3557470</v>
      </c>
      <c r="E34" s="86">
        <f t="shared" si="9"/>
        <v>8100</v>
      </c>
      <c r="F34" s="103">
        <f t="shared" si="10"/>
        <v>8100</v>
      </c>
      <c r="G34" s="40">
        <v>0.82830000000000004</v>
      </c>
      <c r="H34" s="88">
        <f t="shared" si="11"/>
        <v>6709.2300000000005</v>
      </c>
      <c r="I34" s="28">
        <v>119</v>
      </c>
      <c r="J34" s="1">
        <v>6198</v>
      </c>
      <c r="K34" s="114" t="s">
        <v>58</v>
      </c>
      <c r="L34" s="113"/>
      <c r="M34" s="113"/>
      <c r="N34" s="113"/>
      <c r="O34" s="113"/>
      <c r="P34" s="113"/>
      <c r="Q34" s="113"/>
      <c r="R34" s="113"/>
      <c r="S34" s="113"/>
    </row>
    <row r="35" spans="1:19" ht="16" x14ac:dyDescent="0.2">
      <c r="A35" s="84">
        <v>0.47222222222222199</v>
      </c>
      <c r="B35" s="85" t="s">
        <v>59</v>
      </c>
      <c r="C35" s="92">
        <f>SUM(D34)</f>
        <v>3557470</v>
      </c>
      <c r="D35" s="102">
        <v>3562620</v>
      </c>
      <c r="E35" s="86">
        <f t="shared" si="9"/>
        <v>5150</v>
      </c>
      <c r="F35" s="103">
        <f t="shared" si="10"/>
        <v>5150</v>
      </c>
      <c r="G35" s="40">
        <v>0.82779999999999998</v>
      </c>
      <c r="H35" s="88">
        <f t="shared" si="11"/>
        <v>4263.17</v>
      </c>
      <c r="I35" s="28">
        <v>57</v>
      </c>
      <c r="J35" s="1">
        <v>6199</v>
      </c>
      <c r="K35" s="115" t="s">
        <v>60</v>
      </c>
      <c r="L35" s="113"/>
      <c r="M35" s="113"/>
      <c r="N35" s="113"/>
      <c r="O35" s="113"/>
      <c r="P35" s="113"/>
      <c r="Q35" s="113"/>
      <c r="R35" s="113"/>
      <c r="S35" s="113"/>
    </row>
    <row r="36" spans="1:19" ht="16" x14ac:dyDescent="0.2">
      <c r="A36" s="84">
        <v>0.60416666666666696</v>
      </c>
      <c r="B36" s="85" t="s">
        <v>59</v>
      </c>
      <c r="C36" s="92">
        <v>3562720</v>
      </c>
      <c r="D36" s="102">
        <v>3570420</v>
      </c>
      <c r="E36" s="86">
        <f t="shared" si="9"/>
        <v>7700</v>
      </c>
      <c r="F36" s="103">
        <f t="shared" si="10"/>
        <v>7700</v>
      </c>
      <c r="G36" s="40">
        <v>0.8276</v>
      </c>
      <c r="H36" s="88">
        <f t="shared" si="11"/>
        <v>6372.52</v>
      </c>
      <c r="I36" s="28">
        <v>81</v>
      </c>
      <c r="J36" s="1">
        <v>6203</v>
      </c>
      <c r="K36" s="115" t="s">
        <v>60</v>
      </c>
      <c r="L36" s="113"/>
      <c r="M36" s="113"/>
      <c r="N36" s="113"/>
      <c r="O36" s="113"/>
      <c r="P36" s="113"/>
      <c r="Q36" s="113"/>
      <c r="R36" s="113"/>
      <c r="S36" s="113"/>
    </row>
    <row r="37" spans="1:19" ht="16" x14ac:dyDescent="0.2">
      <c r="A37" s="84">
        <v>0.61458333333333304</v>
      </c>
      <c r="B37" s="85" t="s">
        <v>59</v>
      </c>
      <c r="C37" s="92">
        <f t="shared" ref="C37:C42" si="12">SUM(D36)</f>
        <v>3570420</v>
      </c>
      <c r="D37" s="102">
        <v>3577250</v>
      </c>
      <c r="E37" s="86">
        <f t="shared" si="9"/>
        <v>6830</v>
      </c>
      <c r="F37" s="103">
        <f t="shared" si="10"/>
        <v>6830</v>
      </c>
      <c r="G37" s="40">
        <v>0.8276</v>
      </c>
      <c r="H37" s="88">
        <f t="shared" si="11"/>
        <v>5652.5079999999998</v>
      </c>
      <c r="I37" s="28">
        <v>57</v>
      </c>
      <c r="J37" s="1">
        <v>6204</v>
      </c>
      <c r="K37" s="115" t="s">
        <v>60</v>
      </c>
      <c r="L37" s="113"/>
      <c r="M37" s="113"/>
      <c r="N37" s="113"/>
      <c r="O37" s="113"/>
      <c r="P37" s="113"/>
      <c r="Q37" s="113"/>
      <c r="R37" s="113"/>
      <c r="S37" s="113"/>
    </row>
    <row r="38" spans="1:19" ht="16" x14ac:dyDescent="0.2">
      <c r="A38" s="84">
        <v>0.72569444444444398</v>
      </c>
      <c r="B38" s="85" t="s">
        <v>57</v>
      </c>
      <c r="C38" s="92">
        <f t="shared" si="12"/>
        <v>3577250</v>
      </c>
      <c r="D38" s="102">
        <v>3594250</v>
      </c>
      <c r="E38" s="86">
        <f t="shared" si="9"/>
        <v>17000</v>
      </c>
      <c r="F38" s="101">
        <v>17019</v>
      </c>
      <c r="G38" s="40">
        <v>0.8266</v>
      </c>
      <c r="H38" s="88">
        <f t="shared" si="11"/>
        <v>14067.9054</v>
      </c>
      <c r="I38" s="28">
        <v>251</v>
      </c>
      <c r="J38" s="1">
        <v>6208</v>
      </c>
      <c r="K38" s="114" t="s">
        <v>58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0.77083333333333304</v>
      </c>
      <c r="B39" s="85" t="s">
        <v>59</v>
      </c>
      <c r="C39" s="92">
        <f t="shared" si="12"/>
        <v>3594250</v>
      </c>
      <c r="D39" s="102">
        <v>3604240</v>
      </c>
      <c r="E39" s="86">
        <f t="shared" si="9"/>
        <v>9990</v>
      </c>
      <c r="F39" s="101">
        <v>9986</v>
      </c>
      <c r="G39" s="40">
        <v>0.8266</v>
      </c>
      <c r="H39" s="88">
        <f t="shared" si="11"/>
        <v>8254.4276000000009</v>
      </c>
      <c r="I39" s="28">
        <v>251</v>
      </c>
      <c r="J39" s="28">
        <v>6210</v>
      </c>
      <c r="K39" s="115" t="s">
        <v>60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0.78819444444444398</v>
      </c>
      <c r="B40" s="85" t="s">
        <v>59</v>
      </c>
      <c r="C40" s="92">
        <f t="shared" si="12"/>
        <v>3604240</v>
      </c>
      <c r="D40" s="102">
        <v>3612720</v>
      </c>
      <c r="E40" s="86">
        <f t="shared" si="9"/>
        <v>8480</v>
      </c>
      <c r="F40" s="103">
        <f>SUM(D40-C40)</f>
        <v>8480</v>
      </c>
      <c r="G40" s="40">
        <v>0.8266</v>
      </c>
      <c r="H40" s="88">
        <f t="shared" si="11"/>
        <v>7009.5680000000002</v>
      </c>
      <c r="I40" s="28">
        <v>382</v>
      </c>
      <c r="J40" s="28">
        <v>6211</v>
      </c>
      <c r="K40" s="115" t="s">
        <v>60</v>
      </c>
      <c r="L40" s="113"/>
      <c r="M40" s="113"/>
      <c r="N40" s="113"/>
      <c r="O40" s="113"/>
      <c r="P40" s="113"/>
      <c r="Q40" s="113"/>
      <c r="R40" s="113"/>
      <c r="S40" s="113"/>
    </row>
    <row r="41" spans="1:19" ht="14.25" customHeight="1" x14ac:dyDescent="0.2">
      <c r="A41" s="84">
        <v>0.80902777777777801</v>
      </c>
      <c r="B41" s="85" t="s">
        <v>61</v>
      </c>
      <c r="C41" s="92">
        <f t="shared" si="12"/>
        <v>3612720</v>
      </c>
      <c r="D41" s="102">
        <v>3629750</v>
      </c>
      <c r="E41" s="86">
        <f t="shared" si="9"/>
        <v>17030</v>
      </c>
      <c r="F41" s="101">
        <v>17019</v>
      </c>
      <c r="G41" s="40">
        <v>0.82350000000000001</v>
      </c>
      <c r="H41" s="88">
        <f t="shared" si="11"/>
        <v>14015.146500000001</v>
      </c>
      <c r="I41" s="28">
        <v>251</v>
      </c>
      <c r="J41" s="28">
        <v>6212</v>
      </c>
      <c r="K41" s="115" t="s">
        <v>60</v>
      </c>
      <c r="L41" s="113"/>
      <c r="M41" s="113"/>
      <c r="N41" s="113"/>
      <c r="O41" s="113"/>
      <c r="P41" s="113"/>
      <c r="Q41" s="113"/>
      <c r="R41" s="113"/>
      <c r="S41" s="113"/>
    </row>
    <row r="42" spans="1:19" ht="15" customHeight="1" x14ac:dyDescent="0.2">
      <c r="A42" s="84">
        <v>0.82291666666666696</v>
      </c>
      <c r="B42" s="85" t="s">
        <v>61</v>
      </c>
      <c r="C42" s="92">
        <f t="shared" si="12"/>
        <v>3629750</v>
      </c>
      <c r="D42" s="102">
        <v>3636350</v>
      </c>
      <c r="E42" s="86">
        <f t="shared" si="9"/>
        <v>6600</v>
      </c>
      <c r="F42" s="103">
        <f>SUM(D42-C42)</f>
        <v>6600</v>
      </c>
      <c r="G42" s="40">
        <v>0.82350000000000001</v>
      </c>
      <c r="H42" s="88">
        <f t="shared" si="11"/>
        <v>5435.1</v>
      </c>
      <c r="I42" s="28">
        <v>81</v>
      </c>
      <c r="J42" s="28">
        <v>6214</v>
      </c>
      <c r="K42" s="115" t="s">
        <v>60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0.89583333333333304</v>
      </c>
      <c r="B43" s="85" t="s">
        <v>57</v>
      </c>
      <c r="C43" s="92">
        <v>3636470</v>
      </c>
      <c r="D43" s="102">
        <v>3646570</v>
      </c>
      <c r="E43" s="86">
        <f t="shared" si="9"/>
        <v>10100</v>
      </c>
      <c r="F43" s="103">
        <f>SUM(D43-C43)</f>
        <v>10100</v>
      </c>
      <c r="G43" s="40">
        <v>0.82509999999999994</v>
      </c>
      <c r="H43" s="88">
        <f t="shared" si="11"/>
        <v>8333.51</v>
      </c>
      <c r="I43" s="28">
        <v>119</v>
      </c>
      <c r="J43" s="28">
        <v>6216</v>
      </c>
      <c r="K43" s="114" t="s">
        <v>58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0.91666666666666696</v>
      </c>
      <c r="B44" s="85" t="s">
        <v>61</v>
      </c>
      <c r="C44" s="92">
        <f t="shared" ref="C44:C50" si="13">SUM(D43)</f>
        <v>3646570</v>
      </c>
      <c r="D44" s="102">
        <v>3651830</v>
      </c>
      <c r="E44" s="86">
        <f t="shared" si="9"/>
        <v>5260</v>
      </c>
      <c r="F44" s="103">
        <f>SUM(D44-C44)</f>
        <v>5260</v>
      </c>
      <c r="G44" s="40">
        <v>0.82220000000000004</v>
      </c>
      <c r="H44" s="88">
        <f t="shared" si="11"/>
        <v>4324.7719999999999</v>
      </c>
      <c r="I44" s="28">
        <v>57</v>
      </c>
      <c r="J44" s="28">
        <v>6220</v>
      </c>
      <c r="K44" s="115" t="s">
        <v>60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0.92361111111111105</v>
      </c>
      <c r="B45" s="85" t="s">
        <v>61</v>
      </c>
      <c r="C45" s="92">
        <f t="shared" si="13"/>
        <v>3651830</v>
      </c>
      <c r="D45" s="102">
        <v>3655030</v>
      </c>
      <c r="E45" s="86">
        <f t="shared" si="9"/>
        <v>3200</v>
      </c>
      <c r="F45" s="103">
        <f>SUM(D45-C45)</f>
        <v>3200</v>
      </c>
      <c r="G45" s="40">
        <v>0.82220000000000004</v>
      </c>
      <c r="H45" s="88">
        <f t="shared" si="11"/>
        <v>2631.04</v>
      </c>
      <c r="I45" s="28">
        <v>382</v>
      </c>
      <c r="J45" s="28">
        <v>6221</v>
      </c>
      <c r="K45" s="115" t="s">
        <v>60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0.93055555555555503</v>
      </c>
      <c r="B46" s="85" t="s">
        <v>62</v>
      </c>
      <c r="C46" s="92">
        <f t="shared" si="13"/>
        <v>3655030</v>
      </c>
      <c r="D46" s="102">
        <v>3672050</v>
      </c>
      <c r="E46" s="86">
        <f t="shared" si="9"/>
        <v>17020</v>
      </c>
      <c r="F46" s="101">
        <v>17019</v>
      </c>
      <c r="G46" s="40">
        <v>0.82450000000000001</v>
      </c>
      <c r="H46" s="88">
        <f t="shared" si="11"/>
        <v>14032.165500000001</v>
      </c>
      <c r="I46" s="1">
        <v>251</v>
      </c>
      <c r="J46" s="28">
        <v>6222</v>
      </c>
      <c r="K46" s="114" t="s">
        <v>58</v>
      </c>
      <c r="L46" s="113"/>
      <c r="M46" s="113"/>
      <c r="N46" s="89"/>
      <c r="O46" s="113"/>
      <c r="P46" s="113"/>
      <c r="Q46" s="113"/>
      <c r="R46" s="113"/>
      <c r="S46" s="113"/>
    </row>
    <row r="47" spans="1:19" ht="16" x14ac:dyDescent="0.2">
      <c r="A47" s="84">
        <v>7.6388888888888895E-2</v>
      </c>
      <c r="B47" s="85" t="s">
        <v>55</v>
      </c>
      <c r="C47" s="92">
        <f t="shared" si="13"/>
        <v>3672050</v>
      </c>
      <c r="D47" s="102">
        <v>3680320</v>
      </c>
      <c r="E47" s="86">
        <f t="shared" si="9"/>
        <v>8270</v>
      </c>
      <c r="F47" s="103">
        <f>SUM(D47-C47)</f>
        <v>8270</v>
      </c>
      <c r="G47" s="40">
        <v>0.82679999999999998</v>
      </c>
      <c r="H47" s="88">
        <f t="shared" si="11"/>
        <v>6837.6359999999995</v>
      </c>
      <c r="I47" s="1">
        <v>81</v>
      </c>
      <c r="J47" s="28">
        <v>6226</v>
      </c>
      <c r="K47" s="115" t="s">
        <v>60</v>
      </c>
      <c r="L47" s="113"/>
      <c r="M47" s="113"/>
      <c r="N47" s="89"/>
      <c r="O47" s="113"/>
      <c r="P47" s="113"/>
      <c r="Q47" s="113"/>
      <c r="R47" s="113"/>
      <c r="S47" s="113"/>
    </row>
    <row r="48" spans="1:19" ht="16" x14ac:dyDescent="0.2">
      <c r="A48" s="84">
        <v>8.3333333333333301E-2</v>
      </c>
      <c r="B48" s="85" t="s">
        <v>55</v>
      </c>
      <c r="C48" s="92">
        <f t="shared" si="13"/>
        <v>3680320</v>
      </c>
      <c r="D48" s="102">
        <v>3686000</v>
      </c>
      <c r="E48" s="86">
        <f t="shared" si="9"/>
        <v>5680</v>
      </c>
      <c r="F48" s="103">
        <f>SUM(D48-C48)</f>
        <v>5680</v>
      </c>
      <c r="G48" s="40">
        <v>0.82679999999999998</v>
      </c>
      <c r="H48" s="88">
        <f t="shared" si="11"/>
        <v>4696.2240000000002</v>
      </c>
      <c r="I48" s="1">
        <v>57</v>
      </c>
      <c r="J48" s="28">
        <v>6227</v>
      </c>
      <c r="K48" s="115" t="s">
        <v>60</v>
      </c>
      <c r="L48" s="113"/>
      <c r="M48" s="113"/>
      <c r="N48" s="89"/>
      <c r="O48" s="113"/>
      <c r="P48" s="113"/>
      <c r="Q48" s="113"/>
      <c r="R48" s="113"/>
      <c r="S48" s="113"/>
    </row>
    <row r="49" spans="1:19" ht="16" x14ac:dyDescent="0.2">
      <c r="A49" s="84">
        <v>0.22222222222222199</v>
      </c>
      <c r="B49" s="85" t="s">
        <v>57</v>
      </c>
      <c r="C49" s="92">
        <f t="shared" si="13"/>
        <v>3686000</v>
      </c>
      <c r="D49" s="102">
        <v>3703020</v>
      </c>
      <c r="E49" s="86">
        <f t="shared" si="9"/>
        <v>17020</v>
      </c>
      <c r="F49" s="101">
        <v>17019</v>
      </c>
      <c r="G49" s="40">
        <v>0.82420000000000004</v>
      </c>
      <c r="H49" s="88">
        <f t="shared" si="11"/>
        <v>14027.059800000001</v>
      </c>
      <c r="I49" s="1">
        <v>251</v>
      </c>
      <c r="J49" s="28">
        <v>6228</v>
      </c>
      <c r="K49" s="114" t="s">
        <v>58</v>
      </c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0.26736111111111099</v>
      </c>
      <c r="B50" s="85" t="s">
        <v>57</v>
      </c>
      <c r="C50" s="92">
        <f t="shared" si="13"/>
        <v>3703020</v>
      </c>
      <c r="D50" s="102">
        <v>3720040</v>
      </c>
      <c r="E50" s="86">
        <f t="shared" si="9"/>
        <v>17020</v>
      </c>
      <c r="F50" s="101">
        <v>17019</v>
      </c>
      <c r="G50" s="40">
        <v>0.82489999999999997</v>
      </c>
      <c r="H50" s="88">
        <f t="shared" si="11"/>
        <v>14038.973099999999</v>
      </c>
      <c r="I50" s="1">
        <v>251</v>
      </c>
      <c r="J50" s="28">
        <v>6230</v>
      </c>
      <c r="K50" s="114" t="s">
        <v>58</v>
      </c>
      <c r="L50" s="113"/>
      <c r="M50" s="113"/>
      <c r="N50" s="89"/>
      <c r="O50" s="113"/>
      <c r="P50" s="113"/>
      <c r="Q50" s="113"/>
      <c r="R50" s="113"/>
      <c r="S50" s="113"/>
    </row>
    <row r="51" spans="1:19" x14ac:dyDescent="0.2">
      <c r="A51" s="84"/>
      <c r="B51" s="85"/>
      <c r="C51" s="92"/>
      <c r="D51" s="102"/>
      <c r="E51" s="86">
        <f t="shared" si="9"/>
        <v>0</v>
      </c>
      <c r="F51" s="103">
        <f>SUM(D51-C51)</f>
        <v>0</v>
      </c>
      <c r="G51" s="40"/>
      <c r="H51" s="88">
        <f t="shared" si="11"/>
        <v>0</v>
      </c>
      <c r="I51" s="1"/>
      <c r="J51" s="28"/>
      <c r="K51" s="114"/>
      <c r="L51" s="113"/>
      <c r="M51" s="113"/>
      <c r="N51" s="89"/>
      <c r="O51" s="113"/>
      <c r="P51" s="113"/>
      <c r="Q51" s="113"/>
      <c r="R51" s="113"/>
      <c r="S51" s="113"/>
    </row>
    <row r="52" spans="1:19" ht="15" customHeight="1" x14ac:dyDescent="0.2">
      <c r="A52" s="84"/>
      <c r="B52" s="85"/>
      <c r="C52" s="92">
        <f>SUM(D51)</f>
        <v>0</v>
      </c>
      <c r="D52" s="102"/>
      <c r="E52" s="86">
        <f t="shared" si="9"/>
        <v>0</v>
      </c>
      <c r="F52" s="103">
        <f>SUM(D52-C52)</f>
        <v>0</v>
      </c>
      <c r="G52" s="40"/>
      <c r="H52" s="88">
        <f t="shared" si="11"/>
        <v>0</v>
      </c>
      <c r="I52" s="1"/>
      <c r="J52" s="28"/>
      <c r="K52" s="114"/>
      <c r="L52" s="113"/>
      <c r="M52" s="113"/>
      <c r="N52" s="89"/>
      <c r="O52" s="113"/>
      <c r="P52" s="113"/>
      <c r="Q52" s="113"/>
      <c r="R52" s="113"/>
      <c r="S52" s="113"/>
    </row>
    <row r="53" spans="1:19" x14ac:dyDescent="0.2">
      <c r="A53" s="84"/>
      <c r="B53" s="85"/>
      <c r="C53" s="92">
        <f>SUM(D52)</f>
        <v>0</v>
      </c>
      <c r="D53" s="102"/>
      <c r="E53" s="86">
        <f t="shared" si="9"/>
        <v>0</v>
      </c>
      <c r="F53" s="103">
        <f>SUM(D53-C53)</f>
        <v>0</v>
      </c>
      <c r="G53" s="40"/>
      <c r="H53" s="88">
        <f t="shared" si="11"/>
        <v>0</v>
      </c>
      <c r="I53" s="1"/>
      <c r="J53" s="28"/>
      <c r="K53" s="115"/>
      <c r="L53" s="113"/>
      <c r="M53" s="113"/>
      <c r="N53" s="113"/>
      <c r="O53" s="113"/>
      <c r="P53" s="113"/>
      <c r="Q53" s="113"/>
      <c r="R53" s="113"/>
      <c r="S53" s="113"/>
    </row>
    <row r="54" spans="1:19" x14ac:dyDescent="0.2">
      <c r="A54" s="84"/>
      <c r="B54" s="85"/>
      <c r="C54" s="92">
        <f>SUM(D53)</f>
        <v>0</v>
      </c>
      <c r="D54" s="102"/>
      <c r="E54" s="86">
        <f t="shared" si="9"/>
        <v>0</v>
      </c>
      <c r="F54" s="103">
        <f>SUM(D54-C54)</f>
        <v>0</v>
      </c>
      <c r="G54" s="40"/>
      <c r="H54" s="88">
        <f t="shared" si="11"/>
        <v>0</v>
      </c>
      <c r="I54" s="1"/>
      <c r="J54" s="28"/>
      <c r="K54" s="115"/>
      <c r="L54" s="113"/>
      <c r="M54" s="113"/>
      <c r="N54" s="113"/>
      <c r="O54" s="113"/>
      <c r="P54" s="113"/>
      <c r="Q54" s="113"/>
      <c r="R54" s="113"/>
      <c r="S54" s="113"/>
    </row>
    <row r="55" spans="1:19" x14ac:dyDescent="0.2">
      <c r="A55" s="84"/>
      <c r="B55" s="85"/>
      <c r="C55" s="92">
        <f>SUM(D54)</f>
        <v>0</v>
      </c>
      <c r="D55" s="70"/>
      <c r="E55" s="86">
        <f t="shared" si="9"/>
        <v>0</v>
      </c>
      <c r="F55" s="103">
        <f>SUM(D55-C55)</f>
        <v>0</v>
      </c>
      <c r="G55" s="40"/>
      <c r="H55" s="88">
        <f t="shared" si="11"/>
        <v>0</v>
      </c>
      <c r="I55" s="1"/>
      <c r="J55" s="28"/>
      <c r="K55" s="115"/>
      <c r="L55" s="113"/>
      <c r="M55" s="113"/>
      <c r="N55" s="113"/>
      <c r="O55" s="113"/>
      <c r="P55" s="113"/>
      <c r="Q55" s="113"/>
      <c r="R55" s="113"/>
      <c r="S55" s="113"/>
    </row>
    <row r="56" spans="1:19" x14ac:dyDescent="0.2">
      <c r="A56" s="84"/>
      <c r="B56" s="85"/>
      <c r="C56" s="92">
        <f>SUM(D55)</f>
        <v>0</v>
      </c>
      <c r="D56" s="70"/>
      <c r="E56" s="86">
        <f t="shared" si="9"/>
        <v>0</v>
      </c>
      <c r="F56" s="103">
        <f>SUM(F32:F55)</f>
        <v>185331</v>
      </c>
      <c r="G56" s="40"/>
      <c r="H56" s="88">
        <f>SUM(H32:H55)</f>
        <v>152994.8119</v>
      </c>
      <c r="I56" s="1"/>
      <c r="J56" s="28"/>
      <c r="K56" s="114"/>
      <c r="L56" s="113"/>
      <c r="M56" s="113"/>
      <c r="N56" s="113"/>
      <c r="O56" s="113"/>
      <c r="P56" s="113"/>
      <c r="Q56" s="113"/>
      <c r="R56" s="113"/>
      <c r="S56" s="113"/>
    </row>
    <row r="57" spans="1:19" x14ac:dyDescent="0.2">
      <c r="K57" s="105"/>
      <c r="L57" s="113"/>
      <c r="M57" s="113"/>
      <c r="N57" s="113"/>
      <c r="O57" s="113"/>
      <c r="P57" s="113"/>
      <c r="Q57" s="113"/>
      <c r="R57" s="113"/>
      <c r="S57" s="113"/>
    </row>
    <row r="58" spans="1:19" x14ac:dyDescent="0.2">
      <c r="F58" s="92">
        <f>SUM(F30+F56)</f>
        <v>484926</v>
      </c>
      <c r="G58" s="40"/>
      <c r="H58" s="88">
        <f>SUM(H30+H56)</f>
        <v>403848.42479999998</v>
      </c>
      <c r="K58" s="105"/>
      <c r="L58" s="113"/>
      <c r="M58" s="113"/>
      <c r="N58" s="113"/>
      <c r="O58" s="113"/>
      <c r="P58" s="113"/>
      <c r="Q58" s="113"/>
      <c r="R58" s="113"/>
      <c r="S58" s="113"/>
    </row>
    <row r="59" spans="1:19" x14ac:dyDescent="0.2">
      <c r="E59" s="113"/>
      <c r="K59" s="105"/>
      <c r="L59" s="113"/>
      <c r="M59" s="113"/>
      <c r="N59" s="113"/>
      <c r="O59" s="113"/>
      <c r="P59" s="113"/>
      <c r="Q59" s="113"/>
      <c r="R59" s="113"/>
      <c r="S59" s="113"/>
    </row>
    <row r="60" spans="1:19" x14ac:dyDescent="0.2">
      <c r="E60" s="113"/>
      <c r="K60" s="105"/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E61" s="113"/>
      <c r="K61" s="105"/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E62" s="113"/>
      <c r="K62" s="113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E63" s="113"/>
      <c r="K63" s="113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K64" s="116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hidden="1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hidden="1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hidden="1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hidden="1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hidden="1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  <c r="L90" s="113"/>
      <c r="M90" s="113"/>
      <c r="N90" s="113"/>
      <c r="O90" s="113"/>
      <c r="P90" s="113"/>
      <c r="Q90" s="113"/>
      <c r="R90" s="113"/>
      <c r="S90" s="113"/>
    </row>
    <row r="91" spans="5:19" x14ac:dyDescent="0.2">
      <c r="E91" s="113"/>
      <c r="L91" s="113"/>
      <c r="M91" s="113"/>
      <c r="N91" s="113"/>
      <c r="O91" s="113"/>
      <c r="P91" s="113"/>
      <c r="Q91" s="113"/>
      <c r="R91" s="113"/>
      <c r="S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1"/>
  <sheetViews>
    <sheetView topLeftCell="A25" zoomScale="65" zoomScaleNormal="65" workbookViewId="0">
      <selection activeCell="K52" sqref="K52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6.5" style="66" customWidth="1"/>
    <col min="12" max="12" width="12.1640625" style="65" customWidth="1"/>
    <col min="13" max="13" width="12.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/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0.4375</v>
      </c>
      <c r="B3" s="117" t="s">
        <v>54</v>
      </c>
      <c r="C3" s="70">
        <v>47999270</v>
      </c>
      <c r="D3" s="70">
        <v>48017520</v>
      </c>
      <c r="E3" s="86">
        <f t="shared" ref="E3:E37" si="0">SUM(D3-C3)</f>
        <v>18250</v>
      </c>
      <c r="F3" s="118">
        <f>SUM(E3)</f>
        <v>18250</v>
      </c>
      <c r="G3" s="40">
        <v>0.84150000000000003</v>
      </c>
      <c r="H3" s="119">
        <f t="shared" ref="H3:H37" si="1">SUM(G3*F3)</f>
        <v>15357.375</v>
      </c>
      <c r="I3" s="28">
        <v>787</v>
      </c>
      <c r="J3" s="28">
        <v>6237</v>
      </c>
      <c r="K3" s="89"/>
      <c r="L3" s="90">
        <v>0.55208333333333304</v>
      </c>
      <c r="M3" s="91" t="s">
        <v>46</v>
      </c>
      <c r="N3" s="93">
        <v>7619770</v>
      </c>
      <c r="O3" s="93">
        <v>7619850</v>
      </c>
      <c r="P3" s="94">
        <f t="shared" ref="P3:P16" si="2">SUM(O3-N3)</f>
        <v>80</v>
      </c>
      <c r="Q3" s="95">
        <v>0.83009999999999995</v>
      </c>
      <c r="R3" s="96">
        <f t="shared" ref="R3:R16" si="3">SUM(Q3*P3)</f>
        <v>66.408000000000001</v>
      </c>
      <c r="S3" s="97" t="s">
        <v>63</v>
      </c>
      <c r="V3" t="s">
        <v>41</v>
      </c>
    </row>
    <row r="4" spans="1:22" ht="16" x14ac:dyDescent="0.2">
      <c r="A4" s="84">
        <v>0.47569444444444398</v>
      </c>
      <c r="B4" s="120" t="s">
        <v>39</v>
      </c>
      <c r="C4" s="92">
        <f t="shared" ref="C4:C22" si="4">SUM(D3)</f>
        <v>48017520</v>
      </c>
      <c r="D4" s="70">
        <v>48027650</v>
      </c>
      <c r="E4" s="86">
        <f t="shared" si="0"/>
        <v>10130</v>
      </c>
      <c r="F4" s="103">
        <f>SUM(D4-C4)</f>
        <v>10130</v>
      </c>
      <c r="G4" s="40">
        <v>0.84150000000000003</v>
      </c>
      <c r="H4" s="121">
        <f t="shared" si="1"/>
        <v>8524.3950000000004</v>
      </c>
      <c r="I4" s="28">
        <v>237</v>
      </c>
      <c r="J4" s="28">
        <v>6241</v>
      </c>
      <c r="K4" s="89"/>
      <c r="L4" s="90">
        <v>0.55555555555555602</v>
      </c>
      <c r="M4" s="99" t="s">
        <v>54</v>
      </c>
      <c r="N4" s="94">
        <f>SUM(O3)</f>
        <v>7619850</v>
      </c>
      <c r="O4" s="93">
        <v>7620010</v>
      </c>
      <c r="P4" s="94">
        <f t="shared" si="2"/>
        <v>160</v>
      </c>
      <c r="Q4" s="100">
        <v>0.83919999999999995</v>
      </c>
      <c r="R4" s="96">
        <f t="shared" si="3"/>
        <v>134.27199999999999</v>
      </c>
      <c r="S4" s="97" t="s">
        <v>64</v>
      </c>
    </row>
    <row r="5" spans="1:22" ht="16" x14ac:dyDescent="0.2">
      <c r="A5" s="84">
        <v>0.48611111111111099</v>
      </c>
      <c r="B5" s="85" t="s">
        <v>39</v>
      </c>
      <c r="C5" s="92">
        <f t="shared" si="4"/>
        <v>48027650</v>
      </c>
      <c r="D5" s="70">
        <v>48038490</v>
      </c>
      <c r="E5" s="86">
        <f t="shared" si="0"/>
        <v>10840</v>
      </c>
      <c r="F5" s="103">
        <f>SUM(D5-C5)</f>
        <v>10840</v>
      </c>
      <c r="G5" s="40">
        <v>0.84150000000000003</v>
      </c>
      <c r="H5" s="121">
        <f t="shared" si="1"/>
        <v>9121.86</v>
      </c>
      <c r="I5" s="28">
        <v>248</v>
      </c>
      <c r="J5" s="28">
        <v>6242</v>
      </c>
      <c r="K5" s="89"/>
      <c r="L5" s="90">
        <v>0.59375</v>
      </c>
      <c r="M5" s="99" t="s">
        <v>39</v>
      </c>
      <c r="N5" s="94">
        <f>SUM(O4)</f>
        <v>7620010</v>
      </c>
      <c r="O5" s="93">
        <v>7620170</v>
      </c>
      <c r="P5" s="94">
        <f t="shared" si="2"/>
        <v>160</v>
      </c>
      <c r="Q5" s="95">
        <v>0.83750000000000002</v>
      </c>
      <c r="R5" s="96">
        <f t="shared" si="3"/>
        <v>134</v>
      </c>
      <c r="S5" s="97" t="s">
        <v>65</v>
      </c>
    </row>
    <row r="6" spans="1:22" ht="16" x14ac:dyDescent="0.2">
      <c r="A6" s="84">
        <v>0.49652777777777801</v>
      </c>
      <c r="B6" s="85" t="s">
        <v>39</v>
      </c>
      <c r="C6" s="92">
        <f t="shared" si="4"/>
        <v>48038490</v>
      </c>
      <c r="D6" s="70">
        <v>48047650</v>
      </c>
      <c r="E6" s="86">
        <f t="shared" si="0"/>
        <v>9160</v>
      </c>
      <c r="F6" s="118">
        <v>9161</v>
      </c>
      <c r="G6" s="40">
        <v>0.84150000000000003</v>
      </c>
      <c r="H6" s="121">
        <f t="shared" si="1"/>
        <v>7708.9814999999999</v>
      </c>
      <c r="I6" s="28">
        <v>787</v>
      </c>
      <c r="J6" s="28">
        <v>6243</v>
      </c>
      <c r="K6" s="89"/>
      <c r="L6" s="90">
        <v>0.95138888888888895</v>
      </c>
      <c r="M6" s="99" t="s">
        <v>66</v>
      </c>
      <c r="N6" s="94">
        <f>SUM(O5)</f>
        <v>7620170</v>
      </c>
      <c r="O6" s="93">
        <v>7620220</v>
      </c>
      <c r="P6" s="94">
        <f t="shared" si="2"/>
        <v>50</v>
      </c>
      <c r="Q6" s="40">
        <v>0.83260000000000001</v>
      </c>
      <c r="R6" s="96">
        <f t="shared" si="3"/>
        <v>41.63</v>
      </c>
      <c r="S6" s="97" t="s">
        <v>67</v>
      </c>
    </row>
    <row r="7" spans="1:22" ht="16" x14ac:dyDescent="0.2">
      <c r="A7" s="84">
        <v>0.49652777777777801</v>
      </c>
      <c r="B7" s="85" t="s">
        <v>39</v>
      </c>
      <c r="C7" s="92">
        <f t="shared" si="4"/>
        <v>48047650</v>
      </c>
      <c r="D7" s="70">
        <v>48056730</v>
      </c>
      <c r="E7" s="86">
        <f t="shared" si="0"/>
        <v>9080</v>
      </c>
      <c r="F7" s="118">
        <v>9080</v>
      </c>
      <c r="G7" s="40">
        <v>0.84150000000000003</v>
      </c>
      <c r="H7" s="121">
        <f t="shared" si="1"/>
        <v>7640.8200000000006</v>
      </c>
      <c r="I7" s="28">
        <v>787</v>
      </c>
      <c r="J7" s="28">
        <v>6244</v>
      </c>
      <c r="K7" s="89"/>
      <c r="L7" s="90">
        <v>0.95833333333333304</v>
      </c>
      <c r="M7" s="99" t="s">
        <v>48</v>
      </c>
      <c r="N7" s="94">
        <f>SUM(O6)</f>
        <v>7620220</v>
      </c>
      <c r="O7" s="93">
        <v>7620360</v>
      </c>
      <c r="P7" s="94">
        <f t="shared" si="2"/>
        <v>140</v>
      </c>
      <c r="Q7" s="40">
        <v>0.8327</v>
      </c>
      <c r="R7" s="96">
        <f t="shared" si="3"/>
        <v>116.578</v>
      </c>
      <c r="S7" s="97" t="s">
        <v>53</v>
      </c>
    </row>
    <row r="8" spans="1:22" ht="16" x14ac:dyDescent="0.2">
      <c r="A8" s="84">
        <v>0.54166666666666696</v>
      </c>
      <c r="B8" s="85" t="s">
        <v>39</v>
      </c>
      <c r="C8" s="92">
        <f t="shared" si="4"/>
        <v>48056730</v>
      </c>
      <c r="D8" s="70">
        <v>48074970</v>
      </c>
      <c r="E8" s="86">
        <f t="shared" si="0"/>
        <v>18240</v>
      </c>
      <c r="F8" s="118">
        <v>18241</v>
      </c>
      <c r="G8" s="40">
        <v>0.84150000000000003</v>
      </c>
      <c r="H8" s="121">
        <f t="shared" si="1"/>
        <v>15349.8015</v>
      </c>
      <c r="I8" s="28">
        <v>787</v>
      </c>
      <c r="J8" s="28">
        <v>6245</v>
      </c>
      <c r="K8" s="89"/>
      <c r="L8" s="90">
        <v>0.97916666666666696</v>
      </c>
      <c r="M8" s="91" t="s">
        <v>54</v>
      </c>
      <c r="N8" s="94">
        <f>SUM(O7)</f>
        <v>7620360</v>
      </c>
      <c r="O8" s="93">
        <v>7620550</v>
      </c>
      <c r="P8" s="94">
        <f t="shared" si="2"/>
        <v>190</v>
      </c>
      <c r="Q8" s="95">
        <v>0.83220000000000005</v>
      </c>
      <c r="R8" s="96">
        <f t="shared" si="3"/>
        <v>158.11800000000002</v>
      </c>
      <c r="S8" s="1" t="s">
        <v>43</v>
      </c>
    </row>
    <row r="9" spans="1:22" ht="16" x14ac:dyDescent="0.2">
      <c r="A9" s="84">
        <v>0.6875</v>
      </c>
      <c r="B9" s="85" t="s">
        <v>66</v>
      </c>
      <c r="C9" s="92">
        <f t="shared" si="4"/>
        <v>48074970</v>
      </c>
      <c r="D9" s="70">
        <v>48093210</v>
      </c>
      <c r="E9" s="86">
        <f t="shared" si="0"/>
        <v>18240</v>
      </c>
      <c r="F9" s="118">
        <v>18241</v>
      </c>
      <c r="G9" s="40">
        <v>0.84</v>
      </c>
      <c r="H9" s="88">
        <f t="shared" si="1"/>
        <v>15322.439999999999</v>
      </c>
      <c r="I9" s="28">
        <v>787</v>
      </c>
      <c r="J9" s="28">
        <v>6248</v>
      </c>
      <c r="K9" s="89"/>
      <c r="L9" s="90"/>
      <c r="M9" s="91"/>
      <c r="N9" s="94"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0.74305555555555503</v>
      </c>
      <c r="B10" s="85" t="s">
        <v>66</v>
      </c>
      <c r="C10" s="92">
        <f t="shared" si="4"/>
        <v>48093210</v>
      </c>
      <c r="D10" s="70">
        <v>48111470</v>
      </c>
      <c r="E10" s="86">
        <f t="shared" si="0"/>
        <v>18260</v>
      </c>
      <c r="F10" s="118">
        <v>18241</v>
      </c>
      <c r="G10" s="40">
        <v>0.84</v>
      </c>
      <c r="H10" s="88">
        <f t="shared" si="1"/>
        <v>15322.439999999999</v>
      </c>
      <c r="I10" s="28">
        <v>787</v>
      </c>
      <c r="J10" s="28">
        <v>6251</v>
      </c>
      <c r="K10" s="89"/>
      <c r="L10" s="90"/>
      <c r="M10" s="91"/>
      <c r="N10" s="94">
        <f t="shared" ref="N10:N16" si="5">SUM(O9)</f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0.79861111111111105</v>
      </c>
      <c r="B11" s="85" t="s">
        <v>66</v>
      </c>
      <c r="C11" s="92">
        <f t="shared" si="4"/>
        <v>48111470</v>
      </c>
      <c r="D11" s="70">
        <v>48129710</v>
      </c>
      <c r="E11" s="86">
        <f t="shared" si="0"/>
        <v>18240</v>
      </c>
      <c r="F11" s="118">
        <v>18241</v>
      </c>
      <c r="G11" s="40">
        <v>0.84</v>
      </c>
      <c r="H11" s="88">
        <f t="shared" si="1"/>
        <v>15322.439999999999</v>
      </c>
      <c r="I11" s="28">
        <v>787</v>
      </c>
      <c r="J11" s="28">
        <v>6253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0.88541666666666696</v>
      </c>
      <c r="B12" s="122" t="s">
        <v>48</v>
      </c>
      <c r="C12" s="92">
        <f t="shared" si="4"/>
        <v>48129710</v>
      </c>
      <c r="D12" s="70">
        <v>48136130</v>
      </c>
      <c r="E12" s="86">
        <f t="shared" si="0"/>
        <v>6420</v>
      </c>
      <c r="F12" s="103">
        <f>SUM(D12-C12)</f>
        <v>6420</v>
      </c>
      <c r="G12" s="40">
        <v>0.83450000000000002</v>
      </c>
      <c r="H12" s="123">
        <f t="shared" si="1"/>
        <v>5357.49</v>
      </c>
      <c r="I12" s="28">
        <v>237</v>
      </c>
      <c r="J12" s="28">
        <v>6258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0.90277777777777801</v>
      </c>
      <c r="B13" s="85" t="s">
        <v>48</v>
      </c>
      <c r="C13" s="92">
        <f t="shared" si="4"/>
        <v>48136130</v>
      </c>
      <c r="D13" s="70">
        <v>48145290</v>
      </c>
      <c r="E13" s="86">
        <f t="shared" si="0"/>
        <v>9160</v>
      </c>
      <c r="F13" s="118">
        <v>9161</v>
      </c>
      <c r="G13" s="40">
        <v>0.83450000000000002</v>
      </c>
      <c r="H13" s="123">
        <f t="shared" si="1"/>
        <v>7644.8545000000004</v>
      </c>
      <c r="I13" s="28">
        <v>787</v>
      </c>
      <c r="J13" s="28">
        <v>6260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0.90972222222222199</v>
      </c>
      <c r="B14" s="85" t="s">
        <v>48</v>
      </c>
      <c r="C14" s="92">
        <f t="shared" si="4"/>
        <v>48145290</v>
      </c>
      <c r="D14" s="70">
        <v>48152330</v>
      </c>
      <c r="E14" s="86">
        <f t="shared" si="0"/>
        <v>7040</v>
      </c>
      <c r="F14" s="124">
        <v>7033</v>
      </c>
      <c r="G14" s="40">
        <v>0.83450000000000002</v>
      </c>
      <c r="H14" s="123">
        <f t="shared" si="1"/>
        <v>5869.0385000000006</v>
      </c>
      <c r="I14" s="28">
        <v>251</v>
      </c>
      <c r="J14" s="28">
        <v>6262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0.9375</v>
      </c>
      <c r="B15" s="85" t="s">
        <v>48</v>
      </c>
      <c r="C15" s="92">
        <f t="shared" si="4"/>
        <v>48152330</v>
      </c>
      <c r="D15" s="70">
        <v>48170580</v>
      </c>
      <c r="E15" s="86">
        <f t="shared" si="0"/>
        <v>18250</v>
      </c>
      <c r="F15" s="118">
        <v>18241</v>
      </c>
      <c r="G15" s="40">
        <v>0.83450000000000002</v>
      </c>
      <c r="H15" s="123">
        <f t="shared" si="1"/>
        <v>15222.1145</v>
      </c>
      <c r="I15" s="28">
        <v>787</v>
      </c>
      <c r="J15" s="28">
        <v>6263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0.95486111111111105</v>
      </c>
      <c r="B16" s="85" t="s">
        <v>54</v>
      </c>
      <c r="C16" s="92">
        <f t="shared" si="4"/>
        <v>48170580</v>
      </c>
      <c r="D16" s="70">
        <v>48177620</v>
      </c>
      <c r="E16" s="86">
        <f t="shared" si="0"/>
        <v>7040</v>
      </c>
      <c r="F16" s="124">
        <v>7033</v>
      </c>
      <c r="G16" s="40">
        <v>0.83399999999999996</v>
      </c>
      <c r="H16" s="119">
        <f t="shared" si="1"/>
        <v>5865.5219999999999</v>
      </c>
      <c r="I16" s="28">
        <v>251</v>
      </c>
      <c r="J16" s="28">
        <v>6265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0.98611111111111105</v>
      </c>
      <c r="B17" s="85" t="s">
        <v>54</v>
      </c>
      <c r="C17" s="92">
        <f t="shared" si="4"/>
        <v>48177620</v>
      </c>
      <c r="D17" s="70">
        <v>48195870</v>
      </c>
      <c r="E17" s="86">
        <f t="shared" si="0"/>
        <v>18250</v>
      </c>
      <c r="F17" s="118">
        <v>18241</v>
      </c>
      <c r="G17" s="40">
        <v>0.83399999999999996</v>
      </c>
      <c r="H17" s="119">
        <f t="shared" si="1"/>
        <v>15212.993999999999</v>
      </c>
      <c r="I17" s="28">
        <v>787</v>
      </c>
      <c r="J17" s="28">
        <v>6266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0.20833333333333301</v>
      </c>
      <c r="B18" s="85" t="s">
        <v>48</v>
      </c>
      <c r="C18" s="92">
        <f t="shared" si="4"/>
        <v>48195870</v>
      </c>
      <c r="D18" s="70">
        <v>48214110</v>
      </c>
      <c r="E18" s="86">
        <f t="shared" si="0"/>
        <v>18240</v>
      </c>
      <c r="F18" s="118">
        <v>18241</v>
      </c>
      <c r="G18" s="40">
        <v>0.83630000000000004</v>
      </c>
      <c r="H18" s="123">
        <f t="shared" si="1"/>
        <v>15254.9483</v>
      </c>
      <c r="I18" s="28">
        <v>787</v>
      </c>
      <c r="J18" s="28">
        <v>6270</v>
      </c>
      <c r="K18" s="89"/>
      <c r="L18" s="90">
        <v>0.45833333333333298</v>
      </c>
      <c r="M18" s="99" t="s">
        <v>57</v>
      </c>
      <c r="N18" s="125">
        <f>D45</f>
        <v>3777830</v>
      </c>
      <c r="O18" s="93">
        <v>3777920</v>
      </c>
      <c r="P18" s="103">
        <f t="shared" ref="P18:P31" si="6">SUM(O18-N18)</f>
        <v>90</v>
      </c>
      <c r="Q18" s="40">
        <v>0.82499999999999996</v>
      </c>
      <c r="R18" s="88">
        <f t="shared" ref="R18:R31" si="7">SUM(Q18*P18)</f>
        <v>74.25</v>
      </c>
      <c r="S18" s="97" t="s">
        <v>68</v>
      </c>
      <c r="T18" t="s">
        <v>41</v>
      </c>
    </row>
    <row r="19" spans="1:20" ht="16" x14ac:dyDescent="0.2">
      <c r="A19" s="84">
        <v>0.22222222222222199</v>
      </c>
      <c r="B19" s="85" t="s">
        <v>48</v>
      </c>
      <c r="C19" s="92">
        <f t="shared" si="4"/>
        <v>48214110</v>
      </c>
      <c r="D19" s="70">
        <v>48231130</v>
      </c>
      <c r="E19" s="86">
        <f t="shared" si="0"/>
        <v>17020</v>
      </c>
      <c r="F19" s="124">
        <v>17019</v>
      </c>
      <c r="G19" s="40">
        <v>0.83630000000000004</v>
      </c>
      <c r="H19" s="123">
        <f t="shared" si="1"/>
        <v>14232.9897</v>
      </c>
      <c r="I19" s="28">
        <v>251</v>
      </c>
      <c r="J19" s="28">
        <v>6271</v>
      </c>
      <c r="K19" s="89"/>
      <c r="L19" s="90">
        <v>0.21527777777777801</v>
      </c>
      <c r="M19" s="99" t="s">
        <v>50</v>
      </c>
      <c r="N19" s="92">
        <f>D62</f>
        <v>3933330</v>
      </c>
      <c r="O19" s="93">
        <v>3933470</v>
      </c>
      <c r="P19" s="103">
        <f t="shared" si="6"/>
        <v>140</v>
      </c>
      <c r="Q19" s="40">
        <v>0.8397</v>
      </c>
      <c r="R19" s="88">
        <f t="shared" si="7"/>
        <v>117.55800000000001</v>
      </c>
      <c r="S19" s="97" t="s">
        <v>69</v>
      </c>
    </row>
    <row r="20" spans="1:20" ht="16" x14ac:dyDescent="0.2">
      <c r="A20" s="84">
        <v>0.25694444444444398</v>
      </c>
      <c r="B20" s="85" t="s">
        <v>54</v>
      </c>
      <c r="C20" s="92">
        <f t="shared" si="4"/>
        <v>48231130</v>
      </c>
      <c r="D20" s="70">
        <v>48249390</v>
      </c>
      <c r="E20" s="86">
        <f t="shared" si="0"/>
        <v>18260</v>
      </c>
      <c r="F20" s="118">
        <v>18241</v>
      </c>
      <c r="G20" s="40">
        <v>0.83599999999999997</v>
      </c>
      <c r="H20" s="119">
        <f t="shared" si="1"/>
        <v>15249.475999999999</v>
      </c>
      <c r="I20" s="1">
        <v>787</v>
      </c>
      <c r="J20" s="28">
        <v>6272</v>
      </c>
      <c r="K20" s="89"/>
      <c r="L20" s="90"/>
      <c r="M20" s="99"/>
      <c r="N20" s="92"/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ht="16" x14ac:dyDescent="0.2">
      <c r="A21" s="84">
        <v>0.30555555555555503</v>
      </c>
      <c r="B21" s="85" t="s">
        <v>54</v>
      </c>
      <c r="C21" s="92">
        <f t="shared" si="4"/>
        <v>48249390</v>
      </c>
      <c r="D21" s="70">
        <v>48267630</v>
      </c>
      <c r="E21" s="86">
        <f t="shared" si="0"/>
        <v>18240</v>
      </c>
      <c r="F21" s="118">
        <v>18241</v>
      </c>
      <c r="G21" s="40">
        <v>0.83599999999999997</v>
      </c>
      <c r="H21" s="119">
        <f t="shared" si="1"/>
        <v>15249.475999999999</v>
      </c>
      <c r="I21" s="1">
        <v>251</v>
      </c>
      <c r="J21" s="28">
        <v>6274</v>
      </c>
      <c r="K21" s="89"/>
      <c r="L21" s="90"/>
      <c r="M21" s="99"/>
      <c r="N21" s="92">
        <f t="shared" ref="N21:N31" si="8">SUM(O20)</f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ht="16" x14ac:dyDescent="0.2">
      <c r="A22" s="84">
        <v>0.31944444444444398</v>
      </c>
      <c r="B22" s="85" t="s">
        <v>54</v>
      </c>
      <c r="C22" s="92">
        <f t="shared" si="4"/>
        <v>48267630</v>
      </c>
      <c r="D22" s="70">
        <v>48284650</v>
      </c>
      <c r="E22" s="86">
        <f t="shared" si="0"/>
        <v>17020</v>
      </c>
      <c r="F22" s="124">
        <v>17019</v>
      </c>
      <c r="G22" s="40">
        <v>0.83599999999999997</v>
      </c>
      <c r="H22" s="119">
        <f t="shared" si="1"/>
        <v>14227.884</v>
      </c>
      <c r="I22" s="1">
        <v>787</v>
      </c>
      <c r="J22" s="28">
        <v>6275</v>
      </c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x14ac:dyDescent="0.2">
      <c r="A23" s="84"/>
      <c r="B23" s="85"/>
      <c r="C23" s="92">
        <v>0</v>
      </c>
      <c r="D23" s="70"/>
      <c r="E23" s="86">
        <f t="shared" si="0"/>
        <v>0</v>
      </c>
      <c r="F23" s="103">
        <f t="shared" ref="F23:F37" si="9">SUM(D23-C23)</f>
        <v>0</v>
      </c>
      <c r="G23" s="40"/>
      <c r="H23" s="88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x14ac:dyDescent="0.2">
      <c r="A24" s="84"/>
      <c r="B24" s="85"/>
      <c r="C24" s="92">
        <f t="shared" ref="C24:C38" si="10">SUM(D23)</f>
        <v>0</v>
      </c>
      <c r="D24" s="70"/>
      <c r="E24" s="86">
        <f t="shared" si="0"/>
        <v>0</v>
      </c>
      <c r="F24" s="103">
        <f t="shared" si="9"/>
        <v>0</v>
      </c>
      <c r="G24" s="40"/>
      <c r="H24" s="88">
        <f t="shared" si="1"/>
        <v>0</v>
      </c>
      <c r="I24" s="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x14ac:dyDescent="0.2">
      <c r="A25" s="84"/>
      <c r="B25" s="85"/>
      <c r="C25" s="92">
        <f t="shared" si="10"/>
        <v>0</v>
      </c>
      <c r="D25" s="70"/>
      <c r="E25" s="86">
        <f t="shared" si="0"/>
        <v>0</v>
      </c>
      <c r="F25" s="103">
        <f t="shared" si="9"/>
        <v>0</v>
      </c>
      <c r="G25" s="40"/>
      <c r="H25" s="88">
        <f t="shared" si="1"/>
        <v>0</v>
      </c>
      <c r="I25" s="1"/>
      <c r="J25" s="28"/>
      <c r="K25" s="89"/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hidden="1" x14ac:dyDescent="0.2">
      <c r="A26" s="84"/>
      <c r="B26" s="85"/>
      <c r="C26" s="92">
        <f t="shared" si="10"/>
        <v>0</v>
      </c>
      <c r="D26" s="70"/>
      <c r="E26" s="86">
        <f t="shared" si="0"/>
        <v>0</v>
      </c>
      <c r="F26" s="103">
        <f t="shared" si="9"/>
        <v>0</v>
      </c>
      <c r="G26" s="40"/>
      <c r="H26" s="88">
        <f t="shared" si="1"/>
        <v>0</v>
      </c>
      <c r="I26" s="1"/>
      <c r="J26" s="28"/>
      <c r="K26" s="89"/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hidden="1" x14ac:dyDescent="0.2">
      <c r="A27" s="84"/>
      <c r="B27" s="85"/>
      <c r="C27" s="92">
        <f t="shared" si="10"/>
        <v>0</v>
      </c>
      <c r="D27" s="70"/>
      <c r="E27" s="86">
        <f t="shared" si="0"/>
        <v>0</v>
      </c>
      <c r="F27" s="103">
        <f t="shared" si="9"/>
        <v>0</v>
      </c>
      <c r="G27" s="40"/>
      <c r="H27" s="88">
        <f t="shared" si="1"/>
        <v>0</v>
      </c>
      <c r="I27" s="1"/>
      <c r="J27" s="28"/>
      <c r="K27" s="89"/>
      <c r="L27" s="90"/>
      <c r="M27" s="91"/>
      <c r="N27" s="92">
        <f t="shared" si="8"/>
        <v>0</v>
      </c>
      <c r="O27" s="93"/>
      <c r="P27" s="103">
        <f t="shared" si="6"/>
        <v>0</v>
      </c>
      <c r="Q27" s="95"/>
      <c r="R27" s="88">
        <f t="shared" si="7"/>
        <v>0</v>
      </c>
      <c r="S27" s="1"/>
    </row>
    <row r="28" spans="1:20" hidden="1" x14ac:dyDescent="0.2">
      <c r="A28" s="84"/>
      <c r="B28" s="85"/>
      <c r="C28" s="92">
        <f t="shared" si="10"/>
        <v>0</v>
      </c>
      <c r="D28" s="70"/>
      <c r="E28" s="86">
        <f t="shared" si="0"/>
        <v>0</v>
      </c>
      <c r="F28" s="103">
        <f t="shared" si="9"/>
        <v>0</v>
      </c>
      <c r="G28" s="40"/>
      <c r="H28" s="88">
        <f t="shared" si="1"/>
        <v>0</v>
      </c>
      <c r="I28" s="1"/>
      <c r="J28" s="28"/>
      <c r="K28" s="89"/>
      <c r="L28" s="90"/>
      <c r="M28" s="91"/>
      <c r="N28" s="92">
        <f t="shared" si="8"/>
        <v>0</v>
      </c>
      <c r="O28" s="93"/>
      <c r="P28" s="103">
        <f t="shared" si="6"/>
        <v>0</v>
      </c>
      <c r="Q28" s="95"/>
      <c r="R28" s="88">
        <f t="shared" si="7"/>
        <v>0</v>
      </c>
      <c r="S28" s="1"/>
    </row>
    <row r="29" spans="1:20" hidden="1" x14ac:dyDescent="0.2">
      <c r="A29" s="84"/>
      <c r="B29" s="85"/>
      <c r="C29" s="92">
        <f t="shared" si="10"/>
        <v>0</v>
      </c>
      <c r="D29" s="70"/>
      <c r="E29" s="86">
        <f t="shared" si="0"/>
        <v>0</v>
      </c>
      <c r="F29" s="103">
        <f t="shared" si="9"/>
        <v>0</v>
      </c>
      <c r="G29" s="40"/>
      <c r="H29" s="88">
        <f t="shared" si="1"/>
        <v>0</v>
      </c>
      <c r="I29" s="1"/>
      <c r="J29" s="28"/>
      <c r="K29" s="89"/>
      <c r="L29" s="90"/>
      <c r="M29" s="91"/>
      <c r="N29" s="92">
        <f t="shared" si="8"/>
        <v>0</v>
      </c>
      <c r="O29" s="93"/>
      <c r="P29" s="103">
        <f t="shared" si="6"/>
        <v>0</v>
      </c>
      <c r="Q29" s="95"/>
      <c r="R29" s="88">
        <f t="shared" si="7"/>
        <v>0</v>
      </c>
      <c r="S29" s="1"/>
    </row>
    <row r="30" spans="1:20" hidden="1" x14ac:dyDescent="0.2">
      <c r="A30" s="84"/>
      <c r="B30" s="85"/>
      <c r="C30" s="92">
        <f t="shared" si="10"/>
        <v>0</v>
      </c>
      <c r="D30" s="70"/>
      <c r="E30" s="86">
        <f t="shared" si="0"/>
        <v>0</v>
      </c>
      <c r="F30" s="103">
        <f t="shared" si="9"/>
        <v>0</v>
      </c>
      <c r="G30" s="40"/>
      <c r="H30" s="88">
        <f t="shared" si="1"/>
        <v>0</v>
      </c>
      <c r="I30" s="1"/>
      <c r="J30" s="28"/>
      <c r="K30" s="105"/>
      <c r="L30" s="90"/>
      <c r="M30" s="91"/>
      <c r="N30" s="92">
        <f t="shared" si="8"/>
        <v>0</v>
      </c>
      <c r="O30" s="93"/>
      <c r="P30" s="103">
        <f t="shared" si="6"/>
        <v>0</v>
      </c>
      <c r="Q30" s="95"/>
      <c r="R30" s="88">
        <f t="shared" si="7"/>
        <v>0</v>
      </c>
      <c r="S30" s="1"/>
    </row>
    <row r="31" spans="1:20" hidden="1" x14ac:dyDescent="0.2">
      <c r="A31" s="84"/>
      <c r="B31" s="85"/>
      <c r="C31" s="92">
        <f t="shared" si="10"/>
        <v>0</v>
      </c>
      <c r="D31" s="70"/>
      <c r="E31" s="86">
        <f t="shared" si="0"/>
        <v>0</v>
      </c>
      <c r="F31" s="103">
        <f t="shared" si="9"/>
        <v>0</v>
      </c>
      <c r="G31" s="40"/>
      <c r="H31" s="88">
        <f t="shared" si="1"/>
        <v>0</v>
      </c>
      <c r="I31" s="1"/>
      <c r="J31" s="28"/>
      <c r="K31" s="89"/>
      <c r="L31" s="90"/>
      <c r="M31" s="91"/>
      <c r="N31" s="92">
        <f t="shared" si="8"/>
        <v>0</v>
      </c>
      <c r="O31" s="93"/>
      <c r="P31" s="103">
        <f t="shared" si="6"/>
        <v>0</v>
      </c>
      <c r="Q31" s="95"/>
      <c r="R31" s="88">
        <f t="shared" si="7"/>
        <v>0</v>
      </c>
      <c r="S31" s="1"/>
    </row>
    <row r="32" spans="1:20" hidden="1" x14ac:dyDescent="0.2">
      <c r="A32" s="84"/>
      <c r="B32" s="85"/>
      <c r="C32" s="92">
        <f t="shared" si="10"/>
        <v>0</v>
      </c>
      <c r="D32" s="70"/>
      <c r="E32" s="86">
        <f t="shared" si="0"/>
        <v>0</v>
      </c>
      <c r="F32" s="103">
        <f t="shared" si="9"/>
        <v>0</v>
      </c>
      <c r="G32" s="40"/>
      <c r="H32" s="88">
        <f t="shared" si="1"/>
        <v>0</v>
      </c>
      <c r="I32" s="1"/>
      <c r="J32" s="28"/>
      <c r="K32" s="89"/>
      <c r="L32" s="107"/>
      <c r="M32" s="108"/>
      <c r="N32" s="108"/>
      <c r="O32" s="109"/>
      <c r="P32" s="110"/>
      <c r="Q32" s="111"/>
      <c r="R32" s="112"/>
      <c r="S32" s="112"/>
    </row>
    <row r="33" spans="1:19" hidden="1" x14ac:dyDescent="0.2">
      <c r="A33" s="84"/>
      <c r="B33" s="85"/>
      <c r="C33" s="92">
        <f t="shared" si="10"/>
        <v>0</v>
      </c>
      <c r="D33" s="70"/>
      <c r="E33" s="86">
        <f t="shared" si="0"/>
        <v>0</v>
      </c>
      <c r="F33" s="103">
        <f t="shared" si="9"/>
        <v>0</v>
      </c>
      <c r="G33" s="40"/>
      <c r="H33" s="88">
        <f t="shared" si="1"/>
        <v>0</v>
      </c>
      <c r="I33" s="1"/>
      <c r="J33" s="28"/>
      <c r="K33" s="89"/>
      <c r="L33" s="113"/>
      <c r="M33" s="113"/>
      <c r="N33" s="113"/>
      <c r="O33" s="113"/>
      <c r="P33" s="113"/>
      <c r="Q33" s="113"/>
      <c r="R33" s="113"/>
      <c r="S33" s="113"/>
    </row>
    <row r="34" spans="1:19" hidden="1" x14ac:dyDescent="0.2">
      <c r="A34" s="84"/>
      <c r="B34" s="85"/>
      <c r="C34" s="92">
        <f t="shared" si="10"/>
        <v>0</v>
      </c>
      <c r="D34" s="70"/>
      <c r="E34" s="86">
        <f t="shared" si="0"/>
        <v>0</v>
      </c>
      <c r="F34" s="103">
        <f t="shared" si="9"/>
        <v>0</v>
      </c>
      <c r="G34" s="40"/>
      <c r="H34" s="88">
        <f t="shared" si="1"/>
        <v>0</v>
      </c>
      <c r="I34" s="1"/>
      <c r="J34" s="28"/>
      <c r="K34" s="89"/>
      <c r="L34" s="113"/>
      <c r="M34" s="113"/>
      <c r="N34" s="113"/>
      <c r="O34" s="113"/>
      <c r="P34" s="113"/>
      <c r="Q34" s="113"/>
      <c r="R34" s="113"/>
      <c r="S34" s="113"/>
    </row>
    <row r="35" spans="1:19" hidden="1" x14ac:dyDescent="0.2">
      <c r="A35" s="84"/>
      <c r="B35" s="85"/>
      <c r="C35" s="92">
        <f t="shared" si="10"/>
        <v>0</v>
      </c>
      <c r="D35" s="70"/>
      <c r="E35" s="86">
        <f t="shared" si="0"/>
        <v>0</v>
      </c>
      <c r="F35" s="103">
        <f t="shared" si="9"/>
        <v>0</v>
      </c>
      <c r="G35" s="40"/>
      <c r="H35" s="88">
        <f t="shared" si="1"/>
        <v>0</v>
      </c>
      <c r="I35" s="1"/>
      <c r="J35" s="28"/>
      <c r="K35" s="89"/>
      <c r="L35" s="113"/>
      <c r="M35" s="113"/>
      <c r="N35" s="113"/>
      <c r="O35" s="113"/>
      <c r="P35" s="113"/>
      <c r="Q35" s="113"/>
      <c r="R35" s="113"/>
      <c r="S35" s="113"/>
    </row>
    <row r="36" spans="1:19" hidden="1" x14ac:dyDescent="0.2">
      <c r="A36" s="84"/>
      <c r="B36" s="85"/>
      <c r="C36" s="92">
        <f t="shared" si="10"/>
        <v>0</v>
      </c>
      <c r="D36" s="70"/>
      <c r="E36" s="86">
        <f t="shared" si="0"/>
        <v>0</v>
      </c>
      <c r="F36" s="103">
        <f t="shared" si="9"/>
        <v>0</v>
      </c>
      <c r="G36" s="40"/>
      <c r="H36" s="88">
        <f t="shared" si="1"/>
        <v>0</v>
      </c>
      <c r="I36" s="1"/>
      <c r="J36" s="28"/>
      <c r="K36" s="89"/>
      <c r="L36" s="113"/>
      <c r="M36" s="113"/>
      <c r="N36" s="113"/>
      <c r="O36" s="113"/>
      <c r="P36" s="113"/>
      <c r="Q36" s="113"/>
      <c r="R36" s="113"/>
      <c r="S36" s="113"/>
    </row>
    <row r="37" spans="1:19" hidden="1" x14ac:dyDescent="0.2">
      <c r="A37" s="84"/>
      <c r="B37" s="85"/>
      <c r="C37" s="92">
        <f t="shared" si="10"/>
        <v>0</v>
      </c>
      <c r="D37" s="70"/>
      <c r="E37" s="86">
        <f t="shared" si="0"/>
        <v>0</v>
      </c>
      <c r="F37" s="126">
        <f t="shared" si="9"/>
        <v>0</v>
      </c>
      <c r="G37" s="40"/>
      <c r="H37" s="127">
        <f t="shared" si="1"/>
        <v>0</v>
      </c>
      <c r="I37" s="1"/>
      <c r="J37" s="1"/>
      <c r="K37" s="89"/>
      <c r="L37" s="113"/>
      <c r="M37" s="113"/>
      <c r="N37" s="113"/>
      <c r="O37" s="113"/>
      <c r="P37" s="113"/>
      <c r="Q37" s="113"/>
      <c r="R37" s="113"/>
      <c r="S37" s="113"/>
    </row>
    <row r="38" spans="1:19" x14ac:dyDescent="0.2">
      <c r="A38" s="84"/>
      <c r="B38" s="85"/>
      <c r="C38" s="92">
        <f t="shared" si="10"/>
        <v>0</v>
      </c>
      <c r="D38" s="70"/>
      <c r="E38" s="104"/>
      <c r="F38" s="128">
        <f>SUM(F3:F37)</f>
        <v>285315</v>
      </c>
      <c r="G38" s="129"/>
      <c r="H38" s="130">
        <f>SUM(H3:H25)</f>
        <v>239057.34049999999</v>
      </c>
      <c r="I38" s="131"/>
      <c r="J38" s="1"/>
      <c r="L38" s="113"/>
      <c r="M38" s="113"/>
      <c r="N38" s="113"/>
      <c r="O38" s="113"/>
      <c r="P38" s="113"/>
      <c r="Q38" s="113"/>
      <c r="R38" s="113"/>
      <c r="S38" s="113"/>
    </row>
    <row r="39" spans="1:19" x14ac:dyDescent="0.2">
      <c r="A39" s="83"/>
      <c r="B39" s="76" t="s">
        <v>49</v>
      </c>
      <c r="C39" s="77"/>
      <c r="D39" s="77"/>
      <c r="E39" s="77"/>
      <c r="F39" s="132"/>
      <c r="G39" s="78"/>
      <c r="H39" s="133"/>
      <c r="I39" s="80"/>
      <c r="J39" s="80"/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0.41666666666666702</v>
      </c>
      <c r="B40" s="122" t="s">
        <v>59</v>
      </c>
      <c r="C40" s="102">
        <v>3720040</v>
      </c>
      <c r="D40" s="102">
        <v>3736950</v>
      </c>
      <c r="E40" s="86">
        <f t="shared" ref="E40:E65" si="11">SUM(D40-C40)</f>
        <v>16910</v>
      </c>
      <c r="F40" s="124">
        <v>17019</v>
      </c>
      <c r="G40" s="40">
        <v>0.8286</v>
      </c>
      <c r="H40" s="123">
        <f t="shared" ref="H40:H64" si="12">SUM(G40*F40)</f>
        <v>14101.9434</v>
      </c>
      <c r="I40" s="28">
        <v>251</v>
      </c>
      <c r="J40" s="28">
        <v>6234</v>
      </c>
      <c r="K40" s="115" t="s">
        <v>60</v>
      </c>
      <c r="L40" s="113"/>
      <c r="M40" s="113"/>
      <c r="N40" s="113"/>
      <c r="O40" s="113"/>
      <c r="P40" s="113"/>
      <c r="Q40" s="113"/>
      <c r="R40" s="113"/>
      <c r="S40" s="113"/>
    </row>
    <row r="41" spans="1:19" ht="14.25" customHeight="1" x14ac:dyDescent="0.2">
      <c r="A41" s="84">
        <v>0.43055555555555602</v>
      </c>
      <c r="B41" s="85" t="s">
        <v>59</v>
      </c>
      <c r="C41" s="92">
        <f>SUM(D40)</f>
        <v>3736950</v>
      </c>
      <c r="D41" s="102">
        <v>3743340</v>
      </c>
      <c r="E41" s="86">
        <f t="shared" si="11"/>
        <v>6390</v>
      </c>
      <c r="F41" s="103">
        <f>SUM(D41-C41)</f>
        <v>6390</v>
      </c>
      <c r="G41" s="40">
        <v>0.8286</v>
      </c>
      <c r="H41" s="123">
        <f t="shared" si="12"/>
        <v>5294.7539999999999</v>
      </c>
      <c r="I41" s="28">
        <v>382</v>
      </c>
      <c r="J41" s="28">
        <v>6235</v>
      </c>
      <c r="K41" s="115" t="s">
        <v>60</v>
      </c>
      <c r="L41" s="113"/>
      <c r="M41" s="113"/>
      <c r="N41" s="113"/>
      <c r="O41" s="113"/>
      <c r="P41" s="113"/>
      <c r="Q41" s="113"/>
      <c r="R41" s="113"/>
      <c r="S41" s="113"/>
    </row>
    <row r="42" spans="1:19" ht="15" customHeight="1" x14ac:dyDescent="0.2">
      <c r="A42" s="84">
        <v>0.4375</v>
      </c>
      <c r="B42" s="85" t="s">
        <v>59</v>
      </c>
      <c r="C42" s="92">
        <f>SUM(D41)</f>
        <v>3743340</v>
      </c>
      <c r="D42" s="102">
        <v>3749410</v>
      </c>
      <c r="E42" s="86">
        <f t="shared" si="11"/>
        <v>6070</v>
      </c>
      <c r="F42" s="103">
        <f>SUM(D42-C42)</f>
        <v>6070</v>
      </c>
      <c r="G42" s="40">
        <v>0.8286</v>
      </c>
      <c r="H42" s="123">
        <f t="shared" si="12"/>
        <v>5029.6019999999999</v>
      </c>
      <c r="I42" s="28">
        <v>81</v>
      </c>
      <c r="J42" s="28">
        <v>6236</v>
      </c>
      <c r="K42" s="115" t="s">
        <v>60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0.44791666666666702</v>
      </c>
      <c r="B43" s="85" t="s">
        <v>59</v>
      </c>
      <c r="C43" s="92">
        <f>SUM(D42)</f>
        <v>3749410</v>
      </c>
      <c r="D43" s="102">
        <v>3755860</v>
      </c>
      <c r="E43" s="86">
        <f t="shared" si="11"/>
        <v>6450</v>
      </c>
      <c r="F43" s="103">
        <f>SUM(D43-C43)</f>
        <v>6450</v>
      </c>
      <c r="G43" s="40">
        <v>0.8286</v>
      </c>
      <c r="H43" s="123">
        <f t="shared" si="12"/>
        <v>5344.47</v>
      </c>
      <c r="I43" s="28">
        <v>57</v>
      </c>
      <c r="J43" s="28">
        <v>6238</v>
      </c>
      <c r="K43" s="115" t="s">
        <v>60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0.45833333333333298</v>
      </c>
      <c r="B44" s="117" t="s">
        <v>57</v>
      </c>
      <c r="C44" s="92">
        <f>SUM(D43)</f>
        <v>3755860</v>
      </c>
      <c r="D44" s="102">
        <v>3760830</v>
      </c>
      <c r="E44" s="86">
        <f t="shared" si="11"/>
        <v>4970</v>
      </c>
      <c r="F44" s="103">
        <f>SUM(D44-C44)</f>
        <v>4970</v>
      </c>
      <c r="G44" s="40">
        <v>0.82779999999999998</v>
      </c>
      <c r="H44" s="119">
        <f t="shared" si="12"/>
        <v>4114.1660000000002</v>
      </c>
      <c r="I44" s="28">
        <v>119</v>
      </c>
      <c r="J44" s="28">
        <v>6239</v>
      </c>
      <c r="K44" s="114" t="s">
        <v>58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0.46527777777777801</v>
      </c>
      <c r="B45" s="134" t="s">
        <v>62</v>
      </c>
      <c r="C45" s="92">
        <f>SUM(D44)</f>
        <v>3760830</v>
      </c>
      <c r="D45" s="102">
        <v>3777830</v>
      </c>
      <c r="E45" s="86">
        <f t="shared" si="11"/>
        <v>17000</v>
      </c>
      <c r="F45" s="124">
        <v>17019</v>
      </c>
      <c r="G45" s="40">
        <v>0.83099999999999996</v>
      </c>
      <c r="H45" s="135">
        <f t="shared" si="12"/>
        <v>14142.788999999999</v>
      </c>
      <c r="I45" s="28">
        <v>251</v>
      </c>
      <c r="J45" s="28">
        <v>6240</v>
      </c>
      <c r="K45" s="114" t="s">
        <v>58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0.58333333333333304</v>
      </c>
      <c r="B46" s="85" t="s">
        <v>59</v>
      </c>
      <c r="C46" s="92">
        <f>O18</f>
        <v>3777920</v>
      </c>
      <c r="D46" s="102">
        <v>3785880</v>
      </c>
      <c r="E46" s="86">
        <f t="shared" si="11"/>
        <v>7960</v>
      </c>
      <c r="F46" s="103">
        <f>SUM(D46-C46)</f>
        <v>7960</v>
      </c>
      <c r="G46" s="40">
        <v>0.8286</v>
      </c>
      <c r="H46" s="123">
        <f t="shared" si="12"/>
        <v>6595.6559999999999</v>
      </c>
      <c r="I46" s="28">
        <v>81</v>
      </c>
      <c r="J46" s="28">
        <v>6246</v>
      </c>
      <c r="K46" s="115" t="s">
        <v>60</v>
      </c>
      <c r="L46" s="113"/>
      <c r="M46" s="113"/>
      <c r="N46" s="89"/>
      <c r="O46" s="113"/>
      <c r="P46" s="113"/>
      <c r="Q46" s="113"/>
      <c r="R46" s="113"/>
      <c r="S46" s="113"/>
    </row>
    <row r="47" spans="1:19" ht="16" x14ac:dyDescent="0.2">
      <c r="A47" s="84">
        <v>0.59375</v>
      </c>
      <c r="B47" s="85" t="s">
        <v>59</v>
      </c>
      <c r="C47" s="92">
        <f t="shared" ref="C47:C62" si="13">SUM(D46)</f>
        <v>3785880</v>
      </c>
      <c r="D47" s="102">
        <v>3793740</v>
      </c>
      <c r="E47" s="86">
        <f t="shared" si="11"/>
        <v>7860</v>
      </c>
      <c r="F47" s="103">
        <f>SUM(D47-C47)</f>
        <v>7860</v>
      </c>
      <c r="G47" s="40">
        <v>0.8286</v>
      </c>
      <c r="H47" s="123">
        <f t="shared" si="12"/>
        <v>6512.7960000000003</v>
      </c>
      <c r="I47" s="28">
        <v>57</v>
      </c>
      <c r="J47" s="28">
        <v>6247</v>
      </c>
      <c r="K47" s="115" t="s">
        <v>60</v>
      </c>
      <c r="L47" s="113"/>
      <c r="M47" s="113"/>
      <c r="N47" s="89"/>
      <c r="O47" s="113"/>
      <c r="P47" s="113"/>
      <c r="Q47" s="113"/>
      <c r="R47" s="113"/>
      <c r="S47" s="113"/>
    </row>
    <row r="48" spans="1:19" ht="16" x14ac:dyDescent="0.2">
      <c r="A48" s="84">
        <v>0.71875</v>
      </c>
      <c r="B48" s="120" t="s">
        <v>61</v>
      </c>
      <c r="C48" s="92">
        <f t="shared" si="13"/>
        <v>3793740</v>
      </c>
      <c r="D48" s="102">
        <v>3803720</v>
      </c>
      <c r="E48" s="86">
        <f t="shared" si="11"/>
        <v>9980</v>
      </c>
      <c r="F48" s="124">
        <v>9986</v>
      </c>
      <c r="G48" s="40">
        <v>0.82799999999999996</v>
      </c>
      <c r="H48" s="121">
        <f t="shared" si="12"/>
        <v>8268.4079999999994</v>
      </c>
      <c r="I48" s="28">
        <v>251</v>
      </c>
      <c r="J48" s="28">
        <v>6249</v>
      </c>
      <c r="K48" s="136" t="s">
        <v>70</v>
      </c>
      <c r="L48" s="113"/>
      <c r="M48" s="113"/>
      <c r="N48" s="89"/>
      <c r="O48" s="113"/>
      <c r="P48" s="113"/>
      <c r="Q48" s="113"/>
      <c r="R48" s="113"/>
      <c r="S48" s="113"/>
    </row>
    <row r="49" spans="1:19" ht="15" customHeight="1" x14ac:dyDescent="0.2">
      <c r="A49" s="84">
        <v>0.71875</v>
      </c>
      <c r="B49" s="85" t="s">
        <v>61</v>
      </c>
      <c r="C49" s="92">
        <f t="shared" si="13"/>
        <v>3803720</v>
      </c>
      <c r="D49" s="102">
        <v>3810800</v>
      </c>
      <c r="E49" s="86">
        <f t="shared" si="11"/>
        <v>7080</v>
      </c>
      <c r="F49" s="124">
        <v>7033</v>
      </c>
      <c r="G49" s="40">
        <v>0.82799999999999996</v>
      </c>
      <c r="H49" s="121">
        <f t="shared" si="12"/>
        <v>5823.3239999999996</v>
      </c>
      <c r="I49" s="28">
        <v>251</v>
      </c>
      <c r="J49" s="28">
        <v>6250</v>
      </c>
      <c r="K49" s="136" t="s">
        <v>70</v>
      </c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0.78472222222222199</v>
      </c>
      <c r="B50" s="85" t="s">
        <v>62</v>
      </c>
      <c r="C50" s="92">
        <f t="shared" si="13"/>
        <v>3810800</v>
      </c>
      <c r="D50" s="102">
        <v>3827760</v>
      </c>
      <c r="E50" s="86">
        <f t="shared" si="11"/>
        <v>16960</v>
      </c>
      <c r="F50" s="124">
        <v>17019</v>
      </c>
      <c r="G50" s="40">
        <v>0.82950000000000002</v>
      </c>
      <c r="H50" s="135">
        <f t="shared" si="12"/>
        <v>14117.2605</v>
      </c>
      <c r="I50" s="28">
        <v>251</v>
      </c>
      <c r="J50" s="28">
        <v>6252</v>
      </c>
      <c r="K50" s="114" t="s">
        <v>58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0.79861111111111105</v>
      </c>
      <c r="B51" s="85" t="s">
        <v>61</v>
      </c>
      <c r="C51" s="92">
        <f t="shared" si="13"/>
        <v>3827760</v>
      </c>
      <c r="D51" s="102">
        <v>3834520</v>
      </c>
      <c r="E51" s="86">
        <f t="shared" si="11"/>
        <v>6760</v>
      </c>
      <c r="F51" s="103">
        <f>SUM(D51-C51)</f>
        <v>6760</v>
      </c>
      <c r="G51" s="40">
        <v>0.82799999999999996</v>
      </c>
      <c r="H51" s="121">
        <f t="shared" si="12"/>
        <v>5597.28</v>
      </c>
      <c r="I51" s="28">
        <v>81</v>
      </c>
      <c r="J51" s="28">
        <v>6254</v>
      </c>
      <c r="K51" s="136" t="s">
        <v>70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0.82638888888888895</v>
      </c>
      <c r="B52" s="85" t="s">
        <v>61</v>
      </c>
      <c r="C52" s="92">
        <f t="shared" si="13"/>
        <v>3834520</v>
      </c>
      <c r="D52" s="102">
        <v>3844500</v>
      </c>
      <c r="E52" s="86">
        <f t="shared" si="11"/>
        <v>9980</v>
      </c>
      <c r="F52" s="124">
        <v>9986</v>
      </c>
      <c r="G52" s="40">
        <v>0.82799999999999996</v>
      </c>
      <c r="H52" s="121">
        <f t="shared" si="12"/>
        <v>8268.4079999999994</v>
      </c>
      <c r="I52" s="28">
        <v>251</v>
      </c>
      <c r="J52" s="28">
        <v>6255</v>
      </c>
      <c r="K52" s="136" t="s">
        <v>70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0.82638888888888895</v>
      </c>
      <c r="B53" s="85" t="s">
        <v>61</v>
      </c>
      <c r="C53" s="92">
        <f t="shared" si="13"/>
        <v>3844500</v>
      </c>
      <c r="D53" s="102">
        <v>3851570</v>
      </c>
      <c r="E53" s="86">
        <f t="shared" si="11"/>
        <v>7070</v>
      </c>
      <c r="F53" s="124">
        <v>7033</v>
      </c>
      <c r="G53" s="40">
        <v>0.82799999999999996</v>
      </c>
      <c r="H53" s="121">
        <f t="shared" si="12"/>
        <v>5823.3239999999996</v>
      </c>
      <c r="I53" s="28">
        <v>251</v>
      </c>
      <c r="J53" s="28">
        <v>6255</v>
      </c>
      <c r="K53" s="115" t="s">
        <v>60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0.875</v>
      </c>
      <c r="B54" s="85" t="s">
        <v>62</v>
      </c>
      <c r="C54" s="92">
        <f t="shared" si="13"/>
        <v>3851570</v>
      </c>
      <c r="D54" s="102">
        <v>3862680</v>
      </c>
      <c r="E54" s="86">
        <f t="shared" si="11"/>
        <v>11110</v>
      </c>
      <c r="F54" s="103">
        <f>SUM(D54-C54)</f>
        <v>11110</v>
      </c>
      <c r="G54" s="40">
        <v>0.82899999999999996</v>
      </c>
      <c r="H54" s="135">
        <f t="shared" si="12"/>
        <v>9210.1899999999987</v>
      </c>
      <c r="I54" s="1">
        <v>119</v>
      </c>
      <c r="J54" s="28">
        <v>6256</v>
      </c>
      <c r="K54" s="114" t="s">
        <v>58</v>
      </c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0.88541666666666696</v>
      </c>
      <c r="B55" s="85" t="s">
        <v>61</v>
      </c>
      <c r="C55" s="92">
        <f t="shared" si="13"/>
        <v>3862680</v>
      </c>
      <c r="D55" s="102">
        <v>3872220</v>
      </c>
      <c r="E55" s="86">
        <f t="shared" si="11"/>
        <v>9540</v>
      </c>
      <c r="F55" s="137">
        <v>9540</v>
      </c>
      <c r="G55" s="40">
        <v>0.82650000000000001</v>
      </c>
      <c r="H55" s="121">
        <f t="shared" si="12"/>
        <v>7884.81</v>
      </c>
      <c r="I55" s="1">
        <v>467</v>
      </c>
      <c r="J55" s="28">
        <v>6257</v>
      </c>
      <c r="K55" s="115" t="s">
        <v>60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0.88541666666666696</v>
      </c>
      <c r="B56" s="85" t="s">
        <v>50</v>
      </c>
      <c r="C56" s="92">
        <f t="shared" si="13"/>
        <v>3872220</v>
      </c>
      <c r="D56" s="102">
        <v>3877760</v>
      </c>
      <c r="E56" s="86">
        <f t="shared" si="11"/>
        <v>5540</v>
      </c>
      <c r="F56" s="137">
        <v>5500</v>
      </c>
      <c r="G56" s="40">
        <v>0.83799999999999997</v>
      </c>
      <c r="H56" s="88">
        <f t="shared" si="12"/>
        <v>4609</v>
      </c>
      <c r="I56" s="1">
        <v>467</v>
      </c>
      <c r="J56" s="28">
        <v>6257</v>
      </c>
      <c r="K56" s="138" t="s">
        <v>71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0.89930555555555503</v>
      </c>
      <c r="B57" s="85" t="s">
        <v>50</v>
      </c>
      <c r="C57" s="92">
        <f t="shared" si="13"/>
        <v>3877760</v>
      </c>
      <c r="D57" s="102">
        <v>3887740</v>
      </c>
      <c r="E57" s="86">
        <f t="shared" si="11"/>
        <v>9980</v>
      </c>
      <c r="F57" s="124">
        <v>9986</v>
      </c>
      <c r="G57" s="40">
        <v>0.83799999999999997</v>
      </c>
      <c r="H57" s="88">
        <f t="shared" si="12"/>
        <v>8368.268</v>
      </c>
      <c r="I57" s="1">
        <v>251</v>
      </c>
      <c r="J57" s="28">
        <v>6259</v>
      </c>
      <c r="K57" s="138" t="s">
        <v>71</v>
      </c>
      <c r="L57" s="113"/>
      <c r="M57" s="113"/>
      <c r="N57" s="113"/>
      <c r="O57" s="113"/>
      <c r="P57" s="113"/>
      <c r="Q57" s="113"/>
      <c r="R57" s="113"/>
      <c r="S57" s="113"/>
    </row>
    <row r="58" spans="1:19" ht="16" x14ac:dyDescent="0.2">
      <c r="A58" s="84">
        <v>0.90972222222222199</v>
      </c>
      <c r="B58" s="139" t="s">
        <v>72</v>
      </c>
      <c r="C58" s="92">
        <f t="shared" si="13"/>
        <v>3887740</v>
      </c>
      <c r="D58" s="102">
        <v>3893760</v>
      </c>
      <c r="E58" s="86">
        <f t="shared" si="11"/>
        <v>6020</v>
      </c>
      <c r="F58" s="103">
        <f>SUM(D58-C58)</f>
        <v>6020</v>
      </c>
      <c r="G58" s="40">
        <v>0.82799999999999996</v>
      </c>
      <c r="H58" s="140">
        <f t="shared" si="12"/>
        <v>4984.5599999999995</v>
      </c>
      <c r="I58" s="1">
        <v>57</v>
      </c>
      <c r="J58" s="28">
        <v>6261</v>
      </c>
      <c r="K58" s="115" t="s">
        <v>60</v>
      </c>
      <c r="L58" s="113"/>
      <c r="M58" s="113"/>
      <c r="N58" s="113"/>
      <c r="O58" s="113"/>
      <c r="P58" s="113"/>
      <c r="Q58" s="113"/>
      <c r="R58" s="113"/>
      <c r="S58" s="113"/>
    </row>
    <row r="59" spans="1:19" ht="16" x14ac:dyDescent="0.2">
      <c r="A59" s="84">
        <v>0.95486111111111105</v>
      </c>
      <c r="B59" s="85" t="s">
        <v>72</v>
      </c>
      <c r="C59" s="92">
        <f t="shared" si="13"/>
        <v>3893760</v>
      </c>
      <c r="D59" s="102">
        <v>3903720</v>
      </c>
      <c r="E59" s="86">
        <f t="shared" si="11"/>
        <v>9960</v>
      </c>
      <c r="F59" s="103">
        <f>SUM(D59-C59)</f>
        <v>9960</v>
      </c>
      <c r="G59" s="40">
        <v>0.82799999999999996</v>
      </c>
      <c r="H59" s="140">
        <f t="shared" si="12"/>
        <v>8246.8799999999992</v>
      </c>
      <c r="I59" s="1">
        <v>382</v>
      </c>
      <c r="J59" s="28">
        <v>6264</v>
      </c>
      <c r="K59" s="115" t="s">
        <v>60</v>
      </c>
      <c r="L59" s="113"/>
      <c r="M59" s="113"/>
      <c r="N59" s="113"/>
      <c r="O59" s="113"/>
      <c r="P59" s="113"/>
      <c r="Q59" s="113"/>
      <c r="R59" s="113"/>
      <c r="S59" s="113"/>
    </row>
    <row r="60" spans="1:19" ht="16" x14ac:dyDescent="0.2">
      <c r="A60" s="84">
        <v>6.25E-2</v>
      </c>
      <c r="B60" s="85" t="s">
        <v>72</v>
      </c>
      <c r="C60" s="92">
        <f t="shared" si="13"/>
        <v>3903720</v>
      </c>
      <c r="D60" s="102">
        <v>3909660</v>
      </c>
      <c r="E60" s="86">
        <f t="shared" si="11"/>
        <v>5940</v>
      </c>
      <c r="F60" s="103">
        <f>SUM(D60-C60)</f>
        <v>5940</v>
      </c>
      <c r="G60" s="40">
        <v>0.82799999999999996</v>
      </c>
      <c r="H60" s="140">
        <f t="shared" si="12"/>
        <v>4918.32</v>
      </c>
      <c r="I60" s="1">
        <v>57</v>
      </c>
      <c r="J60" s="28">
        <v>6267</v>
      </c>
      <c r="K60" s="115" t="s">
        <v>60</v>
      </c>
      <c r="L60" s="113"/>
      <c r="M60" s="113"/>
      <c r="N60" s="113"/>
      <c r="O60" s="113"/>
      <c r="P60" s="113"/>
      <c r="Q60" s="113"/>
      <c r="R60" s="113"/>
      <c r="S60" s="113"/>
    </row>
    <row r="61" spans="1:19" ht="16" x14ac:dyDescent="0.2">
      <c r="A61" s="84">
        <v>6.9444444444444406E-2</v>
      </c>
      <c r="B61" s="85" t="s">
        <v>72</v>
      </c>
      <c r="C61" s="92">
        <f t="shared" si="13"/>
        <v>3909660</v>
      </c>
      <c r="D61" s="102">
        <v>3916310</v>
      </c>
      <c r="E61" s="86">
        <f t="shared" si="11"/>
        <v>6650</v>
      </c>
      <c r="F61" s="103">
        <f>SUM(D61-C61)</f>
        <v>6650</v>
      </c>
      <c r="G61" s="40">
        <v>0.82799999999999996</v>
      </c>
      <c r="H61" s="140">
        <f t="shared" si="12"/>
        <v>5506.2</v>
      </c>
      <c r="I61" s="1">
        <v>81</v>
      </c>
      <c r="J61" s="28">
        <v>6268</v>
      </c>
      <c r="K61" s="115" t="s">
        <v>60</v>
      </c>
      <c r="L61" s="113"/>
      <c r="M61" s="113"/>
      <c r="N61" s="113"/>
      <c r="O61" s="113"/>
      <c r="P61" s="113"/>
      <c r="Q61" s="113"/>
      <c r="R61" s="113"/>
      <c r="S61" s="113"/>
    </row>
    <row r="62" spans="1:19" ht="16" x14ac:dyDescent="0.2">
      <c r="A62" s="84">
        <v>0.17708333333333301</v>
      </c>
      <c r="B62" s="85" t="s">
        <v>57</v>
      </c>
      <c r="C62" s="92">
        <f t="shared" si="13"/>
        <v>3916310</v>
      </c>
      <c r="D62" s="102">
        <v>3933330</v>
      </c>
      <c r="E62" s="86">
        <f t="shared" si="11"/>
        <v>17020</v>
      </c>
      <c r="F62" s="124">
        <v>17019</v>
      </c>
      <c r="G62" s="40">
        <v>0.82750000000000001</v>
      </c>
      <c r="H62" s="119">
        <f t="shared" si="12"/>
        <v>14083.2225</v>
      </c>
      <c r="I62" s="1">
        <v>251</v>
      </c>
      <c r="J62" s="28">
        <v>6269</v>
      </c>
      <c r="K62" s="114" t="s">
        <v>58</v>
      </c>
      <c r="L62" s="113"/>
      <c r="M62" s="113"/>
      <c r="N62" s="113"/>
      <c r="O62" s="113"/>
      <c r="P62" s="113"/>
      <c r="Q62" s="113"/>
      <c r="R62" s="113"/>
      <c r="S62" s="113"/>
    </row>
    <row r="63" spans="1:19" ht="16" x14ac:dyDescent="0.2">
      <c r="A63" s="84">
        <v>0.26388888888888901</v>
      </c>
      <c r="B63" s="85" t="s">
        <v>57</v>
      </c>
      <c r="C63" s="92">
        <f>O19</f>
        <v>3933470</v>
      </c>
      <c r="D63" s="102">
        <v>3950490</v>
      </c>
      <c r="E63" s="86">
        <f t="shared" si="11"/>
        <v>17020</v>
      </c>
      <c r="F63" s="124">
        <v>17019</v>
      </c>
      <c r="G63" s="40">
        <v>0.82750000000000001</v>
      </c>
      <c r="H63" s="119">
        <f t="shared" si="12"/>
        <v>14083.2225</v>
      </c>
      <c r="I63" s="1">
        <v>251</v>
      </c>
      <c r="J63" s="28">
        <v>6273</v>
      </c>
      <c r="K63" s="114" t="s">
        <v>58</v>
      </c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A64" s="84"/>
      <c r="B64" s="85"/>
      <c r="C64" s="92">
        <v>0</v>
      </c>
      <c r="D64" s="70"/>
      <c r="E64" s="86">
        <f t="shared" si="11"/>
        <v>0</v>
      </c>
      <c r="F64" s="126">
        <f>SUM(D64-C64)</f>
        <v>0</v>
      </c>
      <c r="G64" s="40"/>
      <c r="H64" s="127">
        <f t="shared" si="12"/>
        <v>0</v>
      </c>
      <c r="I64" s="1"/>
      <c r="J64" s="28"/>
      <c r="K64" s="113"/>
      <c r="L64" s="113"/>
      <c r="M64" s="113"/>
      <c r="N64" s="113"/>
      <c r="O64" s="113"/>
      <c r="P64" s="113"/>
      <c r="Q64" s="113"/>
      <c r="R64" s="113"/>
      <c r="S64" s="113"/>
    </row>
    <row r="65" spans="1:19" x14ac:dyDescent="0.2">
      <c r="A65" s="84"/>
      <c r="B65" s="85"/>
      <c r="C65" s="92">
        <f>SUM(D64)</f>
        <v>0</v>
      </c>
      <c r="D65" s="70"/>
      <c r="E65" s="104">
        <f t="shared" si="11"/>
        <v>0</v>
      </c>
      <c r="F65" s="128">
        <f>SUM(F40:F64)</f>
        <v>230299</v>
      </c>
      <c r="G65" s="129"/>
      <c r="H65" s="130">
        <f>SUM(H40:H64)</f>
        <v>190928.85390000002</v>
      </c>
      <c r="I65" s="131"/>
      <c r="J65" s="28"/>
      <c r="K65" s="116"/>
      <c r="L65" s="113"/>
      <c r="M65" s="113"/>
      <c r="N65" s="113"/>
      <c r="O65" s="113"/>
      <c r="P65" s="113"/>
      <c r="Q65" s="113"/>
      <c r="R65" s="113"/>
      <c r="S65" s="113"/>
    </row>
    <row r="66" spans="1:19" x14ac:dyDescent="0.2">
      <c r="L66" s="113"/>
      <c r="M66" s="113"/>
      <c r="N66" s="113"/>
      <c r="O66" s="113"/>
      <c r="P66" s="113"/>
      <c r="Q66" s="113"/>
      <c r="R66" s="113"/>
      <c r="S66" s="113"/>
    </row>
    <row r="67" spans="1:19" x14ac:dyDescent="0.2">
      <c r="F67" s="141">
        <f>F65+F38</f>
        <v>515614</v>
      </c>
      <c r="G67" s="129"/>
      <c r="H67" s="130">
        <f>H65+H38</f>
        <v>429986.19440000004</v>
      </c>
      <c r="L67" s="113"/>
      <c r="M67" s="113"/>
      <c r="N67" s="113"/>
      <c r="O67" s="113"/>
      <c r="P67" s="113"/>
      <c r="Q67" s="113"/>
      <c r="R67" s="113"/>
      <c r="S67" s="113"/>
    </row>
    <row r="68" spans="1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1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1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1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1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1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1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1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1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1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1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1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1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hidden="1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hidden="1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hidden="1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hidden="1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hidden="1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  <c r="L90" s="113"/>
      <c r="M90" s="113"/>
      <c r="N90" s="113"/>
      <c r="O90" s="113"/>
      <c r="P90" s="113"/>
      <c r="Q90" s="113"/>
      <c r="R90" s="113"/>
      <c r="S90" s="113"/>
    </row>
    <row r="91" spans="5:19" x14ac:dyDescent="0.2">
      <c r="E91" s="113"/>
      <c r="L91" s="113"/>
      <c r="M91" s="113"/>
      <c r="N91" s="113"/>
      <c r="O91" s="113"/>
      <c r="P91" s="113"/>
      <c r="Q91" s="113"/>
      <c r="R91" s="113"/>
      <c r="S91" s="113"/>
    </row>
    <row r="92" spans="5:19" x14ac:dyDescent="0.2">
      <c r="E92" s="113"/>
      <c r="L92" s="113"/>
      <c r="M92" s="113"/>
      <c r="N92" s="113"/>
      <c r="O92" s="113"/>
      <c r="P92" s="113"/>
      <c r="Q92" s="113"/>
      <c r="R92" s="113"/>
      <c r="S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  <row r="128" spans="5:5" x14ac:dyDescent="0.2">
      <c r="E128" s="113"/>
    </row>
    <row r="129" spans="5:5" x14ac:dyDescent="0.2">
      <c r="E129" s="113"/>
    </row>
    <row r="130" spans="5:5" x14ac:dyDescent="0.2">
      <c r="E130" s="113"/>
    </row>
    <row r="131" spans="5:5" x14ac:dyDescent="0.2">
      <c r="E131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2"/>
  <sheetViews>
    <sheetView topLeftCell="A22" zoomScale="65" zoomScaleNormal="65" workbookViewId="0">
      <selection activeCell="N76" sqref="N76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1.5" style="66" customWidth="1"/>
    <col min="12" max="12" width="12.1640625" style="65" customWidth="1"/>
    <col min="13" max="13" width="12.5" style="65" customWidth="1"/>
    <col min="14" max="14" width="18.5" style="65" customWidth="1"/>
    <col min="15" max="15" width="13.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142">
        <v>45080</v>
      </c>
      <c r="B2" s="142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83"/>
      <c r="M2" s="142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0.42361111111111099</v>
      </c>
      <c r="B3" s="85" t="s">
        <v>54</v>
      </c>
      <c r="C3" s="92">
        <v>48284650</v>
      </c>
      <c r="D3" s="70">
        <v>48290680</v>
      </c>
      <c r="E3" s="86">
        <f t="shared" ref="E3:E37" si="0">SUM(D3-C3)</f>
        <v>6030</v>
      </c>
      <c r="F3" s="87">
        <f>SUM(D3-C3)</f>
        <v>6030</v>
      </c>
      <c r="G3" s="40">
        <v>0.83650000000000002</v>
      </c>
      <c r="H3" s="88">
        <f t="shared" ref="H3:H37" si="1">SUM(G3*F3)</f>
        <v>5044.0950000000003</v>
      </c>
      <c r="I3" s="28" t="s">
        <v>73</v>
      </c>
      <c r="J3" s="1">
        <v>6278</v>
      </c>
      <c r="K3" s="89"/>
      <c r="L3" s="90">
        <v>0.48611111111111099</v>
      </c>
      <c r="M3" s="91" t="s">
        <v>54</v>
      </c>
      <c r="N3" s="92">
        <v>7620550</v>
      </c>
      <c r="O3" s="93">
        <v>7620750</v>
      </c>
      <c r="P3" s="94">
        <f t="shared" ref="P3:P16" si="2">SUM(O3-N3)</f>
        <v>200</v>
      </c>
      <c r="Q3" s="100">
        <v>0.83650000000000002</v>
      </c>
      <c r="R3" s="96">
        <f t="shared" ref="R3:R16" si="3">SUM(Q3*P3)</f>
        <v>167.3</v>
      </c>
      <c r="S3" s="97" t="s">
        <v>74</v>
      </c>
      <c r="V3" t="s">
        <v>41</v>
      </c>
    </row>
    <row r="4" spans="1:22" ht="16" x14ac:dyDescent="0.2">
      <c r="A4" s="84">
        <v>0.44444444444444398</v>
      </c>
      <c r="B4" s="85" t="s">
        <v>48</v>
      </c>
      <c r="C4" s="92">
        <f t="shared" ref="C4:C21" si="4">SUM(D3)</f>
        <v>48290680</v>
      </c>
      <c r="D4" s="70">
        <v>48297580</v>
      </c>
      <c r="E4" s="86">
        <f t="shared" si="0"/>
        <v>6900</v>
      </c>
      <c r="F4" s="87">
        <f>SUM(D4-C4)</f>
        <v>6900</v>
      </c>
      <c r="G4" s="40">
        <v>0.83389999999999997</v>
      </c>
      <c r="H4" s="79">
        <f t="shared" si="1"/>
        <v>5753.91</v>
      </c>
      <c r="I4" s="28" t="s">
        <v>75</v>
      </c>
      <c r="J4" s="1">
        <v>6280</v>
      </c>
      <c r="K4" s="89"/>
      <c r="L4" s="90">
        <v>0.82291666666666696</v>
      </c>
      <c r="M4" s="99" t="s">
        <v>54</v>
      </c>
      <c r="N4" s="94">
        <f t="shared" ref="N4:N16" si="5">SUM(O3)</f>
        <v>7620750</v>
      </c>
      <c r="O4" s="93">
        <v>7620770</v>
      </c>
      <c r="P4" s="94">
        <f t="shared" si="2"/>
        <v>20</v>
      </c>
      <c r="Q4" s="100">
        <v>0.83650000000000002</v>
      </c>
      <c r="R4" s="96">
        <f t="shared" si="3"/>
        <v>16.73</v>
      </c>
      <c r="S4" s="97" t="s">
        <v>45</v>
      </c>
    </row>
    <row r="5" spans="1:22" ht="16" x14ac:dyDescent="0.2">
      <c r="A5" s="84">
        <v>0.45486111111111099</v>
      </c>
      <c r="B5" s="85" t="s">
        <v>48</v>
      </c>
      <c r="C5" s="92">
        <f t="shared" si="4"/>
        <v>48297580</v>
      </c>
      <c r="D5" s="70">
        <v>48315830</v>
      </c>
      <c r="E5" s="86">
        <f t="shared" si="0"/>
        <v>18250</v>
      </c>
      <c r="F5" s="98">
        <v>18241</v>
      </c>
      <c r="G5" s="40">
        <v>0.83389999999999997</v>
      </c>
      <c r="H5" s="79">
        <f t="shared" si="1"/>
        <v>15211.169899999999</v>
      </c>
      <c r="I5" s="28" t="s">
        <v>76</v>
      </c>
      <c r="J5" s="28">
        <v>6282</v>
      </c>
      <c r="K5" s="89"/>
      <c r="L5" s="90">
        <v>0.84027777777777801</v>
      </c>
      <c r="M5" s="99" t="s">
        <v>48</v>
      </c>
      <c r="N5" s="94">
        <f t="shared" si="5"/>
        <v>7620770</v>
      </c>
      <c r="O5" s="93">
        <v>7620790</v>
      </c>
      <c r="P5" s="94">
        <f t="shared" si="2"/>
        <v>20</v>
      </c>
      <c r="Q5" s="40">
        <v>0.83299999999999996</v>
      </c>
      <c r="R5" s="79">
        <f t="shared" si="3"/>
        <v>16.66</v>
      </c>
      <c r="S5" s="97" t="s">
        <v>47</v>
      </c>
    </row>
    <row r="6" spans="1:22" ht="16" x14ac:dyDescent="0.2">
      <c r="A6" s="84">
        <v>0.50694444444444398</v>
      </c>
      <c r="B6" s="85" t="s">
        <v>44</v>
      </c>
      <c r="C6" s="92">
        <f t="shared" si="4"/>
        <v>48315830</v>
      </c>
      <c r="D6" s="70">
        <v>48334080</v>
      </c>
      <c r="E6" s="86">
        <f t="shared" si="0"/>
        <v>18250</v>
      </c>
      <c r="F6" s="98">
        <v>18241</v>
      </c>
      <c r="G6" s="40">
        <v>0.83899999999999997</v>
      </c>
      <c r="H6" s="121">
        <f t="shared" si="1"/>
        <v>15304.198999999999</v>
      </c>
      <c r="I6" s="28" t="s">
        <v>76</v>
      </c>
      <c r="J6" s="1">
        <v>6286</v>
      </c>
      <c r="K6" s="89"/>
      <c r="L6" s="90">
        <v>0.93055555555555503</v>
      </c>
      <c r="M6" s="99" t="s">
        <v>38</v>
      </c>
      <c r="N6" s="94">
        <f t="shared" si="5"/>
        <v>7620790</v>
      </c>
      <c r="O6" s="93">
        <v>7620930</v>
      </c>
      <c r="P6" s="94">
        <f t="shared" si="2"/>
        <v>140</v>
      </c>
      <c r="Q6" s="40">
        <v>0.83399999999999996</v>
      </c>
      <c r="R6" s="140">
        <f t="shared" si="3"/>
        <v>116.75999999999999</v>
      </c>
      <c r="S6" s="97" t="s">
        <v>65</v>
      </c>
    </row>
    <row r="7" spans="1:22" ht="16" x14ac:dyDescent="0.2">
      <c r="A7" s="84">
        <v>0.55902777777777801</v>
      </c>
      <c r="B7" s="85" t="s">
        <v>44</v>
      </c>
      <c r="C7" s="92">
        <f t="shared" si="4"/>
        <v>48334080</v>
      </c>
      <c r="D7" s="70">
        <v>48335610</v>
      </c>
      <c r="E7" s="86">
        <f t="shared" si="0"/>
        <v>1530</v>
      </c>
      <c r="F7" s="87">
        <f>SUM(D7-C7)</f>
        <v>1530</v>
      </c>
      <c r="G7" s="40">
        <v>0.83899999999999997</v>
      </c>
      <c r="H7" s="121">
        <f t="shared" si="1"/>
        <v>1283.6699999999998</v>
      </c>
      <c r="I7" s="28" t="s">
        <v>75</v>
      </c>
      <c r="J7" s="1">
        <v>6288</v>
      </c>
      <c r="K7" s="89"/>
      <c r="L7" s="90">
        <v>0.96527777777777801</v>
      </c>
      <c r="M7" s="99" t="s">
        <v>44</v>
      </c>
      <c r="N7" s="94">
        <f t="shared" si="5"/>
        <v>7620930</v>
      </c>
      <c r="O7" s="93">
        <v>7621050</v>
      </c>
      <c r="P7" s="94">
        <f t="shared" si="2"/>
        <v>120</v>
      </c>
      <c r="Q7" s="40">
        <v>0.83899999999999997</v>
      </c>
      <c r="R7" s="121">
        <f t="shared" si="3"/>
        <v>100.67999999999999</v>
      </c>
      <c r="S7" s="97" t="s">
        <v>43</v>
      </c>
    </row>
    <row r="8" spans="1:22" ht="16" x14ac:dyDescent="0.2">
      <c r="A8" s="84">
        <v>0.60763888888888895</v>
      </c>
      <c r="B8" s="85" t="s">
        <v>44</v>
      </c>
      <c r="C8" s="92">
        <f t="shared" si="4"/>
        <v>48335610</v>
      </c>
      <c r="D8" s="70">
        <v>48353860</v>
      </c>
      <c r="E8" s="86">
        <f t="shared" si="0"/>
        <v>18250</v>
      </c>
      <c r="F8" s="98">
        <v>18241</v>
      </c>
      <c r="G8" s="40">
        <v>0.83899999999999997</v>
      </c>
      <c r="H8" s="121">
        <f t="shared" si="1"/>
        <v>15304.198999999999</v>
      </c>
      <c r="I8" s="28" t="s">
        <v>76</v>
      </c>
      <c r="J8" s="1">
        <v>6292</v>
      </c>
      <c r="K8" s="89"/>
      <c r="L8" s="90"/>
      <c r="M8" s="91"/>
      <c r="N8" s="94">
        <f t="shared" si="5"/>
        <v>7621050</v>
      </c>
      <c r="O8" s="93"/>
      <c r="P8" s="94">
        <f t="shared" si="2"/>
        <v>-7621050</v>
      </c>
      <c r="Q8" s="95"/>
      <c r="R8" s="96">
        <f t="shared" si="3"/>
        <v>0</v>
      </c>
      <c r="S8" s="1"/>
    </row>
    <row r="9" spans="1:22" ht="16" x14ac:dyDescent="0.2">
      <c r="A9" s="84">
        <v>0.65625</v>
      </c>
      <c r="B9" s="85" t="s">
        <v>44</v>
      </c>
      <c r="C9" s="92">
        <f t="shared" si="4"/>
        <v>48353860</v>
      </c>
      <c r="D9" s="70">
        <v>48372100</v>
      </c>
      <c r="E9" s="86">
        <f t="shared" si="0"/>
        <v>18240</v>
      </c>
      <c r="F9" s="98">
        <v>18241</v>
      </c>
      <c r="G9" s="40">
        <v>0.83899999999999997</v>
      </c>
      <c r="H9" s="121">
        <f t="shared" si="1"/>
        <v>15304.198999999999</v>
      </c>
      <c r="I9" s="28" t="s">
        <v>76</v>
      </c>
      <c r="J9" s="28">
        <v>6293</v>
      </c>
      <c r="K9" s="89"/>
      <c r="L9" s="90"/>
      <c r="M9" s="91"/>
      <c r="N9" s="94">
        <f t="shared" si="5"/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0.70833333333333304</v>
      </c>
      <c r="B10" s="85" t="s">
        <v>48</v>
      </c>
      <c r="C10" s="92">
        <f t="shared" si="4"/>
        <v>48372100</v>
      </c>
      <c r="D10" s="70">
        <v>48390350</v>
      </c>
      <c r="E10" s="86">
        <f t="shared" si="0"/>
        <v>18250</v>
      </c>
      <c r="F10" s="98">
        <v>18241</v>
      </c>
      <c r="G10" s="40">
        <v>0.83299999999999996</v>
      </c>
      <c r="H10" s="79">
        <f t="shared" si="1"/>
        <v>15194.752999999999</v>
      </c>
      <c r="I10" s="28" t="s">
        <v>76</v>
      </c>
      <c r="J10" s="28">
        <v>6294</v>
      </c>
      <c r="K10" s="89"/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0.78472222222222199</v>
      </c>
      <c r="B11" s="85" t="s">
        <v>48</v>
      </c>
      <c r="C11" s="92">
        <f t="shared" si="4"/>
        <v>48390350</v>
      </c>
      <c r="D11" s="70">
        <v>48399520</v>
      </c>
      <c r="E11" s="86">
        <f t="shared" si="0"/>
        <v>9170</v>
      </c>
      <c r="F11" s="98">
        <v>9161</v>
      </c>
      <c r="G11" s="40">
        <v>0.83299999999999996</v>
      </c>
      <c r="H11" s="79">
        <f t="shared" si="1"/>
        <v>7631.1129999999994</v>
      </c>
      <c r="I11" s="28" t="s">
        <v>76</v>
      </c>
      <c r="J11" s="1">
        <v>6296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0.78472222222222199</v>
      </c>
      <c r="B12" s="85" t="s">
        <v>38</v>
      </c>
      <c r="C12" s="92">
        <f t="shared" si="4"/>
        <v>48399520</v>
      </c>
      <c r="D12" s="70">
        <v>48408600</v>
      </c>
      <c r="E12" s="86">
        <f t="shared" si="0"/>
        <v>9080</v>
      </c>
      <c r="F12" s="98">
        <v>9080</v>
      </c>
      <c r="G12" s="40">
        <v>0.83399999999999996</v>
      </c>
      <c r="H12" s="140">
        <f t="shared" si="1"/>
        <v>7572.7199999999993</v>
      </c>
      <c r="I12" s="28" t="s">
        <v>76</v>
      </c>
      <c r="J12" s="1">
        <v>6297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0.88888888888888895</v>
      </c>
      <c r="B13" s="85" t="s">
        <v>38</v>
      </c>
      <c r="C13" s="92">
        <f t="shared" si="4"/>
        <v>48408600</v>
      </c>
      <c r="D13" s="70">
        <v>48425630</v>
      </c>
      <c r="E13" s="86">
        <f t="shared" si="0"/>
        <v>17030</v>
      </c>
      <c r="F13" s="124">
        <v>17019</v>
      </c>
      <c r="G13" s="40">
        <v>0.83399999999999996</v>
      </c>
      <c r="H13" s="140">
        <f t="shared" si="1"/>
        <v>14193.846</v>
      </c>
      <c r="I13" s="28" t="s">
        <v>77</v>
      </c>
      <c r="J13" s="1">
        <v>6301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0.89930555555555503</v>
      </c>
      <c r="B14" s="85" t="s">
        <v>38</v>
      </c>
      <c r="C14" s="92">
        <f t="shared" si="4"/>
        <v>48425630</v>
      </c>
      <c r="D14" s="70">
        <v>48432930</v>
      </c>
      <c r="E14" s="86">
        <f t="shared" si="0"/>
        <v>7300</v>
      </c>
      <c r="F14" s="87">
        <f>SUM(D14-C14)</f>
        <v>7300</v>
      </c>
      <c r="G14" s="40">
        <v>0.83399999999999996</v>
      </c>
      <c r="H14" s="140">
        <f t="shared" si="1"/>
        <v>6088.2</v>
      </c>
      <c r="I14" s="28" t="s">
        <v>75</v>
      </c>
      <c r="J14" s="1">
        <v>6302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0.94444444444444398</v>
      </c>
      <c r="B15" s="85" t="s">
        <v>48</v>
      </c>
      <c r="C15" s="92">
        <f t="shared" si="4"/>
        <v>48432930</v>
      </c>
      <c r="D15" s="70">
        <v>48451180</v>
      </c>
      <c r="E15" s="86">
        <f t="shared" si="0"/>
        <v>18250</v>
      </c>
      <c r="F15" s="98">
        <v>18241</v>
      </c>
      <c r="G15" s="40">
        <v>0.83150000000000002</v>
      </c>
      <c r="H15" s="79">
        <f t="shared" si="1"/>
        <v>15167.3915</v>
      </c>
      <c r="I15" s="28" t="s">
        <v>76</v>
      </c>
      <c r="J15" s="1">
        <v>6305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0.99305555555555503</v>
      </c>
      <c r="B16" s="85" t="s">
        <v>48</v>
      </c>
      <c r="C16" s="92">
        <f t="shared" si="4"/>
        <v>48451180</v>
      </c>
      <c r="D16" s="70">
        <v>48469420</v>
      </c>
      <c r="E16" s="86">
        <f t="shared" si="0"/>
        <v>18240</v>
      </c>
      <c r="F16" s="98">
        <v>18241</v>
      </c>
      <c r="G16" s="40">
        <v>0.83150000000000002</v>
      </c>
      <c r="H16" s="79">
        <f t="shared" si="1"/>
        <v>15167.3915</v>
      </c>
      <c r="I16" s="28" t="s">
        <v>76</v>
      </c>
      <c r="J16" s="1">
        <v>6308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0.180555555555556</v>
      </c>
      <c r="B17" s="85" t="s">
        <v>38</v>
      </c>
      <c r="C17" s="92">
        <f t="shared" si="4"/>
        <v>48469420</v>
      </c>
      <c r="D17" s="70">
        <v>48487670</v>
      </c>
      <c r="E17" s="86">
        <f t="shared" si="0"/>
        <v>18250</v>
      </c>
      <c r="F17" s="98">
        <v>18241</v>
      </c>
      <c r="G17" s="40">
        <v>0.83340000000000003</v>
      </c>
      <c r="H17" s="140">
        <f t="shared" si="1"/>
        <v>15202.0494</v>
      </c>
      <c r="I17" s="28" t="s">
        <v>76</v>
      </c>
      <c r="J17" s="1">
        <v>6311</v>
      </c>
      <c r="K17" s="89"/>
      <c r="L17" s="83"/>
      <c r="M17" s="142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0.194444444444444</v>
      </c>
      <c r="B18" s="85" t="s">
        <v>38</v>
      </c>
      <c r="C18" s="92">
        <f t="shared" si="4"/>
        <v>48487670</v>
      </c>
      <c r="D18" s="70">
        <v>48504690</v>
      </c>
      <c r="E18" s="86">
        <f t="shared" si="0"/>
        <v>17020</v>
      </c>
      <c r="F18" s="124">
        <v>17019</v>
      </c>
      <c r="G18" s="40">
        <v>0.83340000000000003</v>
      </c>
      <c r="H18" s="140">
        <f t="shared" si="1"/>
        <v>14183.634600000001</v>
      </c>
      <c r="I18" s="28" t="s">
        <v>77</v>
      </c>
      <c r="J18" s="28">
        <v>6312</v>
      </c>
      <c r="K18" s="89"/>
      <c r="L18" s="90">
        <v>0.50694444444444398</v>
      </c>
      <c r="M18" s="99" t="s">
        <v>72</v>
      </c>
      <c r="N18" s="125">
        <v>4026970</v>
      </c>
      <c r="O18" s="93">
        <v>4027020</v>
      </c>
      <c r="P18" s="103">
        <f t="shared" ref="P18:P31" si="6">SUM(O18-N18)</f>
        <v>50</v>
      </c>
      <c r="Q18" s="40">
        <v>0.82809999999999995</v>
      </c>
      <c r="R18" s="140">
        <f t="shared" ref="R18:R31" si="7">SUM(Q18*P18)</f>
        <v>41.404999999999994</v>
      </c>
      <c r="S18" s="97" t="s">
        <v>78</v>
      </c>
      <c r="T18" t="s">
        <v>41</v>
      </c>
    </row>
    <row r="19" spans="1:20" ht="16" x14ac:dyDescent="0.2">
      <c r="A19" s="84">
        <v>0.225694444444444</v>
      </c>
      <c r="B19" s="85" t="s">
        <v>46</v>
      </c>
      <c r="C19" s="92">
        <f t="shared" si="4"/>
        <v>48504690</v>
      </c>
      <c r="D19" s="70">
        <v>48522950</v>
      </c>
      <c r="E19" s="86">
        <f t="shared" si="0"/>
        <v>18260</v>
      </c>
      <c r="F19" s="98">
        <v>18241</v>
      </c>
      <c r="G19" s="40">
        <v>0.83499999999999996</v>
      </c>
      <c r="H19" s="123">
        <f t="shared" si="1"/>
        <v>15231.234999999999</v>
      </c>
      <c r="I19" s="28" t="s">
        <v>76</v>
      </c>
      <c r="J19" s="28">
        <v>6313</v>
      </c>
      <c r="K19" s="89"/>
      <c r="L19" s="90"/>
      <c r="M19" s="99"/>
      <c r="N19" s="92">
        <f t="shared" ref="N19:N31" si="8">SUM(O18)</f>
        <v>4027020</v>
      </c>
      <c r="O19" s="93"/>
      <c r="P19" s="103">
        <f t="shared" si="6"/>
        <v>-4027020</v>
      </c>
      <c r="Q19" s="40"/>
      <c r="R19" s="88">
        <f t="shared" si="7"/>
        <v>0</v>
      </c>
      <c r="S19" s="97"/>
    </row>
    <row r="20" spans="1:20" ht="16" x14ac:dyDescent="0.2">
      <c r="A20" s="84">
        <v>0.28125</v>
      </c>
      <c r="B20" s="85" t="s">
        <v>46</v>
      </c>
      <c r="C20" s="92">
        <f t="shared" si="4"/>
        <v>48522950</v>
      </c>
      <c r="D20" s="70">
        <v>48541190</v>
      </c>
      <c r="E20" s="86">
        <f t="shared" si="0"/>
        <v>18240</v>
      </c>
      <c r="F20" s="98">
        <v>18241</v>
      </c>
      <c r="G20" s="40">
        <v>0.83499999999999996</v>
      </c>
      <c r="H20" s="123">
        <f t="shared" si="1"/>
        <v>15231.234999999999</v>
      </c>
      <c r="I20" s="28" t="s">
        <v>76</v>
      </c>
      <c r="J20" s="1">
        <v>6315</v>
      </c>
      <c r="K20" s="89"/>
      <c r="L20" s="90"/>
      <c r="M20" s="99"/>
      <c r="N20" s="92">
        <f t="shared" si="8"/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ht="16" x14ac:dyDescent="0.2">
      <c r="A21" s="84">
        <v>0.29513888888888901</v>
      </c>
      <c r="B21" s="85" t="s">
        <v>46</v>
      </c>
      <c r="C21" s="92">
        <f t="shared" si="4"/>
        <v>48541190</v>
      </c>
      <c r="D21" s="70">
        <v>48558210</v>
      </c>
      <c r="E21" s="86">
        <f t="shared" si="0"/>
        <v>17020</v>
      </c>
      <c r="F21" s="124">
        <v>17019</v>
      </c>
      <c r="G21" s="40">
        <v>0.83499999999999996</v>
      </c>
      <c r="H21" s="123">
        <f t="shared" si="1"/>
        <v>14210.865</v>
      </c>
      <c r="I21" s="28" t="s">
        <v>77</v>
      </c>
      <c r="J21" s="1">
        <v>6316</v>
      </c>
      <c r="K21" s="89"/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v>0</v>
      </c>
      <c r="D22" s="70"/>
      <c r="E22" s="86">
        <f t="shared" si="0"/>
        <v>0</v>
      </c>
      <c r="F22" s="87">
        <f t="shared" ref="F22:F37" si="9">SUM(D22-C22)</f>
        <v>0</v>
      </c>
      <c r="G22" s="40"/>
      <c r="H22" s="88">
        <f t="shared" si="1"/>
        <v>0</v>
      </c>
      <c r="I22" s="1"/>
      <c r="J22" s="28"/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hidden="1" x14ac:dyDescent="0.2">
      <c r="A23" s="84"/>
      <c r="B23" s="85"/>
      <c r="C23" s="92">
        <f t="shared" ref="C23:C37" si="10">SUM(D22)</f>
        <v>0</v>
      </c>
      <c r="D23" s="70"/>
      <c r="E23" s="86">
        <f t="shared" si="0"/>
        <v>0</v>
      </c>
      <c r="F23" s="87">
        <f t="shared" si="9"/>
        <v>0</v>
      </c>
      <c r="G23" s="40"/>
      <c r="H23" s="88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hidden="1" x14ac:dyDescent="0.2">
      <c r="A24" s="84"/>
      <c r="B24" s="85"/>
      <c r="C24" s="92">
        <f t="shared" si="10"/>
        <v>0</v>
      </c>
      <c r="D24" s="70"/>
      <c r="E24" s="86">
        <f t="shared" si="0"/>
        <v>0</v>
      </c>
      <c r="F24" s="87">
        <f t="shared" si="9"/>
        <v>0</v>
      </c>
      <c r="G24" s="40"/>
      <c r="H24" s="88">
        <f t="shared" si="1"/>
        <v>0</v>
      </c>
      <c r="I24" s="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hidden="1" x14ac:dyDescent="0.2">
      <c r="A25" s="84"/>
      <c r="B25" s="85"/>
      <c r="C25" s="92">
        <f t="shared" si="10"/>
        <v>0</v>
      </c>
      <c r="D25" s="70"/>
      <c r="E25" s="86">
        <f t="shared" si="0"/>
        <v>0</v>
      </c>
      <c r="F25" s="103">
        <f t="shared" si="9"/>
        <v>0</v>
      </c>
      <c r="G25" s="40"/>
      <c r="H25" s="88">
        <f t="shared" si="1"/>
        <v>0</v>
      </c>
      <c r="I25" s="1"/>
      <c r="J25" s="28"/>
      <c r="K25" s="89"/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hidden="1" x14ac:dyDescent="0.2">
      <c r="A26" s="84"/>
      <c r="B26" s="85"/>
      <c r="C26" s="92">
        <f t="shared" si="10"/>
        <v>0</v>
      </c>
      <c r="D26" s="70"/>
      <c r="E26" s="86">
        <f t="shared" si="0"/>
        <v>0</v>
      </c>
      <c r="F26" s="103">
        <f t="shared" si="9"/>
        <v>0</v>
      </c>
      <c r="G26" s="40"/>
      <c r="H26" s="88">
        <f t="shared" si="1"/>
        <v>0</v>
      </c>
      <c r="I26" s="1"/>
      <c r="J26" s="28"/>
      <c r="K26" s="89"/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hidden="1" x14ac:dyDescent="0.2">
      <c r="A27" s="84"/>
      <c r="B27" s="85"/>
      <c r="C27" s="92">
        <f t="shared" si="10"/>
        <v>0</v>
      </c>
      <c r="D27" s="70"/>
      <c r="E27" s="86">
        <f t="shared" si="0"/>
        <v>0</v>
      </c>
      <c r="F27" s="103">
        <f t="shared" si="9"/>
        <v>0</v>
      </c>
      <c r="G27" s="40"/>
      <c r="H27" s="88">
        <f t="shared" si="1"/>
        <v>0</v>
      </c>
      <c r="I27" s="1"/>
      <c r="J27" s="28"/>
      <c r="K27" s="89"/>
      <c r="L27" s="90"/>
      <c r="M27" s="91"/>
      <c r="N27" s="92">
        <f t="shared" si="8"/>
        <v>0</v>
      </c>
      <c r="O27" s="93"/>
      <c r="P27" s="103">
        <f t="shared" si="6"/>
        <v>0</v>
      </c>
      <c r="Q27" s="95"/>
      <c r="R27" s="88">
        <f t="shared" si="7"/>
        <v>0</v>
      </c>
      <c r="S27" s="1"/>
    </row>
    <row r="28" spans="1:20" hidden="1" x14ac:dyDescent="0.2">
      <c r="A28" s="84"/>
      <c r="B28" s="85"/>
      <c r="C28" s="92">
        <f t="shared" si="10"/>
        <v>0</v>
      </c>
      <c r="D28" s="70"/>
      <c r="E28" s="86">
        <f t="shared" si="0"/>
        <v>0</v>
      </c>
      <c r="F28" s="103">
        <f t="shared" si="9"/>
        <v>0</v>
      </c>
      <c r="G28" s="40"/>
      <c r="H28" s="88">
        <f t="shared" si="1"/>
        <v>0</v>
      </c>
      <c r="I28" s="1"/>
      <c r="J28" s="28"/>
      <c r="K28" s="89"/>
      <c r="L28" s="90"/>
      <c r="M28" s="91"/>
      <c r="N28" s="92">
        <f t="shared" si="8"/>
        <v>0</v>
      </c>
      <c r="O28" s="93"/>
      <c r="P28" s="103">
        <f t="shared" si="6"/>
        <v>0</v>
      </c>
      <c r="Q28" s="95"/>
      <c r="R28" s="88">
        <f t="shared" si="7"/>
        <v>0</v>
      </c>
      <c r="S28" s="1"/>
    </row>
    <row r="29" spans="1:20" hidden="1" x14ac:dyDescent="0.2">
      <c r="A29" s="84"/>
      <c r="B29" s="85"/>
      <c r="C29" s="92">
        <f t="shared" si="10"/>
        <v>0</v>
      </c>
      <c r="D29" s="70"/>
      <c r="E29" s="86">
        <f t="shared" si="0"/>
        <v>0</v>
      </c>
      <c r="F29" s="103">
        <f t="shared" si="9"/>
        <v>0</v>
      </c>
      <c r="G29" s="40"/>
      <c r="H29" s="88">
        <f t="shared" si="1"/>
        <v>0</v>
      </c>
      <c r="I29" s="1"/>
      <c r="J29" s="28"/>
      <c r="K29" s="89"/>
      <c r="L29" s="90"/>
      <c r="M29" s="91"/>
      <c r="N29" s="92">
        <f t="shared" si="8"/>
        <v>0</v>
      </c>
      <c r="O29" s="93"/>
      <c r="P29" s="103">
        <f t="shared" si="6"/>
        <v>0</v>
      </c>
      <c r="Q29" s="95"/>
      <c r="R29" s="88">
        <f t="shared" si="7"/>
        <v>0</v>
      </c>
      <c r="S29" s="1"/>
    </row>
    <row r="30" spans="1:20" hidden="1" x14ac:dyDescent="0.2">
      <c r="A30" s="84"/>
      <c r="B30" s="85"/>
      <c r="C30" s="92">
        <f t="shared" si="10"/>
        <v>0</v>
      </c>
      <c r="D30" s="70"/>
      <c r="E30" s="86">
        <f t="shared" si="0"/>
        <v>0</v>
      </c>
      <c r="F30" s="103">
        <f t="shared" si="9"/>
        <v>0</v>
      </c>
      <c r="G30" s="40"/>
      <c r="H30" s="88">
        <f t="shared" si="1"/>
        <v>0</v>
      </c>
      <c r="I30" s="1"/>
      <c r="J30" s="28"/>
      <c r="K30" s="105"/>
      <c r="L30" s="90"/>
      <c r="M30" s="91"/>
      <c r="N30" s="92">
        <f t="shared" si="8"/>
        <v>0</v>
      </c>
      <c r="O30" s="93"/>
      <c r="P30" s="103">
        <f t="shared" si="6"/>
        <v>0</v>
      </c>
      <c r="Q30" s="95"/>
      <c r="R30" s="88">
        <f t="shared" si="7"/>
        <v>0</v>
      </c>
      <c r="S30" s="1"/>
    </row>
    <row r="31" spans="1:20" hidden="1" x14ac:dyDescent="0.2">
      <c r="A31" s="84"/>
      <c r="B31" s="85"/>
      <c r="C31" s="92">
        <f t="shared" si="10"/>
        <v>0</v>
      </c>
      <c r="D31" s="70"/>
      <c r="E31" s="86">
        <f t="shared" si="0"/>
        <v>0</v>
      </c>
      <c r="F31" s="103">
        <f t="shared" si="9"/>
        <v>0</v>
      </c>
      <c r="G31" s="40"/>
      <c r="H31" s="88">
        <f t="shared" si="1"/>
        <v>0</v>
      </c>
      <c r="I31" s="1"/>
      <c r="J31" s="28"/>
      <c r="K31" s="89"/>
      <c r="L31" s="90"/>
      <c r="M31" s="91"/>
      <c r="N31" s="92">
        <f t="shared" si="8"/>
        <v>0</v>
      </c>
      <c r="O31" s="93"/>
      <c r="P31" s="103">
        <f t="shared" si="6"/>
        <v>0</v>
      </c>
      <c r="Q31" s="95"/>
      <c r="R31" s="88">
        <f t="shared" si="7"/>
        <v>0</v>
      </c>
      <c r="S31" s="1"/>
    </row>
    <row r="32" spans="1:20" hidden="1" x14ac:dyDescent="0.2">
      <c r="A32" s="84"/>
      <c r="B32" s="85"/>
      <c r="C32" s="92">
        <f t="shared" si="10"/>
        <v>0</v>
      </c>
      <c r="D32" s="70"/>
      <c r="E32" s="86">
        <f t="shared" si="0"/>
        <v>0</v>
      </c>
      <c r="F32" s="103">
        <f t="shared" si="9"/>
        <v>0</v>
      </c>
      <c r="G32" s="40"/>
      <c r="H32" s="88">
        <f t="shared" si="1"/>
        <v>0</v>
      </c>
      <c r="I32" s="1"/>
      <c r="J32" s="28"/>
      <c r="K32" s="89"/>
      <c r="L32" s="107"/>
      <c r="M32" s="108"/>
      <c r="N32" s="108"/>
      <c r="O32" s="109"/>
      <c r="P32" s="110"/>
      <c r="Q32" s="111"/>
      <c r="R32" s="112"/>
      <c r="S32" s="112"/>
    </row>
    <row r="33" spans="1:19" hidden="1" x14ac:dyDescent="0.2">
      <c r="A33" s="84"/>
      <c r="B33" s="85"/>
      <c r="C33" s="92">
        <f t="shared" si="10"/>
        <v>0</v>
      </c>
      <c r="D33" s="70"/>
      <c r="E33" s="86">
        <f t="shared" si="0"/>
        <v>0</v>
      </c>
      <c r="F33" s="103">
        <f t="shared" si="9"/>
        <v>0</v>
      </c>
      <c r="G33" s="40"/>
      <c r="H33" s="88">
        <f t="shared" si="1"/>
        <v>0</v>
      </c>
      <c r="I33" s="1"/>
      <c r="J33" s="28"/>
      <c r="K33" s="89"/>
      <c r="L33" s="113"/>
      <c r="M33" s="113"/>
      <c r="N33" s="113"/>
      <c r="O33" s="113"/>
      <c r="P33" s="113"/>
      <c r="Q33" s="113"/>
      <c r="R33" s="113"/>
      <c r="S33" s="113"/>
    </row>
    <row r="34" spans="1:19" hidden="1" x14ac:dyDescent="0.2">
      <c r="A34" s="84"/>
      <c r="B34" s="85"/>
      <c r="C34" s="92">
        <f t="shared" si="10"/>
        <v>0</v>
      </c>
      <c r="D34" s="70"/>
      <c r="E34" s="86">
        <f t="shared" si="0"/>
        <v>0</v>
      </c>
      <c r="F34" s="103">
        <f t="shared" si="9"/>
        <v>0</v>
      </c>
      <c r="G34" s="40"/>
      <c r="H34" s="88">
        <f t="shared" si="1"/>
        <v>0</v>
      </c>
      <c r="I34" s="1"/>
      <c r="J34" s="28"/>
      <c r="K34" s="89"/>
      <c r="L34" s="113"/>
      <c r="M34" s="113"/>
      <c r="N34" s="113"/>
      <c r="O34" s="113"/>
      <c r="P34" s="113"/>
      <c r="Q34" s="113"/>
      <c r="R34" s="113"/>
      <c r="S34" s="113"/>
    </row>
    <row r="35" spans="1:19" hidden="1" x14ac:dyDescent="0.2">
      <c r="A35" s="84"/>
      <c r="B35" s="85"/>
      <c r="C35" s="92">
        <f t="shared" si="10"/>
        <v>0</v>
      </c>
      <c r="D35" s="70"/>
      <c r="E35" s="86">
        <f t="shared" si="0"/>
        <v>0</v>
      </c>
      <c r="F35" s="103">
        <f t="shared" si="9"/>
        <v>0</v>
      </c>
      <c r="G35" s="40"/>
      <c r="H35" s="88">
        <f t="shared" si="1"/>
        <v>0</v>
      </c>
      <c r="I35" s="1"/>
      <c r="J35" s="28"/>
      <c r="K35" s="89"/>
      <c r="L35" s="113"/>
      <c r="M35" s="113"/>
      <c r="N35" s="113"/>
      <c r="O35" s="113"/>
      <c r="P35" s="113"/>
      <c r="Q35" s="113"/>
      <c r="R35" s="113"/>
      <c r="S35" s="113"/>
    </row>
    <row r="36" spans="1:19" hidden="1" x14ac:dyDescent="0.2">
      <c r="A36" s="84"/>
      <c r="B36" s="85"/>
      <c r="C36" s="92">
        <f t="shared" si="10"/>
        <v>0</v>
      </c>
      <c r="D36" s="70"/>
      <c r="E36" s="86">
        <f t="shared" si="0"/>
        <v>0</v>
      </c>
      <c r="F36" s="103">
        <f t="shared" si="9"/>
        <v>0</v>
      </c>
      <c r="G36" s="40"/>
      <c r="H36" s="88">
        <f t="shared" si="1"/>
        <v>0</v>
      </c>
      <c r="I36" s="1"/>
      <c r="J36" s="28"/>
      <c r="K36" s="89"/>
      <c r="L36" s="113"/>
      <c r="M36" s="113"/>
      <c r="N36" s="113"/>
      <c r="O36" s="113"/>
      <c r="P36" s="113"/>
      <c r="Q36" s="113"/>
      <c r="R36" s="113"/>
      <c r="S36" s="113"/>
    </row>
    <row r="37" spans="1:19" hidden="1" x14ac:dyDescent="0.2">
      <c r="A37" s="84"/>
      <c r="B37" s="85"/>
      <c r="C37" s="92">
        <f t="shared" si="10"/>
        <v>0</v>
      </c>
      <c r="D37" s="70"/>
      <c r="E37" s="86">
        <f t="shared" si="0"/>
        <v>0</v>
      </c>
      <c r="F37" s="126">
        <f t="shared" si="9"/>
        <v>0</v>
      </c>
      <c r="G37" s="40"/>
      <c r="H37" s="127">
        <f t="shared" si="1"/>
        <v>0</v>
      </c>
      <c r="I37" s="1"/>
      <c r="J37" s="1"/>
      <c r="K37" s="89"/>
      <c r="L37" s="113"/>
      <c r="M37" s="113"/>
      <c r="N37" s="113"/>
      <c r="O37" s="113"/>
      <c r="P37" s="113"/>
      <c r="Q37" s="113"/>
      <c r="R37" s="113"/>
      <c r="S37" s="113"/>
    </row>
    <row r="38" spans="1:19" x14ac:dyDescent="0.2">
      <c r="A38" s="84"/>
      <c r="B38" s="85"/>
      <c r="C38" s="92"/>
      <c r="D38" s="70"/>
      <c r="E38" s="104"/>
      <c r="F38" s="128">
        <f>SUM(F3:F37)</f>
        <v>273468</v>
      </c>
      <c r="G38" s="129"/>
      <c r="H38" s="130">
        <f>SUM(H3:H37)</f>
        <v>228279.87589999993</v>
      </c>
      <c r="I38" s="131"/>
      <c r="J38" s="1"/>
      <c r="L38" s="113"/>
      <c r="M38" s="113"/>
      <c r="N38" s="113"/>
      <c r="O38" s="113"/>
      <c r="P38" s="113"/>
      <c r="Q38" s="113"/>
      <c r="R38" s="113"/>
      <c r="S38" s="113"/>
    </row>
    <row r="39" spans="1:19" x14ac:dyDescent="0.2">
      <c r="A39" s="83"/>
      <c r="B39" s="142" t="s">
        <v>49</v>
      </c>
      <c r="C39" s="77"/>
      <c r="D39" s="77"/>
      <c r="E39" s="77"/>
      <c r="F39" s="132"/>
      <c r="G39" s="78"/>
      <c r="H39" s="133"/>
      <c r="I39" s="80"/>
      <c r="J39" s="81" t="s">
        <v>79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0.40972222222222199</v>
      </c>
      <c r="B40" s="85" t="s">
        <v>61</v>
      </c>
      <c r="C40" s="92">
        <v>3950490</v>
      </c>
      <c r="D40" s="102">
        <v>3960040</v>
      </c>
      <c r="E40" s="86">
        <f t="shared" ref="E40:E75" si="11">SUM(D40-C40)</f>
        <v>9550</v>
      </c>
      <c r="F40" s="143">
        <v>9540</v>
      </c>
      <c r="G40" s="40">
        <v>0.83020000000000005</v>
      </c>
      <c r="H40" s="88">
        <f t="shared" ref="H40:H75" si="12">SUM(G40*F40)</f>
        <v>7920.1080000000002</v>
      </c>
      <c r="I40" s="28" t="s">
        <v>80</v>
      </c>
      <c r="J40" s="1">
        <v>6276</v>
      </c>
      <c r="K40" s="114" t="s">
        <v>81</v>
      </c>
      <c r="L40" s="113"/>
      <c r="M40" s="113"/>
      <c r="N40" s="113"/>
      <c r="O40" s="113"/>
      <c r="P40" s="113"/>
      <c r="Q40" s="113"/>
      <c r="R40" s="113"/>
      <c r="S40" s="113"/>
    </row>
    <row r="41" spans="1:19" ht="14.25" customHeight="1" x14ac:dyDescent="0.2">
      <c r="A41" s="84">
        <v>0.40972222222222199</v>
      </c>
      <c r="B41" s="85" t="s">
        <v>52</v>
      </c>
      <c r="C41" s="92">
        <f t="shared" ref="C41:C48" si="13">SUM(D40)</f>
        <v>3960040</v>
      </c>
      <c r="D41" s="102">
        <v>3965550</v>
      </c>
      <c r="E41" s="86">
        <f t="shared" si="11"/>
        <v>5510</v>
      </c>
      <c r="F41" s="143">
        <v>5500</v>
      </c>
      <c r="G41" s="40">
        <v>0.84119999999999995</v>
      </c>
      <c r="H41" s="79">
        <f t="shared" si="12"/>
        <v>4626.5999999999995</v>
      </c>
      <c r="I41" s="28" t="s">
        <v>80</v>
      </c>
      <c r="J41" s="1">
        <v>6276</v>
      </c>
      <c r="K41" s="115" t="s">
        <v>82</v>
      </c>
      <c r="L41" s="113"/>
      <c r="M41" s="113"/>
      <c r="N41" s="113"/>
      <c r="O41" s="113"/>
      <c r="P41" s="113"/>
      <c r="Q41" s="113"/>
      <c r="R41" s="113"/>
      <c r="S41" s="113"/>
    </row>
    <row r="42" spans="1:19" ht="15" customHeight="1" x14ac:dyDescent="0.2">
      <c r="A42" s="84">
        <v>0.42361111111111099</v>
      </c>
      <c r="B42" s="85" t="s">
        <v>52</v>
      </c>
      <c r="C42" s="92">
        <f t="shared" si="13"/>
        <v>3965550</v>
      </c>
      <c r="D42" s="102">
        <v>3972580</v>
      </c>
      <c r="E42" s="86">
        <f t="shared" si="11"/>
        <v>7030</v>
      </c>
      <c r="F42" s="124">
        <v>7033</v>
      </c>
      <c r="G42" s="40">
        <v>0.84119999999999995</v>
      </c>
      <c r="H42" s="79">
        <f t="shared" si="12"/>
        <v>5916.1596</v>
      </c>
      <c r="I42" s="28" t="s">
        <v>77</v>
      </c>
      <c r="J42" s="1">
        <v>6277</v>
      </c>
      <c r="K42" s="115" t="s">
        <v>83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0.42361111111111099</v>
      </c>
      <c r="B43" s="85" t="s">
        <v>62</v>
      </c>
      <c r="C43" s="92">
        <f t="shared" si="13"/>
        <v>3972580</v>
      </c>
      <c r="D43" s="102">
        <v>3982530</v>
      </c>
      <c r="E43" s="86">
        <f t="shared" si="11"/>
        <v>9950</v>
      </c>
      <c r="F43" s="124">
        <v>9986</v>
      </c>
      <c r="G43" s="40">
        <v>0.82599999999999996</v>
      </c>
      <c r="H43" s="121">
        <f t="shared" si="12"/>
        <v>8248.4359999999997</v>
      </c>
      <c r="I43" s="28" t="s">
        <v>77</v>
      </c>
      <c r="J43" s="1">
        <v>6277</v>
      </c>
      <c r="K43" s="115" t="s">
        <v>84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0.44097222222222199</v>
      </c>
      <c r="B44" s="85" t="s">
        <v>62</v>
      </c>
      <c r="C44" s="92">
        <f t="shared" si="13"/>
        <v>3982530</v>
      </c>
      <c r="D44" s="102">
        <v>3988620</v>
      </c>
      <c r="E44" s="86">
        <f t="shared" si="11"/>
        <v>6090</v>
      </c>
      <c r="F44" s="103">
        <f>SUM(D44-C44)</f>
        <v>6090</v>
      </c>
      <c r="G44" s="40">
        <v>0.82599999999999996</v>
      </c>
      <c r="H44" s="121">
        <f t="shared" si="12"/>
        <v>5030.34</v>
      </c>
      <c r="I44" s="28" t="s">
        <v>85</v>
      </c>
      <c r="J44" s="1">
        <v>6279</v>
      </c>
      <c r="K44" s="115" t="s">
        <v>84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0.44791666666666702</v>
      </c>
      <c r="B45" s="85" t="s">
        <v>72</v>
      </c>
      <c r="C45" s="92">
        <f t="shared" si="13"/>
        <v>3988620</v>
      </c>
      <c r="D45" s="102">
        <v>3997530</v>
      </c>
      <c r="E45" s="86">
        <f t="shared" si="11"/>
        <v>8910</v>
      </c>
      <c r="F45" s="103">
        <f>SUM(D45-C45)</f>
        <v>8910</v>
      </c>
      <c r="G45" s="40">
        <v>0.82809999999999995</v>
      </c>
      <c r="H45" s="140">
        <f t="shared" si="12"/>
        <v>7378.3709999999992</v>
      </c>
      <c r="I45" s="28" t="s">
        <v>86</v>
      </c>
      <c r="J45" s="1">
        <v>6281</v>
      </c>
      <c r="K45" s="115"/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0.45833333333333298</v>
      </c>
      <c r="B46" s="85" t="s">
        <v>72</v>
      </c>
      <c r="C46" s="92">
        <f t="shared" si="13"/>
        <v>3997530</v>
      </c>
      <c r="D46" s="102">
        <v>4003760</v>
      </c>
      <c r="E46" s="86">
        <f t="shared" si="11"/>
        <v>6230</v>
      </c>
      <c r="F46" s="103">
        <f>SUM(D46-C46)</f>
        <v>6230</v>
      </c>
      <c r="G46" s="40">
        <v>0.82809999999999995</v>
      </c>
      <c r="H46" s="140">
        <f t="shared" si="12"/>
        <v>5159.0630000000001</v>
      </c>
      <c r="I46" s="28" t="s">
        <v>87</v>
      </c>
      <c r="J46" s="1">
        <v>6283</v>
      </c>
      <c r="K46" s="114"/>
      <c r="L46" s="113"/>
      <c r="M46" s="113"/>
      <c r="N46" s="89"/>
      <c r="O46" s="113"/>
      <c r="P46" s="113"/>
      <c r="Q46" s="113"/>
      <c r="R46" s="113"/>
      <c r="S46" s="113"/>
    </row>
    <row r="47" spans="1:19" ht="16" x14ac:dyDescent="0.2">
      <c r="A47" s="84">
        <v>0.46527777777777801</v>
      </c>
      <c r="B47" s="85" t="s">
        <v>72</v>
      </c>
      <c r="C47" s="92">
        <f t="shared" si="13"/>
        <v>4003760</v>
      </c>
      <c r="D47" s="102">
        <v>4009920</v>
      </c>
      <c r="E47" s="86">
        <f t="shared" si="11"/>
        <v>6160</v>
      </c>
      <c r="F47" s="103">
        <f>SUM(D47-C47)</f>
        <v>6160</v>
      </c>
      <c r="G47" s="40">
        <v>0.82809999999999995</v>
      </c>
      <c r="H47" s="140">
        <f t="shared" si="12"/>
        <v>5101.0959999999995</v>
      </c>
      <c r="I47" s="28" t="s">
        <v>88</v>
      </c>
      <c r="J47" s="1">
        <v>6284</v>
      </c>
      <c r="K47" s="115"/>
      <c r="L47" s="113"/>
      <c r="M47" s="113"/>
      <c r="N47" s="89"/>
      <c r="O47" s="113"/>
      <c r="P47" s="113"/>
      <c r="Q47" s="113"/>
      <c r="R47" s="113"/>
      <c r="S47" s="113"/>
    </row>
    <row r="48" spans="1:19" ht="16" x14ac:dyDescent="0.2">
      <c r="A48" s="84">
        <v>0.47569444444444398</v>
      </c>
      <c r="B48" s="85" t="s">
        <v>72</v>
      </c>
      <c r="C48" s="92">
        <f t="shared" si="13"/>
        <v>4009920</v>
      </c>
      <c r="D48" s="102">
        <v>4026970</v>
      </c>
      <c r="E48" s="86">
        <f t="shared" si="11"/>
        <v>17050</v>
      </c>
      <c r="F48" s="124">
        <v>17019</v>
      </c>
      <c r="G48" s="40">
        <v>0.82809999999999995</v>
      </c>
      <c r="H48" s="140">
        <f t="shared" si="12"/>
        <v>14093.4339</v>
      </c>
      <c r="I48" s="28" t="s">
        <v>77</v>
      </c>
      <c r="J48" s="1">
        <v>6285</v>
      </c>
      <c r="K48" s="114"/>
      <c r="L48" s="113"/>
      <c r="M48" s="113"/>
      <c r="N48" s="89"/>
      <c r="O48" s="113"/>
      <c r="P48" s="113"/>
      <c r="Q48" s="113"/>
      <c r="R48" s="113"/>
      <c r="S48" s="113"/>
    </row>
    <row r="49" spans="1:19" ht="15" customHeight="1" x14ac:dyDescent="0.2">
      <c r="A49" s="84">
        <v>0.51736111111111105</v>
      </c>
      <c r="B49" s="85" t="s">
        <v>62</v>
      </c>
      <c r="C49" s="92">
        <v>4027020</v>
      </c>
      <c r="D49" s="102">
        <v>4044040</v>
      </c>
      <c r="E49" s="86">
        <f t="shared" si="11"/>
        <v>17020</v>
      </c>
      <c r="F49" s="124">
        <v>17019</v>
      </c>
      <c r="G49" s="40">
        <v>0.82599999999999996</v>
      </c>
      <c r="H49" s="121">
        <f t="shared" si="12"/>
        <v>14057.694</v>
      </c>
      <c r="I49" s="28" t="s">
        <v>77</v>
      </c>
      <c r="J49" s="1">
        <v>6287</v>
      </c>
      <c r="K49" s="115" t="s">
        <v>84</v>
      </c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0.57986111111111105</v>
      </c>
      <c r="B50" s="85" t="s">
        <v>72</v>
      </c>
      <c r="C50" s="92">
        <f t="shared" ref="C50:C65" si="14">SUM(D49)</f>
        <v>4044040</v>
      </c>
      <c r="D50" s="102">
        <v>4053210</v>
      </c>
      <c r="E50" s="86">
        <f t="shared" si="11"/>
        <v>9170</v>
      </c>
      <c r="F50" s="103">
        <f>SUM(D50-C50)</f>
        <v>9170</v>
      </c>
      <c r="G50" s="40">
        <v>0.82609999999999995</v>
      </c>
      <c r="H50" s="140">
        <f t="shared" si="12"/>
        <v>7575.3369999999995</v>
      </c>
      <c r="I50" s="28" t="s">
        <v>87</v>
      </c>
      <c r="J50" s="1">
        <v>6289</v>
      </c>
      <c r="K50" s="115"/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0.59027777777777801</v>
      </c>
      <c r="B51" s="85" t="s">
        <v>72</v>
      </c>
      <c r="C51" s="92">
        <f t="shared" si="14"/>
        <v>4053210</v>
      </c>
      <c r="D51" s="102">
        <v>4058650</v>
      </c>
      <c r="E51" s="86">
        <f t="shared" si="11"/>
        <v>5440</v>
      </c>
      <c r="F51" s="103">
        <f>SUM(D51-C51)</f>
        <v>5440</v>
      </c>
      <c r="G51" s="40">
        <v>0.82609999999999995</v>
      </c>
      <c r="H51" s="140">
        <f t="shared" si="12"/>
        <v>4493.9839999999995</v>
      </c>
      <c r="I51" s="28" t="s">
        <v>88</v>
      </c>
      <c r="J51" s="1">
        <v>6290</v>
      </c>
      <c r="K51" s="115"/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0.60416666666666696</v>
      </c>
      <c r="B52" s="85" t="s">
        <v>57</v>
      </c>
      <c r="C52" s="92">
        <f t="shared" si="14"/>
        <v>4058650</v>
      </c>
      <c r="D52" s="102">
        <v>4066210</v>
      </c>
      <c r="E52" s="86">
        <f t="shared" si="11"/>
        <v>7560</v>
      </c>
      <c r="F52" s="103">
        <f>SUM(D52-C52)</f>
        <v>7560</v>
      </c>
      <c r="G52" s="40">
        <v>0.82640000000000002</v>
      </c>
      <c r="H52" s="123">
        <f t="shared" si="12"/>
        <v>6247.5839999999998</v>
      </c>
      <c r="I52" s="28" t="s">
        <v>85</v>
      </c>
      <c r="J52" s="1">
        <v>6291</v>
      </c>
      <c r="K52" s="115" t="s">
        <v>84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0.75</v>
      </c>
      <c r="B53" s="85" t="s">
        <v>61</v>
      </c>
      <c r="C53" s="92">
        <f t="shared" si="14"/>
        <v>4066210</v>
      </c>
      <c r="D53" s="102">
        <v>4083250</v>
      </c>
      <c r="E53" s="86">
        <f t="shared" si="11"/>
        <v>17040</v>
      </c>
      <c r="F53" s="124">
        <v>17019</v>
      </c>
      <c r="G53" s="40">
        <v>0.82589999999999997</v>
      </c>
      <c r="H53" s="88">
        <f t="shared" si="12"/>
        <v>14055.992099999999</v>
      </c>
      <c r="I53" s="28" t="s">
        <v>77</v>
      </c>
      <c r="J53" s="1">
        <v>6295</v>
      </c>
      <c r="K53" s="114" t="s">
        <v>70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0.79166666666666696</v>
      </c>
      <c r="B54" s="85" t="s">
        <v>72</v>
      </c>
      <c r="C54" s="92">
        <f t="shared" si="14"/>
        <v>4083250</v>
      </c>
      <c r="D54" s="102">
        <v>4090750</v>
      </c>
      <c r="E54" s="86">
        <f t="shared" si="11"/>
        <v>7500</v>
      </c>
      <c r="F54" s="103">
        <f>SUM(D54-C54)</f>
        <v>7500</v>
      </c>
      <c r="G54" s="40">
        <v>0.82609999999999995</v>
      </c>
      <c r="H54" s="140">
        <f t="shared" si="12"/>
        <v>6195.75</v>
      </c>
      <c r="I54" s="28" t="s">
        <v>86</v>
      </c>
      <c r="J54" s="1">
        <v>6298</v>
      </c>
      <c r="K54" s="105"/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0.80555555555555503</v>
      </c>
      <c r="B55" s="85" t="s">
        <v>57</v>
      </c>
      <c r="C55" s="92">
        <f t="shared" si="14"/>
        <v>4090750</v>
      </c>
      <c r="D55" s="102">
        <v>4107730</v>
      </c>
      <c r="E55" s="86">
        <f t="shared" si="11"/>
        <v>16980</v>
      </c>
      <c r="F55" s="124">
        <v>17019</v>
      </c>
      <c r="G55" s="40">
        <v>0.82640000000000002</v>
      </c>
      <c r="H55" s="123">
        <f t="shared" si="12"/>
        <v>14064.5016</v>
      </c>
      <c r="I55" s="28" t="s">
        <v>77</v>
      </c>
      <c r="J55" s="1">
        <v>6299</v>
      </c>
      <c r="K55" s="115" t="s">
        <v>84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0.88541666666666696</v>
      </c>
      <c r="B56" s="85" t="s">
        <v>61</v>
      </c>
      <c r="C56" s="92">
        <f t="shared" si="14"/>
        <v>4107730</v>
      </c>
      <c r="D56" s="102">
        <v>4114550</v>
      </c>
      <c r="E56" s="86">
        <f t="shared" si="11"/>
        <v>6820</v>
      </c>
      <c r="F56" s="103">
        <f>SUM(D56-C56)</f>
        <v>6820</v>
      </c>
      <c r="G56" s="40">
        <v>0.82589999999999997</v>
      </c>
      <c r="H56" s="88">
        <f t="shared" si="12"/>
        <v>5632.6379999999999</v>
      </c>
      <c r="I56" s="28" t="s">
        <v>87</v>
      </c>
      <c r="J56" s="1">
        <v>6300</v>
      </c>
      <c r="K56" s="114" t="s">
        <v>70</v>
      </c>
      <c r="L56" s="113"/>
      <c r="M56" s="113"/>
      <c r="N56" s="89"/>
      <c r="O56" s="113"/>
      <c r="P56" s="113"/>
      <c r="Q56" s="113"/>
      <c r="R56" s="113"/>
      <c r="S56" s="113"/>
    </row>
    <row r="57" spans="1:19" ht="16" x14ac:dyDescent="0.2">
      <c r="A57" s="84">
        <v>0.91319444444444398</v>
      </c>
      <c r="B57" s="85" t="s">
        <v>72</v>
      </c>
      <c r="C57" s="92">
        <f t="shared" si="14"/>
        <v>4114550</v>
      </c>
      <c r="D57" s="102">
        <v>4120210</v>
      </c>
      <c r="E57" s="86">
        <f t="shared" si="11"/>
        <v>5660</v>
      </c>
      <c r="F57" s="103">
        <f>SUM(D57-C57)</f>
        <v>5660</v>
      </c>
      <c r="G57" s="40">
        <v>0.82609999999999995</v>
      </c>
      <c r="H57" s="140">
        <f t="shared" si="12"/>
        <v>4675.7259999999997</v>
      </c>
      <c r="I57" s="28" t="s">
        <v>88</v>
      </c>
      <c r="J57" s="1">
        <v>6303</v>
      </c>
      <c r="K57" s="115"/>
      <c r="L57" s="113"/>
      <c r="M57" s="113"/>
      <c r="N57" s="89"/>
      <c r="O57" s="113"/>
      <c r="P57" s="113"/>
      <c r="Q57" s="113"/>
      <c r="R57" s="113"/>
      <c r="S57" s="113"/>
    </row>
    <row r="58" spans="1:19" ht="16" x14ac:dyDescent="0.2">
      <c r="A58" s="84">
        <v>0.9375</v>
      </c>
      <c r="B58" s="85" t="s">
        <v>72</v>
      </c>
      <c r="C58" s="92">
        <f t="shared" si="14"/>
        <v>4120210</v>
      </c>
      <c r="D58" s="102">
        <v>4137190</v>
      </c>
      <c r="E58" s="86">
        <f t="shared" si="11"/>
        <v>16980</v>
      </c>
      <c r="F58" s="124">
        <v>17019</v>
      </c>
      <c r="G58" s="40">
        <v>0.82609999999999995</v>
      </c>
      <c r="H58" s="140">
        <f t="shared" si="12"/>
        <v>14059.3959</v>
      </c>
      <c r="I58" s="28" t="s">
        <v>77</v>
      </c>
      <c r="J58" s="1">
        <v>6304</v>
      </c>
      <c r="K58" s="114"/>
      <c r="L58" s="113"/>
      <c r="M58" s="113"/>
      <c r="N58" s="89"/>
      <c r="O58" s="113"/>
      <c r="P58" s="113"/>
      <c r="Q58" s="113"/>
      <c r="R58" s="113"/>
      <c r="S58" s="113"/>
    </row>
    <row r="59" spans="1:19" ht="15" customHeight="1" x14ac:dyDescent="0.2">
      <c r="A59" s="84">
        <v>0.95486111111111105</v>
      </c>
      <c r="B59" s="85" t="s">
        <v>57</v>
      </c>
      <c r="C59" s="92">
        <f t="shared" si="14"/>
        <v>4137190</v>
      </c>
      <c r="D59" s="102">
        <v>4142130</v>
      </c>
      <c r="E59" s="86">
        <f t="shared" si="11"/>
        <v>4940</v>
      </c>
      <c r="F59" s="103">
        <f>SUM(D59-C59)</f>
        <v>4940</v>
      </c>
      <c r="G59" s="40">
        <v>0.82640000000000002</v>
      </c>
      <c r="H59" s="123">
        <f t="shared" si="12"/>
        <v>4082.4160000000002</v>
      </c>
      <c r="I59" s="28" t="s">
        <v>85</v>
      </c>
      <c r="J59" s="1">
        <v>6306</v>
      </c>
      <c r="K59" s="115" t="s">
        <v>84</v>
      </c>
      <c r="L59" s="113"/>
      <c r="M59" s="113"/>
      <c r="N59" s="89"/>
      <c r="O59" s="113"/>
      <c r="P59" s="113"/>
      <c r="Q59" s="113"/>
      <c r="R59" s="113"/>
      <c r="S59" s="113"/>
    </row>
    <row r="60" spans="1:19" ht="16" x14ac:dyDescent="0.2">
      <c r="A60" s="84">
        <v>0.98263888888888895</v>
      </c>
      <c r="B60" s="85" t="s">
        <v>89</v>
      </c>
      <c r="C60" s="92">
        <f t="shared" si="14"/>
        <v>4142130</v>
      </c>
      <c r="D60" s="102">
        <v>4159040</v>
      </c>
      <c r="E60" s="86">
        <f t="shared" si="11"/>
        <v>16910</v>
      </c>
      <c r="F60" s="124">
        <v>17019</v>
      </c>
      <c r="G60" s="40">
        <v>0.82340000000000002</v>
      </c>
      <c r="H60" s="135">
        <f t="shared" si="12"/>
        <v>14013.444600000001</v>
      </c>
      <c r="I60" s="28" t="s">
        <v>77</v>
      </c>
      <c r="J60" s="1">
        <v>6307</v>
      </c>
      <c r="K60" s="115" t="s">
        <v>84</v>
      </c>
      <c r="L60" s="113"/>
      <c r="M60" s="113"/>
      <c r="N60" s="113"/>
      <c r="O60" s="113"/>
      <c r="P60" s="113"/>
      <c r="Q60" s="113"/>
      <c r="R60" s="113"/>
      <c r="S60" s="113"/>
    </row>
    <row r="61" spans="1:19" ht="16" x14ac:dyDescent="0.2">
      <c r="A61" s="84">
        <v>9.7222222222222196E-2</v>
      </c>
      <c r="B61" s="85" t="s">
        <v>72</v>
      </c>
      <c r="C61" s="92">
        <f t="shared" si="14"/>
        <v>4159040</v>
      </c>
      <c r="D61" s="102">
        <v>4165820</v>
      </c>
      <c r="E61" s="86">
        <f t="shared" si="11"/>
        <v>6780</v>
      </c>
      <c r="F61" s="103">
        <f>SUM(D61-C61)</f>
        <v>6780</v>
      </c>
      <c r="G61" s="40">
        <v>0.82609999999999995</v>
      </c>
      <c r="H61" s="140">
        <f t="shared" si="12"/>
        <v>5600.9579999999996</v>
      </c>
      <c r="I61" s="28" t="s">
        <v>88</v>
      </c>
      <c r="J61" s="1">
        <v>6309</v>
      </c>
      <c r="K61" s="115"/>
      <c r="L61" s="113"/>
      <c r="M61" s="113"/>
      <c r="N61" s="113"/>
      <c r="O61" s="113"/>
      <c r="P61" s="113"/>
      <c r="Q61" s="113"/>
      <c r="R61" s="113"/>
      <c r="S61" s="113"/>
    </row>
    <row r="62" spans="1:19" ht="16" x14ac:dyDescent="0.2">
      <c r="A62" s="84">
        <v>0.104166666666667</v>
      </c>
      <c r="B62" s="85" t="s">
        <v>72</v>
      </c>
      <c r="C62" s="92">
        <f t="shared" si="14"/>
        <v>4165820</v>
      </c>
      <c r="D62" s="102">
        <v>4175400</v>
      </c>
      <c r="E62" s="86">
        <f t="shared" si="11"/>
        <v>9580</v>
      </c>
      <c r="F62" s="143">
        <v>9540</v>
      </c>
      <c r="G62" s="40">
        <v>0.82609999999999995</v>
      </c>
      <c r="H62" s="140">
        <f t="shared" si="12"/>
        <v>7880.9939999999997</v>
      </c>
      <c r="I62" s="28" t="s">
        <v>80</v>
      </c>
      <c r="J62" s="1">
        <v>6310</v>
      </c>
      <c r="K62" s="114" t="s">
        <v>81</v>
      </c>
      <c r="L62" s="113"/>
      <c r="M62" s="113"/>
      <c r="N62" s="113"/>
      <c r="O62" s="113"/>
      <c r="P62" s="113"/>
      <c r="Q62" s="113"/>
      <c r="R62" s="113"/>
      <c r="S62" s="113"/>
    </row>
    <row r="63" spans="1:19" ht="16" x14ac:dyDescent="0.2">
      <c r="A63" s="84">
        <v>0.104166666666667</v>
      </c>
      <c r="B63" s="85" t="s">
        <v>52</v>
      </c>
      <c r="C63" s="92">
        <f t="shared" si="14"/>
        <v>4175400</v>
      </c>
      <c r="D63" s="102">
        <v>4180910</v>
      </c>
      <c r="E63" s="86">
        <f t="shared" si="11"/>
        <v>5510</v>
      </c>
      <c r="F63" s="143">
        <v>5500</v>
      </c>
      <c r="G63" s="40">
        <v>0.83660000000000001</v>
      </c>
      <c r="H63" s="79">
        <f t="shared" si="12"/>
        <v>4601.3</v>
      </c>
      <c r="I63" s="28" t="s">
        <v>80</v>
      </c>
      <c r="J63" s="1">
        <v>6310</v>
      </c>
      <c r="K63" s="115" t="s">
        <v>82</v>
      </c>
      <c r="L63" s="113"/>
      <c r="M63" s="113"/>
      <c r="N63" s="113"/>
      <c r="O63" s="113"/>
      <c r="P63" s="113"/>
      <c r="Q63" s="113"/>
      <c r="R63" s="113"/>
      <c r="S63" s="113"/>
    </row>
    <row r="64" spans="1:19" ht="16" x14ac:dyDescent="0.2">
      <c r="A64" s="84">
        <v>0.243055555555556</v>
      </c>
      <c r="B64" s="85" t="s">
        <v>89</v>
      </c>
      <c r="C64" s="92">
        <f t="shared" si="14"/>
        <v>4180910</v>
      </c>
      <c r="D64" s="102">
        <v>4197840</v>
      </c>
      <c r="E64" s="86">
        <f t="shared" si="11"/>
        <v>16930</v>
      </c>
      <c r="F64" s="124">
        <v>17019</v>
      </c>
      <c r="G64" s="40">
        <v>0.82340000000000002</v>
      </c>
      <c r="H64" s="135">
        <f t="shared" si="12"/>
        <v>14013.444600000001</v>
      </c>
      <c r="I64" s="28" t="s">
        <v>77</v>
      </c>
      <c r="J64" s="1">
        <v>6314</v>
      </c>
      <c r="K64" s="115" t="s">
        <v>84</v>
      </c>
      <c r="L64" s="113"/>
      <c r="M64" s="113"/>
      <c r="N64" s="113"/>
      <c r="O64" s="113"/>
      <c r="P64" s="113"/>
      <c r="Q64" s="113"/>
      <c r="R64" s="113"/>
      <c r="S64" s="113"/>
    </row>
    <row r="65" spans="1:19" ht="16" x14ac:dyDescent="0.2">
      <c r="A65" s="84">
        <v>0.34375</v>
      </c>
      <c r="B65" s="85" t="s">
        <v>89</v>
      </c>
      <c r="C65" s="92">
        <f t="shared" si="14"/>
        <v>4197840</v>
      </c>
      <c r="D65" s="102">
        <v>4214840</v>
      </c>
      <c r="E65" s="86">
        <f t="shared" si="11"/>
        <v>17000</v>
      </c>
      <c r="F65" s="124">
        <v>17019</v>
      </c>
      <c r="G65" s="40">
        <v>0.82340000000000002</v>
      </c>
      <c r="H65" s="135">
        <f t="shared" si="12"/>
        <v>14013.444600000001</v>
      </c>
      <c r="I65" s="28" t="s">
        <v>77</v>
      </c>
      <c r="J65" s="1">
        <v>6317</v>
      </c>
      <c r="K65" s="115" t="s">
        <v>84</v>
      </c>
      <c r="L65" s="113"/>
      <c r="M65" s="113"/>
      <c r="N65" s="113"/>
      <c r="O65" s="113"/>
      <c r="P65" s="113"/>
      <c r="Q65" s="113"/>
      <c r="R65" s="113"/>
      <c r="S65" s="113"/>
    </row>
    <row r="66" spans="1:19" x14ac:dyDescent="0.2">
      <c r="A66" s="84"/>
      <c r="B66" s="85"/>
      <c r="C66" s="92">
        <v>0</v>
      </c>
      <c r="D66" s="102"/>
      <c r="E66" s="86">
        <f t="shared" si="11"/>
        <v>0</v>
      </c>
      <c r="F66" s="103">
        <f t="shared" ref="F66:F75" si="15">SUM(D66-C66)</f>
        <v>0</v>
      </c>
      <c r="G66" s="40"/>
      <c r="H66" s="88">
        <f t="shared" si="12"/>
        <v>0</v>
      </c>
      <c r="I66" s="1"/>
      <c r="J66" s="28"/>
      <c r="K66" s="105"/>
      <c r="L66" s="113"/>
      <c r="M66" s="113"/>
      <c r="N66" s="113"/>
      <c r="O66" s="113"/>
      <c r="P66" s="113"/>
      <c r="Q66" s="113"/>
      <c r="R66" s="113"/>
      <c r="S66" s="113"/>
    </row>
    <row r="67" spans="1:19" hidden="1" x14ac:dyDescent="0.2">
      <c r="A67" s="84"/>
      <c r="B67" s="85"/>
      <c r="C67" s="92">
        <f t="shared" ref="C67:C75" si="16">SUM(D66)</f>
        <v>0</v>
      </c>
      <c r="D67" s="102"/>
      <c r="E67" s="86">
        <f t="shared" si="11"/>
        <v>0</v>
      </c>
      <c r="F67" s="103">
        <f t="shared" si="15"/>
        <v>0</v>
      </c>
      <c r="G67" s="40"/>
      <c r="H67" s="88">
        <f t="shared" si="12"/>
        <v>0</v>
      </c>
      <c r="I67" s="1"/>
      <c r="J67" s="28"/>
      <c r="K67" s="105"/>
      <c r="L67" s="113"/>
      <c r="M67" s="113"/>
      <c r="N67" s="113"/>
      <c r="O67" s="113"/>
      <c r="P67" s="113"/>
      <c r="Q67" s="113"/>
      <c r="R67" s="113"/>
      <c r="S67" s="113"/>
    </row>
    <row r="68" spans="1:19" hidden="1" x14ac:dyDescent="0.2">
      <c r="A68" s="84"/>
      <c r="B68" s="85"/>
      <c r="C68" s="92">
        <f t="shared" si="16"/>
        <v>0</v>
      </c>
      <c r="D68" s="102"/>
      <c r="E68" s="86">
        <f t="shared" si="11"/>
        <v>0</v>
      </c>
      <c r="F68" s="103">
        <f t="shared" si="15"/>
        <v>0</v>
      </c>
      <c r="G68" s="40"/>
      <c r="H68" s="88">
        <f t="shared" si="12"/>
        <v>0</v>
      </c>
      <c r="I68" s="1"/>
      <c r="J68" s="28"/>
      <c r="K68" s="105"/>
      <c r="L68" s="113"/>
      <c r="M68" s="113"/>
      <c r="N68" s="113"/>
      <c r="O68" s="113"/>
      <c r="P68" s="113"/>
      <c r="Q68" s="113"/>
      <c r="R68" s="113"/>
      <c r="S68" s="113"/>
    </row>
    <row r="69" spans="1:19" hidden="1" x14ac:dyDescent="0.2">
      <c r="A69" s="84"/>
      <c r="B69" s="85"/>
      <c r="C69" s="92">
        <f t="shared" si="16"/>
        <v>0</v>
      </c>
      <c r="D69" s="102"/>
      <c r="E69" s="86">
        <f t="shared" si="11"/>
        <v>0</v>
      </c>
      <c r="F69" s="103">
        <f t="shared" si="15"/>
        <v>0</v>
      </c>
      <c r="G69" s="40"/>
      <c r="H69" s="88">
        <f t="shared" si="12"/>
        <v>0</v>
      </c>
      <c r="I69" s="1"/>
      <c r="J69" s="28"/>
      <c r="K69" s="105"/>
      <c r="L69" s="113"/>
      <c r="M69" s="113"/>
      <c r="N69" s="113"/>
      <c r="O69" s="113"/>
      <c r="P69" s="113"/>
      <c r="Q69" s="113"/>
      <c r="R69" s="113"/>
      <c r="S69" s="113"/>
    </row>
    <row r="70" spans="1:19" hidden="1" x14ac:dyDescent="0.2">
      <c r="A70" s="84"/>
      <c r="B70" s="85"/>
      <c r="C70" s="92">
        <f t="shared" si="16"/>
        <v>0</v>
      </c>
      <c r="D70" s="102"/>
      <c r="E70" s="86">
        <f t="shared" si="11"/>
        <v>0</v>
      </c>
      <c r="F70" s="103">
        <f t="shared" si="15"/>
        <v>0</v>
      </c>
      <c r="G70" s="40"/>
      <c r="H70" s="88">
        <f t="shared" si="12"/>
        <v>0</v>
      </c>
      <c r="I70" s="1"/>
      <c r="J70" s="28"/>
      <c r="K70" s="105"/>
      <c r="L70" s="113"/>
      <c r="M70" s="113"/>
      <c r="N70" s="113"/>
      <c r="O70" s="113"/>
      <c r="P70" s="113"/>
      <c r="Q70" s="113"/>
      <c r="R70" s="113"/>
      <c r="S70" s="113"/>
    </row>
    <row r="71" spans="1:19" hidden="1" x14ac:dyDescent="0.2">
      <c r="A71" s="84"/>
      <c r="B71" s="85"/>
      <c r="C71" s="92">
        <f t="shared" si="16"/>
        <v>0</v>
      </c>
      <c r="D71" s="102"/>
      <c r="E71" s="86">
        <f t="shared" si="11"/>
        <v>0</v>
      </c>
      <c r="F71" s="103">
        <f t="shared" si="15"/>
        <v>0</v>
      </c>
      <c r="G71" s="40"/>
      <c r="H71" s="88">
        <f t="shared" si="12"/>
        <v>0</v>
      </c>
      <c r="I71" s="1"/>
      <c r="J71" s="28"/>
      <c r="K71" s="105"/>
      <c r="L71" s="113"/>
      <c r="M71" s="113"/>
      <c r="N71" s="113"/>
      <c r="O71" s="113"/>
      <c r="P71" s="113"/>
      <c r="Q71" s="113"/>
      <c r="R71" s="113"/>
      <c r="S71" s="113"/>
    </row>
    <row r="72" spans="1:19" hidden="1" x14ac:dyDescent="0.2">
      <c r="A72" s="84"/>
      <c r="B72" s="85"/>
      <c r="C72" s="92">
        <f t="shared" si="16"/>
        <v>0</v>
      </c>
      <c r="D72" s="102"/>
      <c r="E72" s="86">
        <f t="shared" si="11"/>
        <v>0</v>
      </c>
      <c r="F72" s="103">
        <f t="shared" si="15"/>
        <v>0</v>
      </c>
      <c r="G72" s="40"/>
      <c r="H72" s="88">
        <f t="shared" si="12"/>
        <v>0</v>
      </c>
      <c r="I72" s="1"/>
      <c r="J72" s="28"/>
      <c r="K72" s="105"/>
      <c r="L72" s="113"/>
      <c r="M72" s="113"/>
      <c r="N72" s="113"/>
      <c r="O72" s="113"/>
      <c r="P72" s="113"/>
      <c r="Q72" s="113"/>
      <c r="R72" s="113"/>
      <c r="S72" s="113"/>
    </row>
    <row r="73" spans="1:19" hidden="1" x14ac:dyDescent="0.2">
      <c r="A73" s="84"/>
      <c r="B73" s="85"/>
      <c r="C73" s="92">
        <f t="shared" si="16"/>
        <v>0</v>
      </c>
      <c r="D73" s="102"/>
      <c r="E73" s="86">
        <f t="shared" si="11"/>
        <v>0</v>
      </c>
      <c r="F73" s="103">
        <f t="shared" si="15"/>
        <v>0</v>
      </c>
      <c r="G73" s="40"/>
      <c r="H73" s="88">
        <f t="shared" si="12"/>
        <v>0</v>
      </c>
      <c r="I73" s="1"/>
      <c r="J73" s="28"/>
      <c r="K73" s="105"/>
      <c r="L73" s="113"/>
      <c r="M73" s="113"/>
      <c r="N73" s="113"/>
      <c r="O73" s="113"/>
      <c r="P73" s="113"/>
      <c r="Q73" s="113"/>
      <c r="R73" s="113"/>
      <c r="S73" s="113"/>
    </row>
    <row r="74" spans="1:19" hidden="1" x14ac:dyDescent="0.2">
      <c r="A74" s="84"/>
      <c r="B74" s="85"/>
      <c r="C74" s="92">
        <f t="shared" si="16"/>
        <v>0</v>
      </c>
      <c r="D74" s="70"/>
      <c r="E74" s="86">
        <f t="shared" si="11"/>
        <v>0</v>
      </c>
      <c r="F74" s="103">
        <f t="shared" si="15"/>
        <v>0</v>
      </c>
      <c r="G74" s="40"/>
      <c r="H74" s="88">
        <f t="shared" si="12"/>
        <v>0</v>
      </c>
      <c r="I74" s="1"/>
      <c r="J74" s="28"/>
      <c r="K74" s="113"/>
      <c r="L74" s="113"/>
      <c r="M74" s="113"/>
      <c r="N74" s="113"/>
      <c r="O74" s="113"/>
      <c r="P74" s="113"/>
      <c r="Q74" s="113"/>
      <c r="R74" s="113"/>
      <c r="S74" s="113"/>
    </row>
    <row r="75" spans="1:19" hidden="1" x14ac:dyDescent="0.2">
      <c r="A75" s="84"/>
      <c r="B75" s="85"/>
      <c r="C75" s="92">
        <f t="shared" si="16"/>
        <v>0</v>
      </c>
      <c r="D75" s="70"/>
      <c r="E75" s="86">
        <f t="shared" si="11"/>
        <v>0</v>
      </c>
      <c r="F75" s="126">
        <f t="shared" si="15"/>
        <v>0</v>
      </c>
      <c r="G75" s="40"/>
      <c r="H75" s="127">
        <f t="shared" si="12"/>
        <v>0</v>
      </c>
      <c r="I75" s="1"/>
      <c r="J75" s="28"/>
      <c r="K75" s="113"/>
      <c r="L75" s="113"/>
      <c r="M75" s="113"/>
      <c r="N75" s="113"/>
      <c r="O75" s="113"/>
      <c r="P75" s="113"/>
      <c r="Q75" s="113"/>
      <c r="R75" s="113"/>
      <c r="S75" s="113"/>
    </row>
    <row r="76" spans="1:19" x14ac:dyDescent="0.2">
      <c r="A76" s="84"/>
      <c r="B76" s="85"/>
      <c r="C76" s="92"/>
      <c r="D76" s="70"/>
      <c r="E76" s="104"/>
      <c r="F76" s="128">
        <f>SUM(F40:F75)</f>
        <v>264511</v>
      </c>
      <c r="G76" s="129"/>
      <c r="H76" s="130">
        <f>SUM(H40:H75)</f>
        <v>218738.21189999997</v>
      </c>
      <c r="I76" s="131"/>
      <c r="J76" s="28"/>
      <c r="K76" s="116"/>
      <c r="L76" s="113"/>
      <c r="M76" s="113"/>
      <c r="N76" s="113"/>
      <c r="O76" s="113"/>
      <c r="P76" s="113"/>
      <c r="Q76" s="113"/>
      <c r="R76" s="113"/>
      <c r="S76" s="113"/>
    </row>
    <row r="77" spans="1:19" x14ac:dyDescent="0.2">
      <c r="L77" s="113"/>
      <c r="M77" s="113"/>
      <c r="N77" s="113"/>
      <c r="O77" s="113"/>
      <c r="P77" s="113"/>
      <c r="Q77" s="113"/>
      <c r="R77" s="113"/>
      <c r="S77" s="113"/>
    </row>
    <row r="78" spans="1:19" x14ac:dyDescent="0.2">
      <c r="F78" s="141">
        <f>F76+F38</f>
        <v>537979</v>
      </c>
      <c r="H78" s="130">
        <f>H76+H38</f>
        <v>447018.08779999986</v>
      </c>
      <c r="L78" s="113"/>
      <c r="M78" s="113"/>
      <c r="N78" s="113"/>
      <c r="O78" s="113"/>
      <c r="P78" s="113"/>
      <c r="Q78" s="113"/>
      <c r="R78" s="113"/>
      <c r="S78" s="113"/>
    </row>
    <row r="79" spans="1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1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  <c r="L90" s="113"/>
      <c r="M90" s="113"/>
      <c r="N90" s="113"/>
      <c r="O90" s="113"/>
      <c r="P90" s="113"/>
      <c r="Q90" s="113"/>
      <c r="R90" s="113"/>
      <c r="S90" s="113"/>
    </row>
    <row r="91" spans="5:19" x14ac:dyDescent="0.2">
      <c r="E91" s="113"/>
      <c r="L91" s="113"/>
      <c r="M91" s="113"/>
      <c r="N91" s="113"/>
      <c r="O91" s="113"/>
      <c r="P91" s="113"/>
      <c r="Q91" s="113"/>
      <c r="R91" s="113"/>
      <c r="S91" s="113"/>
    </row>
    <row r="92" spans="5:19" x14ac:dyDescent="0.2">
      <c r="E92" s="113"/>
      <c r="L92" s="113"/>
      <c r="M92" s="113"/>
      <c r="N92" s="113"/>
      <c r="O92" s="113"/>
      <c r="P92" s="113"/>
      <c r="Q92" s="113"/>
      <c r="R92" s="113"/>
      <c r="S92" s="113"/>
    </row>
    <row r="93" spans="5:19" x14ac:dyDescent="0.2">
      <c r="E93" s="113"/>
      <c r="L93" s="113"/>
      <c r="M93" s="113"/>
      <c r="N93" s="113"/>
      <c r="O93" s="113"/>
      <c r="P93" s="113"/>
      <c r="Q93" s="113"/>
      <c r="R93" s="113"/>
      <c r="S93" s="113"/>
    </row>
    <row r="94" spans="5:19" x14ac:dyDescent="0.2">
      <c r="E94" s="113"/>
      <c r="L94" s="113"/>
      <c r="M94" s="113"/>
      <c r="N94" s="113"/>
      <c r="O94" s="113"/>
      <c r="P94" s="113"/>
      <c r="Q94" s="113"/>
      <c r="R94" s="113"/>
      <c r="S94" s="113"/>
    </row>
    <row r="95" spans="5:19" x14ac:dyDescent="0.2">
      <c r="E95" s="113"/>
      <c r="L95" s="113"/>
      <c r="M95" s="113"/>
      <c r="N95" s="113"/>
      <c r="O95" s="113"/>
      <c r="P95" s="113"/>
      <c r="Q95" s="113"/>
      <c r="R95" s="113"/>
      <c r="S95" s="113"/>
    </row>
    <row r="96" spans="5:19" hidden="1" x14ac:dyDescent="0.2">
      <c r="E96" s="113"/>
      <c r="L96" s="113"/>
      <c r="M96" s="113"/>
      <c r="N96" s="113"/>
      <c r="O96" s="113"/>
      <c r="P96" s="113"/>
      <c r="Q96" s="113"/>
      <c r="R96" s="113"/>
      <c r="S96" s="113"/>
    </row>
    <row r="97" spans="5:19" hidden="1" x14ac:dyDescent="0.2">
      <c r="E97" s="113"/>
      <c r="L97" s="113"/>
      <c r="M97" s="113"/>
      <c r="N97" s="113"/>
      <c r="O97" s="113"/>
      <c r="P97" s="113"/>
      <c r="Q97" s="113"/>
      <c r="R97" s="113"/>
      <c r="S97" s="113"/>
    </row>
    <row r="98" spans="5:19" hidden="1" x14ac:dyDescent="0.2">
      <c r="E98" s="113"/>
      <c r="L98" s="113"/>
      <c r="M98" s="113"/>
      <c r="N98" s="113"/>
      <c r="O98" s="113"/>
      <c r="P98" s="113"/>
      <c r="Q98" s="113"/>
      <c r="R98" s="113"/>
      <c r="S98" s="113"/>
    </row>
    <row r="99" spans="5:19" hidden="1" x14ac:dyDescent="0.2">
      <c r="E99" s="113"/>
      <c r="L99" s="113"/>
      <c r="M99" s="113"/>
      <c r="N99" s="113"/>
      <c r="O99" s="113"/>
      <c r="P99" s="113"/>
      <c r="Q99" s="113"/>
      <c r="R99" s="113"/>
      <c r="S99" s="113"/>
    </row>
    <row r="100" spans="5:19" hidden="1" x14ac:dyDescent="0.2">
      <c r="E100" s="113"/>
      <c r="L100" s="113"/>
      <c r="M100" s="113"/>
      <c r="N100" s="113"/>
      <c r="O100" s="113"/>
      <c r="P100" s="113"/>
      <c r="Q100" s="113"/>
      <c r="R100" s="113"/>
      <c r="S100" s="113"/>
    </row>
    <row r="101" spans="5:19" x14ac:dyDescent="0.2">
      <c r="E101" s="113"/>
      <c r="L101" s="113"/>
      <c r="M101" s="113"/>
      <c r="N101" s="113"/>
      <c r="O101" s="113"/>
      <c r="P101" s="113"/>
      <c r="Q101" s="113"/>
      <c r="R101" s="113"/>
      <c r="S101" s="113"/>
    </row>
    <row r="102" spans="5:19" x14ac:dyDescent="0.2">
      <c r="E102" s="113"/>
      <c r="L102" s="113"/>
      <c r="M102" s="113"/>
      <c r="N102" s="113"/>
      <c r="O102" s="113"/>
      <c r="P102" s="113"/>
      <c r="Q102" s="113"/>
      <c r="R102" s="113"/>
      <c r="S102" s="113"/>
    </row>
    <row r="103" spans="5:19" x14ac:dyDescent="0.2">
      <c r="E103" s="113"/>
      <c r="L103" s="113"/>
      <c r="M103" s="113"/>
      <c r="N103" s="113"/>
      <c r="O103" s="113"/>
      <c r="P103" s="113"/>
      <c r="Q103" s="113"/>
      <c r="R103" s="113"/>
      <c r="S103" s="113"/>
    </row>
    <row r="104" spans="5:19" x14ac:dyDescent="0.2">
      <c r="E104" s="113"/>
    </row>
    <row r="105" spans="5:19" x14ac:dyDescent="0.2">
      <c r="E105" s="113"/>
    </row>
    <row r="106" spans="5:19" x14ac:dyDescent="0.2">
      <c r="E106" s="113"/>
    </row>
    <row r="107" spans="5:19" x14ac:dyDescent="0.2">
      <c r="E107" s="113"/>
    </row>
    <row r="108" spans="5:19" x14ac:dyDescent="0.2">
      <c r="E108" s="113"/>
    </row>
    <row r="109" spans="5:19" x14ac:dyDescent="0.2">
      <c r="E109" s="113"/>
    </row>
    <row r="110" spans="5:19" x14ac:dyDescent="0.2">
      <c r="E110" s="113"/>
    </row>
    <row r="111" spans="5:19" x14ac:dyDescent="0.2">
      <c r="E111" s="113"/>
    </row>
    <row r="112" spans="5:19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  <row r="128" spans="5:5" x14ac:dyDescent="0.2">
      <c r="E128" s="113"/>
    </row>
    <row r="129" spans="5:5" x14ac:dyDescent="0.2">
      <c r="E129" s="113"/>
    </row>
    <row r="130" spans="5:5" x14ac:dyDescent="0.2">
      <c r="E130" s="113"/>
    </row>
    <row r="131" spans="5:5" x14ac:dyDescent="0.2">
      <c r="E131" s="113"/>
    </row>
    <row r="132" spans="5:5" x14ac:dyDescent="0.2">
      <c r="E132" s="113"/>
    </row>
    <row r="133" spans="5:5" x14ac:dyDescent="0.2">
      <c r="E133" s="113"/>
    </row>
    <row r="134" spans="5:5" x14ac:dyDescent="0.2">
      <c r="E134" s="113"/>
    </row>
    <row r="135" spans="5:5" x14ac:dyDescent="0.2">
      <c r="E135" s="113"/>
    </row>
    <row r="136" spans="5:5" x14ac:dyDescent="0.2">
      <c r="E136" s="113"/>
    </row>
    <row r="137" spans="5:5" x14ac:dyDescent="0.2">
      <c r="E137" s="113"/>
    </row>
    <row r="138" spans="5:5" x14ac:dyDescent="0.2">
      <c r="E138" s="113"/>
    </row>
    <row r="139" spans="5:5" x14ac:dyDescent="0.2">
      <c r="E139" s="113"/>
    </row>
    <row r="140" spans="5:5" x14ac:dyDescent="0.2">
      <c r="E140" s="113"/>
    </row>
    <row r="141" spans="5:5" x14ac:dyDescent="0.2">
      <c r="E141" s="113"/>
    </row>
    <row r="142" spans="5:5" x14ac:dyDescent="0.2">
      <c r="E142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19"/>
  <sheetViews>
    <sheetView topLeftCell="A16" zoomScale="65" zoomScaleNormal="65" workbookViewId="0">
      <selection activeCell="K50" sqref="K50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6.5" style="66" customWidth="1"/>
    <col min="12" max="13" width="9" style="65" customWidth="1"/>
    <col min="14" max="14" width="15.1640625" style="65" customWidth="1"/>
    <col min="15" max="15" width="14.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/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144"/>
      <c r="M2" s="145" t="s">
        <v>37</v>
      </c>
      <c r="N2" s="146"/>
      <c r="O2" s="146"/>
      <c r="P2" s="146"/>
      <c r="Q2" s="147"/>
      <c r="R2" s="148"/>
      <c r="S2" s="149"/>
    </row>
    <row r="3" spans="1:22" ht="16" x14ac:dyDescent="0.2">
      <c r="A3" s="84">
        <v>0.40277777777777801</v>
      </c>
      <c r="B3" s="150" t="s">
        <v>46</v>
      </c>
      <c r="C3" s="92">
        <v>48558210</v>
      </c>
      <c r="D3" s="70">
        <v>48565310</v>
      </c>
      <c r="E3" s="86">
        <f t="shared" ref="E3:E24" si="0">SUM(D3-C3)</f>
        <v>7100</v>
      </c>
      <c r="F3" s="87">
        <f>SUM(D3-C3)</f>
        <v>7100</v>
      </c>
      <c r="G3" s="40">
        <v>0.83499999999999996</v>
      </c>
      <c r="H3" s="88">
        <f t="shared" ref="H3:H23" si="1">SUM(G3*F3)</f>
        <v>5928.5</v>
      </c>
      <c r="I3" s="151">
        <v>237</v>
      </c>
      <c r="J3" s="28">
        <v>6318</v>
      </c>
      <c r="K3" s="89"/>
      <c r="L3" s="152">
        <v>0.50347222222222199</v>
      </c>
      <c r="M3" s="153" t="s">
        <v>46</v>
      </c>
      <c r="N3" s="154">
        <v>7621050</v>
      </c>
      <c r="O3" s="155">
        <v>7621290</v>
      </c>
      <c r="P3" s="154">
        <f t="shared" ref="P3:P16" si="2">SUM(O3-N3)</f>
        <v>240</v>
      </c>
      <c r="Q3" s="156">
        <v>0.83499999999999996</v>
      </c>
      <c r="R3" s="157">
        <f t="shared" ref="R3:R16" si="3">SUM(Q3*P3)</f>
        <v>200.39999999999998</v>
      </c>
      <c r="S3" s="158" t="s">
        <v>53</v>
      </c>
      <c r="V3" t="s">
        <v>41</v>
      </c>
    </row>
    <row r="4" spans="1:22" ht="16" x14ac:dyDescent="0.2">
      <c r="A4" s="84">
        <v>0.42708333333333298</v>
      </c>
      <c r="B4" s="134" t="s">
        <v>48</v>
      </c>
      <c r="C4" s="92">
        <f t="shared" ref="C4:C19" si="4">SUM(D3)</f>
        <v>48565310</v>
      </c>
      <c r="D4" s="70">
        <v>48587730</v>
      </c>
      <c r="E4" s="86">
        <f t="shared" si="0"/>
        <v>22420</v>
      </c>
      <c r="F4" s="159">
        <v>22430</v>
      </c>
      <c r="G4" s="40">
        <v>0.83189999999999997</v>
      </c>
      <c r="H4" s="88">
        <f t="shared" si="1"/>
        <v>18659.517</v>
      </c>
      <c r="I4" s="160">
        <v>388</v>
      </c>
      <c r="J4" s="28">
        <v>6321</v>
      </c>
      <c r="K4" s="89"/>
      <c r="L4" s="152">
        <v>0.52430555555555602</v>
      </c>
      <c r="M4" s="153" t="s">
        <v>46</v>
      </c>
      <c r="N4" s="154">
        <f t="shared" ref="N4:N16" si="5">SUM(O3)</f>
        <v>7621290</v>
      </c>
      <c r="O4" s="155">
        <v>7621380</v>
      </c>
      <c r="P4" s="154">
        <f t="shared" si="2"/>
        <v>90</v>
      </c>
      <c r="Q4" s="156">
        <v>0.83499999999999996</v>
      </c>
      <c r="R4" s="157">
        <f t="shared" si="3"/>
        <v>75.149999999999991</v>
      </c>
      <c r="S4" s="158" t="s">
        <v>64</v>
      </c>
    </row>
    <row r="5" spans="1:22" ht="16" x14ac:dyDescent="0.2">
      <c r="A5" s="84">
        <v>0.44097222222222199</v>
      </c>
      <c r="B5" s="85" t="s">
        <v>48</v>
      </c>
      <c r="C5" s="92">
        <f t="shared" si="4"/>
        <v>48587730</v>
      </c>
      <c r="D5" s="70">
        <v>48595010</v>
      </c>
      <c r="E5" s="86">
        <f t="shared" si="0"/>
        <v>7280</v>
      </c>
      <c r="F5" s="87">
        <f>SUM(D5-C5)</f>
        <v>7280</v>
      </c>
      <c r="G5" s="40">
        <v>0.83189999999999997</v>
      </c>
      <c r="H5" s="88">
        <f t="shared" si="1"/>
        <v>6056.232</v>
      </c>
      <c r="I5" s="160">
        <v>248</v>
      </c>
      <c r="J5" s="28">
        <v>6322</v>
      </c>
      <c r="K5" s="89"/>
      <c r="L5" s="152">
        <v>0.63888888888888895</v>
      </c>
      <c r="M5" s="153" t="s">
        <v>38</v>
      </c>
      <c r="N5" s="154">
        <f t="shared" si="5"/>
        <v>7621380</v>
      </c>
      <c r="O5" s="155">
        <v>7621400</v>
      </c>
      <c r="P5" s="154">
        <f t="shared" si="2"/>
        <v>20</v>
      </c>
      <c r="Q5" s="156">
        <v>0.83089999999999997</v>
      </c>
      <c r="R5" s="157">
        <f t="shared" si="3"/>
        <v>16.617999999999999</v>
      </c>
      <c r="S5" s="158" t="s">
        <v>67</v>
      </c>
    </row>
    <row r="6" spans="1:22" ht="16" x14ac:dyDescent="0.2">
      <c r="A6" s="84">
        <v>0.53472222222222199</v>
      </c>
      <c r="B6" s="120" t="s">
        <v>38</v>
      </c>
      <c r="C6" s="92">
        <f t="shared" si="4"/>
        <v>48595010</v>
      </c>
      <c r="D6" s="70">
        <v>48612040</v>
      </c>
      <c r="E6" s="86">
        <f t="shared" si="0"/>
        <v>17030</v>
      </c>
      <c r="F6" s="161">
        <v>17019</v>
      </c>
      <c r="G6" s="40">
        <v>0.83089999999999997</v>
      </c>
      <c r="H6" s="88">
        <f t="shared" si="1"/>
        <v>14141.087099999999</v>
      </c>
      <c r="I6" s="162">
        <v>251</v>
      </c>
      <c r="J6" s="28">
        <v>6328</v>
      </c>
      <c r="K6" s="89"/>
      <c r="L6" s="152">
        <v>0.78819444444444398</v>
      </c>
      <c r="M6" s="153" t="s">
        <v>38</v>
      </c>
      <c r="N6" s="154">
        <f t="shared" si="5"/>
        <v>7621400</v>
      </c>
      <c r="O6" s="155">
        <v>7621500</v>
      </c>
      <c r="P6" s="154">
        <f t="shared" si="2"/>
        <v>100</v>
      </c>
      <c r="Q6" s="163">
        <v>0.83169999999999999</v>
      </c>
      <c r="R6" s="157">
        <f t="shared" si="3"/>
        <v>83.17</v>
      </c>
      <c r="S6" s="158" t="s">
        <v>47</v>
      </c>
    </row>
    <row r="7" spans="1:22" ht="16" x14ac:dyDescent="0.2">
      <c r="A7" s="84">
        <v>0.61111111111111105</v>
      </c>
      <c r="B7" s="85" t="s">
        <v>38</v>
      </c>
      <c r="C7" s="92">
        <f t="shared" si="4"/>
        <v>48612040</v>
      </c>
      <c r="D7" s="70">
        <v>48634440</v>
      </c>
      <c r="E7" s="104">
        <f t="shared" si="0"/>
        <v>22400</v>
      </c>
      <c r="F7" s="159">
        <v>22430</v>
      </c>
      <c r="G7" s="164">
        <v>0.83089999999999997</v>
      </c>
      <c r="H7" s="88">
        <f t="shared" si="1"/>
        <v>18637.087</v>
      </c>
      <c r="I7" s="162">
        <v>388</v>
      </c>
      <c r="J7" s="28">
        <v>6331</v>
      </c>
      <c r="K7" s="89"/>
      <c r="L7" s="152">
        <v>3.4722222222222203E-2</v>
      </c>
      <c r="M7" s="153" t="s">
        <v>38</v>
      </c>
      <c r="N7" s="154">
        <f t="shared" si="5"/>
        <v>7621500</v>
      </c>
      <c r="O7" s="155">
        <v>7621720</v>
      </c>
      <c r="P7" s="154">
        <f t="shared" si="2"/>
        <v>220</v>
      </c>
      <c r="Q7" s="163">
        <v>0.83069999999999999</v>
      </c>
      <c r="R7" s="157">
        <f t="shared" si="3"/>
        <v>182.75399999999999</v>
      </c>
      <c r="S7" s="158" t="s">
        <v>43</v>
      </c>
    </row>
    <row r="8" spans="1:22" ht="16" x14ac:dyDescent="0.2">
      <c r="A8" s="84">
        <v>0.6875</v>
      </c>
      <c r="B8" s="85" t="s">
        <v>38</v>
      </c>
      <c r="C8" s="92">
        <f t="shared" si="4"/>
        <v>48634440</v>
      </c>
      <c r="D8" s="70">
        <v>48656870</v>
      </c>
      <c r="E8" s="86">
        <f t="shared" si="0"/>
        <v>22430</v>
      </c>
      <c r="F8" s="165">
        <v>22430</v>
      </c>
      <c r="G8" s="40">
        <v>0.83169999999999999</v>
      </c>
      <c r="H8" s="88">
        <f t="shared" si="1"/>
        <v>18655.030999999999</v>
      </c>
      <c r="I8" s="162">
        <v>388</v>
      </c>
      <c r="J8" s="28">
        <v>6333</v>
      </c>
      <c r="K8" s="89"/>
      <c r="L8" s="166"/>
      <c r="M8" s="99"/>
      <c r="N8" s="94">
        <f t="shared" si="5"/>
        <v>7621720</v>
      </c>
      <c r="O8" s="167"/>
      <c r="P8" s="94">
        <f t="shared" si="2"/>
        <v>-7621720</v>
      </c>
      <c r="Q8" s="100"/>
      <c r="R8" s="96">
        <f t="shared" si="3"/>
        <v>0</v>
      </c>
      <c r="S8" s="97"/>
    </row>
    <row r="9" spans="1:22" ht="16" x14ac:dyDescent="0.2">
      <c r="A9" s="84">
        <v>0.75</v>
      </c>
      <c r="B9" s="85" t="s">
        <v>38</v>
      </c>
      <c r="C9" s="92">
        <f t="shared" si="4"/>
        <v>48656870</v>
      </c>
      <c r="D9" s="70">
        <v>48679290</v>
      </c>
      <c r="E9" s="86">
        <f t="shared" si="0"/>
        <v>22420</v>
      </c>
      <c r="F9" s="159">
        <v>22430</v>
      </c>
      <c r="G9" s="40">
        <v>0.83169999999999999</v>
      </c>
      <c r="H9" s="88">
        <f t="shared" si="1"/>
        <v>18655.030999999999</v>
      </c>
      <c r="I9" s="162">
        <v>388</v>
      </c>
      <c r="J9" s="28">
        <v>6334</v>
      </c>
      <c r="K9" s="89"/>
      <c r="L9" s="90"/>
      <c r="M9" s="91"/>
      <c r="N9" s="94">
        <f t="shared" si="5"/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0.81597222222222199</v>
      </c>
      <c r="B10" s="85" t="s">
        <v>48</v>
      </c>
      <c r="C10" s="92">
        <f t="shared" si="4"/>
        <v>48679290</v>
      </c>
      <c r="D10" s="70">
        <v>48701710</v>
      </c>
      <c r="E10" s="86">
        <f t="shared" si="0"/>
        <v>22420</v>
      </c>
      <c r="F10" s="159">
        <v>22430</v>
      </c>
      <c r="G10" s="168">
        <v>0.83020000000000005</v>
      </c>
      <c r="H10" s="88">
        <f t="shared" si="1"/>
        <v>18621.386000000002</v>
      </c>
      <c r="I10" s="160">
        <v>388</v>
      </c>
      <c r="J10" s="28">
        <v>6337</v>
      </c>
      <c r="K10" s="89"/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0.88541666666666696</v>
      </c>
      <c r="B11" s="85" t="s">
        <v>48</v>
      </c>
      <c r="C11" s="92">
        <f t="shared" si="4"/>
        <v>48701710</v>
      </c>
      <c r="D11" s="70">
        <v>48712420</v>
      </c>
      <c r="E11" s="86">
        <f t="shared" si="0"/>
        <v>10710</v>
      </c>
      <c r="F11" s="87">
        <f>SUM(D11-C11)</f>
        <v>10710</v>
      </c>
      <c r="G11" s="40">
        <v>0.83020000000000005</v>
      </c>
      <c r="H11" s="88">
        <f t="shared" si="1"/>
        <v>8891.4420000000009</v>
      </c>
      <c r="I11" s="160">
        <v>237</v>
      </c>
      <c r="J11" s="28">
        <v>6339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0.94444444444444398</v>
      </c>
      <c r="B12" s="85" t="s">
        <v>38</v>
      </c>
      <c r="C12" s="92">
        <f t="shared" si="4"/>
        <v>48712420</v>
      </c>
      <c r="D12" s="70">
        <v>48722410</v>
      </c>
      <c r="E12" s="86">
        <f t="shared" si="0"/>
        <v>9990</v>
      </c>
      <c r="F12" s="124">
        <v>9986</v>
      </c>
      <c r="G12" s="40">
        <v>0.83069999999999999</v>
      </c>
      <c r="H12" s="88">
        <f t="shared" si="1"/>
        <v>8295.3701999999994</v>
      </c>
      <c r="I12" s="162">
        <v>251</v>
      </c>
      <c r="J12" s="28">
        <v>6342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0.95486111111111105</v>
      </c>
      <c r="B13" s="85" t="s">
        <v>48</v>
      </c>
      <c r="C13" s="92">
        <f t="shared" si="4"/>
        <v>48722410</v>
      </c>
      <c r="D13" s="70">
        <v>48744840</v>
      </c>
      <c r="E13" s="86">
        <f t="shared" si="0"/>
        <v>22430</v>
      </c>
      <c r="F13" s="159">
        <v>22430</v>
      </c>
      <c r="G13" s="40">
        <v>0.83020000000000005</v>
      </c>
      <c r="H13" s="88">
        <f t="shared" si="1"/>
        <v>18621.386000000002</v>
      </c>
      <c r="I13" s="160">
        <v>388</v>
      </c>
      <c r="J13" s="28">
        <v>6344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6.9444444444444397E-3</v>
      </c>
      <c r="B14" s="85" t="s">
        <v>38</v>
      </c>
      <c r="C14" s="92">
        <f t="shared" si="4"/>
        <v>48744840</v>
      </c>
      <c r="D14" s="70">
        <v>48767260</v>
      </c>
      <c r="E14" s="86">
        <f t="shared" si="0"/>
        <v>22420</v>
      </c>
      <c r="F14" s="159">
        <v>22430</v>
      </c>
      <c r="G14" s="40">
        <v>0.83069999999999999</v>
      </c>
      <c r="H14" s="88">
        <f t="shared" si="1"/>
        <v>18632.600999999999</v>
      </c>
      <c r="I14" s="162">
        <v>388</v>
      </c>
      <c r="J14" s="28">
        <v>6346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0.125</v>
      </c>
      <c r="B15" s="117" t="s">
        <v>39</v>
      </c>
      <c r="C15" s="92">
        <f t="shared" si="4"/>
        <v>48767260</v>
      </c>
      <c r="D15" s="70">
        <v>48784290</v>
      </c>
      <c r="E15" s="86">
        <f t="shared" si="0"/>
        <v>17030</v>
      </c>
      <c r="F15" s="124">
        <v>17019</v>
      </c>
      <c r="G15" s="40">
        <v>0.83479999999999999</v>
      </c>
      <c r="H15" s="88">
        <f t="shared" si="1"/>
        <v>14207.4612</v>
      </c>
      <c r="I15" s="169">
        <v>251</v>
      </c>
      <c r="J15" s="28">
        <v>6350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0.14236111111111099</v>
      </c>
      <c r="B16" s="85" t="s">
        <v>39</v>
      </c>
      <c r="C16" s="92">
        <f t="shared" si="4"/>
        <v>48784290</v>
      </c>
      <c r="D16" s="70">
        <v>48806720</v>
      </c>
      <c r="E16" s="86">
        <f t="shared" si="0"/>
        <v>22430</v>
      </c>
      <c r="F16" s="159">
        <v>22430</v>
      </c>
      <c r="G16" s="40">
        <v>0.83479999999999999</v>
      </c>
      <c r="H16" s="88">
        <f t="shared" si="1"/>
        <v>18724.563999999998</v>
      </c>
      <c r="I16" s="169">
        <v>388</v>
      </c>
      <c r="J16" s="28">
        <v>6351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0.19791666666666699</v>
      </c>
      <c r="B17" s="85" t="s">
        <v>39</v>
      </c>
      <c r="C17" s="92">
        <f t="shared" si="4"/>
        <v>48806720</v>
      </c>
      <c r="D17" s="70">
        <v>48829130</v>
      </c>
      <c r="E17" s="86">
        <f t="shared" si="0"/>
        <v>22410</v>
      </c>
      <c r="F17" s="159">
        <v>22430</v>
      </c>
      <c r="G17" s="40">
        <v>0.83479999999999999</v>
      </c>
      <c r="H17" s="88">
        <f t="shared" si="1"/>
        <v>18724.563999999998</v>
      </c>
      <c r="I17" s="169">
        <v>388</v>
      </c>
      <c r="J17" s="28">
        <v>6353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0.225694444444444</v>
      </c>
      <c r="B18" s="85" t="s">
        <v>46</v>
      </c>
      <c r="C18" s="92">
        <f t="shared" si="4"/>
        <v>48829130</v>
      </c>
      <c r="D18" s="70">
        <v>48846170</v>
      </c>
      <c r="E18" s="86">
        <f t="shared" si="0"/>
        <v>17040</v>
      </c>
      <c r="F18" s="124">
        <v>17019</v>
      </c>
      <c r="G18" s="40">
        <v>0.83350000000000002</v>
      </c>
      <c r="H18" s="88">
        <f t="shared" si="1"/>
        <v>14185.336499999999</v>
      </c>
      <c r="I18" s="151">
        <v>251</v>
      </c>
      <c r="J18" s="28">
        <v>6354</v>
      </c>
      <c r="K18" s="89"/>
      <c r="L18" s="90"/>
      <c r="M18" s="99"/>
      <c r="N18" s="125"/>
      <c r="O18" s="93"/>
      <c r="P18" s="103">
        <f t="shared" ref="P18:P24" si="6">SUM(O18-N18)</f>
        <v>0</v>
      </c>
      <c r="Q18" s="40"/>
      <c r="R18" s="88">
        <f t="shared" ref="R18:R24" si="7">SUM(Q18*P18)</f>
        <v>0</v>
      </c>
      <c r="S18" s="97"/>
      <c r="T18" t="s">
        <v>41</v>
      </c>
    </row>
    <row r="19" spans="1:20" ht="16" x14ac:dyDescent="0.2">
      <c r="A19" s="84">
        <v>0.28472222222222199</v>
      </c>
      <c r="B19" s="85" t="s">
        <v>46</v>
      </c>
      <c r="C19" s="92">
        <f t="shared" si="4"/>
        <v>48846170</v>
      </c>
      <c r="D19" s="70">
        <v>48868590</v>
      </c>
      <c r="E19" s="86">
        <f t="shared" si="0"/>
        <v>22420</v>
      </c>
      <c r="F19" s="159">
        <v>22430</v>
      </c>
      <c r="G19" s="40">
        <v>0.83350000000000002</v>
      </c>
      <c r="H19" s="88">
        <f t="shared" si="1"/>
        <v>18695.404999999999</v>
      </c>
      <c r="I19" s="151">
        <v>388</v>
      </c>
      <c r="J19" s="28">
        <v>6356</v>
      </c>
      <c r="K19" s="89"/>
      <c r="L19" s="90"/>
      <c r="M19" s="99"/>
      <c r="N19" s="92">
        <f t="shared" ref="N19:N24" si="8">SUM(O18)</f>
        <v>0</v>
      </c>
      <c r="O19" s="93"/>
      <c r="P19" s="103">
        <f t="shared" si="6"/>
        <v>0</v>
      </c>
      <c r="Q19" s="40"/>
      <c r="R19" s="88">
        <f t="shared" si="7"/>
        <v>0</v>
      </c>
      <c r="S19" s="97"/>
    </row>
    <row r="20" spans="1:20" x14ac:dyDescent="0.2">
      <c r="A20" s="84"/>
      <c r="B20" s="85"/>
      <c r="C20" s="92">
        <v>0</v>
      </c>
      <c r="D20" s="70"/>
      <c r="E20" s="86">
        <f t="shared" si="0"/>
        <v>0</v>
      </c>
      <c r="F20" s="87">
        <f>SUM(D20-C20)</f>
        <v>0</v>
      </c>
      <c r="G20" s="40"/>
      <c r="H20" s="88">
        <f t="shared" si="1"/>
        <v>0</v>
      </c>
      <c r="I20" s="1"/>
      <c r="J20" s="28"/>
      <c r="K20" s="89"/>
      <c r="L20" s="90"/>
      <c r="M20" s="99"/>
      <c r="N20" s="92">
        <f t="shared" si="8"/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x14ac:dyDescent="0.2">
      <c r="A21" s="84"/>
      <c r="B21" s="85"/>
      <c r="C21" s="92">
        <f>SUM(D20)</f>
        <v>0</v>
      </c>
      <c r="D21" s="70"/>
      <c r="E21" s="86">
        <f t="shared" si="0"/>
        <v>0</v>
      </c>
      <c r="F21" s="87">
        <f>SUM(D21-C21)</f>
        <v>0</v>
      </c>
      <c r="G21" s="40"/>
      <c r="H21" s="88">
        <f t="shared" si="1"/>
        <v>0</v>
      </c>
      <c r="I21" s="1"/>
      <c r="J21" s="28"/>
      <c r="K21" s="89"/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f>SUM(D21)</f>
        <v>0</v>
      </c>
      <c r="D22" s="70"/>
      <c r="E22" s="86">
        <f t="shared" si="0"/>
        <v>0</v>
      </c>
      <c r="F22" s="103">
        <f>SUM(D22-C22)</f>
        <v>0</v>
      </c>
      <c r="G22" s="40"/>
      <c r="H22" s="88">
        <f t="shared" si="1"/>
        <v>0</v>
      </c>
      <c r="I22" s="1"/>
      <c r="J22" s="28"/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x14ac:dyDescent="0.2">
      <c r="A23" s="84"/>
      <c r="B23" s="85"/>
      <c r="C23" s="92">
        <f>SUM(D22)</f>
        <v>0</v>
      </c>
      <c r="D23" s="70"/>
      <c r="E23" s="86">
        <f t="shared" si="0"/>
        <v>0</v>
      </c>
      <c r="F23" s="126">
        <f>SUM(D23-C23)</f>
        <v>0</v>
      </c>
      <c r="G23" s="40"/>
      <c r="H23" s="127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x14ac:dyDescent="0.2">
      <c r="A24" s="84"/>
      <c r="B24" s="85"/>
      <c r="C24" s="92">
        <f>SUM(D23)</f>
        <v>0</v>
      </c>
      <c r="D24" s="70"/>
      <c r="E24" s="104">
        <f t="shared" si="0"/>
        <v>0</v>
      </c>
      <c r="F24" s="170">
        <v>310433</v>
      </c>
      <c r="G24" s="129"/>
      <c r="H24" s="171">
        <v>258332</v>
      </c>
      <c r="I24" s="13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x14ac:dyDescent="0.2">
      <c r="A25" s="83"/>
      <c r="B25" s="76" t="s">
        <v>49</v>
      </c>
      <c r="C25" s="77"/>
      <c r="D25" s="77"/>
      <c r="E25" s="77"/>
      <c r="F25" s="132"/>
      <c r="G25" s="78"/>
      <c r="H25" s="133"/>
      <c r="I25" s="80"/>
      <c r="J25" s="80"/>
      <c r="L25" s="113"/>
      <c r="M25" s="113"/>
      <c r="N25" s="113"/>
      <c r="O25" s="113"/>
      <c r="P25" s="113"/>
      <c r="Q25" s="113"/>
      <c r="R25" s="113"/>
      <c r="S25" s="113"/>
    </row>
    <row r="26" spans="1:20" ht="16" x14ac:dyDescent="0.2">
      <c r="A26" s="84">
        <v>0.40625</v>
      </c>
      <c r="B26" s="139" t="s">
        <v>72</v>
      </c>
      <c r="C26" s="92">
        <v>4214840</v>
      </c>
      <c r="D26" s="102">
        <v>4231890</v>
      </c>
      <c r="E26" s="86">
        <f t="shared" ref="E26:E53" si="9">SUM(D26-C26)</f>
        <v>17050</v>
      </c>
      <c r="F26" s="124">
        <v>17019</v>
      </c>
      <c r="G26" s="40">
        <v>0.82569999999999999</v>
      </c>
      <c r="H26" s="88">
        <f t="shared" ref="H26:H52" si="10">SUM(G26*F26)</f>
        <v>14052.588299999999</v>
      </c>
      <c r="I26" s="172">
        <v>251</v>
      </c>
      <c r="J26" s="1">
        <v>6319</v>
      </c>
      <c r="K26" s="114" t="s">
        <v>60</v>
      </c>
      <c r="L26" s="113"/>
      <c r="M26" s="113"/>
      <c r="N26" s="113"/>
      <c r="O26" s="113"/>
      <c r="P26" s="113"/>
      <c r="Q26" s="113"/>
      <c r="R26" s="113"/>
      <c r="S26" s="113"/>
    </row>
    <row r="27" spans="1:20" ht="14.25" customHeight="1" x14ac:dyDescent="0.2">
      <c r="A27" s="84">
        <v>0.42013888888888901</v>
      </c>
      <c r="B27" s="85" t="s">
        <v>72</v>
      </c>
      <c r="C27" s="92">
        <f t="shared" ref="C27:C53" si="11">SUM(D26)</f>
        <v>4231890</v>
      </c>
      <c r="D27" s="102">
        <v>4242620</v>
      </c>
      <c r="E27" s="86">
        <f t="shared" si="9"/>
        <v>10730</v>
      </c>
      <c r="F27" s="103">
        <f>SUM(D27-C27)</f>
        <v>10730</v>
      </c>
      <c r="G27" s="40">
        <v>0.82569999999999999</v>
      </c>
      <c r="H27" s="88">
        <f t="shared" si="10"/>
        <v>8859.7610000000004</v>
      </c>
      <c r="I27" s="172">
        <v>382</v>
      </c>
      <c r="J27" s="1">
        <v>6320</v>
      </c>
      <c r="K27" s="114" t="s">
        <v>60</v>
      </c>
      <c r="L27" s="113"/>
      <c r="M27" s="113"/>
      <c r="N27" s="113"/>
      <c r="O27" s="113"/>
      <c r="P27" s="113"/>
      <c r="Q27" s="113"/>
      <c r="R27" s="113"/>
      <c r="S27" s="113"/>
    </row>
    <row r="28" spans="1:20" ht="15" customHeight="1" x14ac:dyDescent="0.2">
      <c r="A28" s="84">
        <v>0.44097222222222199</v>
      </c>
      <c r="B28" s="173" t="s">
        <v>61</v>
      </c>
      <c r="C28" s="92">
        <f t="shared" si="11"/>
        <v>4242620</v>
      </c>
      <c r="D28" s="102">
        <v>4254050</v>
      </c>
      <c r="E28" s="86">
        <f t="shared" si="9"/>
        <v>11430</v>
      </c>
      <c r="F28" s="103">
        <f>SUM(D28-C28)</f>
        <v>11430</v>
      </c>
      <c r="G28" s="40">
        <v>0.82589999999999997</v>
      </c>
      <c r="H28" s="88">
        <f t="shared" si="10"/>
        <v>9440.0370000000003</v>
      </c>
      <c r="I28" s="174">
        <v>81</v>
      </c>
      <c r="J28" s="1">
        <v>6323</v>
      </c>
      <c r="K28" s="136" t="s">
        <v>70</v>
      </c>
      <c r="L28" s="113"/>
      <c r="M28" s="113"/>
      <c r="N28" s="113"/>
      <c r="O28" s="113"/>
      <c r="P28" s="113"/>
      <c r="Q28" s="113"/>
      <c r="R28" s="113"/>
      <c r="S28" s="113"/>
    </row>
    <row r="29" spans="1:20" ht="16" x14ac:dyDescent="0.2">
      <c r="A29" s="84">
        <v>0.45138888888888901</v>
      </c>
      <c r="B29" s="175" t="s">
        <v>57</v>
      </c>
      <c r="C29" s="92">
        <f t="shared" si="11"/>
        <v>4254050</v>
      </c>
      <c r="D29" s="102">
        <v>4260330</v>
      </c>
      <c r="E29" s="86">
        <f t="shared" si="9"/>
        <v>6280</v>
      </c>
      <c r="F29" s="103">
        <f>SUM(D29-C29)</f>
        <v>6280</v>
      </c>
      <c r="G29" s="40">
        <v>0.82809999999999995</v>
      </c>
      <c r="H29" s="88">
        <f t="shared" si="10"/>
        <v>5200.4679999999998</v>
      </c>
      <c r="I29" s="176">
        <v>119</v>
      </c>
      <c r="J29" s="177">
        <v>6324</v>
      </c>
      <c r="K29" s="115" t="s">
        <v>84</v>
      </c>
      <c r="L29" s="113"/>
      <c r="M29" s="113"/>
      <c r="N29" s="113"/>
      <c r="O29" s="113"/>
      <c r="P29" s="113"/>
      <c r="Q29" s="113"/>
      <c r="R29" s="113"/>
      <c r="S29" s="113"/>
    </row>
    <row r="30" spans="1:20" ht="16" x14ac:dyDescent="0.2">
      <c r="A30" s="84">
        <v>0.45833333333333298</v>
      </c>
      <c r="B30" s="85" t="s">
        <v>61</v>
      </c>
      <c r="C30" s="92">
        <f t="shared" si="11"/>
        <v>4260330</v>
      </c>
      <c r="D30" s="102">
        <v>4277390</v>
      </c>
      <c r="E30" s="86">
        <f t="shared" si="9"/>
        <v>17060</v>
      </c>
      <c r="F30" s="124">
        <v>17019</v>
      </c>
      <c r="G30" s="40">
        <v>0.82589999999999997</v>
      </c>
      <c r="H30" s="88">
        <f t="shared" si="10"/>
        <v>14055.992099999999</v>
      </c>
      <c r="I30" s="174">
        <v>251</v>
      </c>
      <c r="J30" s="1">
        <v>6325</v>
      </c>
      <c r="K30" s="136" t="s">
        <v>70</v>
      </c>
      <c r="L30" s="113"/>
      <c r="M30" s="113"/>
      <c r="N30" s="113"/>
      <c r="O30" s="113"/>
      <c r="P30" s="113"/>
      <c r="Q30" s="113"/>
      <c r="R30" s="113"/>
      <c r="S30" s="113"/>
    </row>
    <row r="31" spans="1:20" ht="16" x14ac:dyDescent="0.2">
      <c r="A31" s="84">
        <v>0.47222222222222199</v>
      </c>
      <c r="B31" s="85" t="s">
        <v>61</v>
      </c>
      <c r="C31" s="92">
        <f t="shared" si="11"/>
        <v>4277390</v>
      </c>
      <c r="D31" s="102">
        <v>4283440</v>
      </c>
      <c r="E31" s="86">
        <f t="shared" si="9"/>
        <v>6050</v>
      </c>
      <c r="F31" s="103">
        <f>SUM(D31-C31)</f>
        <v>6050</v>
      </c>
      <c r="G31" s="40">
        <v>0.82589999999999997</v>
      </c>
      <c r="H31" s="88">
        <f t="shared" si="10"/>
        <v>4996.6949999999997</v>
      </c>
      <c r="I31" s="174">
        <v>57</v>
      </c>
      <c r="J31" s="1">
        <v>6326</v>
      </c>
      <c r="K31" s="136" t="s">
        <v>70</v>
      </c>
      <c r="L31" s="113"/>
      <c r="M31" s="113"/>
      <c r="N31" s="113"/>
      <c r="O31" s="113"/>
      <c r="P31" s="113"/>
      <c r="Q31" s="113"/>
      <c r="R31" s="113"/>
      <c r="S31" s="113"/>
    </row>
    <row r="32" spans="1:20" ht="16" x14ac:dyDescent="0.2">
      <c r="A32" s="84">
        <v>0.5</v>
      </c>
      <c r="B32" s="178" t="s">
        <v>90</v>
      </c>
      <c r="C32" s="92">
        <f t="shared" si="11"/>
        <v>4283440</v>
      </c>
      <c r="D32" s="102">
        <v>4293430</v>
      </c>
      <c r="E32" s="86">
        <f t="shared" si="9"/>
        <v>9990</v>
      </c>
      <c r="F32" s="124">
        <v>9986</v>
      </c>
      <c r="G32" s="40">
        <v>0.82479999999999998</v>
      </c>
      <c r="H32" s="88">
        <f t="shared" si="10"/>
        <v>8236.4527999999991</v>
      </c>
      <c r="I32" s="179">
        <v>251</v>
      </c>
      <c r="J32" s="1">
        <v>6327</v>
      </c>
      <c r="K32" s="114" t="s">
        <v>60</v>
      </c>
      <c r="L32" s="113"/>
      <c r="M32" s="113"/>
      <c r="N32" s="89"/>
      <c r="O32" s="113"/>
      <c r="P32" s="113"/>
      <c r="Q32" s="113"/>
      <c r="R32" s="113"/>
      <c r="S32" s="113"/>
    </row>
    <row r="33" spans="1:19" ht="16" x14ac:dyDescent="0.2">
      <c r="A33" s="84">
        <v>0.59722222222222199</v>
      </c>
      <c r="B33" s="85" t="s">
        <v>90</v>
      </c>
      <c r="C33" s="92">
        <f t="shared" si="11"/>
        <v>4293430</v>
      </c>
      <c r="D33" s="102">
        <v>4305080</v>
      </c>
      <c r="E33" s="86">
        <f t="shared" si="9"/>
        <v>11650</v>
      </c>
      <c r="F33" s="103">
        <f>SUM(D33-C33)</f>
        <v>11650</v>
      </c>
      <c r="G33" s="40">
        <v>0.82479999999999998</v>
      </c>
      <c r="H33" s="88">
        <f t="shared" si="10"/>
        <v>9608.92</v>
      </c>
      <c r="I33" s="179">
        <v>81</v>
      </c>
      <c r="J33" s="28">
        <v>6329</v>
      </c>
      <c r="K33" s="114" t="s">
        <v>60</v>
      </c>
      <c r="L33" s="113"/>
      <c r="M33" s="113"/>
      <c r="N33" s="89"/>
      <c r="O33" s="113"/>
      <c r="P33" s="113"/>
      <c r="Q33" s="113"/>
      <c r="R33" s="113"/>
      <c r="S33" s="113"/>
    </row>
    <row r="34" spans="1:19" ht="16" x14ac:dyDescent="0.2">
      <c r="A34" s="84">
        <v>0.60416666666666696</v>
      </c>
      <c r="B34" s="85" t="s">
        <v>90</v>
      </c>
      <c r="C34" s="92">
        <f t="shared" si="11"/>
        <v>4305080</v>
      </c>
      <c r="D34" s="102">
        <v>4310810</v>
      </c>
      <c r="E34" s="86">
        <f t="shared" si="9"/>
        <v>5730</v>
      </c>
      <c r="F34" s="103">
        <f>SUM(D34-C34)</f>
        <v>5730</v>
      </c>
      <c r="G34" s="40">
        <v>0.82479999999999998</v>
      </c>
      <c r="H34" s="88">
        <f t="shared" si="10"/>
        <v>4726.1040000000003</v>
      </c>
      <c r="I34" s="179">
        <v>57</v>
      </c>
      <c r="J34" s="28">
        <v>6330</v>
      </c>
      <c r="K34" s="114" t="s">
        <v>60</v>
      </c>
      <c r="L34" s="113"/>
      <c r="M34" s="113"/>
      <c r="N34" s="89"/>
      <c r="O34" s="113"/>
      <c r="P34" s="113"/>
      <c r="Q34" s="113"/>
      <c r="R34" s="113"/>
      <c r="S34" s="113"/>
    </row>
    <row r="35" spans="1:19" ht="15" customHeight="1" x14ac:dyDescent="0.2">
      <c r="A35" s="84">
        <v>0.66319444444444398</v>
      </c>
      <c r="B35" s="180" t="s">
        <v>62</v>
      </c>
      <c r="C35" s="92">
        <f t="shared" si="11"/>
        <v>4310810</v>
      </c>
      <c r="D35" s="102">
        <v>4327810</v>
      </c>
      <c r="E35" s="86">
        <f t="shared" si="9"/>
        <v>17000</v>
      </c>
      <c r="F35" s="124">
        <v>17019</v>
      </c>
      <c r="G35" s="40">
        <v>0.82350000000000001</v>
      </c>
      <c r="H35" s="88">
        <f t="shared" si="10"/>
        <v>14015.146500000001</v>
      </c>
      <c r="I35" s="181">
        <v>251</v>
      </c>
      <c r="J35" s="177">
        <v>6332</v>
      </c>
      <c r="K35" s="115" t="s">
        <v>84</v>
      </c>
      <c r="L35" s="113"/>
      <c r="M35" s="113"/>
      <c r="N35" s="89"/>
      <c r="O35" s="113"/>
      <c r="P35" s="113"/>
      <c r="Q35" s="113"/>
      <c r="R35" s="113"/>
      <c r="S35" s="113"/>
    </row>
    <row r="36" spans="1:19" ht="16" x14ac:dyDescent="0.2">
      <c r="A36" s="84">
        <v>0.76041666666666696</v>
      </c>
      <c r="B36" s="85" t="s">
        <v>62</v>
      </c>
      <c r="C36" s="92">
        <f t="shared" si="11"/>
        <v>4327810</v>
      </c>
      <c r="D36" s="102">
        <v>4344810</v>
      </c>
      <c r="E36" s="86">
        <f t="shared" si="9"/>
        <v>17000</v>
      </c>
      <c r="F36" s="124">
        <v>17019</v>
      </c>
      <c r="G36" s="40">
        <v>0.82350000000000001</v>
      </c>
      <c r="H36" s="88">
        <f t="shared" si="10"/>
        <v>14015.146500000001</v>
      </c>
      <c r="I36" s="181">
        <v>251</v>
      </c>
      <c r="J36" s="177">
        <v>6335</v>
      </c>
      <c r="K36" s="115" t="s">
        <v>84</v>
      </c>
      <c r="L36" s="113"/>
      <c r="M36" s="113"/>
      <c r="N36" s="113"/>
      <c r="O36" s="113"/>
      <c r="P36" s="113"/>
      <c r="Q36" s="113"/>
      <c r="R36" s="113"/>
      <c r="S36" s="113"/>
    </row>
    <row r="37" spans="1:19" ht="16" x14ac:dyDescent="0.2">
      <c r="A37" s="84">
        <v>0.80902777777777801</v>
      </c>
      <c r="B37" s="85" t="s">
        <v>61</v>
      </c>
      <c r="C37" s="92">
        <f t="shared" si="11"/>
        <v>4344810</v>
      </c>
      <c r="D37" s="102">
        <v>4361850</v>
      </c>
      <c r="E37" s="86">
        <f t="shared" si="9"/>
        <v>17040</v>
      </c>
      <c r="F37" s="124">
        <v>17019</v>
      </c>
      <c r="G37" s="40">
        <v>0.82179999999999997</v>
      </c>
      <c r="H37" s="88">
        <f t="shared" si="10"/>
        <v>13986.2142</v>
      </c>
      <c r="I37" s="174">
        <v>251</v>
      </c>
      <c r="J37" s="28">
        <v>6336</v>
      </c>
      <c r="K37" s="136" t="s">
        <v>70</v>
      </c>
      <c r="L37" s="113"/>
      <c r="M37" s="113"/>
      <c r="N37" s="113"/>
      <c r="O37" s="113"/>
      <c r="P37" s="113"/>
      <c r="Q37" s="113"/>
      <c r="R37" s="113"/>
      <c r="S37" s="113"/>
    </row>
    <row r="38" spans="1:19" ht="16" x14ac:dyDescent="0.2">
      <c r="A38" s="84">
        <v>0.88194444444444398</v>
      </c>
      <c r="B38" s="85" t="s">
        <v>61</v>
      </c>
      <c r="C38" s="92">
        <f t="shared" si="11"/>
        <v>4361850</v>
      </c>
      <c r="D38" s="102">
        <v>4371570</v>
      </c>
      <c r="E38" s="86">
        <f t="shared" si="9"/>
        <v>9720</v>
      </c>
      <c r="F38" s="103">
        <f>SUM(D38-C38)</f>
        <v>9720</v>
      </c>
      <c r="G38" s="40">
        <v>0.82179999999999997</v>
      </c>
      <c r="H38" s="88">
        <f t="shared" si="10"/>
        <v>7987.8959999999997</v>
      </c>
      <c r="I38" s="174">
        <v>81</v>
      </c>
      <c r="J38" s="28">
        <v>6338</v>
      </c>
      <c r="K38" s="136" t="s">
        <v>70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0.89930555555555503</v>
      </c>
      <c r="B39" s="85" t="s">
        <v>61</v>
      </c>
      <c r="C39" s="92">
        <f t="shared" si="11"/>
        <v>4371570</v>
      </c>
      <c r="D39" s="102">
        <v>4376690</v>
      </c>
      <c r="E39" s="86">
        <f t="shared" si="9"/>
        <v>5120</v>
      </c>
      <c r="F39" s="103">
        <f>SUM(D39-C39)</f>
        <v>5120</v>
      </c>
      <c r="G39" s="40">
        <v>0.82179999999999997</v>
      </c>
      <c r="H39" s="88">
        <f t="shared" si="10"/>
        <v>4207.616</v>
      </c>
      <c r="I39" s="174">
        <v>382</v>
      </c>
      <c r="J39" s="28">
        <v>6340</v>
      </c>
      <c r="K39" s="136" t="s">
        <v>70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0.91666666666666696</v>
      </c>
      <c r="B40" s="85" t="s">
        <v>72</v>
      </c>
      <c r="C40" s="92">
        <f t="shared" si="11"/>
        <v>4376690</v>
      </c>
      <c r="D40" s="102">
        <v>4381990</v>
      </c>
      <c r="E40" s="86">
        <f t="shared" si="9"/>
        <v>5300</v>
      </c>
      <c r="F40" s="103">
        <f>SUM(D40-C40)</f>
        <v>5300</v>
      </c>
      <c r="G40" s="40">
        <v>0.82520000000000004</v>
      </c>
      <c r="H40" s="88">
        <f t="shared" si="10"/>
        <v>4373.5600000000004</v>
      </c>
      <c r="I40" s="172">
        <v>57</v>
      </c>
      <c r="J40" s="28">
        <v>6341</v>
      </c>
      <c r="K40" s="136" t="s">
        <v>70</v>
      </c>
      <c r="L40" s="113"/>
      <c r="M40" s="113"/>
      <c r="N40" s="113"/>
      <c r="O40" s="113"/>
      <c r="P40" s="113"/>
      <c r="Q40" s="113"/>
      <c r="R40" s="113"/>
      <c r="S40" s="113"/>
    </row>
    <row r="41" spans="1:19" ht="16" x14ac:dyDescent="0.2">
      <c r="A41" s="84">
        <v>0.95138888888888895</v>
      </c>
      <c r="B41" s="85" t="s">
        <v>62</v>
      </c>
      <c r="C41" s="92">
        <f t="shared" si="11"/>
        <v>4381990</v>
      </c>
      <c r="D41" s="102">
        <v>4393330</v>
      </c>
      <c r="E41" s="86">
        <f t="shared" si="9"/>
        <v>11340</v>
      </c>
      <c r="F41" s="103">
        <f>SUM(D41-C41)</f>
        <v>11340</v>
      </c>
      <c r="G41" s="40">
        <v>0.82350000000000001</v>
      </c>
      <c r="H41" s="88">
        <f t="shared" si="10"/>
        <v>9338.49</v>
      </c>
      <c r="I41" s="181">
        <v>119</v>
      </c>
      <c r="J41" s="177">
        <v>6343</v>
      </c>
      <c r="K41" s="115" t="s">
        <v>84</v>
      </c>
      <c r="L41" s="113"/>
      <c r="M41" s="113"/>
      <c r="N41" s="113"/>
      <c r="O41" s="113"/>
      <c r="P41" s="113"/>
      <c r="Q41" s="113"/>
      <c r="R41" s="113"/>
      <c r="S41" s="113"/>
    </row>
    <row r="42" spans="1:19" ht="16" x14ac:dyDescent="0.2">
      <c r="A42" s="84">
        <v>0.98263888888888895</v>
      </c>
      <c r="B42" s="85" t="s">
        <v>62</v>
      </c>
      <c r="C42" s="92">
        <f t="shared" si="11"/>
        <v>4393330</v>
      </c>
      <c r="D42" s="102">
        <v>4410370</v>
      </c>
      <c r="E42" s="86">
        <f t="shared" si="9"/>
        <v>17040</v>
      </c>
      <c r="F42" s="124">
        <v>17019</v>
      </c>
      <c r="G42" s="40">
        <v>0.82350000000000001</v>
      </c>
      <c r="H42" s="88">
        <f t="shared" si="10"/>
        <v>14015.146500000001</v>
      </c>
      <c r="I42" s="181">
        <v>251</v>
      </c>
      <c r="J42" s="177">
        <v>6345</v>
      </c>
      <c r="K42" s="115" t="s">
        <v>84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3.8194444444444399E-2</v>
      </c>
      <c r="B43" s="85" t="s">
        <v>72</v>
      </c>
      <c r="C43" s="92">
        <f t="shared" si="11"/>
        <v>4410370</v>
      </c>
      <c r="D43" s="102">
        <v>4425510</v>
      </c>
      <c r="E43" s="86">
        <f t="shared" si="9"/>
        <v>15140</v>
      </c>
      <c r="F43" s="103">
        <v>15040</v>
      </c>
      <c r="G43" s="40">
        <v>0.82520000000000004</v>
      </c>
      <c r="H43" s="88">
        <f t="shared" si="10"/>
        <v>12411.008</v>
      </c>
      <c r="I43" s="172">
        <v>467</v>
      </c>
      <c r="J43" s="28">
        <v>6347</v>
      </c>
      <c r="K43" s="136" t="s">
        <v>70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0.10763888888888901</v>
      </c>
      <c r="B44" s="85" t="s">
        <v>72</v>
      </c>
      <c r="C44" s="92">
        <f t="shared" si="11"/>
        <v>4425510</v>
      </c>
      <c r="D44" s="102">
        <v>4433160</v>
      </c>
      <c r="E44" s="86">
        <f t="shared" si="9"/>
        <v>7650</v>
      </c>
      <c r="F44" s="103">
        <f>SUM(D44-C44)</f>
        <v>7650</v>
      </c>
      <c r="G44" s="40">
        <v>0.82520000000000004</v>
      </c>
      <c r="H44" s="88">
        <f t="shared" si="10"/>
        <v>6312.7800000000007</v>
      </c>
      <c r="I44" s="172">
        <v>57</v>
      </c>
      <c r="J44" s="28">
        <v>6348</v>
      </c>
      <c r="K44" s="136" t="s">
        <v>70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0.114583333333333</v>
      </c>
      <c r="B45" s="85" t="s">
        <v>72</v>
      </c>
      <c r="C45" s="92">
        <f t="shared" si="11"/>
        <v>4433160</v>
      </c>
      <c r="D45" s="102">
        <v>4439940</v>
      </c>
      <c r="E45" s="86">
        <f t="shared" si="9"/>
        <v>6780</v>
      </c>
      <c r="F45" s="103">
        <f>SUM(D45-C45)</f>
        <v>6780</v>
      </c>
      <c r="G45" s="40">
        <v>0.82520000000000004</v>
      </c>
      <c r="H45" s="88">
        <f t="shared" si="10"/>
        <v>5594.8560000000007</v>
      </c>
      <c r="I45" s="172">
        <v>81</v>
      </c>
      <c r="J45" s="28">
        <v>6349</v>
      </c>
      <c r="K45" s="136" t="s">
        <v>70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0.180555555555556</v>
      </c>
      <c r="B46" s="182" t="s">
        <v>89</v>
      </c>
      <c r="C46" s="92">
        <f t="shared" si="11"/>
        <v>4439940</v>
      </c>
      <c r="D46" s="102">
        <v>4456970</v>
      </c>
      <c r="E46" s="86">
        <f t="shared" si="9"/>
        <v>17030</v>
      </c>
      <c r="F46" s="124">
        <v>17019</v>
      </c>
      <c r="G46" s="40">
        <v>0.82410000000000005</v>
      </c>
      <c r="H46" s="88">
        <f t="shared" si="10"/>
        <v>14025.357900000001</v>
      </c>
      <c r="I46" s="183">
        <v>251</v>
      </c>
      <c r="J46" s="177">
        <v>6352</v>
      </c>
      <c r="K46" s="115" t="s">
        <v>84</v>
      </c>
      <c r="L46" s="113"/>
      <c r="M46" s="113"/>
      <c r="N46" s="113"/>
      <c r="O46" s="113"/>
      <c r="P46" s="113"/>
      <c r="Q46" s="113"/>
      <c r="R46" s="113"/>
      <c r="S46" s="113"/>
    </row>
    <row r="47" spans="1:19" ht="16" x14ac:dyDescent="0.2">
      <c r="A47" s="84">
        <v>0.28125</v>
      </c>
      <c r="B47" s="85" t="s">
        <v>89</v>
      </c>
      <c r="C47" s="92">
        <f t="shared" si="11"/>
        <v>4456970</v>
      </c>
      <c r="D47" s="102">
        <v>4474010</v>
      </c>
      <c r="E47" s="86">
        <f t="shared" si="9"/>
        <v>17040</v>
      </c>
      <c r="F47" s="124">
        <v>17019</v>
      </c>
      <c r="G47" s="40">
        <v>0.82410000000000005</v>
      </c>
      <c r="H47" s="88">
        <f t="shared" si="10"/>
        <v>14025.357900000001</v>
      </c>
      <c r="I47" s="183">
        <v>251</v>
      </c>
      <c r="J47" s="177">
        <v>6355</v>
      </c>
      <c r="K47" s="115" t="s">
        <v>84</v>
      </c>
      <c r="L47" s="113"/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0.30208333333333298</v>
      </c>
      <c r="B48" s="134" t="s">
        <v>50</v>
      </c>
      <c r="C48" s="92">
        <f t="shared" si="11"/>
        <v>4474010</v>
      </c>
      <c r="D48" s="102">
        <v>4479700</v>
      </c>
      <c r="E48" s="86">
        <f t="shared" si="9"/>
        <v>5690</v>
      </c>
      <c r="F48" s="103">
        <f>SUM(D48-C48)</f>
        <v>5690</v>
      </c>
      <c r="G48" s="40">
        <v>0.83860000000000001</v>
      </c>
      <c r="H48" s="88">
        <f t="shared" si="10"/>
        <v>4771.634</v>
      </c>
      <c r="I48" s="160">
        <v>467</v>
      </c>
      <c r="J48" s="28">
        <v>6357</v>
      </c>
      <c r="K48" s="115" t="s">
        <v>82</v>
      </c>
      <c r="L48" s="113"/>
      <c r="M48" s="113"/>
      <c r="N48" s="113"/>
      <c r="O48" s="113"/>
      <c r="P48" s="113"/>
      <c r="Q48" s="113"/>
      <c r="R48" s="113"/>
      <c r="S48" s="113"/>
    </row>
    <row r="49" spans="1:19" ht="16" x14ac:dyDescent="0.2">
      <c r="A49" s="84">
        <v>0.33333333333333298</v>
      </c>
      <c r="B49" s="85" t="s">
        <v>72</v>
      </c>
      <c r="C49" s="92">
        <f t="shared" si="11"/>
        <v>4479700</v>
      </c>
      <c r="D49" s="102">
        <v>4496750</v>
      </c>
      <c r="E49" s="86">
        <f t="shared" si="9"/>
        <v>17050</v>
      </c>
      <c r="F49" s="124">
        <v>17019</v>
      </c>
      <c r="G49" s="40">
        <v>0.82520000000000004</v>
      </c>
      <c r="H49" s="88">
        <f t="shared" si="10"/>
        <v>14044.078800000001</v>
      </c>
      <c r="I49" s="172">
        <v>251</v>
      </c>
      <c r="J49" s="28">
        <v>6358</v>
      </c>
      <c r="K49" s="136" t="s">
        <v>70</v>
      </c>
      <c r="L49" s="113"/>
      <c r="M49" s="113"/>
      <c r="N49" s="113"/>
      <c r="O49" s="113"/>
      <c r="P49" s="113"/>
      <c r="Q49" s="113"/>
      <c r="R49" s="113"/>
      <c r="S49" s="113"/>
    </row>
    <row r="50" spans="1:19" x14ac:dyDescent="0.2">
      <c r="A50" s="84"/>
      <c r="B50" s="85"/>
      <c r="C50" s="92">
        <f t="shared" si="11"/>
        <v>4496750</v>
      </c>
      <c r="D50" s="102"/>
      <c r="E50" s="86">
        <f t="shared" si="9"/>
        <v>-4496750</v>
      </c>
      <c r="F50" s="103">
        <f>SUM(D50-C50)</f>
        <v>-4496750</v>
      </c>
      <c r="G50" s="40"/>
      <c r="H50" s="88">
        <f t="shared" si="10"/>
        <v>0</v>
      </c>
      <c r="I50" s="1"/>
      <c r="J50" s="28"/>
      <c r="K50" s="105"/>
      <c r="L50" s="113"/>
      <c r="M50" s="113"/>
      <c r="N50" s="113"/>
      <c r="O50" s="113"/>
      <c r="P50" s="113"/>
      <c r="Q50" s="113"/>
      <c r="R50" s="113"/>
      <c r="S50" s="113"/>
    </row>
    <row r="51" spans="1:19" x14ac:dyDescent="0.2">
      <c r="A51" s="84"/>
      <c r="B51" s="85"/>
      <c r="C51" s="92">
        <f t="shared" si="11"/>
        <v>0</v>
      </c>
      <c r="D51" s="102"/>
      <c r="E51" s="86">
        <f t="shared" si="9"/>
        <v>0</v>
      </c>
      <c r="F51" s="126">
        <f>SUM(D51-C51)</f>
        <v>0</v>
      </c>
      <c r="G51" s="40"/>
      <c r="H51" s="88">
        <f t="shared" si="10"/>
        <v>0</v>
      </c>
      <c r="I51" s="1"/>
      <c r="J51" s="28"/>
      <c r="K51" s="113"/>
      <c r="L51" s="113"/>
      <c r="M51" s="113"/>
      <c r="N51" s="113"/>
      <c r="O51" s="113"/>
      <c r="P51" s="113"/>
      <c r="Q51" s="113"/>
      <c r="R51" s="113"/>
      <c r="S51" s="113"/>
    </row>
    <row r="52" spans="1:19" x14ac:dyDescent="0.2">
      <c r="A52" s="84"/>
      <c r="B52" s="85"/>
      <c r="C52" s="92">
        <f t="shared" si="11"/>
        <v>0</v>
      </c>
      <c r="D52" s="70"/>
      <c r="E52" s="104">
        <f t="shared" si="9"/>
        <v>0</v>
      </c>
      <c r="F52" s="184">
        <f>SUM(D52-C52)</f>
        <v>0</v>
      </c>
      <c r="G52" s="164"/>
      <c r="H52" s="127">
        <f t="shared" si="10"/>
        <v>0</v>
      </c>
      <c r="I52" s="1"/>
      <c r="J52" s="28"/>
      <c r="K52" s="113"/>
      <c r="L52" s="113"/>
      <c r="M52" s="113"/>
      <c r="N52" s="113"/>
      <c r="O52" s="113"/>
      <c r="P52" s="113"/>
      <c r="Q52" s="113"/>
      <c r="R52" s="113"/>
      <c r="S52" s="113"/>
    </row>
    <row r="53" spans="1:19" x14ac:dyDescent="0.2">
      <c r="A53" s="84"/>
      <c r="B53" s="85"/>
      <c r="C53" s="92">
        <f t="shared" si="11"/>
        <v>0</v>
      </c>
      <c r="D53" s="70"/>
      <c r="E53" s="104">
        <f t="shared" si="9"/>
        <v>0</v>
      </c>
      <c r="F53" s="170">
        <v>281667</v>
      </c>
      <c r="G53" s="129"/>
      <c r="H53" s="171">
        <v>232301</v>
      </c>
      <c r="I53" s="131"/>
      <c r="J53" s="28"/>
      <c r="K53" s="116"/>
      <c r="L53" s="113"/>
      <c r="M53" s="113"/>
      <c r="N53" s="113"/>
      <c r="O53" s="113"/>
      <c r="P53" s="113"/>
      <c r="Q53" s="113"/>
      <c r="R53" s="113"/>
      <c r="S53" s="113"/>
    </row>
    <row r="54" spans="1:19" x14ac:dyDescent="0.2">
      <c r="L54" s="113"/>
      <c r="M54" s="113"/>
      <c r="N54" s="113"/>
      <c r="O54" s="113"/>
      <c r="P54" s="113"/>
      <c r="Q54" s="113"/>
      <c r="R54" s="113"/>
      <c r="S54" s="113"/>
    </row>
    <row r="55" spans="1:19" x14ac:dyDescent="0.2">
      <c r="F55" s="170">
        <f>F53+F24</f>
        <v>592100</v>
      </c>
      <c r="G55" s="129"/>
      <c r="H55" s="171">
        <f>H53+H24</f>
        <v>490633</v>
      </c>
      <c r="L55" s="113"/>
      <c r="M55" s="113"/>
      <c r="N55" s="113"/>
      <c r="O55" s="113"/>
      <c r="P55" s="113"/>
      <c r="Q55" s="113"/>
      <c r="R55" s="113"/>
      <c r="S55" s="113"/>
    </row>
    <row r="56" spans="1:19" x14ac:dyDescent="0.2">
      <c r="E56" s="113"/>
      <c r="L56" s="113"/>
      <c r="M56" s="113"/>
      <c r="N56" s="113"/>
      <c r="O56" s="113"/>
      <c r="P56" s="113"/>
      <c r="Q56" s="113"/>
      <c r="R56" s="113"/>
      <c r="S56" s="113"/>
    </row>
    <row r="57" spans="1:19" x14ac:dyDescent="0.2">
      <c r="E57" s="113"/>
      <c r="L57" s="113"/>
      <c r="M57" s="113"/>
      <c r="N57" s="113"/>
      <c r="O57" s="113"/>
      <c r="P57" s="113"/>
      <c r="Q57" s="113"/>
      <c r="R57" s="113"/>
      <c r="S57" s="113"/>
    </row>
    <row r="58" spans="1:19" x14ac:dyDescent="0.2">
      <c r="E58" s="113"/>
      <c r="L58" s="113"/>
      <c r="M58" s="113"/>
      <c r="N58" s="113"/>
      <c r="O58" s="113"/>
      <c r="P58" s="113"/>
      <c r="Q58" s="113"/>
      <c r="R58" s="113"/>
      <c r="S58" s="113"/>
    </row>
    <row r="59" spans="1:19" x14ac:dyDescent="0.2">
      <c r="E59" s="113"/>
      <c r="L59" s="113"/>
      <c r="M59" s="113"/>
      <c r="N59" s="113"/>
      <c r="O59" s="113"/>
      <c r="P59" s="113"/>
      <c r="Q59" s="113"/>
      <c r="R59" s="113"/>
      <c r="S59" s="113"/>
    </row>
    <row r="60" spans="1:19" x14ac:dyDescent="0.2">
      <c r="E60" s="113"/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E61" s="113"/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E62" s="113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E63" s="113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hidden="1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hidden="1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hidden="1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hidden="1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hidden="1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5" x14ac:dyDescent="0.2">
      <c r="E81" s="113"/>
    </row>
    <row r="82" spans="5:5" x14ac:dyDescent="0.2">
      <c r="E82" s="113"/>
    </row>
    <row r="83" spans="5:5" x14ac:dyDescent="0.2">
      <c r="E83" s="113"/>
    </row>
    <row r="84" spans="5:5" x14ac:dyDescent="0.2">
      <c r="E84" s="113"/>
    </row>
    <row r="85" spans="5:5" x14ac:dyDescent="0.2">
      <c r="E85" s="113"/>
    </row>
    <row r="86" spans="5:5" x14ac:dyDescent="0.2">
      <c r="E86" s="113"/>
    </row>
    <row r="87" spans="5:5" x14ac:dyDescent="0.2">
      <c r="E87" s="113"/>
    </row>
    <row r="88" spans="5:5" x14ac:dyDescent="0.2">
      <c r="E88" s="113"/>
    </row>
    <row r="89" spans="5:5" x14ac:dyDescent="0.2">
      <c r="E89" s="113"/>
    </row>
    <row r="90" spans="5:5" x14ac:dyDescent="0.2">
      <c r="E90" s="113"/>
    </row>
    <row r="91" spans="5:5" x14ac:dyDescent="0.2">
      <c r="E91" s="113"/>
    </row>
    <row r="92" spans="5:5" x14ac:dyDescent="0.2">
      <c r="E92" s="113"/>
    </row>
    <row r="93" spans="5:5" x14ac:dyDescent="0.2">
      <c r="E93" s="113"/>
    </row>
    <row r="94" spans="5:5" x14ac:dyDescent="0.2">
      <c r="E94" s="113"/>
    </row>
    <row r="95" spans="5:5" x14ac:dyDescent="0.2">
      <c r="E95" s="113"/>
    </row>
    <row r="96" spans="5:5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23"/>
  <sheetViews>
    <sheetView topLeftCell="A25" zoomScale="65" zoomScaleNormal="65" workbookViewId="0">
      <selection activeCell="A53" sqref="A53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0.33203125" style="66" customWidth="1"/>
    <col min="12" max="12" width="12.1640625" style="65" customWidth="1"/>
    <col min="13" max="13" width="10.164062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>
        <v>45082</v>
      </c>
      <c r="B2" s="76" t="s">
        <v>36</v>
      </c>
      <c r="C2" s="77"/>
      <c r="D2" s="77"/>
      <c r="E2" s="77"/>
      <c r="F2" s="77"/>
      <c r="G2" s="78"/>
      <c r="H2" s="79"/>
      <c r="I2" s="80"/>
      <c r="J2" s="81"/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0.44097222222222199</v>
      </c>
      <c r="B3" s="85" t="s">
        <v>46</v>
      </c>
      <c r="C3" s="70">
        <v>48868590</v>
      </c>
      <c r="D3" s="70">
        <v>48891020</v>
      </c>
      <c r="E3" s="86">
        <f t="shared" ref="E3:E26" si="0">SUM(D3-C3)</f>
        <v>22430</v>
      </c>
      <c r="F3" s="185">
        <v>22430</v>
      </c>
      <c r="G3" s="40">
        <v>0.83230000000000004</v>
      </c>
      <c r="H3" s="88">
        <f t="shared" ref="H3:H25" si="1">SUM(G3*F3)</f>
        <v>18668.489000000001</v>
      </c>
      <c r="I3" s="28">
        <v>388</v>
      </c>
      <c r="J3" s="28">
        <v>6360</v>
      </c>
      <c r="K3" s="89" t="s">
        <v>18</v>
      </c>
      <c r="L3" s="90">
        <v>0.67361111111111105</v>
      </c>
      <c r="M3" s="91" t="s">
        <v>39</v>
      </c>
      <c r="N3" s="155">
        <v>7621730</v>
      </c>
      <c r="O3" s="93">
        <v>7621990</v>
      </c>
      <c r="P3" s="94">
        <f t="shared" ref="P3:P16" si="2">SUM(O3-N3)</f>
        <v>260</v>
      </c>
      <c r="Q3" s="95">
        <v>0.8357</v>
      </c>
      <c r="R3" s="96">
        <f t="shared" ref="R3:R16" si="3">SUM(Q3*P3)</f>
        <v>217.28200000000001</v>
      </c>
      <c r="S3" s="97" t="s">
        <v>65</v>
      </c>
      <c r="V3" t="s">
        <v>41</v>
      </c>
    </row>
    <row r="4" spans="1:22" ht="16" x14ac:dyDescent="0.2">
      <c r="A4" s="84">
        <v>0.45833333333333298</v>
      </c>
      <c r="B4" s="85" t="s">
        <v>38</v>
      </c>
      <c r="C4" s="92">
        <f t="shared" ref="C4:C24" si="4">SUM(D3)</f>
        <v>48891020</v>
      </c>
      <c r="D4" s="70">
        <v>48899760</v>
      </c>
      <c r="E4" s="86">
        <f t="shared" si="0"/>
        <v>8740</v>
      </c>
      <c r="F4" s="103">
        <f>SUM(D4-C4)</f>
        <v>8740</v>
      </c>
      <c r="G4" s="40">
        <v>0.83179999999999998</v>
      </c>
      <c r="H4" s="88">
        <f t="shared" si="1"/>
        <v>7269.9319999999998</v>
      </c>
      <c r="I4" s="28">
        <v>237</v>
      </c>
      <c r="J4" s="28">
        <v>6362</v>
      </c>
      <c r="K4" s="89" t="s">
        <v>18</v>
      </c>
      <c r="L4" s="90">
        <v>0.75694444444444398</v>
      </c>
      <c r="M4" s="99" t="s">
        <v>38</v>
      </c>
      <c r="N4" s="94">
        <f t="shared" ref="N4:N16" si="5">SUM(O3)</f>
        <v>7621990</v>
      </c>
      <c r="O4" s="93">
        <v>7622070</v>
      </c>
      <c r="P4" s="94">
        <f t="shared" si="2"/>
        <v>80</v>
      </c>
      <c r="Q4" s="100">
        <v>0.83120000000000005</v>
      </c>
      <c r="R4" s="96">
        <f t="shared" si="3"/>
        <v>66.496000000000009</v>
      </c>
      <c r="S4" s="97" t="s">
        <v>64</v>
      </c>
    </row>
    <row r="5" spans="1:22" ht="16" x14ac:dyDescent="0.2">
      <c r="A5" s="84">
        <v>0.5</v>
      </c>
      <c r="B5" s="85" t="s">
        <v>38</v>
      </c>
      <c r="C5" s="92">
        <f t="shared" si="4"/>
        <v>48899760</v>
      </c>
      <c r="D5" s="70">
        <v>48909930</v>
      </c>
      <c r="E5" s="86">
        <f t="shared" si="0"/>
        <v>10170</v>
      </c>
      <c r="F5" s="103">
        <f>SUM(D5-C5)</f>
        <v>10170</v>
      </c>
      <c r="G5" s="40">
        <v>0.83179999999999998</v>
      </c>
      <c r="H5" s="88">
        <f t="shared" si="1"/>
        <v>8459.405999999999</v>
      </c>
      <c r="I5" s="28">
        <v>248</v>
      </c>
      <c r="J5" s="28">
        <v>6367</v>
      </c>
      <c r="K5" s="89" t="s">
        <v>18</v>
      </c>
      <c r="L5" s="90">
        <v>0.8125</v>
      </c>
      <c r="M5" s="99" t="s">
        <v>38</v>
      </c>
      <c r="N5" s="94">
        <f t="shared" si="5"/>
        <v>7622070</v>
      </c>
      <c r="O5" s="93">
        <v>7622080</v>
      </c>
      <c r="P5" s="94">
        <f t="shared" si="2"/>
        <v>10</v>
      </c>
      <c r="Q5" s="95">
        <v>0.83120000000000005</v>
      </c>
      <c r="R5" s="96">
        <f t="shared" si="3"/>
        <v>8.3120000000000012</v>
      </c>
      <c r="S5" s="97" t="s">
        <v>45</v>
      </c>
    </row>
    <row r="6" spans="1:22" ht="16" x14ac:dyDescent="0.2">
      <c r="A6" s="84">
        <v>0.53472222222222199</v>
      </c>
      <c r="B6" s="85" t="s">
        <v>38</v>
      </c>
      <c r="C6" s="92">
        <f t="shared" si="4"/>
        <v>48909930</v>
      </c>
      <c r="D6" s="70">
        <v>48911110</v>
      </c>
      <c r="E6" s="86">
        <f t="shared" si="0"/>
        <v>1180</v>
      </c>
      <c r="F6" s="103">
        <f>SUM(D6-C6)</f>
        <v>1180</v>
      </c>
      <c r="G6" s="40">
        <v>0.83179999999999998</v>
      </c>
      <c r="H6" s="88">
        <f t="shared" si="1"/>
        <v>981.524</v>
      </c>
      <c r="I6" s="28">
        <v>237</v>
      </c>
      <c r="J6" s="28">
        <v>6368</v>
      </c>
      <c r="K6" s="89" t="s">
        <v>18</v>
      </c>
      <c r="L6" s="90"/>
      <c r="M6" s="99"/>
      <c r="N6" s="94">
        <f t="shared" si="5"/>
        <v>7622080</v>
      </c>
      <c r="O6" s="93"/>
      <c r="P6" s="94">
        <f t="shared" si="2"/>
        <v>-7622080</v>
      </c>
      <c r="Q6" s="40"/>
      <c r="R6" s="96">
        <f t="shared" si="3"/>
        <v>0</v>
      </c>
      <c r="S6" s="97"/>
    </row>
    <row r="7" spans="1:22" ht="16" x14ac:dyDescent="0.2">
      <c r="A7" s="84">
        <v>0.55555555555555602</v>
      </c>
      <c r="B7" s="85" t="s">
        <v>38</v>
      </c>
      <c r="C7" s="92">
        <f t="shared" si="4"/>
        <v>48911110</v>
      </c>
      <c r="D7" s="70">
        <v>48933540</v>
      </c>
      <c r="E7" s="86">
        <f t="shared" si="0"/>
        <v>22430</v>
      </c>
      <c r="F7" s="185">
        <v>22430</v>
      </c>
      <c r="G7" s="40">
        <v>0.83179999999999998</v>
      </c>
      <c r="H7" s="88">
        <f t="shared" si="1"/>
        <v>18657.274000000001</v>
      </c>
      <c r="I7" s="28">
        <v>388</v>
      </c>
      <c r="J7" s="28">
        <v>6369</v>
      </c>
      <c r="K7" s="89" t="s">
        <v>18</v>
      </c>
      <c r="L7" s="90"/>
      <c r="M7" s="99"/>
      <c r="N7" s="94">
        <f t="shared" si="5"/>
        <v>0</v>
      </c>
      <c r="O7" s="93"/>
      <c r="P7" s="94">
        <f t="shared" si="2"/>
        <v>0</v>
      </c>
      <c r="Q7" s="40"/>
      <c r="R7" s="96">
        <f t="shared" si="3"/>
        <v>0</v>
      </c>
      <c r="S7" s="97"/>
    </row>
    <row r="8" spans="1:22" ht="16" x14ac:dyDescent="0.2">
      <c r="A8" s="84">
        <v>0.63541666666666696</v>
      </c>
      <c r="B8" s="85" t="s">
        <v>38</v>
      </c>
      <c r="C8" s="92">
        <f t="shared" si="4"/>
        <v>48933540</v>
      </c>
      <c r="D8" s="70">
        <v>48945020</v>
      </c>
      <c r="E8" s="86">
        <f t="shared" si="0"/>
        <v>11480</v>
      </c>
      <c r="F8" s="185">
        <v>11480</v>
      </c>
      <c r="G8" s="40">
        <v>0.83120000000000005</v>
      </c>
      <c r="H8" s="88">
        <f t="shared" si="1"/>
        <v>9542.1760000000013</v>
      </c>
      <c r="I8" s="28">
        <v>388</v>
      </c>
      <c r="J8" s="28">
        <v>6372</v>
      </c>
      <c r="K8" s="89" t="s">
        <v>18</v>
      </c>
      <c r="L8" s="90"/>
      <c r="M8" s="91"/>
      <c r="N8" s="94">
        <f t="shared" si="5"/>
        <v>0</v>
      </c>
      <c r="O8" s="93"/>
      <c r="P8" s="94">
        <f t="shared" si="2"/>
        <v>0</v>
      </c>
      <c r="Q8" s="95"/>
      <c r="R8" s="96">
        <f t="shared" si="3"/>
        <v>0</v>
      </c>
      <c r="S8" s="1"/>
    </row>
    <row r="9" spans="1:22" ht="16" x14ac:dyDescent="0.2">
      <c r="A9" s="84">
        <v>0.63541666666666696</v>
      </c>
      <c r="B9" s="85" t="s">
        <v>48</v>
      </c>
      <c r="C9" s="92">
        <f t="shared" si="4"/>
        <v>48945020</v>
      </c>
      <c r="D9" s="70">
        <v>48955950</v>
      </c>
      <c r="E9" s="86">
        <f t="shared" si="0"/>
        <v>10930</v>
      </c>
      <c r="F9" s="185">
        <v>10950</v>
      </c>
      <c r="G9" s="40">
        <v>0.83120000000000005</v>
      </c>
      <c r="H9" s="88">
        <f t="shared" si="1"/>
        <v>9101.6400000000012</v>
      </c>
      <c r="I9" s="28">
        <v>388</v>
      </c>
      <c r="J9" s="28">
        <v>6372</v>
      </c>
      <c r="K9" s="89" t="s">
        <v>18</v>
      </c>
      <c r="L9" s="90"/>
      <c r="M9" s="91"/>
      <c r="N9" s="94">
        <f t="shared" si="5"/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0.72222222222222199</v>
      </c>
      <c r="B10" s="85" t="s">
        <v>48</v>
      </c>
      <c r="C10" s="92">
        <f t="shared" si="4"/>
        <v>48955950</v>
      </c>
      <c r="D10" s="70">
        <v>48967430</v>
      </c>
      <c r="E10" s="86">
        <f t="shared" si="0"/>
        <v>11480</v>
      </c>
      <c r="F10" s="185">
        <v>11480</v>
      </c>
      <c r="G10" s="40">
        <v>0.83120000000000005</v>
      </c>
      <c r="H10" s="88">
        <f t="shared" si="1"/>
        <v>9542.1760000000013</v>
      </c>
      <c r="I10" s="28">
        <v>388</v>
      </c>
      <c r="J10" s="28">
        <v>6374</v>
      </c>
      <c r="K10" s="89" t="s">
        <v>18</v>
      </c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0.76041666666666696</v>
      </c>
      <c r="B11" s="85" t="s">
        <v>48</v>
      </c>
      <c r="C11" s="92">
        <f t="shared" si="4"/>
        <v>48967430</v>
      </c>
      <c r="D11" s="70">
        <v>48977410</v>
      </c>
      <c r="E11" s="86">
        <f t="shared" si="0"/>
        <v>9980</v>
      </c>
      <c r="F11" s="101">
        <v>9986</v>
      </c>
      <c r="G11" s="40">
        <v>0.83120000000000005</v>
      </c>
      <c r="H11" s="88">
        <f t="shared" si="1"/>
        <v>8300.3631999999998</v>
      </c>
      <c r="I11" s="28">
        <v>251</v>
      </c>
      <c r="J11" s="28">
        <v>6375</v>
      </c>
      <c r="K11" s="89" t="s">
        <v>18</v>
      </c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0.76041666666666696</v>
      </c>
      <c r="B12" s="85" t="s">
        <v>48</v>
      </c>
      <c r="C12" s="92">
        <f t="shared" si="4"/>
        <v>48977410</v>
      </c>
      <c r="D12" s="70">
        <v>48984460</v>
      </c>
      <c r="E12" s="86">
        <f t="shared" si="0"/>
        <v>7050</v>
      </c>
      <c r="F12" s="101">
        <v>7033</v>
      </c>
      <c r="G12" s="40">
        <v>0.83120000000000005</v>
      </c>
      <c r="H12" s="88">
        <f t="shared" si="1"/>
        <v>5845.8296</v>
      </c>
      <c r="I12" s="28">
        <v>251</v>
      </c>
      <c r="J12" s="28">
        <v>6375</v>
      </c>
      <c r="K12" s="89" t="s">
        <v>18</v>
      </c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0.77777777777777801</v>
      </c>
      <c r="B13" s="85" t="s">
        <v>54</v>
      </c>
      <c r="C13" s="92">
        <f t="shared" si="4"/>
        <v>48984460</v>
      </c>
      <c r="D13" s="70">
        <v>48995940</v>
      </c>
      <c r="E13" s="86">
        <f t="shared" si="0"/>
        <v>11480</v>
      </c>
      <c r="F13" s="185">
        <v>11480</v>
      </c>
      <c r="G13" s="40">
        <v>0.83120000000000005</v>
      </c>
      <c r="H13" s="88">
        <f t="shared" si="1"/>
        <v>9542.1760000000013</v>
      </c>
      <c r="I13" s="28">
        <v>388</v>
      </c>
      <c r="J13" s="28">
        <v>6376</v>
      </c>
      <c r="K13" s="89" t="s">
        <v>18</v>
      </c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0.77777777777777801</v>
      </c>
      <c r="B14" s="85" t="s">
        <v>54</v>
      </c>
      <c r="C14" s="92">
        <f t="shared" si="4"/>
        <v>48995940</v>
      </c>
      <c r="D14" s="70">
        <v>49006890</v>
      </c>
      <c r="E14" s="86">
        <f t="shared" si="0"/>
        <v>10950</v>
      </c>
      <c r="F14" s="185">
        <v>10950</v>
      </c>
      <c r="G14" s="40">
        <v>0.83120000000000005</v>
      </c>
      <c r="H14" s="88">
        <f t="shared" si="1"/>
        <v>9101.6400000000012</v>
      </c>
      <c r="I14" s="28">
        <v>388</v>
      </c>
      <c r="J14" s="28">
        <v>6377</v>
      </c>
      <c r="K14" s="89" t="s">
        <v>18</v>
      </c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0.94444444444444398</v>
      </c>
      <c r="B15" s="85" t="s">
        <v>38</v>
      </c>
      <c r="C15" s="92">
        <f t="shared" si="4"/>
        <v>49006890</v>
      </c>
      <c r="D15" s="70">
        <v>49018370</v>
      </c>
      <c r="E15" s="86">
        <f t="shared" si="0"/>
        <v>11480</v>
      </c>
      <c r="F15" s="185">
        <v>11480</v>
      </c>
      <c r="G15" s="40">
        <v>0.82909999999999995</v>
      </c>
      <c r="H15" s="88">
        <f t="shared" si="1"/>
        <v>9518.0679999999993</v>
      </c>
      <c r="I15" s="28">
        <v>388</v>
      </c>
      <c r="J15" s="28">
        <v>6381</v>
      </c>
      <c r="K15" s="89" t="s">
        <v>18</v>
      </c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0.94444444444444398</v>
      </c>
      <c r="B16" s="85" t="s">
        <v>38</v>
      </c>
      <c r="C16" s="92">
        <f t="shared" si="4"/>
        <v>49018370</v>
      </c>
      <c r="D16" s="70">
        <v>49029320</v>
      </c>
      <c r="E16" s="86">
        <f t="shared" si="0"/>
        <v>10950</v>
      </c>
      <c r="F16" s="185">
        <v>10950</v>
      </c>
      <c r="G16" s="40">
        <v>0.82909999999999995</v>
      </c>
      <c r="H16" s="88">
        <f t="shared" si="1"/>
        <v>9078.6449999999986</v>
      </c>
      <c r="I16" s="28">
        <v>388</v>
      </c>
      <c r="J16" s="28">
        <v>6382</v>
      </c>
      <c r="K16" s="89" t="s">
        <v>18</v>
      </c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0.95833333333333304</v>
      </c>
      <c r="B17" s="85" t="s">
        <v>38</v>
      </c>
      <c r="C17" s="92">
        <f t="shared" si="4"/>
        <v>49029320</v>
      </c>
      <c r="D17" s="70">
        <v>49038250</v>
      </c>
      <c r="E17" s="86">
        <f t="shared" si="0"/>
        <v>8930</v>
      </c>
      <c r="F17" s="103">
        <f>SUM(D17-C17)</f>
        <v>8930</v>
      </c>
      <c r="G17" s="40">
        <v>0.82909999999999995</v>
      </c>
      <c r="H17" s="88">
        <f t="shared" si="1"/>
        <v>7403.8629999999994</v>
      </c>
      <c r="I17" s="28">
        <v>237</v>
      </c>
      <c r="J17" s="28">
        <v>6384</v>
      </c>
      <c r="K17" s="89" t="s">
        <v>18</v>
      </c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6.9444444444444397E-3</v>
      </c>
      <c r="B18" s="85" t="s">
        <v>38</v>
      </c>
      <c r="C18" s="92">
        <f t="shared" si="4"/>
        <v>49038250</v>
      </c>
      <c r="D18" s="70">
        <v>49060680</v>
      </c>
      <c r="E18" s="86">
        <f t="shared" si="0"/>
        <v>22430</v>
      </c>
      <c r="F18" s="185">
        <v>22430</v>
      </c>
      <c r="G18" s="40">
        <v>0.82909999999999995</v>
      </c>
      <c r="H18" s="88">
        <f t="shared" si="1"/>
        <v>18596.713</v>
      </c>
      <c r="I18" s="28">
        <v>388</v>
      </c>
      <c r="J18" s="28">
        <v>6385</v>
      </c>
      <c r="K18" s="89" t="s">
        <v>18</v>
      </c>
      <c r="L18" s="90">
        <v>0.40972222222222199</v>
      </c>
      <c r="M18" s="99" t="s">
        <v>62</v>
      </c>
      <c r="N18" s="102">
        <v>4496750</v>
      </c>
      <c r="O18" s="93">
        <v>4496780</v>
      </c>
      <c r="P18" s="103">
        <f>SUM(O18-N18)</f>
        <v>30</v>
      </c>
      <c r="Q18" s="40">
        <v>0.82850000000000001</v>
      </c>
      <c r="R18" s="88">
        <f>SUM(Q18*P18)</f>
        <v>24.855</v>
      </c>
      <c r="S18" s="97" t="s">
        <v>78</v>
      </c>
      <c r="T18" t="s">
        <v>41</v>
      </c>
    </row>
    <row r="19" spans="1:20" ht="16" x14ac:dyDescent="0.2">
      <c r="A19" s="84">
        <v>0.15972222222222199</v>
      </c>
      <c r="B19" s="85" t="s">
        <v>48</v>
      </c>
      <c r="C19" s="92">
        <f t="shared" si="4"/>
        <v>49060680</v>
      </c>
      <c r="D19" s="70">
        <v>49077700</v>
      </c>
      <c r="E19" s="86">
        <f t="shared" si="0"/>
        <v>17020</v>
      </c>
      <c r="F19" s="101">
        <v>17019</v>
      </c>
      <c r="G19" s="40">
        <v>0.82850000000000001</v>
      </c>
      <c r="H19" s="88">
        <f t="shared" si="1"/>
        <v>14100.2415</v>
      </c>
      <c r="I19" s="28">
        <v>251</v>
      </c>
      <c r="J19" s="28">
        <v>6387</v>
      </c>
      <c r="K19" s="89" t="s">
        <v>18</v>
      </c>
      <c r="L19" s="90"/>
      <c r="M19" s="99"/>
      <c r="N19" s="92">
        <f>SUM(O18)</f>
        <v>4496780</v>
      </c>
      <c r="O19" s="93"/>
      <c r="P19" s="103">
        <f>SUM(O19-N19)</f>
        <v>-4496780</v>
      </c>
      <c r="Q19" s="40"/>
      <c r="R19" s="88">
        <f>SUM(Q19*P19)</f>
        <v>0</v>
      </c>
      <c r="S19" s="97"/>
    </row>
    <row r="20" spans="1:20" ht="16" x14ac:dyDescent="0.2">
      <c r="A20" s="84">
        <v>0.1875</v>
      </c>
      <c r="B20" s="85" t="s">
        <v>48</v>
      </c>
      <c r="C20" s="92">
        <f t="shared" si="4"/>
        <v>49077700</v>
      </c>
      <c r="D20" s="70">
        <v>49100130</v>
      </c>
      <c r="E20" s="86">
        <f t="shared" si="0"/>
        <v>22430</v>
      </c>
      <c r="F20" s="185">
        <v>22430</v>
      </c>
      <c r="G20" s="40">
        <v>0.83050000000000002</v>
      </c>
      <c r="H20" s="88">
        <f t="shared" si="1"/>
        <v>18628.115000000002</v>
      </c>
      <c r="I20" s="1">
        <v>388</v>
      </c>
      <c r="J20" s="28">
        <v>6388</v>
      </c>
      <c r="K20" s="89" t="s">
        <v>18</v>
      </c>
      <c r="L20" s="90"/>
      <c r="M20" s="99"/>
      <c r="N20" s="92">
        <f>SUM(O19)</f>
        <v>0</v>
      </c>
      <c r="O20" s="93"/>
      <c r="P20" s="103">
        <f>SUM(O20-N20)</f>
        <v>0</v>
      </c>
      <c r="Q20" s="40"/>
      <c r="R20" s="88">
        <f>SUM(Q20*P20)</f>
        <v>0</v>
      </c>
      <c r="S20" s="97"/>
    </row>
    <row r="21" spans="1:20" ht="16" x14ac:dyDescent="0.2">
      <c r="A21" s="84">
        <v>0.25</v>
      </c>
      <c r="B21" s="85" t="s">
        <v>48</v>
      </c>
      <c r="C21" s="92">
        <f t="shared" si="4"/>
        <v>49100130</v>
      </c>
      <c r="D21" s="70">
        <v>49122560</v>
      </c>
      <c r="E21" s="86">
        <f t="shared" si="0"/>
        <v>22430</v>
      </c>
      <c r="F21" s="185">
        <v>22430</v>
      </c>
      <c r="G21" s="40">
        <v>0.83050000000000002</v>
      </c>
      <c r="H21" s="88">
        <f t="shared" si="1"/>
        <v>18628.115000000002</v>
      </c>
      <c r="I21" s="1">
        <v>388</v>
      </c>
      <c r="J21" s="28">
        <v>6390</v>
      </c>
      <c r="K21" s="89" t="s">
        <v>18</v>
      </c>
      <c r="L21" s="90"/>
      <c r="M21" s="99"/>
      <c r="N21" s="92">
        <f>SUM(O20)</f>
        <v>0</v>
      </c>
      <c r="O21" s="93"/>
      <c r="P21" s="103">
        <f>SUM(O21-N21)</f>
        <v>0</v>
      </c>
      <c r="Q21" s="40"/>
      <c r="R21" s="88">
        <f>SUM(Q21*P21)</f>
        <v>0</v>
      </c>
      <c r="S21" s="97"/>
    </row>
    <row r="22" spans="1:20" ht="16" x14ac:dyDescent="0.2">
      <c r="A22" s="84">
        <v>0.26388888888888901</v>
      </c>
      <c r="B22" s="85" t="s">
        <v>39</v>
      </c>
      <c r="C22" s="92">
        <f t="shared" si="4"/>
        <v>49122560</v>
      </c>
      <c r="D22" s="70">
        <v>49139580</v>
      </c>
      <c r="E22" s="86">
        <f t="shared" si="0"/>
        <v>17020</v>
      </c>
      <c r="F22" s="101">
        <v>17019</v>
      </c>
      <c r="G22" s="40">
        <v>0.83350000000000002</v>
      </c>
      <c r="H22" s="88">
        <f t="shared" si="1"/>
        <v>14185.336499999999</v>
      </c>
      <c r="I22" s="1">
        <v>251</v>
      </c>
      <c r="J22" s="28">
        <v>6391</v>
      </c>
      <c r="K22" s="89" t="s">
        <v>18</v>
      </c>
      <c r="L22" s="90"/>
      <c r="M22" s="99"/>
      <c r="N22" s="92"/>
      <c r="O22" s="93"/>
      <c r="P22" s="103"/>
      <c r="Q22" s="40"/>
      <c r="R22" s="88"/>
      <c r="S22" s="97"/>
    </row>
    <row r="23" spans="1:20" ht="16" x14ac:dyDescent="0.2">
      <c r="A23" s="84">
        <v>0.30555555555555503</v>
      </c>
      <c r="B23" s="85" t="s">
        <v>39</v>
      </c>
      <c r="C23" s="92">
        <f t="shared" si="4"/>
        <v>49139580</v>
      </c>
      <c r="D23" s="70">
        <v>49161990</v>
      </c>
      <c r="E23" s="86">
        <f t="shared" si="0"/>
        <v>22410</v>
      </c>
      <c r="F23" s="185">
        <v>22430</v>
      </c>
      <c r="G23" s="40">
        <v>0.83350000000000002</v>
      </c>
      <c r="H23" s="88">
        <f t="shared" si="1"/>
        <v>18695.404999999999</v>
      </c>
      <c r="I23" s="1">
        <v>388</v>
      </c>
      <c r="J23" s="28">
        <v>6392</v>
      </c>
      <c r="K23" s="89" t="s">
        <v>18</v>
      </c>
      <c r="L23" s="90"/>
      <c r="M23" s="99"/>
      <c r="N23" s="92"/>
      <c r="O23" s="93"/>
      <c r="P23" s="103"/>
      <c r="Q23" s="40"/>
      <c r="R23" s="88"/>
      <c r="S23" s="97"/>
    </row>
    <row r="24" spans="1:20" ht="16" x14ac:dyDescent="0.2">
      <c r="A24" s="84">
        <v>0.36111111111111099</v>
      </c>
      <c r="B24" s="85" t="s">
        <v>39</v>
      </c>
      <c r="C24" s="92">
        <f t="shared" si="4"/>
        <v>49161990</v>
      </c>
      <c r="D24" s="70">
        <v>49184410</v>
      </c>
      <c r="E24" s="86">
        <f t="shared" si="0"/>
        <v>22420</v>
      </c>
      <c r="F24" s="185">
        <v>22430</v>
      </c>
      <c r="G24" s="40">
        <v>0.83350000000000002</v>
      </c>
      <c r="H24" s="88">
        <f t="shared" si="1"/>
        <v>18695.404999999999</v>
      </c>
      <c r="I24" s="1">
        <v>388</v>
      </c>
      <c r="J24" s="28">
        <v>6395</v>
      </c>
      <c r="K24" s="89" t="s">
        <v>18</v>
      </c>
      <c r="L24" s="90"/>
      <c r="M24" s="99"/>
      <c r="N24" s="92">
        <f>SUM(O21)</f>
        <v>0</v>
      </c>
      <c r="O24" s="93"/>
      <c r="P24" s="103">
        <f t="shared" ref="P24:P33" si="6">SUM(O24-N24)</f>
        <v>0</v>
      </c>
      <c r="Q24" s="40"/>
      <c r="R24" s="88">
        <f t="shared" ref="R24:R33" si="7">SUM(Q24*P24)</f>
        <v>0</v>
      </c>
      <c r="S24" s="97"/>
    </row>
    <row r="25" spans="1:20" x14ac:dyDescent="0.2">
      <c r="A25" s="84"/>
      <c r="B25" s="85"/>
      <c r="C25" s="92"/>
      <c r="D25" s="70"/>
      <c r="E25" s="86">
        <f t="shared" si="0"/>
        <v>0</v>
      </c>
      <c r="F25" s="103">
        <f>SUM(D25-C25)</f>
        <v>0</v>
      </c>
      <c r="G25" s="40"/>
      <c r="H25" s="88">
        <f t="shared" si="1"/>
        <v>0</v>
      </c>
      <c r="I25" s="1"/>
      <c r="J25" s="28"/>
      <c r="K25" s="89"/>
      <c r="L25" s="90"/>
      <c r="M25" s="99"/>
      <c r="N25" s="92">
        <f t="shared" ref="N25:N33" si="8">SUM(O24)</f>
        <v>0</v>
      </c>
      <c r="O25" s="93"/>
      <c r="P25" s="103">
        <f t="shared" si="6"/>
        <v>0</v>
      </c>
      <c r="Q25" s="40"/>
      <c r="R25" s="88">
        <f t="shared" si="7"/>
        <v>0</v>
      </c>
      <c r="S25" s="97"/>
    </row>
    <row r="26" spans="1:20" x14ac:dyDescent="0.2">
      <c r="A26" s="84"/>
      <c r="B26" s="85"/>
      <c r="C26" s="92">
        <f>SUM(D25)</f>
        <v>0</v>
      </c>
      <c r="D26" s="70"/>
      <c r="E26" s="86">
        <f t="shared" si="0"/>
        <v>0</v>
      </c>
      <c r="F26" s="103">
        <f>SUM(F3:F25)</f>
        <v>315857</v>
      </c>
      <c r="G26" s="40"/>
      <c r="H26" s="88">
        <f>SUM(H3:H25)</f>
        <v>262542.53280000004</v>
      </c>
      <c r="I26" s="1"/>
      <c r="J26" s="28"/>
      <c r="K26" s="89"/>
      <c r="L26" s="90"/>
      <c r="M26" s="99"/>
      <c r="N26" s="92">
        <f t="shared" si="8"/>
        <v>0</v>
      </c>
      <c r="O26" s="93"/>
      <c r="P26" s="103">
        <f t="shared" si="6"/>
        <v>0</v>
      </c>
      <c r="Q26" s="40"/>
      <c r="R26" s="88">
        <f t="shared" si="7"/>
        <v>0</v>
      </c>
      <c r="S26" s="97"/>
    </row>
    <row r="27" spans="1:20" x14ac:dyDescent="0.2">
      <c r="A27" s="83"/>
      <c r="B27" s="76" t="s">
        <v>49</v>
      </c>
      <c r="C27" s="77"/>
      <c r="D27" s="77"/>
      <c r="E27" s="77"/>
      <c r="F27" s="77"/>
      <c r="G27" s="78"/>
      <c r="H27" s="79"/>
      <c r="I27" s="80"/>
      <c r="J27" s="80"/>
      <c r="L27" s="90"/>
      <c r="M27" s="91"/>
      <c r="N27" s="92">
        <f t="shared" si="8"/>
        <v>0</v>
      </c>
      <c r="O27" s="93"/>
      <c r="P27" s="103">
        <f t="shared" si="6"/>
        <v>0</v>
      </c>
      <c r="Q27" s="95"/>
      <c r="R27" s="88">
        <f t="shared" si="7"/>
        <v>0</v>
      </c>
      <c r="S27" s="1"/>
    </row>
    <row r="28" spans="1:20" ht="16" x14ac:dyDescent="0.2">
      <c r="A28" s="84">
        <v>0.41666666666666702</v>
      </c>
      <c r="B28" s="85" t="s">
        <v>57</v>
      </c>
      <c r="C28" s="93">
        <v>4496780</v>
      </c>
      <c r="D28" s="102">
        <v>4502790</v>
      </c>
      <c r="E28" s="86">
        <f t="shared" ref="E28:E57" si="9">SUM(D28-C28)</f>
        <v>6010</v>
      </c>
      <c r="F28" s="103">
        <f>SUM(D28-C28)</f>
        <v>6010</v>
      </c>
      <c r="G28" s="40">
        <v>0.82450000000000001</v>
      </c>
      <c r="H28" s="88">
        <f t="shared" ref="H28:H56" si="10">SUM(G28*F28)</f>
        <v>4955.2449999999999</v>
      </c>
      <c r="I28" s="28">
        <v>119</v>
      </c>
      <c r="J28" s="1">
        <v>6359</v>
      </c>
      <c r="K28" s="115" t="s">
        <v>91</v>
      </c>
      <c r="L28" s="90"/>
      <c r="M28" s="91"/>
      <c r="N28" s="92">
        <f t="shared" si="8"/>
        <v>0</v>
      </c>
      <c r="O28" s="93"/>
      <c r="P28" s="103">
        <f t="shared" si="6"/>
        <v>0</v>
      </c>
      <c r="Q28" s="95"/>
      <c r="R28" s="88">
        <f t="shared" si="7"/>
        <v>0</v>
      </c>
      <c r="S28" s="97"/>
    </row>
    <row r="29" spans="1:20" ht="16" x14ac:dyDescent="0.2">
      <c r="A29" s="84">
        <v>0.45138888888888901</v>
      </c>
      <c r="B29" s="85" t="s">
        <v>72</v>
      </c>
      <c r="C29" s="92">
        <f t="shared" ref="C29:C41" si="11">SUM(D28)</f>
        <v>4502790</v>
      </c>
      <c r="D29" s="102">
        <v>4510080</v>
      </c>
      <c r="E29" s="86">
        <f t="shared" si="9"/>
        <v>7290</v>
      </c>
      <c r="F29" s="103">
        <f>SUM(D29-C29)</f>
        <v>7290</v>
      </c>
      <c r="G29" s="40">
        <v>0.82520000000000004</v>
      </c>
      <c r="H29" s="88">
        <f t="shared" si="10"/>
        <v>6015.7080000000005</v>
      </c>
      <c r="I29" s="28">
        <v>81</v>
      </c>
      <c r="J29" s="1">
        <v>6361</v>
      </c>
      <c r="K29" s="106" t="s">
        <v>56</v>
      </c>
      <c r="L29" s="90"/>
      <c r="M29" s="91"/>
      <c r="N29" s="92">
        <f t="shared" si="8"/>
        <v>0</v>
      </c>
      <c r="O29" s="93"/>
      <c r="P29" s="103">
        <f t="shared" si="6"/>
        <v>0</v>
      </c>
      <c r="Q29" s="95"/>
      <c r="R29" s="88">
        <f t="shared" si="7"/>
        <v>0</v>
      </c>
      <c r="S29" s="1"/>
    </row>
    <row r="30" spans="1:20" ht="16" x14ac:dyDescent="0.2">
      <c r="A30" s="84">
        <v>0.45833333333333298</v>
      </c>
      <c r="B30" s="85" t="s">
        <v>90</v>
      </c>
      <c r="C30" s="92">
        <f t="shared" si="11"/>
        <v>4510080</v>
      </c>
      <c r="D30" s="102">
        <v>4525140</v>
      </c>
      <c r="E30" s="86">
        <f t="shared" si="9"/>
        <v>15060</v>
      </c>
      <c r="F30" s="103">
        <v>15040</v>
      </c>
      <c r="G30" s="40">
        <v>0.82179999999999997</v>
      </c>
      <c r="H30" s="88">
        <f t="shared" si="10"/>
        <v>12359.871999999999</v>
      </c>
      <c r="I30" s="28">
        <v>467</v>
      </c>
      <c r="J30" s="1">
        <v>6363</v>
      </c>
      <c r="K30" s="114" t="s">
        <v>60</v>
      </c>
      <c r="L30" s="90"/>
      <c r="M30" s="91"/>
      <c r="N30" s="92">
        <f t="shared" si="8"/>
        <v>0</v>
      </c>
      <c r="O30" s="93"/>
      <c r="P30" s="103">
        <f t="shared" si="6"/>
        <v>0</v>
      </c>
      <c r="Q30" s="95"/>
      <c r="R30" s="88">
        <f t="shared" si="7"/>
        <v>0</v>
      </c>
      <c r="S30" s="1"/>
    </row>
    <row r="31" spans="1:20" ht="16" x14ac:dyDescent="0.2">
      <c r="A31" s="84">
        <v>0.47222222222222199</v>
      </c>
      <c r="B31" s="85" t="s">
        <v>72</v>
      </c>
      <c r="C31" s="92">
        <f t="shared" si="11"/>
        <v>4525140</v>
      </c>
      <c r="D31" s="102">
        <v>4530790</v>
      </c>
      <c r="E31" s="86">
        <f t="shared" si="9"/>
        <v>5650</v>
      </c>
      <c r="F31" s="103">
        <f>SUM(D31-C31)</f>
        <v>5650</v>
      </c>
      <c r="G31" s="40">
        <v>0.8256</v>
      </c>
      <c r="H31" s="88">
        <f t="shared" si="10"/>
        <v>4664.6400000000003</v>
      </c>
      <c r="I31" s="28">
        <v>57</v>
      </c>
      <c r="J31" s="1">
        <v>6364</v>
      </c>
      <c r="K31" s="106" t="s">
        <v>56</v>
      </c>
      <c r="L31" s="90"/>
      <c r="M31" s="91"/>
      <c r="N31" s="92">
        <f t="shared" si="8"/>
        <v>0</v>
      </c>
      <c r="O31" s="93"/>
      <c r="P31" s="103">
        <f t="shared" si="6"/>
        <v>0</v>
      </c>
      <c r="Q31" s="95"/>
      <c r="R31" s="88">
        <f t="shared" si="7"/>
        <v>0</v>
      </c>
      <c r="S31" s="1"/>
    </row>
    <row r="32" spans="1:20" ht="16" x14ac:dyDescent="0.2">
      <c r="A32" s="84">
        <v>0.48263888888888901</v>
      </c>
      <c r="B32" s="85" t="s">
        <v>90</v>
      </c>
      <c r="C32" s="92">
        <f t="shared" si="11"/>
        <v>4530790</v>
      </c>
      <c r="D32" s="102">
        <v>4540770</v>
      </c>
      <c r="E32" s="86">
        <f t="shared" si="9"/>
        <v>9980</v>
      </c>
      <c r="F32" s="101">
        <v>9986</v>
      </c>
      <c r="G32" s="40">
        <v>0.82210000000000005</v>
      </c>
      <c r="H32" s="88">
        <f t="shared" si="10"/>
        <v>8209.490600000001</v>
      </c>
      <c r="I32" s="28">
        <v>251</v>
      </c>
      <c r="J32" s="1">
        <v>6365</v>
      </c>
      <c r="K32" s="114" t="s">
        <v>60</v>
      </c>
      <c r="L32" s="90"/>
      <c r="M32" s="91"/>
      <c r="N32" s="92">
        <f t="shared" si="8"/>
        <v>0</v>
      </c>
      <c r="O32" s="93"/>
      <c r="P32" s="103">
        <f t="shared" si="6"/>
        <v>0</v>
      </c>
      <c r="Q32" s="95"/>
      <c r="R32" s="88">
        <f t="shared" si="7"/>
        <v>0</v>
      </c>
      <c r="S32" s="1"/>
    </row>
    <row r="33" spans="1:19" ht="16" x14ac:dyDescent="0.2">
      <c r="A33" s="84">
        <v>0.48263888888888901</v>
      </c>
      <c r="B33" s="85" t="s">
        <v>90</v>
      </c>
      <c r="C33" s="92">
        <f t="shared" si="11"/>
        <v>4540770</v>
      </c>
      <c r="D33" s="102">
        <v>4547810</v>
      </c>
      <c r="E33" s="86">
        <f t="shared" si="9"/>
        <v>7040</v>
      </c>
      <c r="F33" s="101">
        <v>7033</v>
      </c>
      <c r="G33" s="40">
        <v>0.82210000000000005</v>
      </c>
      <c r="H33" s="88">
        <f t="shared" si="10"/>
        <v>5781.8293000000003</v>
      </c>
      <c r="I33" s="28">
        <v>251</v>
      </c>
      <c r="J33" s="1">
        <v>6366</v>
      </c>
      <c r="K33" s="114" t="s">
        <v>60</v>
      </c>
      <c r="L33" s="90"/>
      <c r="M33" s="91"/>
      <c r="N33" s="92">
        <f t="shared" si="8"/>
        <v>0</v>
      </c>
      <c r="O33" s="93"/>
      <c r="P33" s="103">
        <f t="shared" si="6"/>
        <v>0</v>
      </c>
      <c r="Q33" s="95"/>
      <c r="R33" s="88">
        <f t="shared" si="7"/>
        <v>0</v>
      </c>
      <c r="S33" s="1"/>
    </row>
    <row r="34" spans="1:19" ht="16" x14ac:dyDescent="0.2">
      <c r="A34" s="84">
        <v>0.56944444444444398</v>
      </c>
      <c r="B34" s="85" t="s">
        <v>90</v>
      </c>
      <c r="C34" s="92">
        <f t="shared" si="11"/>
        <v>4547810</v>
      </c>
      <c r="D34" s="102">
        <v>4554890</v>
      </c>
      <c r="E34" s="86">
        <f t="shared" si="9"/>
        <v>7080</v>
      </c>
      <c r="F34" s="103">
        <f>SUM(D34-C34)</f>
        <v>7080</v>
      </c>
      <c r="G34" s="40">
        <v>0.82210000000000005</v>
      </c>
      <c r="H34" s="88">
        <f t="shared" si="10"/>
        <v>5820.4680000000008</v>
      </c>
      <c r="I34" s="28">
        <v>81</v>
      </c>
      <c r="J34" s="1">
        <v>6370</v>
      </c>
      <c r="K34" s="114" t="s">
        <v>60</v>
      </c>
      <c r="L34" s="107"/>
      <c r="M34" s="108"/>
      <c r="N34" s="108"/>
      <c r="O34" s="109"/>
      <c r="P34" s="110"/>
      <c r="Q34" s="111"/>
      <c r="R34" s="112"/>
      <c r="S34" s="112"/>
    </row>
    <row r="35" spans="1:19" ht="16" x14ac:dyDescent="0.2">
      <c r="A35" s="84">
        <v>0.57638888888888895</v>
      </c>
      <c r="B35" s="85" t="s">
        <v>90</v>
      </c>
      <c r="C35" s="92">
        <f t="shared" si="11"/>
        <v>4554890</v>
      </c>
      <c r="D35" s="102">
        <v>4560760</v>
      </c>
      <c r="E35" s="86">
        <f t="shared" si="9"/>
        <v>5870</v>
      </c>
      <c r="F35" s="103">
        <f>SUM(D35-C35)</f>
        <v>5870</v>
      </c>
      <c r="G35" s="40">
        <v>0.82210000000000005</v>
      </c>
      <c r="H35" s="88">
        <f t="shared" si="10"/>
        <v>4825.7269999999999</v>
      </c>
      <c r="I35" s="28">
        <v>57</v>
      </c>
      <c r="J35" s="28">
        <v>6371</v>
      </c>
      <c r="K35" s="114" t="s">
        <v>60</v>
      </c>
      <c r="L35" s="113"/>
      <c r="M35" s="113"/>
      <c r="N35" s="113"/>
      <c r="O35" s="113"/>
      <c r="P35" s="113"/>
      <c r="Q35" s="113"/>
      <c r="R35" s="113"/>
      <c r="S35" s="113"/>
    </row>
    <row r="36" spans="1:19" ht="16" x14ac:dyDescent="0.2">
      <c r="A36" s="84">
        <v>0.6875</v>
      </c>
      <c r="B36" s="85" t="s">
        <v>57</v>
      </c>
      <c r="C36" s="92">
        <f t="shared" si="11"/>
        <v>4560760</v>
      </c>
      <c r="D36" s="102">
        <v>4570790</v>
      </c>
      <c r="E36" s="86">
        <f t="shared" si="9"/>
        <v>10030</v>
      </c>
      <c r="F36" s="101">
        <v>9986</v>
      </c>
      <c r="G36" s="40">
        <v>0.82310000000000005</v>
      </c>
      <c r="H36" s="88">
        <f t="shared" si="10"/>
        <v>8219.4766</v>
      </c>
      <c r="I36" s="28">
        <v>251</v>
      </c>
      <c r="J36" s="28">
        <v>6373</v>
      </c>
      <c r="K36" s="115" t="s">
        <v>91</v>
      </c>
      <c r="L36" s="113"/>
      <c r="M36" s="113"/>
      <c r="N36" s="113"/>
      <c r="O36" s="113"/>
      <c r="P36" s="113"/>
      <c r="Q36" s="113"/>
      <c r="R36" s="113"/>
      <c r="S36" s="113"/>
    </row>
    <row r="37" spans="1:19" ht="16" x14ac:dyDescent="0.2">
      <c r="A37" s="84">
        <v>0.6875</v>
      </c>
      <c r="B37" s="85" t="s">
        <v>57</v>
      </c>
      <c r="C37" s="92">
        <f t="shared" si="11"/>
        <v>4570790</v>
      </c>
      <c r="D37" s="102">
        <v>4577900</v>
      </c>
      <c r="E37" s="86">
        <f t="shared" si="9"/>
        <v>7110</v>
      </c>
      <c r="F37" s="101">
        <v>7033</v>
      </c>
      <c r="G37" s="40">
        <v>0.82310000000000005</v>
      </c>
      <c r="H37" s="88">
        <f t="shared" si="10"/>
        <v>5788.8623000000007</v>
      </c>
      <c r="I37" s="28">
        <v>251</v>
      </c>
      <c r="J37" s="28">
        <v>6373</v>
      </c>
      <c r="K37" s="115" t="s">
        <v>91</v>
      </c>
      <c r="L37" s="113"/>
      <c r="M37" s="113"/>
      <c r="N37" s="113"/>
      <c r="O37" s="113"/>
      <c r="P37" s="113"/>
      <c r="Q37" s="113"/>
      <c r="R37" s="113"/>
      <c r="S37" s="113"/>
    </row>
    <row r="38" spans="1:19" ht="16" x14ac:dyDescent="0.2">
      <c r="A38" s="84">
        <v>0.85416666666666696</v>
      </c>
      <c r="B38" s="85" t="s">
        <v>72</v>
      </c>
      <c r="C38" s="92">
        <f t="shared" si="11"/>
        <v>4577900</v>
      </c>
      <c r="D38" s="102">
        <v>4584990</v>
      </c>
      <c r="E38" s="86">
        <f t="shared" si="9"/>
        <v>7090</v>
      </c>
      <c r="F38" s="103">
        <f t="shared" ref="F38:F47" si="12">SUM(D38-C38)</f>
        <v>7090</v>
      </c>
      <c r="G38" s="40">
        <v>0.82240000000000002</v>
      </c>
      <c r="H38" s="88">
        <f t="shared" si="10"/>
        <v>5830.8159999999998</v>
      </c>
      <c r="I38" s="28">
        <v>81</v>
      </c>
      <c r="J38" s="28">
        <v>6378</v>
      </c>
      <c r="K38" s="114" t="s">
        <v>60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0.93055555555555503</v>
      </c>
      <c r="B39" s="85" t="s">
        <v>72</v>
      </c>
      <c r="C39" s="92">
        <f t="shared" si="11"/>
        <v>4584990</v>
      </c>
      <c r="D39" s="102">
        <v>4590040</v>
      </c>
      <c r="E39" s="86">
        <f t="shared" si="9"/>
        <v>5050</v>
      </c>
      <c r="F39" s="103">
        <f t="shared" si="12"/>
        <v>5050</v>
      </c>
      <c r="G39" s="40">
        <v>0.82089999999999996</v>
      </c>
      <c r="H39" s="88">
        <f t="shared" si="10"/>
        <v>4145.5450000000001</v>
      </c>
      <c r="I39" s="28">
        <v>57</v>
      </c>
      <c r="J39" s="28">
        <v>6379</v>
      </c>
      <c r="K39" s="114" t="s">
        <v>60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0.95833333333333304</v>
      </c>
      <c r="B40" s="85" t="s">
        <v>57</v>
      </c>
      <c r="C40" s="92">
        <f t="shared" si="11"/>
        <v>4590040</v>
      </c>
      <c r="D40" s="70">
        <v>4599270</v>
      </c>
      <c r="E40" s="86">
        <f t="shared" si="9"/>
        <v>9230</v>
      </c>
      <c r="F40" s="103">
        <f t="shared" si="12"/>
        <v>9230</v>
      </c>
      <c r="G40" s="40">
        <v>0.82150000000000001</v>
      </c>
      <c r="H40" s="88">
        <f t="shared" si="10"/>
        <v>7582.4449999999997</v>
      </c>
      <c r="I40" s="1">
        <v>119</v>
      </c>
      <c r="J40" s="1">
        <v>6383</v>
      </c>
      <c r="K40" s="115" t="s">
        <v>91</v>
      </c>
      <c r="L40" s="113"/>
      <c r="M40" s="113"/>
      <c r="N40" s="113"/>
      <c r="O40" s="113"/>
      <c r="P40" s="113"/>
      <c r="Q40" s="113"/>
      <c r="R40" s="113"/>
      <c r="S40" s="113"/>
    </row>
    <row r="41" spans="1:19" ht="16" x14ac:dyDescent="0.2">
      <c r="A41" s="84">
        <v>6.25E-2</v>
      </c>
      <c r="B41" s="85" t="s">
        <v>72</v>
      </c>
      <c r="C41" s="92">
        <f t="shared" si="11"/>
        <v>4599270</v>
      </c>
      <c r="D41" s="70">
        <v>4604350</v>
      </c>
      <c r="E41" s="86">
        <f t="shared" si="9"/>
        <v>5080</v>
      </c>
      <c r="F41" s="103">
        <f t="shared" si="12"/>
        <v>5080</v>
      </c>
      <c r="G41" s="40">
        <v>0.82140000000000002</v>
      </c>
      <c r="H41" s="88">
        <f t="shared" si="10"/>
        <v>4172.7120000000004</v>
      </c>
      <c r="I41" s="1">
        <v>57</v>
      </c>
      <c r="J41" s="1">
        <v>6387</v>
      </c>
      <c r="K41" s="106" t="s">
        <v>56</v>
      </c>
      <c r="L41" s="113"/>
      <c r="M41" s="113"/>
      <c r="N41" s="113"/>
      <c r="O41" s="113"/>
      <c r="P41" s="113"/>
      <c r="Q41" s="113"/>
      <c r="R41" s="113"/>
      <c r="S41" s="113"/>
    </row>
    <row r="42" spans="1:19" x14ac:dyDescent="0.2">
      <c r="A42" s="84"/>
      <c r="B42" s="85"/>
      <c r="C42" s="92"/>
      <c r="D42" s="70"/>
      <c r="E42" s="86">
        <f t="shared" si="9"/>
        <v>0</v>
      </c>
      <c r="F42" s="103">
        <f t="shared" si="12"/>
        <v>0</v>
      </c>
      <c r="G42" s="40"/>
      <c r="H42" s="88">
        <f t="shared" si="10"/>
        <v>0</v>
      </c>
      <c r="I42" s="1"/>
      <c r="J42" s="1"/>
      <c r="K42" s="115"/>
      <c r="L42" s="113"/>
      <c r="M42" s="113"/>
      <c r="N42" s="113"/>
      <c r="O42" s="113"/>
      <c r="P42" s="113"/>
      <c r="Q42" s="113"/>
      <c r="R42" s="113"/>
      <c r="S42" s="113"/>
    </row>
    <row r="43" spans="1:19" ht="14.25" customHeight="1" x14ac:dyDescent="0.2">
      <c r="A43" s="84"/>
      <c r="B43" s="85"/>
      <c r="C43" s="92">
        <f>SUM(D42)</f>
        <v>0</v>
      </c>
      <c r="D43" s="70"/>
      <c r="E43" s="86">
        <f t="shared" si="9"/>
        <v>0</v>
      </c>
      <c r="F43" s="103">
        <f t="shared" si="12"/>
        <v>0</v>
      </c>
      <c r="G43" s="40"/>
      <c r="H43" s="88">
        <f t="shared" si="10"/>
        <v>0</v>
      </c>
      <c r="I43" s="1"/>
      <c r="J43" s="1"/>
      <c r="K43" s="106"/>
      <c r="L43" s="113"/>
      <c r="M43" s="113"/>
      <c r="N43" s="113"/>
      <c r="O43" s="113"/>
      <c r="P43" s="113"/>
      <c r="Q43" s="113"/>
      <c r="R43" s="113"/>
      <c r="S43" s="113"/>
    </row>
    <row r="44" spans="1:19" ht="15" customHeight="1" x14ac:dyDescent="0.2">
      <c r="A44" s="84"/>
      <c r="B44" s="85"/>
      <c r="C44" s="92">
        <f>SUM(D43)</f>
        <v>0</v>
      </c>
      <c r="D44" s="70"/>
      <c r="E44" s="86">
        <f t="shared" si="9"/>
        <v>0</v>
      </c>
      <c r="F44" s="103">
        <f t="shared" si="12"/>
        <v>0</v>
      </c>
      <c r="G44" s="40"/>
      <c r="H44" s="88">
        <f t="shared" si="10"/>
        <v>0</v>
      </c>
      <c r="I44" s="1"/>
      <c r="J44" s="1"/>
      <c r="K44" s="114"/>
      <c r="L44" s="113"/>
      <c r="M44" s="113"/>
      <c r="N44" s="113"/>
      <c r="O44" s="113"/>
      <c r="P44" s="113"/>
      <c r="Q44" s="113"/>
      <c r="R44" s="113"/>
      <c r="S44" s="113"/>
    </row>
    <row r="45" spans="1:19" x14ac:dyDescent="0.2">
      <c r="A45" s="84"/>
      <c r="B45" s="85"/>
      <c r="C45" s="92">
        <f>SUM(D44)</f>
        <v>0</v>
      </c>
      <c r="D45" s="70"/>
      <c r="E45" s="86">
        <f t="shared" si="9"/>
        <v>0</v>
      </c>
      <c r="F45" s="103">
        <f t="shared" si="12"/>
        <v>0</v>
      </c>
      <c r="G45" s="40"/>
      <c r="H45" s="88">
        <f t="shared" si="10"/>
        <v>0</v>
      </c>
      <c r="I45" s="1"/>
      <c r="J45" s="1"/>
      <c r="K45" s="106"/>
      <c r="L45" s="113"/>
      <c r="M45" s="113"/>
      <c r="N45" s="113"/>
      <c r="O45" s="113"/>
      <c r="P45" s="113"/>
      <c r="Q45" s="113"/>
      <c r="R45" s="113"/>
      <c r="S45" s="113"/>
    </row>
    <row r="46" spans="1:19" x14ac:dyDescent="0.2">
      <c r="A46" s="84"/>
      <c r="B46" s="85"/>
      <c r="C46" s="92">
        <f>SUM(D45)</f>
        <v>0</v>
      </c>
      <c r="D46" s="70"/>
      <c r="E46" s="86">
        <f t="shared" si="9"/>
        <v>0</v>
      </c>
      <c r="F46" s="103">
        <f t="shared" si="12"/>
        <v>0</v>
      </c>
      <c r="G46" s="40"/>
      <c r="H46" s="88">
        <f t="shared" si="10"/>
        <v>0</v>
      </c>
      <c r="I46" s="1"/>
      <c r="J46" s="1"/>
      <c r="K46" s="114"/>
      <c r="L46" s="113"/>
      <c r="M46" s="113"/>
      <c r="N46" s="113"/>
      <c r="O46" s="113"/>
      <c r="P46" s="113"/>
      <c r="Q46" s="113"/>
      <c r="R46" s="113"/>
      <c r="S46" s="113"/>
    </row>
    <row r="47" spans="1:19" x14ac:dyDescent="0.2">
      <c r="A47" s="186"/>
      <c r="B47" s="76" t="s">
        <v>92</v>
      </c>
      <c r="C47" s="187">
        <f>SUM(D46)</f>
        <v>0</v>
      </c>
      <c r="D47" s="187"/>
      <c r="E47" s="188">
        <f t="shared" si="9"/>
        <v>0</v>
      </c>
      <c r="F47" s="188">
        <f t="shared" si="12"/>
        <v>0</v>
      </c>
      <c r="G47" s="189"/>
      <c r="H47" s="190">
        <f t="shared" si="10"/>
        <v>0</v>
      </c>
      <c r="I47" s="57"/>
      <c r="J47" s="57"/>
      <c r="K47" s="114"/>
      <c r="L47" s="113"/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0.9375</v>
      </c>
      <c r="B48" s="85" t="s">
        <v>57</v>
      </c>
      <c r="C48" s="92">
        <v>335750</v>
      </c>
      <c r="D48" s="70">
        <v>352790</v>
      </c>
      <c r="E48" s="86">
        <f t="shared" si="9"/>
        <v>17040</v>
      </c>
      <c r="F48" s="101">
        <v>17019</v>
      </c>
      <c r="G48" s="40">
        <v>0.82040000000000002</v>
      </c>
      <c r="H48" s="88">
        <f t="shared" si="10"/>
        <v>13962.3876</v>
      </c>
      <c r="I48" s="1">
        <v>251</v>
      </c>
      <c r="J48" s="1">
        <v>6380</v>
      </c>
      <c r="K48" s="115" t="s">
        <v>91</v>
      </c>
      <c r="L48" s="113"/>
      <c r="M48" s="113"/>
      <c r="N48" s="89"/>
      <c r="O48" s="113"/>
      <c r="P48" s="113"/>
      <c r="Q48" s="113"/>
      <c r="R48" s="113"/>
      <c r="S48" s="113"/>
    </row>
    <row r="49" spans="1:19" ht="16" x14ac:dyDescent="0.2">
      <c r="A49" s="84">
        <v>0.20833333333333301</v>
      </c>
      <c r="B49" s="85" t="s">
        <v>57</v>
      </c>
      <c r="C49" s="92">
        <f>SUM(D48)</f>
        <v>352790</v>
      </c>
      <c r="D49" s="70">
        <v>369830</v>
      </c>
      <c r="E49" s="86">
        <f t="shared" si="9"/>
        <v>17040</v>
      </c>
      <c r="F49" s="101">
        <v>17019</v>
      </c>
      <c r="G49" s="40">
        <v>0.82189999999999996</v>
      </c>
      <c r="H49" s="88">
        <f t="shared" si="10"/>
        <v>13987.916099999999</v>
      </c>
      <c r="I49" s="1">
        <v>251</v>
      </c>
      <c r="J49" s="1">
        <v>6389</v>
      </c>
      <c r="K49" s="115" t="s">
        <v>91</v>
      </c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0.30902777777777801</v>
      </c>
      <c r="B50" s="85" t="s">
        <v>62</v>
      </c>
      <c r="C50" s="92">
        <f>SUM(D49)</f>
        <v>369830</v>
      </c>
      <c r="D50" s="70">
        <v>386860</v>
      </c>
      <c r="E50" s="86">
        <f t="shared" si="9"/>
        <v>17030</v>
      </c>
      <c r="F50" s="101">
        <v>17019</v>
      </c>
      <c r="G50" s="40">
        <v>0.82520000000000004</v>
      </c>
      <c r="H50" s="88">
        <f t="shared" si="10"/>
        <v>14044.078800000001</v>
      </c>
      <c r="I50" s="1">
        <v>251</v>
      </c>
      <c r="J50" s="1">
        <v>6393</v>
      </c>
      <c r="K50" s="115" t="s">
        <v>91</v>
      </c>
      <c r="L50" s="113"/>
      <c r="M50" s="113"/>
      <c r="N50" s="89"/>
      <c r="O50" s="113"/>
      <c r="P50" s="113"/>
      <c r="Q50" s="113"/>
      <c r="R50" s="113"/>
      <c r="S50" s="113"/>
    </row>
    <row r="51" spans="1:19" ht="15" customHeight="1" x14ac:dyDescent="0.2">
      <c r="A51" s="84">
        <v>0.35416666666666702</v>
      </c>
      <c r="B51" s="85" t="s">
        <v>72</v>
      </c>
      <c r="C51" s="92">
        <f>SUM(D50)</f>
        <v>386860</v>
      </c>
      <c r="D51" s="70">
        <v>403910</v>
      </c>
      <c r="E51" s="86">
        <f t="shared" si="9"/>
        <v>17050</v>
      </c>
      <c r="F51" s="101">
        <v>17019</v>
      </c>
      <c r="G51" s="40">
        <v>0.82310000000000005</v>
      </c>
      <c r="H51" s="88">
        <f t="shared" si="10"/>
        <v>14008.338900000001</v>
      </c>
      <c r="I51" s="1">
        <v>251</v>
      </c>
      <c r="J51" s="1">
        <v>6394</v>
      </c>
      <c r="K51" s="106" t="s">
        <v>56</v>
      </c>
      <c r="L51" s="113"/>
      <c r="M51" s="113"/>
      <c r="N51" s="89"/>
      <c r="O51" s="113"/>
      <c r="P51" s="113"/>
      <c r="Q51" s="113"/>
      <c r="R51" s="113"/>
      <c r="S51" s="113"/>
    </row>
    <row r="52" spans="1:19" x14ac:dyDescent="0.2">
      <c r="A52" s="84"/>
      <c r="B52" s="85"/>
      <c r="C52" s="92"/>
      <c r="D52" s="70"/>
      <c r="E52" s="86">
        <f t="shared" si="9"/>
        <v>0</v>
      </c>
      <c r="F52" s="103">
        <f>SUM(D52-C52)</f>
        <v>0</v>
      </c>
      <c r="G52" s="40"/>
      <c r="H52" s="88">
        <f t="shared" si="10"/>
        <v>0</v>
      </c>
      <c r="I52" s="1"/>
      <c r="J52" s="1"/>
      <c r="K52" s="114"/>
      <c r="L52" s="113"/>
      <c r="M52" s="113"/>
      <c r="N52" s="113"/>
      <c r="O52" s="113"/>
      <c r="P52" s="113"/>
      <c r="Q52" s="113"/>
      <c r="R52" s="113"/>
      <c r="S52" s="113"/>
    </row>
    <row r="53" spans="1:19" x14ac:dyDescent="0.2">
      <c r="A53" s="84"/>
      <c r="B53" s="85"/>
      <c r="C53" s="92">
        <f>SUM(D52)</f>
        <v>0</v>
      </c>
      <c r="D53" s="102"/>
      <c r="E53" s="86">
        <f t="shared" si="9"/>
        <v>0</v>
      </c>
      <c r="F53" s="103">
        <f>SUM(D53-C53)</f>
        <v>0</v>
      </c>
      <c r="G53" s="40"/>
      <c r="H53" s="88">
        <f t="shared" si="10"/>
        <v>0</v>
      </c>
      <c r="I53" s="1"/>
      <c r="J53" s="28"/>
      <c r="K53" s="114"/>
      <c r="L53" s="113"/>
      <c r="M53" s="113"/>
      <c r="N53" s="113"/>
      <c r="O53" s="113"/>
      <c r="P53" s="113"/>
      <c r="Q53" s="113"/>
      <c r="R53" s="113"/>
      <c r="S53" s="113"/>
    </row>
    <row r="54" spans="1:19" x14ac:dyDescent="0.2">
      <c r="A54" s="84"/>
      <c r="B54" s="85"/>
      <c r="C54" s="92">
        <f>SUM(D53)</f>
        <v>0</v>
      </c>
      <c r="D54" s="102"/>
      <c r="E54" s="86">
        <f t="shared" si="9"/>
        <v>0</v>
      </c>
      <c r="F54" s="103">
        <f>SUM(D54-C54)</f>
        <v>0</v>
      </c>
      <c r="G54" s="40"/>
      <c r="H54" s="88">
        <f t="shared" si="10"/>
        <v>0</v>
      </c>
      <c r="I54" s="1"/>
      <c r="J54" s="28"/>
      <c r="K54" s="115"/>
      <c r="L54" s="113"/>
      <c r="M54" s="113"/>
      <c r="N54" s="113"/>
      <c r="O54" s="113"/>
      <c r="P54" s="113"/>
      <c r="Q54" s="113"/>
      <c r="R54" s="113"/>
      <c r="S54" s="113"/>
    </row>
    <row r="55" spans="1:19" x14ac:dyDescent="0.2">
      <c r="A55" s="84"/>
      <c r="B55" s="85"/>
      <c r="C55" s="92">
        <f>SUM(D54)</f>
        <v>0</v>
      </c>
      <c r="D55" s="102"/>
      <c r="E55" s="86">
        <f t="shared" si="9"/>
        <v>0</v>
      </c>
      <c r="F55" s="103">
        <f>SUM(D55-C55)</f>
        <v>0</v>
      </c>
      <c r="G55" s="40"/>
      <c r="H55" s="88">
        <f t="shared" si="10"/>
        <v>0</v>
      </c>
      <c r="I55" s="1"/>
      <c r="J55" s="28"/>
      <c r="K55" s="114"/>
      <c r="L55" s="113"/>
      <c r="M55" s="113"/>
      <c r="N55" s="113"/>
      <c r="O55" s="113"/>
      <c r="P55" s="113"/>
      <c r="Q55" s="113"/>
      <c r="R55" s="113"/>
      <c r="S55" s="113"/>
    </row>
    <row r="56" spans="1:19" x14ac:dyDescent="0.2">
      <c r="A56" s="84"/>
      <c r="B56" s="85"/>
      <c r="C56" s="92">
        <f>SUM(D55)</f>
        <v>0</v>
      </c>
      <c r="D56" s="70"/>
      <c r="E56" s="86">
        <f t="shared" si="9"/>
        <v>0</v>
      </c>
      <c r="F56" s="103">
        <f>SUM(D56-C56)</f>
        <v>0</v>
      </c>
      <c r="G56" s="40"/>
      <c r="H56" s="88">
        <f t="shared" si="10"/>
        <v>0</v>
      </c>
      <c r="I56" s="1"/>
      <c r="J56" s="28"/>
      <c r="K56" s="105"/>
      <c r="L56" s="113"/>
      <c r="M56" s="113"/>
      <c r="N56" s="113"/>
      <c r="O56" s="113"/>
      <c r="P56" s="113"/>
      <c r="Q56" s="113"/>
      <c r="R56" s="113"/>
      <c r="S56" s="113"/>
    </row>
    <row r="57" spans="1:19" x14ac:dyDescent="0.2">
      <c r="A57" s="84"/>
      <c r="B57" s="85"/>
      <c r="C57" s="92">
        <f>SUM(D56)</f>
        <v>0</v>
      </c>
      <c r="D57" s="70"/>
      <c r="E57" s="86">
        <f t="shared" si="9"/>
        <v>0</v>
      </c>
      <c r="F57" s="103">
        <f>SUM(F28:F56)</f>
        <v>175504</v>
      </c>
      <c r="G57" s="40"/>
      <c r="H57" s="88">
        <f>SUM(H28:H56)</f>
        <v>144375.55820000003</v>
      </c>
      <c r="I57" s="1"/>
      <c r="J57" s="28"/>
      <c r="K57" s="105"/>
      <c r="L57" s="113"/>
      <c r="M57" s="113"/>
      <c r="N57" s="113"/>
      <c r="O57" s="113"/>
      <c r="P57" s="113"/>
      <c r="Q57" s="113"/>
      <c r="R57" s="113"/>
      <c r="S57" s="113"/>
    </row>
    <row r="58" spans="1:19" x14ac:dyDescent="0.2">
      <c r="K58" s="105"/>
      <c r="L58" s="113"/>
      <c r="M58" s="113"/>
      <c r="N58" s="113"/>
      <c r="O58" s="113"/>
      <c r="P58" s="113"/>
      <c r="Q58" s="113"/>
      <c r="R58" s="113"/>
      <c r="S58" s="113"/>
    </row>
    <row r="59" spans="1:19" x14ac:dyDescent="0.2">
      <c r="F59" s="92">
        <f>SUM(F26+F57)</f>
        <v>491361</v>
      </c>
      <c r="G59" s="40"/>
      <c r="H59" s="88">
        <f>SUM(H26+H57)</f>
        <v>406918.09100000007</v>
      </c>
      <c r="K59" s="105"/>
      <c r="L59" s="113"/>
      <c r="M59" s="113"/>
      <c r="N59" s="113"/>
      <c r="O59" s="113"/>
      <c r="P59" s="113"/>
      <c r="Q59" s="113"/>
      <c r="R59" s="113"/>
      <c r="S59" s="113"/>
    </row>
    <row r="60" spans="1:19" x14ac:dyDescent="0.2">
      <c r="E60" s="113"/>
      <c r="K60" s="105"/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E61" s="113"/>
      <c r="K61" s="113"/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E62" s="113"/>
      <c r="K62" s="113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E63" s="113"/>
      <c r="K63" s="116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hidden="1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hidden="1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hidden="1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hidden="1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hidden="1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  <c r="L90" s="113"/>
      <c r="M90" s="113"/>
      <c r="N90" s="113"/>
      <c r="O90" s="113"/>
      <c r="P90" s="113"/>
      <c r="Q90" s="113"/>
      <c r="R90" s="113"/>
      <c r="S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27"/>
  <sheetViews>
    <sheetView topLeftCell="A13" zoomScale="65" zoomScaleNormal="65" workbookViewId="0">
      <selection activeCell="K54" sqref="K54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6.5" style="66" customWidth="1"/>
    <col min="12" max="12" width="12.1640625" style="65" customWidth="1"/>
    <col min="13" max="13" width="12.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/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0.44444444444444398</v>
      </c>
      <c r="B3" s="139" t="s">
        <v>38</v>
      </c>
      <c r="C3" s="70">
        <v>49184410</v>
      </c>
      <c r="D3" s="70">
        <v>49193030</v>
      </c>
      <c r="E3" s="86">
        <f t="shared" ref="E3:E37" si="0">SUM(D3-C3)</f>
        <v>8620</v>
      </c>
      <c r="F3" s="103">
        <f>SUM(D3-C3)</f>
        <v>8620</v>
      </c>
      <c r="G3" s="40">
        <v>0.83299999999999996</v>
      </c>
      <c r="H3" s="140">
        <f t="shared" ref="H3:H16" si="1">SUM(G3*F3)</f>
        <v>7180.46</v>
      </c>
      <c r="I3" s="28">
        <v>237</v>
      </c>
      <c r="J3" s="28">
        <v>6398</v>
      </c>
      <c r="K3" s="89"/>
      <c r="L3" s="90">
        <v>0.5</v>
      </c>
      <c r="M3" s="91" t="s">
        <v>38</v>
      </c>
      <c r="N3" s="93">
        <v>7622080</v>
      </c>
      <c r="O3" s="93">
        <v>7622180</v>
      </c>
      <c r="P3" s="94">
        <f t="shared" ref="P3:P16" si="2">SUM(O3-N3)</f>
        <v>100</v>
      </c>
      <c r="Q3" s="95">
        <v>0.83260000000000001</v>
      </c>
      <c r="R3" s="96">
        <f t="shared" ref="R3:R16" si="3">SUM(Q3*P3)</f>
        <v>83.26</v>
      </c>
      <c r="S3" s="97" t="s">
        <v>42</v>
      </c>
      <c r="V3" t="s">
        <v>41</v>
      </c>
    </row>
    <row r="4" spans="1:22" ht="16" x14ac:dyDescent="0.2">
      <c r="A4" s="84">
        <v>0.45833333333333298</v>
      </c>
      <c r="B4" s="134" t="s">
        <v>46</v>
      </c>
      <c r="C4" s="92">
        <f t="shared" ref="C4:C18" si="4">SUM(D3)</f>
        <v>49193030</v>
      </c>
      <c r="D4" s="70">
        <v>49199810</v>
      </c>
      <c r="E4" s="86">
        <f t="shared" si="0"/>
        <v>6780</v>
      </c>
      <c r="F4" s="103">
        <f>SUM(D4-C4)</f>
        <v>6780</v>
      </c>
      <c r="G4" s="40">
        <v>0.83279999999999998</v>
      </c>
      <c r="H4" s="135">
        <f t="shared" si="1"/>
        <v>5646.384</v>
      </c>
      <c r="I4" s="28">
        <v>248</v>
      </c>
      <c r="J4" s="28">
        <v>6399</v>
      </c>
      <c r="K4" s="89"/>
      <c r="L4" s="90">
        <v>0.97222222222222199</v>
      </c>
      <c r="M4" s="99" t="s">
        <v>46</v>
      </c>
      <c r="N4" s="94">
        <f>SUM(O3)</f>
        <v>7622180</v>
      </c>
      <c r="O4" s="93">
        <v>7622250</v>
      </c>
      <c r="P4" s="94">
        <f t="shared" si="2"/>
        <v>70</v>
      </c>
      <c r="Q4" s="100">
        <v>0.84230000000000005</v>
      </c>
      <c r="R4" s="96">
        <f t="shared" si="3"/>
        <v>58.961000000000006</v>
      </c>
      <c r="S4" s="97" t="s">
        <v>93</v>
      </c>
    </row>
    <row r="5" spans="1:22" ht="16" x14ac:dyDescent="0.2">
      <c r="A5" s="84">
        <v>0.59375</v>
      </c>
      <c r="B5" s="85" t="s">
        <v>46</v>
      </c>
      <c r="C5" s="92">
        <f t="shared" si="4"/>
        <v>49199810</v>
      </c>
      <c r="D5" s="70">
        <v>49222240</v>
      </c>
      <c r="E5" s="86">
        <f t="shared" si="0"/>
        <v>22430</v>
      </c>
      <c r="F5" s="118">
        <v>22430</v>
      </c>
      <c r="G5" s="40">
        <v>0.83199999999999996</v>
      </c>
      <c r="H5" s="135">
        <f t="shared" si="1"/>
        <v>18661.759999999998</v>
      </c>
      <c r="I5" s="28">
        <v>388</v>
      </c>
      <c r="J5" s="1">
        <v>6404</v>
      </c>
      <c r="K5" s="89"/>
      <c r="L5" s="90">
        <v>5.5555555555555601E-2</v>
      </c>
      <c r="M5" s="99" t="s">
        <v>46</v>
      </c>
      <c r="N5" s="94">
        <f>SUM(O4)</f>
        <v>7622250</v>
      </c>
      <c r="O5" s="93">
        <v>7622400</v>
      </c>
      <c r="P5" s="94">
        <f t="shared" si="2"/>
        <v>150</v>
      </c>
      <c r="Q5" s="95">
        <v>0.82899999999999996</v>
      </c>
      <c r="R5" s="96">
        <f t="shared" si="3"/>
        <v>124.35</v>
      </c>
      <c r="S5" s="97" t="s">
        <v>67</v>
      </c>
    </row>
    <row r="6" spans="1:22" ht="16" x14ac:dyDescent="0.2">
      <c r="A6" s="84">
        <v>0.66319444444444398</v>
      </c>
      <c r="B6" s="85" t="s">
        <v>46</v>
      </c>
      <c r="C6" s="92">
        <f t="shared" si="4"/>
        <v>49222240</v>
      </c>
      <c r="D6" s="70">
        <v>49244660</v>
      </c>
      <c r="E6" s="86">
        <f t="shared" si="0"/>
        <v>22420</v>
      </c>
      <c r="F6" s="118">
        <v>22430</v>
      </c>
      <c r="G6" s="40">
        <v>0.83199999999999996</v>
      </c>
      <c r="H6" s="135">
        <f t="shared" si="1"/>
        <v>18661.759999999998</v>
      </c>
      <c r="I6" s="28">
        <v>388</v>
      </c>
      <c r="J6" s="1">
        <v>6406</v>
      </c>
      <c r="K6" s="89"/>
      <c r="L6" s="90"/>
      <c r="M6" s="99"/>
      <c r="N6" s="94">
        <v>0</v>
      </c>
      <c r="O6" s="93"/>
      <c r="P6" s="94">
        <f t="shared" si="2"/>
        <v>0</v>
      </c>
      <c r="Q6" s="40"/>
      <c r="R6" s="96">
        <f t="shared" si="3"/>
        <v>0</v>
      </c>
      <c r="S6" s="97"/>
    </row>
    <row r="7" spans="1:22" ht="16" x14ac:dyDescent="0.2">
      <c r="A7" s="84">
        <v>0.70833333333333304</v>
      </c>
      <c r="B7" s="85" t="s">
        <v>46</v>
      </c>
      <c r="C7" s="92">
        <f t="shared" si="4"/>
        <v>49244660</v>
      </c>
      <c r="D7" s="70">
        <v>49256140</v>
      </c>
      <c r="E7" s="86">
        <f t="shared" si="0"/>
        <v>11480</v>
      </c>
      <c r="F7" s="118">
        <v>11480</v>
      </c>
      <c r="G7" s="40">
        <v>0.83199999999999996</v>
      </c>
      <c r="H7" s="135">
        <f t="shared" si="1"/>
        <v>9551.3599999999988</v>
      </c>
      <c r="I7" s="28">
        <v>388</v>
      </c>
      <c r="J7" s="1">
        <v>6408</v>
      </c>
      <c r="K7" s="89"/>
      <c r="L7" s="90"/>
      <c r="M7" s="99"/>
      <c r="N7" s="94">
        <f t="shared" ref="N7:N16" si="5">SUM(O6)</f>
        <v>0</v>
      </c>
      <c r="O7" s="93"/>
      <c r="P7" s="94">
        <f t="shared" si="2"/>
        <v>0</v>
      </c>
      <c r="Q7" s="40"/>
      <c r="R7" s="96">
        <f t="shared" si="3"/>
        <v>0</v>
      </c>
      <c r="S7" s="97"/>
    </row>
    <row r="8" spans="1:22" ht="16" x14ac:dyDescent="0.2">
      <c r="A8" s="84">
        <v>0.70833333333333304</v>
      </c>
      <c r="B8" s="117" t="s">
        <v>39</v>
      </c>
      <c r="C8" s="92">
        <f t="shared" si="4"/>
        <v>49256140</v>
      </c>
      <c r="D8" s="70">
        <v>49267080</v>
      </c>
      <c r="E8" s="86">
        <f t="shared" si="0"/>
        <v>10940</v>
      </c>
      <c r="F8" s="118">
        <v>10950</v>
      </c>
      <c r="G8" s="40">
        <v>0.83</v>
      </c>
      <c r="H8" s="119">
        <f t="shared" si="1"/>
        <v>9088.5</v>
      </c>
      <c r="I8" s="28">
        <v>388</v>
      </c>
      <c r="J8" s="1">
        <v>6409</v>
      </c>
      <c r="K8" s="89"/>
      <c r="L8" s="90"/>
      <c r="M8" s="91"/>
      <c r="N8" s="94">
        <f t="shared" si="5"/>
        <v>0</v>
      </c>
      <c r="O8" s="93"/>
      <c r="P8" s="94">
        <f t="shared" si="2"/>
        <v>0</v>
      </c>
      <c r="Q8" s="95"/>
      <c r="R8" s="96">
        <f t="shared" si="3"/>
        <v>0</v>
      </c>
      <c r="S8" s="1"/>
    </row>
    <row r="9" spans="1:22" ht="16" x14ac:dyDescent="0.2">
      <c r="A9" s="84">
        <v>0.75</v>
      </c>
      <c r="B9" s="85" t="s">
        <v>39</v>
      </c>
      <c r="C9" s="92">
        <f t="shared" si="4"/>
        <v>49267080</v>
      </c>
      <c r="D9" s="70">
        <v>49284100</v>
      </c>
      <c r="E9" s="86">
        <f t="shared" si="0"/>
        <v>17020</v>
      </c>
      <c r="F9" s="124">
        <v>17019</v>
      </c>
      <c r="G9" s="40">
        <v>0.83</v>
      </c>
      <c r="H9" s="119">
        <f t="shared" si="1"/>
        <v>14125.769999999999</v>
      </c>
      <c r="I9" s="28">
        <v>251</v>
      </c>
      <c r="J9" s="1">
        <v>6410</v>
      </c>
      <c r="K9" s="89"/>
      <c r="L9" s="90"/>
      <c r="M9" s="91"/>
      <c r="N9" s="94">
        <f t="shared" si="5"/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0.80208333333333304</v>
      </c>
      <c r="B10" s="85" t="s">
        <v>39</v>
      </c>
      <c r="C10" s="92">
        <f t="shared" si="4"/>
        <v>49284100</v>
      </c>
      <c r="D10" s="70">
        <v>49306550</v>
      </c>
      <c r="E10" s="86">
        <f t="shared" si="0"/>
        <v>22450</v>
      </c>
      <c r="F10" s="118">
        <v>22430</v>
      </c>
      <c r="G10" s="40">
        <v>0.83</v>
      </c>
      <c r="H10" s="119">
        <f t="shared" si="1"/>
        <v>18616.899999999998</v>
      </c>
      <c r="I10" s="28">
        <v>388</v>
      </c>
      <c r="J10" s="1">
        <v>6411</v>
      </c>
      <c r="K10" s="89"/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0.87152777777777801</v>
      </c>
      <c r="B11" s="85" t="s">
        <v>39</v>
      </c>
      <c r="C11" s="92">
        <f t="shared" si="4"/>
        <v>49306550</v>
      </c>
      <c r="D11" s="70">
        <v>49315850</v>
      </c>
      <c r="E11" s="86">
        <f t="shared" si="0"/>
        <v>9300</v>
      </c>
      <c r="F11" s="103">
        <f>SUM(D11-C11)</f>
        <v>9300</v>
      </c>
      <c r="G11" s="40">
        <v>0.83</v>
      </c>
      <c r="H11" s="119">
        <f t="shared" si="1"/>
        <v>7719</v>
      </c>
      <c r="I11" s="28">
        <v>237</v>
      </c>
      <c r="J11" s="1">
        <v>6414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0.94444444444444398</v>
      </c>
      <c r="B12" s="85" t="s">
        <v>38</v>
      </c>
      <c r="C12" s="92">
        <f t="shared" si="4"/>
        <v>49315850</v>
      </c>
      <c r="D12" s="70">
        <v>49327330</v>
      </c>
      <c r="E12" s="86">
        <f t="shared" si="0"/>
        <v>11480</v>
      </c>
      <c r="F12" s="118">
        <v>11480</v>
      </c>
      <c r="G12" s="40">
        <v>0.83399999999999996</v>
      </c>
      <c r="H12" s="140">
        <f t="shared" si="1"/>
        <v>9574.32</v>
      </c>
      <c r="I12" s="28">
        <v>388</v>
      </c>
      <c r="J12" s="1">
        <v>6421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0.99305555555555503</v>
      </c>
      <c r="B13" s="85" t="s">
        <v>38</v>
      </c>
      <c r="C13" s="92">
        <f t="shared" si="4"/>
        <v>49327330</v>
      </c>
      <c r="D13" s="70">
        <v>49349750</v>
      </c>
      <c r="E13" s="86">
        <f t="shared" si="0"/>
        <v>22420</v>
      </c>
      <c r="F13" s="118">
        <v>22430</v>
      </c>
      <c r="G13" s="40">
        <v>0.83399999999999996</v>
      </c>
      <c r="H13" s="140">
        <f t="shared" si="1"/>
        <v>18706.62</v>
      </c>
      <c r="I13" s="28">
        <v>388</v>
      </c>
      <c r="J13" s="1">
        <v>6423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0.17013888888888901</v>
      </c>
      <c r="B14" s="85" t="s">
        <v>46</v>
      </c>
      <c r="C14" s="92">
        <f t="shared" si="4"/>
        <v>49349750</v>
      </c>
      <c r="D14" s="70">
        <v>49366770</v>
      </c>
      <c r="E14" s="86">
        <f t="shared" si="0"/>
        <v>17020</v>
      </c>
      <c r="F14" s="124">
        <v>17019</v>
      </c>
      <c r="G14" s="40">
        <v>0.83150000000000002</v>
      </c>
      <c r="H14" s="135">
        <f t="shared" si="1"/>
        <v>14151.298500000001</v>
      </c>
      <c r="I14" s="28">
        <v>251</v>
      </c>
      <c r="J14" s="1">
        <v>6426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0.19791666666666699</v>
      </c>
      <c r="B15" s="85" t="s">
        <v>46</v>
      </c>
      <c r="C15" s="92">
        <f t="shared" si="4"/>
        <v>49366770</v>
      </c>
      <c r="D15" s="70">
        <v>49389190</v>
      </c>
      <c r="E15" s="86">
        <f t="shared" si="0"/>
        <v>22420</v>
      </c>
      <c r="F15" s="118">
        <v>22430</v>
      </c>
      <c r="G15" s="40">
        <v>0.83150000000000002</v>
      </c>
      <c r="H15" s="135">
        <f t="shared" si="1"/>
        <v>18650.545000000002</v>
      </c>
      <c r="I15" s="28">
        <v>388</v>
      </c>
      <c r="J15" s="1">
        <v>6427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0.26041666666666702</v>
      </c>
      <c r="B16" s="85" t="s">
        <v>46</v>
      </c>
      <c r="C16" s="92">
        <f t="shared" si="4"/>
        <v>49389190</v>
      </c>
      <c r="D16" s="70">
        <v>49411610</v>
      </c>
      <c r="E16" s="86">
        <f t="shared" si="0"/>
        <v>22420</v>
      </c>
      <c r="F16" s="118">
        <v>22430</v>
      </c>
      <c r="G16" s="40">
        <v>0.83150000000000002</v>
      </c>
      <c r="H16" s="135">
        <f t="shared" si="1"/>
        <v>18650.545000000002</v>
      </c>
      <c r="I16" s="28">
        <v>388</v>
      </c>
      <c r="J16" s="1">
        <v>6429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0.27083333333333298</v>
      </c>
      <c r="B17" s="120" t="s">
        <v>54</v>
      </c>
      <c r="C17" s="92">
        <f t="shared" si="4"/>
        <v>49411610</v>
      </c>
      <c r="D17" s="70">
        <v>49428640</v>
      </c>
      <c r="E17" s="86">
        <f t="shared" si="0"/>
        <v>17030</v>
      </c>
      <c r="F17" s="124">
        <v>17019</v>
      </c>
      <c r="G17" s="40">
        <v>0.82850000000000001</v>
      </c>
      <c r="H17" s="121">
        <v>14101</v>
      </c>
      <c r="I17" s="28">
        <v>251</v>
      </c>
      <c r="J17" s="1">
        <v>6430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0.31944444444444398</v>
      </c>
      <c r="B18" s="85" t="s">
        <v>54</v>
      </c>
      <c r="C18" s="92">
        <f t="shared" si="4"/>
        <v>49428640</v>
      </c>
      <c r="D18" s="70">
        <v>49451060</v>
      </c>
      <c r="E18" s="86">
        <f t="shared" si="0"/>
        <v>22420</v>
      </c>
      <c r="F18" s="118">
        <v>22430</v>
      </c>
      <c r="G18" s="40">
        <v>0.82850000000000001</v>
      </c>
      <c r="H18" s="121">
        <f t="shared" ref="H18:H37" si="6">SUM(G18*F18)</f>
        <v>18583.255000000001</v>
      </c>
      <c r="I18" s="28">
        <v>388</v>
      </c>
      <c r="J18" s="1">
        <v>6431</v>
      </c>
      <c r="K18" s="89"/>
      <c r="L18" s="90">
        <v>0.43402777777777801</v>
      </c>
      <c r="M18" s="99" t="s">
        <v>72</v>
      </c>
      <c r="N18" s="125">
        <f>D40</f>
        <v>1810380</v>
      </c>
      <c r="O18" s="93">
        <v>1810420</v>
      </c>
      <c r="P18" s="103">
        <f t="shared" ref="P18:P31" si="7">SUM(O18-N18)</f>
        <v>40</v>
      </c>
      <c r="Q18" s="40">
        <v>0.82343999999999995</v>
      </c>
      <c r="R18" s="88">
        <f t="shared" ref="R18:R31" si="8">SUM(Q18*P18)</f>
        <v>32.937599999999996</v>
      </c>
      <c r="S18" s="97" t="s">
        <v>68</v>
      </c>
      <c r="T18" t="s">
        <v>41</v>
      </c>
    </row>
    <row r="19" spans="1:20" x14ac:dyDescent="0.2">
      <c r="A19" s="84"/>
      <c r="B19" s="85"/>
      <c r="C19" s="92">
        <v>0</v>
      </c>
      <c r="D19" s="70"/>
      <c r="E19" s="86">
        <f t="shared" si="0"/>
        <v>0</v>
      </c>
      <c r="F19" s="103">
        <f t="shared" ref="F19:F37" si="9">SUM(D19-C19)</f>
        <v>0</v>
      </c>
      <c r="G19" s="40"/>
      <c r="H19" s="88">
        <f t="shared" si="6"/>
        <v>0</v>
      </c>
      <c r="I19" s="28"/>
      <c r="J19" s="1"/>
      <c r="K19" s="89"/>
      <c r="L19" s="90"/>
      <c r="M19" s="99"/>
      <c r="N19" s="92">
        <v>0</v>
      </c>
      <c r="O19" s="93"/>
      <c r="P19" s="103">
        <f t="shared" si="7"/>
        <v>0</v>
      </c>
      <c r="Q19" s="40"/>
      <c r="R19" s="88">
        <f t="shared" si="8"/>
        <v>0</v>
      </c>
      <c r="S19" s="97"/>
    </row>
    <row r="20" spans="1:20" x14ac:dyDescent="0.2">
      <c r="A20" s="84"/>
      <c r="B20" s="85"/>
      <c r="C20" s="92">
        <f t="shared" ref="C20:C38" si="10">SUM(D19)</f>
        <v>0</v>
      </c>
      <c r="D20" s="70"/>
      <c r="E20" s="86">
        <f t="shared" si="0"/>
        <v>0</v>
      </c>
      <c r="F20" s="103">
        <f t="shared" si="9"/>
        <v>0</v>
      </c>
      <c r="G20" s="40"/>
      <c r="H20" s="88">
        <f t="shared" si="6"/>
        <v>0</v>
      </c>
      <c r="I20" s="1"/>
      <c r="J20" s="1"/>
      <c r="K20" s="89"/>
      <c r="L20" s="90"/>
      <c r="M20" s="99"/>
      <c r="N20" s="92">
        <f t="shared" ref="N20:N31" si="11">SUM(O19)</f>
        <v>0</v>
      </c>
      <c r="O20" s="93"/>
      <c r="P20" s="103">
        <f t="shared" si="7"/>
        <v>0</v>
      </c>
      <c r="Q20" s="40"/>
      <c r="R20" s="88">
        <f t="shared" si="8"/>
        <v>0</v>
      </c>
      <c r="S20" s="97"/>
    </row>
    <row r="21" spans="1:20" x14ac:dyDescent="0.2">
      <c r="A21" s="84"/>
      <c r="B21" s="85"/>
      <c r="C21" s="92">
        <f t="shared" si="10"/>
        <v>0</v>
      </c>
      <c r="D21" s="70"/>
      <c r="E21" s="86">
        <f t="shared" si="0"/>
        <v>0</v>
      </c>
      <c r="F21" s="103">
        <f t="shared" si="9"/>
        <v>0</v>
      </c>
      <c r="G21" s="40"/>
      <c r="H21" s="88">
        <f t="shared" si="6"/>
        <v>0</v>
      </c>
      <c r="I21" s="1"/>
      <c r="J21" s="1"/>
      <c r="K21" s="89"/>
      <c r="L21" s="90"/>
      <c r="M21" s="99"/>
      <c r="N21" s="92">
        <f t="shared" si="11"/>
        <v>0</v>
      </c>
      <c r="O21" s="93"/>
      <c r="P21" s="103">
        <f t="shared" si="7"/>
        <v>0</v>
      </c>
      <c r="Q21" s="40"/>
      <c r="R21" s="88">
        <f t="shared" si="8"/>
        <v>0</v>
      </c>
      <c r="S21" s="97"/>
    </row>
    <row r="22" spans="1:20" x14ac:dyDescent="0.2">
      <c r="A22" s="84"/>
      <c r="B22" s="85"/>
      <c r="C22" s="92">
        <f t="shared" si="10"/>
        <v>0</v>
      </c>
      <c r="D22" s="70"/>
      <c r="E22" s="86">
        <f t="shared" si="0"/>
        <v>0</v>
      </c>
      <c r="F22" s="103">
        <f t="shared" si="9"/>
        <v>0</v>
      </c>
      <c r="G22" s="40"/>
      <c r="H22" s="88">
        <f t="shared" si="6"/>
        <v>0</v>
      </c>
      <c r="I22" s="1"/>
      <c r="J22" s="28"/>
      <c r="K22" s="89"/>
      <c r="L22" s="90"/>
      <c r="M22" s="99"/>
      <c r="N22" s="92">
        <f t="shared" si="11"/>
        <v>0</v>
      </c>
      <c r="O22" s="93"/>
      <c r="P22" s="103">
        <f t="shared" si="7"/>
        <v>0</v>
      </c>
      <c r="Q22" s="40"/>
      <c r="R22" s="88">
        <f t="shared" si="8"/>
        <v>0</v>
      </c>
      <c r="S22" s="97"/>
    </row>
    <row r="23" spans="1:20" x14ac:dyDescent="0.2">
      <c r="A23" s="84"/>
      <c r="B23" s="85"/>
      <c r="C23" s="92">
        <f t="shared" si="10"/>
        <v>0</v>
      </c>
      <c r="D23" s="70"/>
      <c r="E23" s="86">
        <f t="shared" si="0"/>
        <v>0</v>
      </c>
      <c r="F23" s="103">
        <f t="shared" si="9"/>
        <v>0</v>
      </c>
      <c r="G23" s="40"/>
      <c r="H23" s="88">
        <f t="shared" si="6"/>
        <v>0</v>
      </c>
      <c r="I23" s="1"/>
      <c r="J23" s="28"/>
      <c r="K23" s="89"/>
      <c r="L23" s="90"/>
      <c r="M23" s="99"/>
      <c r="N23" s="92">
        <f t="shared" si="11"/>
        <v>0</v>
      </c>
      <c r="O23" s="93"/>
      <c r="P23" s="103">
        <f t="shared" si="7"/>
        <v>0</v>
      </c>
      <c r="Q23" s="40"/>
      <c r="R23" s="88">
        <f t="shared" si="8"/>
        <v>0</v>
      </c>
      <c r="S23" s="97"/>
    </row>
    <row r="24" spans="1:20" x14ac:dyDescent="0.2">
      <c r="A24" s="84"/>
      <c r="B24" s="85"/>
      <c r="C24" s="92">
        <f t="shared" si="10"/>
        <v>0</v>
      </c>
      <c r="D24" s="70"/>
      <c r="E24" s="86">
        <f t="shared" si="0"/>
        <v>0</v>
      </c>
      <c r="F24" s="103">
        <f t="shared" si="9"/>
        <v>0</v>
      </c>
      <c r="G24" s="40"/>
      <c r="H24" s="88">
        <f t="shared" si="6"/>
        <v>0</v>
      </c>
      <c r="I24" s="1"/>
      <c r="J24" s="28"/>
      <c r="K24" s="89"/>
      <c r="L24" s="90"/>
      <c r="M24" s="99"/>
      <c r="N24" s="92">
        <f t="shared" si="11"/>
        <v>0</v>
      </c>
      <c r="O24" s="93"/>
      <c r="P24" s="103">
        <f t="shared" si="7"/>
        <v>0</v>
      </c>
      <c r="Q24" s="40"/>
      <c r="R24" s="88">
        <f t="shared" si="8"/>
        <v>0</v>
      </c>
      <c r="S24" s="97"/>
    </row>
    <row r="25" spans="1:20" hidden="1" x14ac:dyDescent="0.2">
      <c r="A25" s="84"/>
      <c r="B25" s="85"/>
      <c r="C25" s="92">
        <f t="shared" si="10"/>
        <v>0</v>
      </c>
      <c r="D25" s="70"/>
      <c r="E25" s="86">
        <f t="shared" si="0"/>
        <v>0</v>
      </c>
      <c r="F25" s="103">
        <f t="shared" si="9"/>
        <v>0</v>
      </c>
      <c r="G25" s="40"/>
      <c r="H25" s="88">
        <f t="shared" si="6"/>
        <v>0</v>
      </c>
      <c r="I25" s="1"/>
      <c r="J25" s="28"/>
      <c r="K25" s="89"/>
      <c r="L25" s="90"/>
      <c r="M25" s="91"/>
      <c r="N25" s="92">
        <f t="shared" si="11"/>
        <v>0</v>
      </c>
      <c r="O25" s="93"/>
      <c r="P25" s="103">
        <f t="shared" si="7"/>
        <v>0</v>
      </c>
      <c r="Q25" s="95"/>
      <c r="R25" s="88">
        <f t="shared" si="8"/>
        <v>0</v>
      </c>
      <c r="S25" s="1"/>
    </row>
    <row r="26" spans="1:20" hidden="1" x14ac:dyDescent="0.2">
      <c r="A26" s="84"/>
      <c r="B26" s="85"/>
      <c r="C26" s="92">
        <f t="shared" si="10"/>
        <v>0</v>
      </c>
      <c r="D26" s="70"/>
      <c r="E26" s="86">
        <f t="shared" si="0"/>
        <v>0</v>
      </c>
      <c r="F26" s="103">
        <f t="shared" si="9"/>
        <v>0</v>
      </c>
      <c r="G26" s="40"/>
      <c r="H26" s="88">
        <f t="shared" si="6"/>
        <v>0</v>
      </c>
      <c r="I26" s="1"/>
      <c r="J26" s="28"/>
      <c r="K26" s="89"/>
      <c r="L26" s="90"/>
      <c r="M26" s="91"/>
      <c r="N26" s="92">
        <f t="shared" si="11"/>
        <v>0</v>
      </c>
      <c r="O26" s="93"/>
      <c r="P26" s="103">
        <f t="shared" si="7"/>
        <v>0</v>
      </c>
      <c r="Q26" s="95"/>
      <c r="R26" s="88">
        <f t="shared" si="8"/>
        <v>0</v>
      </c>
      <c r="S26" s="97"/>
    </row>
    <row r="27" spans="1:20" hidden="1" x14ac:dyDescent="0.2">
      <c r="A27" s="84"/>
      <c r="B27" s="85"/>
      <c r="C27" s="92">
        <f t="shared" si="10"/>
        <v>0</v>
      </c>
      <c r="D27" s="70"/>
      <c r="E27" s="86">
        <f t="shared" si="0"/>
        <v>0</v>
      </c>
      <c r="F27" s="103">
        <f t="shared" si="9"/>
        <v>0</v>
      </c>
      <c r="G27" s="40"/>
      <c r="H27" s="88">
        <f t="shared" si="6"/>
        <v>0</v>
      </c>
      <c r="I27" s="1"/>
      <c r="J27" s="28"/>
      <c r="K27" s="89"/>
      <c r="L27" s="90"/>
      <c r="M27" s="91"/>
      <c r="N27" s="92">
        <f t="shared" si="11"/>
        <v>0</v>
      </c>
      <c r="O27" s="93"/>
      <c r="P27" s="103">
        <f t="shared" si="7"/>
        <v>0</v>
      </c>
      <c r="Q27" s="95"/>
      <c r="R27" s="88">
        <f t="shared" si="8"/>
        <v>0</v>
      </c>
      <c r="S27" s="1"/>
    </row>
    <row r="28" spans="1:20" hidden="1" x14ac:dyDescent="0.2">
      <c r="A28" s="84"/>
      <c r="B28" s="85"/>
      <c r="C28" s="92">
        <f t="shared" si="10"/>
        <v>0</v>
      </c>
      <c r="D28" s="70"/>
      <c r="E28" s="86">
        <f t="shared" si="0"/>
        <v>0</v>
      </c>
      <c r="F28" s="103">
        <f t="shared" si="9"/>
        <v>0</v>
      </c>
      <c r="G28" s="40"/>
      <c r="H28" s="88">
        <f t="shared" si="6"/>
        <v>0</v>
      </c>
      <c r="I28" s="1"/>
      <c r="J28" s="28"/>
      <c r="K28" s="89"/>
      <c r="L28" s="90"/>
      <c r="M28" s="91"/>
      <c r="N28" s="92">
        <f t="shared" si="11"/>
        <v>0</v>
      </c>
      <c r="O28" s="93"/>
      <c r="P28" s="103">
        <f t="shared" si="7"/>
        <v>0</v>
      </c>
      <c r="Q28" s="95"/>
      <c r="R28" s="88">
        <f t="shared" si="8"/>
        <v>0</v>
      </c>
      <c r="S28" s="1"/>
    </row>
    <row r="29" spans="1:20" hidden="1" x14ac:dyDescent="0.2">
      <c r="A29" s="84"/>
      <c r="B29" s="85"/>
      <c r="C29" s="92">
        <f t="shared" si="10"/>
        <v>0</v>
      </c>
      <c r="D29" s="70"/>
      <c r="E29" s="86">
        <f t="shared" si="0"/>
        <v>0</v>
      </c>
      <c r="F29" s="103">
        <f t="shared" si="9"/>
        <v>0</v>
      </c>
      <c r="G29" s="40"/>
      <c r="H29" s="88">
        <f t="shared" si="6"/>
        <v>0</v>
      </c>
      <c r="I29" s="1"/>
      <c r="J29" s="28"/>
      <c r="K29" s="89"/>
      <c r="L29" s="90"/>
      <c r="M29" s="91"/>
      <c r="N29" s="92">
        <f t="shared" si="11"/>
        <v>0</v>
      </c>
      <c r="O29" s="93"/>
      <c r="P29" s="103">
        <f t="shared" si="7"/>
        <v>0</v>
      </c>
      <c r="Q29" s="95"/>
      <c r="R29" s="88">
        <f t="shared" si="8"/>
        <v>0</v>
      </c>
      <c r="S29" s="1"/>
    </row>
    <row r="30" spans="1:20" hidden="1" x14ac:dyDescent="0.2">
      <c r="A30" s="84"/>
      <c r="B30" s="85"/>
      <c r="C30" s="92">
        <f t="shared" si="10"/>
        <v>0</v>
      </c>
      <c r="D30" s="70"/>
      <c r="E30" s="86">
        <f t="shared" si="0"/>
        <v>0</v>
      </c>
      <c r="F30" s="103">
        <f t="shared" si="9"/>
        <v>0</v>
      </c>
      <c r="G30" s="40"/>
      <c r="H30" s="88">
        <f t="shared" si="6"/>
        <v>0</v>
      </c>
      <c r="I30" s="1"/>
      <c r="J30" s="28"/>
      <c r="K30" s="105"/>
      <c r="L30" s="90"/>
      <c r="M30" s="91"/>
      <c r="N30" s="92">
        <f t="shared" si="11"/>
        <v>0</v>
      </c>
      <c r="O30" s="93"/>
      <c r="P30" s="103">
        <f t="shared" si="7"/>
        <v>0</v>
      </c>
      <c r="Q30" s="95"/>
      <c r="R30" s="88">
        <f t="shared" si="8"/>
        <v>0</v>
      </c>
      <c r="S30" s="1"/>
    </row>
    <row r="31" spans="1:20" hidden="1" x14ac:dyDescent="0.2">
      <c r="A31" s="84"/>
      <c r="B31" s="85"/>
      <c r="C31" s="92">
        <f t="shared" si="10"/>
        <v>0</v>
      </c>
      <c r="D31" s="70"/>
      <c r="E31" s="86">
        <f t="shared" si="0"/>
        <v>0</v>
      </c>
      <c r="F31" s="103">
        <f t="shared" si="9"/>
        <v>0</v>
      </c>
      <c r="G31" s="40"/>
      <c r="H31" s="88">
        <f t="shared" si="6"/>
        <v>0</v>
      </c>
      <c r="I31" s="1"/>
      <c r="J31" s="28"/>
      <c r="K31" s="89"/>
      <c r="L31" s="90"/>
      <c r="M31" s="91"/>
      <c r="N31" s="92">
        <f t="shared" si="11"/>
        <v>0</v>
      </c>
      <c r="O31" s="93"/>
      <c r="P31" s="103">
        <f t="shared" si="7"/>
        <v>0</v>
      </c>
      <c r="Q31" s="95"/>
      <c r="R31" s="88">
        <f t="shared" si="8"/>
        <v>0</v>
      </c>
      <c r="S31" s="1"/>
    </row>
    <row r="32" spans="1:20" hidden="1" x14ac:dyDescent="0.2">
      <c r="A32" s="84"/>
      <c r="B32" s="85"/>
      <c r="C32" s="92">
        <f t="shared" si="10"/>
        <v>0</v>
      </c>
      <c r="D32" s="70"/>
      <c r="E32" s="86">
        <f t="shared" si="0"/>
        <v>0</v>
      </c>
      <c r="F32" s="103">
        <f t="shared" si="9"/>
        <v>0</v>
      </c>
      <c r="G32" s="40"/>
      <c r="H32" s="88">
        <f t="shared" si="6"/>
        <v>0</v>
      </c>
      <c r="I32" s="1"/>
      <c r="J32" s="28"/>
      <c r="K32" s="89"/>
      <c r="L32" s="107"/>
      <c r="M32" s="108"/>
      <c r="N32" s="108"/>
      <c r="O32" s="109"/>
      <c r="P32" s="110"/>
      <c r="Q32" s="111"/>
      <c r="R32" s="112"/>
      <c r="S32" s="112"/>
    </row>
    <row r="33" spans="1:19" hidden="1" x14ac:dyDescent="0.2">
      <c r="A33" s="84"/>
      <c r="B33" s="85"/>
      <c r="C33" s="92">
        <f t="shared" si="10"/>
        <v>0</v>
      </c>
      <c r="D33" s="70"/>
      <c r="E33" s="86">
        <f t="shared" si="0"/>
        <v>0</v>
      </c>
      <c r="F33" s="103">
        <f t="shared" si="9"/>
        <v>0</v>
      </c>
      <c r="G33" s="40"/>
      <c r="H33" s="88">
        <f t="shared" si="6"/>
        <v>0</v>
      </c>
      <c r="I33" s="1"/>
      <c r="J33" s="28"/>
      <c r="K33" s="89"/>
      <c r="L33" s="113"/>
      <c r="M33" s="113"/>
      <c r="N33" s="113"/>
      <c r="O33" s="113"/>
      <c r="P33" s="113"/>
      <c r="Q33" s="113"/>
      <c r="R33" s="113"/>
      <c r="S33" s="113"/>
    </row>
    <row r="34" spans="1:19" hidden="1" x14ac:dyDescent="0.2">
      <c r="A34" s="84"/>
      <c r="B34" s="85"/>
      <c r="C34" s="92">
        <f t="shared" si="10"/>
        <v>0</v>
      </c>
      <c r="D34" s="70"/>
      <c r="E34" s="86">
        <f t="shared" si="0"/>
        <v>0</v>
      </c>
      <c r="F34" s="103">
        <f t="shared" si="9"/>
        <v>0</v>
      </c>
      <c r="G34" s="40"/>
      <c r="H34" s="88">
        <f t="shared" si="6"/>
        <v>0</v>
      </c>
      <c r="I34" s="1"/>
      <c r="J34" s="28"/>
      <c r="K34" s="89"/>
      <c r="L34" s="113"/>
      <c r="M34" s="113"/>
      <c r="N34" s="113"/>
      <c r="O34" s="113"/>
      <c r="P34" s="113"/>
      <c r="Q34" s="113"/>
      <c r="R34" s="113"/>
      <c r="S34" s="113"/>
    </row>
    <row r="35" spans="1:19" hidden="1" x14ac:dyDescent="0.2">
      <c r="A35" s="84"/>
      <c r="B35" s="85"/>
      <c r="C35" s="92">
        <f t="shared" si="10"/>
        <v>0</v>
      </c>
      <c r="D35" s="70"/>
      <c r="E35" s="86">
        <f t="shared" si="0"/>
        <v>0</v>
      </c>
      <c r="F35" s="103">
        <f t="shared" si="9"/>
        <v>0</v>
      </c>
      <c r="G35" s="40"/>
      <c r="H35" s="88">
        <f t="shared" si="6"/>
        <v>0</v>
      </c>
      <c r="I35" s="1"/>
      <c r="J35" s="28"/>
      <c r="K35" s="89"/>
      <c r="L35" s="113"/>
      <c r="M35" s="113"/>
      <c r="N35" s="113"/>
      <c r="O35" s="113"/>
      <c r="P35" s="113"/>
      <c r="Q35" s="113"/>
      <c r="R35" s="113"/>
      <c r="S35" s="113"/>
    </row>
    <row r="36" spans="1:19" hidden="1" x14ac:dyDescent="0.2">
      <c r="A36" s="84"/>
      <c r="B36" s="85"/>
      <c r="C36" s="92">
        <f t="shared" si="10"/>
        <v>0</v>
      </c>
      <c r="D36" s="70"/>
      <c r="E36" s="86">
        <f t="shared" si="0"/>
        <v>0</v>
      </c>
      <c r="F36" s="103">
        <f t="shared" si="9"/>
        <v>0</v>
      </c>
      <c r="G36" s="40"/>
      <c r="H36" s="88">
        <f t="shared" si="6"/>
        <v>0</v>
      </c>
      <c r="I36" s="1"/>
      <c r="J36" s="28"/>
      <c r="K36" s="89"/>
      <c r="L36" s="113"/>
      <c r="M36" s="113"/>
      <c r="N36" s="113"/>
      <c r="O36" s="113"/>
      <c r="P36" s="113"/>
      <c r="Q36" s="113"/>
      <c r="R36" s="113"/>
      <c r="S36" s="113"/>
    </row>
    <row r="37" spans="1:19" x14ac:dyDescent="0.2">
      <c r="A37" s="84"/>
      <c r="B37" s="85"/>
      <c r="C37" s="92">
        <f t="shared" si="10"/>
        <v>0</v>
      </c>
      <c r="D37" s="70"/>
      <c r="E37" s="86">
        <f t="shared" si="0"/>
        <v>0</v>
      </c>
      <c r="F37" s="126">
        <f t="shared" si="9"/>
        <v>0</v>
      </c>
      <c r="G37" s="40"/>
      <c r="H37" s="127">
        <f t="shared" si="6"/>
        <v>0</v>
      </c>
      <c r="I37" s="1"/>
      <c r="J37" s="1"/>
      <c r="K37" s="89"/>
      <c r="L37" s="113"/>
      <c r="M37" s="113"/>
      <c r="N37" s="113"/>
      <c r="O37" s="113"/>
      <c r="P37" s="113"/>
      <c r="Q37" s="113"/>
      <c r="R37" s="113"/>
      <c r="S37" s="113"/>
    </row>
    <row r="38" spans="1:19" x14ac:dyDescent="0.2">
      <c r="A38" s="84"/>
      <c r="B38" s="85"/>
      <c r="C38" s="92">
        <f t="shared" si="10"/>
        <v>0</v>
      </c>
      <c r="D38" s="70"/>
      <c r="E38" s="104"/>
      <c r="F38" s="128">
        <f>SUM(F3:F37)</f>
        <v>266677</v>
      </c>
      <c r="G38" s="129"/>
      <c r="H38" s="130">
        <f>SUM(H3:H37)</f>
        <v>221669.47750000004</v>
      </c>
      <c r="I38" s="131"/>
      <c r="J38" s="1"/>
      <c r="L38" s="113"/>
      <c r="M38" s="113"/>
      <c r="N38" s="113"/>
      <c r="O38" s="113"/>
      <c r="P38" s="113"/>
      <c r="Q38" s="113"/>
      <c r="R38" s="113"/>
      <c r="S38" s="113"/>
    </row>
    <row r="39" spans="1:19" x14ac:dyDescent="0.2">
      <c r="A39" s="83"/>
      <c r="B39" s="76" t="s">
        <v>49</v>
      </c>
      <c r="C39" s="77"/>
      <c r="D39" s="77"/>
      <c r="E39" s="77"/>
      <c r="F39" s="132"/>
      <c r="G39" s="78"/>
      <c r="H39" s="133"/>
      <c r="I39" s="80"/>
      <c r="J39" s="80"/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0.42361111111111099</v>
      </c>
      <c r="B40" s="134" t="s">
        <v>62</v>
      </c>
      <c r="C40" s="70">
        <v>1806010</v>
      </c>
      <c r="D40" s="102">
        <v>1810380</v>
      </c>
      <c r="E40" s="86">
        <f t="shared" ref="E40:E61" si="12">SUM(D40-C40)</f>
        <v>4370</v>
      </c>
      <c r="F40" s="103">
        <f t="shared" ref="F40:F45" si="13">SUM(D40-C40)</f>
        <v>4370</v>
      </c>
      <c r="G40" s="40">
        <v>0.82550000000000001</v>
      </c>
      <c r="H40" s="135">
        <f t="shared" ref="H40:H60" si="14">SUM(G40*F40)</f>
        <v>3607.4349999999999</v>
      </c>
      <c r="I40" s="28">
        <v>119</v>
      </c>
      <c r="J40" s="1">
        <v>6396</v>
      </c>
      <c r="K40" s="115" t="s">
        <v>91</v>
      </c>
      <c r="L40" s="113"/>
      <c r="M40" s="113"/>
      <c r="N40" s="113"/>
      <c r="O40" s="113"/>
      <c r="P40" s="113"/>
      <c r="Q40" s="113"/>
      <c r="R40" s="113"/>
      <c r="S40" s="113"/>
    </row>
    <row r="41" spans="1:19" ht="14.25" customHeight="1" x14ac:dyDescent="0.2">
      <c r="A41" s="84">
        <v>0.44097222222222199</v>
      </c>
      <c r="B41" s="117" t="s">
        <v>90</v>
      </c>
      <c r="C41" s="92">
        <f>O18</f>
        <v>1810420</v>
      </c>
      <c r="D41" s="102">
        <v>1817090</v>
      </c>
      <c r="E41" s="86">
        <f t="shared" si="12"/>
        <v>6670</v>
      </c>
      <c r="F41" s="103">
        <f t="shared" si="13"/>
        <v>6670</v>
      </c>
      <c r="G41" s="40">
        <v>0.82469999999999999</v>
      </c>
      <c r="H41" s="119">
        <f t="shared" si="14"/>
        <v>5500.7489999999998</v>
      </c>
      <c r="I41" s="28">
        <v>382</v>
      </c>
      <c r="J41" s="1">
        <v>6397</v>
      </c>
      <c r="K41" s="191" t="s">
        <v>56</v>
      </c>
      <c r="L41" s="113"/>
      <c r="M41" s="113"/>
      <c r="N41" s="113"/>
      <c r="O41" s="113"/>
      <c r="P41" s="113"/>
      <c r="Q41" s="113"/>
      <c r="R41" s="113"/>
      <c r="S41" s="113"/>
    </row>
    <row r="42" spans="1:19" ht="15" customHeight="1" x14ac:dyDescent="0.2">
      <c r="A42" s="84">
        <v>0.45833333333333298</v>
      </c>
      <c r="B42" s="85" t="s">
        <v>90</v>
      </c>
      <c r="C42" s="92">
        <f t="shared" ref="C42:C60" si="15">SUM(D41)</f>
        <v>1817090</v>
      </c>
      <c r="D42" s="102">
        <v>1827440</v>
      </c>
      <c r="E42" s="86">
        <f t="shared" si="12"/>
        <v>10350</v>
      </c>
      <c r="F42" s="103">
        <f t="shared" si="13"/>
        <v>10350</v>
      </c>
      <c r="G42" s="40">
        <v>0.82469999999999999</v>
      </c>
      <c r="H42" s="119">
        <f t="shared" si="14"/>
        <v>8535.6450000000004</v>
      </c>
      <c r="I42" s="28">
        <v>81</v>
      </c>
      <c r="J42" s="1">
        <v>6400</v>
      </c>
      <c r="K42" s="191" t="s">
        <v>56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0.46875</v>
      </c>
      <c r="B43" s="85" t="s">
        <v>61</v>
      </c>
      <c r="C43" s="92">
        <f t="shared" si="15"/>
        <v>1827440</v>
      </c>
      <c r="D43" s="102">
        <v>1833210</v>
      </c>
      <c r="E43" s="86">
        <f t="shared" si="12"/>
        <v>5770</v>
      </c>
      <c r="F43" s="103">
        <f t="shared" si="13"/>
        <v>5770</v>
      </c>
      <c r="G43" s="40">
        <v>0.82469999999999999</v>
      </c>
      <c r="H43" s="88">
        <f t="shared" si="14"/>
        <v>4758.5190000000002</v>
      </c>
      <c r="I43" s="28">
        <v>57</v>
      </c>
      <c r="J43" s="1">
        <v>6401</v>
      </c>
      <c r="K43" s="191" t="s">
        <v>56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0.58333333333333304</v>
      </c>
      <c r="B44" s="150" t="s">
        <v>55</v>
      </c>
      <c r="C44" s="92">
        <f t="shared" si="15"/>
        <v>1833210</v>
      </c>
      <c r="D44" s="102">
        <v>1839550</v>
      </c>
      <c r="E44" s="86">
        <f t="shared" si="12"/>
        <v>6340</v>
      </c>
      <c r="F44" s="103">
        <f t="shared" si="13"/>
        <v>6340</v>
      </c>
      <c r="G44" s="40">
        <v>0.82379999999999998</v>
      </c>
      <c r="H44" s="192">
        <f t="shared" si="14"/>
        <v>5222.8919999999998</v>
      </c>
      <c r="I44" s="28">
        <v>81</v>
      </c>
      <c r="J44" s="1">
        <v>6402</v>
      </c>
      <c r="K44" s="191" t="s">
        <v>56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0.59027777777777801</v>
      </c>
      <c r="B45" s="85" t="s">
        <v>55</v>
      </c>
      <c r="C45" s="92">
        <f t="shared" si="15"/>
        <v>1839550</v>
      </c>
      <c r="D45" s="102">
        <v>1848680</v>
      </c>
      <c r="E45" s="86">
        <f t="shared" si="12"/>
        <v>9130</v>
      </c>
      <c r="F45" s="103">
        <f t="shared" si="13"/>
        <v>9130</v>
      </c>
      <c r="G45" s="40">
        <v>0.82379999999999998</v>
      </c>
      <c r="H45" s="192">
        <f t="shared" si="14"/>
        <v>7521.2939999999999</v>
      </c>
      <c r="I45" s="28">
        <v>57</v>
      </c>
      <c r="J45" s="1">
        <v>6403</v>
      </c>
      <c r="K45" s="191" t="s">
        <v>56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0.61805555555555602</v>
      </c>
      <c r="B46" s="85" t="s">
        <v>55</v>
      </c>
      <c r="C46" s="92">
        <f t="shared" si="15"/>
        <v>1848680</v>
      </c>
      <c r="D46" s="102">
        <v>1865680</v>
      </c>
      <c r="E46" s="86">
        <f t="shared" si="12"/>
        <v>17000</v>
      </c>
      <c r="F46" s="124">
        <v>17019</v>
      </c>
      <c r="G46" s="40">
        <v>0.82379999999999998</v>
      </c>
      <c r="H46" s="192">
        <f t="shared" si="14"/>
        <v>14020.252199999999</v>
      </c>
      <c r="I46" s="28">
        <v>251</v>
      </c>
      <c r="J46" s="1">
        <v>6405</v>
      </c>
      <c r="K46" s="191" t="s">
        <v>56</v>
      </c>
      <c r="L46" s="113"/>
      <c r="M46" s="113"/>
      <c r="N46" s="89"/>
      <c r="O46" s="113"/>
      <c r="P46" s="113"/>
      <c r="Q46" s="113"/>
      <c r="R46" s="113"/>
      <c r="S46" s="113"/>
    </row>
    <row r="47" spans="1:19" ht="16" x14ac:dyDescent="0.2">
      <c r="A47" s="84">
        <v>0.69097222222222199</v>
      </c>
      <c r="B47" s="85" t="s">
        <v>57</v>
      </c>
      <c r="C47" s="92">
        <f t="shared" si="15"/>
        <v>1865680</v>
      </c>
      <c r="D47" s="102">
        <v>1882770</v>
      </c>
      <c r="E47" s="86">
        <f t="shared" si="12"/>
        <v>17090</v>
      </c>
      <c r="F47" s="124">
        <v>17019</v>
      </c>
      <c r="G47" s="40">
        <v>0.82350000000000001</v>
      </c>
      <c r="H47" s="88">
        <f t="shared" si="14"/>
        <v>14015.146500000001</v>
      </c>
      <c r="I47" s="28">
        <v>251</v>
      </c>
      <c r="J47" s="1">
        <v>6407</v>
      </c>
      <c r="K47" s="115" t="s">
        <v>91</v>
      </c>
      <c r="L47" s="113"/>
      <c r="M47" s="113"/>
      <c r="N47" s="89"/>
      <c r="O47" s="113"/>
      <c r="P47" s="113"/>
      <c r="Q47" s="113"/>
      <c r="R47" s="113"/>
      <c r="S47" s="113"/>
    </row>
    <row r="48" spans="1:19" ht="16" x14ac:dyDescent="0.2">
      <c r="A48" s="84">
        <v>0.80902777777777801</v>
      </c>
      <c r="B48" s="85" t="s">
        <v>62</v>
      </c>
      <c r="C48" s="92">
        <f t="shared" si="15"/>
        <v>1882770</v>
      </c>
      <c r="D48" s="102">
        <v>1899790</v>
      </c>
      <c r="E48" s="86">
        <f t="shared" si="12"/>
        <v>17020</v>
      </c>
      <c r="F48" s="124">
        <v>17019</v>
      </c>
      <c r="G48" s="40">
        <v>0.82550000000000001</v>
      </c>
      <c r="H48" s="135">
        <f t="shared" si="14"/>
        <v>14049.184499999999</v>
      </c>
      <c r="I48" s="28">
        <v>251</v>
      </c>
      <c r="J48" s="1">
        <v>6412</v>
      </c>
      <c r="K48" s="115" t="s">
        <v>91</v>
      </c>
      <c r="L48" s="113"/>
      <c r="M48" s="113"/>
      <c r="N48" s="89"/>
      <c r="O48" s="113"/>
      <c r="P48" s="113"/>
      <c r="Q48" s="113"/>
      <c r="R48" s="113"/>
      <c r="S48" s="113"/>
    </row>
    <row r="49" spans="1:19" ht="15" customHeight="1" x14ac:dyDescent="0.2">
      <c r="A49" s="84">
        <v>0.85069444444444398</v>
      </c>
      <c r="B49" s="85" t="s">
        <v>55</v>
      </c>
      <c r="C49" s="92">
        <f t="shared" si="15"/>
        <v>1899790</v>
      </c>
      <c r="D49" s="102">
        <v>1907560</v>
      </c>
      <c r="E49" s="86">
        <f t="shared" si="12"/>
        <v>7770</v>
      </c>
      <c r="F49" s="103">
        <f>SUM(D49-C49)</f>
        <v>7770</v>
      </c>
      <c r="G49" s="40">
        <v>0.82350000000000001</v>
      </c>
      <c r="H49" s="192">
        <f t="shared" si="14"/>
        <v>6398.5950000000003</v>
      </c>
      <c r="I49" s="28">
        <v>81</v>
      </c>
      <c r="J49" s="1">
        <v>6413</v>
      </c>
      <c r="K49" s="191" t="s">
        <v>56</v>
      </c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0.88194444444444398</v>
      </c>
      <c r="B50" s="120" t="s">
        <v>72</v>
      </c>
      <c r="C50" s="92">
        <f t="shared" si="15"/>
        <v>1907560</v>
      </c>
      <c r="D50" s="102">
        <v>1915800</v>
      </c>
      <c r="E50" s="86">
        <f t="shared" si="12"/>
        <v>8240</v>
      </c>
      <c r="F50" s="103">
        <f>SUM(D50-C50)</f>
        <v>8240</v>
      </c>
      <c r="G50" s="40">
        <v>0.82250000000000001</v>
      </c>
      <c r="H50" s="121">
        <f t="shared" si="14"/>
        <v>6777.4</v>
      </c>
      <c r="I50" s="28">
        <v>382</v>
      </c>
      <c r="J50" s="1">
        <v>6415</v>
      </c>
      <c r="K50" s="191" t="s">
        <v>56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0.89236111111111105</v>
      </c>
      <c r="B51" s="85" t="s">
        <v>72</v>
      </c>
      <c r="C51" s="92">
        <f t="shared" si="15"/>
        <v>1915800</v>
      </c>
      <c r="D51" s="102">
        <v>1932860</v>
      </c>
      <c r="E51" s="86">
        <f t="shared" si="12"/>
        <v>17060</v>
      </c>
      <c r="F51" s="124">
        <v>17019</v>
      </c>
      <c r="G51" s="40">
        <v>0.82250000000000001</v>
      </c>
      <c r="H51" s="121">
        <f t="shared" si="14"/>
        <v>13998.127500000001</v>
      </c>
      <c r="I51" s="28">
        <v>251</v>
      </c>
      <c r="J51" s="1">
        <v>6416</v>
      </c>
      <c r="K51" s="191" t="s">
        <v>56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0.90277777777777801</v>
      </c>
      <c r="B52" s="85" t="s">
        <v>72</v>
      </c>
      <c r="C52" s="92">
        <f t="shared" si="15"/>
        <v>1932860</v>
      </c>
      <c r="D52" s="102">
        <v>1938970</v>
      </c>
      <c r="E52" s="86">
        <f t="shared" si="12"/>
        <v>6110</v>
      </c>
      <c r="F52" s="103">
        <f>SUM(D52-C52)</f>
        <v>6110</v>
      </c>
      <c r="G52" s="40">
        <v>0.82250000000000001</v>
      </c>
      <c r="H52" s="121">
        <f t="shared" si="14"/>
        <v>5025.4750000000004</v>
      </c>
      <c r="I52" s="28">
        <v>57</v>
      </c>
      <c r="J52" s="1">
        <v>6417</v>
      </c>
      <c r="K52" s="191" t="s">
        <v>56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0.91666666666666696</v>
      </c>
      <c r="B53" s="85" t="s">
        <v>62</v>
      </c>
      <c r="C53" s="92">
        <f t="shared" si="15"/>
        <v>1938970</v>
      </c>
      <c r="D53" s="102">
        <v>1950140</v>
      </c>
      <c r="E53" s="86">
        <f t="shared" si="12"/>
        <v>11170</v>
      </c>
      <c r="F53" s="103">
        <f>SUM(D53-C53)</f>
        <v>11170</v>
      </c>
      <c r="G53" s="40">
        <v>0.82550000000000001</v>
      </c>
      <c r="H53" s="135">
        <f t="shared" si="14"/>
        <v>9220.8350000000009</v>
      </c>
      <c r="I53" s="28">
        <v>119</v>
      </c>
      <c r="J53" s="1">
        <v>6418</v>
      </c>
      <c r="K53" s="115" t="s">
        <v>91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0.93402777777777801</v>
      </c>
      <c r="B54" s="85" t="s">
        <v>59</v>
      </c>
      <c r="C54" s="92">
        <f t="shared" si="15"/>
        <v>1950140</v>
      </c>
      <c r="D54" s="102">
        <v>1965250</v>
      </c>
      <c r="E54" s="86">
        <f t="shared" si="12"/>
        <v>15110</v>
      </c>
      <c r="F54" s="137">
        <v>15040</v>
      </c>
      <c r="G54" s="40">
        <v>0.83450000000000002</v>
      </c>
      <c r="H54" s="88">
        <f t="shared" si="14"/>
        <v>12550.880000000001</v>
      </c>
      <c r="I54" s="1">
        <v>467</v>
      </c>
      <c r="J54" s="1">
        <v>6419</v>
      </c>
      <c r="K54" s="115" t="s">
        <v>82</v>
      </c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0.9375</v>
      </c>
      <c r="B55" s="85" t="s">
        <v>62</v>
      </c>
      <c r="C55" s="92">
        <f t="shared" si="15"/>
        <v>1965250</v>
      </c>
      <c r="D55" s="102">
        <v>1975330</v>
      </c>
      <c r="E55" s="86">
        <f t="shared" si="12"/>
        <v>10080</v>
      </c>
      <c r="F55" s="124">
        <v>9986</v>
      </c>
      <c r="G55" s="40">
        <v>0.82550000000000001</v>
      </c>
      <c r="H55" s="135">
        <f t="shared" si="14"/>
        <v>8243.4429999999993</v>
      </c>
      <c r="I55" s="1">
        <v>251</v>
      </c>
      <c r="J55" s="1">
        <v>6420</v>
      </c>
      <c r="K55" s="115" t="s">
        <v>91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0.97916666666666696</v>
      </c>
      <c r="B56" s="85" t="s">
        <v>89</v>
      </c>
      <c r="C56" s="92">
        <f t="shared" si="15"/>
        <v>1975330</v>
      </c>
      <c r="D56" s="102">
        <v>1992410</v>
      </c>
      <c r="E56" s="86">
        <f t="shared" si="12"/>
        <v>17080</v>
      </c>
      <c r="F56" s="124">
        <v>17019</v>
      </c>
      <c r="G56" s="40">
        <v>0.82299999999999995</v>
      </c>
      <c r="H56" s="88">
        <f t="shared" si="14"/>
        <v>14006.636999999999</v>
      </c>
      <c r="I56" s="1">
        <v>251</v>
      </c>
      <c r="J56" s="1">
        <v>6422</v>
      </c>
      <c r="K56" s="115" t="s">
        <v>91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7.2916666666666699E-2</v>
      </c>
      <c r="B57" s="85" t="s">
        <v>72</v>
      </c>
      <c r="C57" s="92">
        <f t="shared" si="15"/>
        <v>1992410</v>
      </c>
      <c r="D57" s="102">
        <v>1998200</v>
      </c>
      <c r="E57" s="86">
        <f t="shared" si="12"/>
        <v>5790</v>
      </c>
      <c r="F57" s="103">
        <f>SUM(D57-C57)</f>
        <v>5790</v>
      </c>
      <c r="G57" s="40">
        <v>0.82350000000000001</v>
      </c>
      <c r="H57" s="121">
        <f t="shared" si="14"/>
        <v>4768.0650000000005</v>
      </c>
      <c r="I57" s="1">
        <v>81</v>
      </c>
      <c r="J57" s="1">
        <v>6424</v>
      </c>
      <c r="K57" s="191" t="s">
        <v>56</v>
      </c>
      <c r="L57" s="113"/>
      <c r="M57" s="113"/>
      <c r="N57" s="113"/>
      <c r="O57" s="113"/>
      <c r="P57" s="113"/>
      <c r="Q57" s="113"/>
      <c r="R57" s="113"/>
      <c r="S57" s="113"/>
    </row>
    <row r="58" spans="1:19" ht="16" x14ac:dyDescent="0.2">
      <c r="A58" s="84">
        <v>8.3333333333333301E-2</v>
      </c>
      <c r="B58" s="85" t="s">
        <v>72</v>
      </c>
      <c r="C58" s="92">
        <f t="shared" si="15"/>
        <v>1998200</v>
      </c>
      <c r="D58" s="102">
        <v>2005110</v>
      </c>
      <c r="E58" s="86">
        <f t="shared" si="12"/>
        <v>6910</v>
      </c>
      <c r="F58" s="103">
        <f>SUM(D58-C58)</f>
        <v>6910</v>
      </c>
      <c r="G58" s="40">
        <v>0.82350000000000001</v>
      </c>
      <c r="H58" s="121">
        <f t="shared" si="14"/>
        <v>5690.3850000000002</v>
      </c>
      <c r="I58" s="1">
        <v>57</v>
      </c>
      <c r="J58" s="1">
        <v>6425</v>
      </c>
      <c r="K58" s="191" t="s">
        <v>56</v>
      </c>
      <c r="L58" s="113"/>
      <c r="M58" s="113"/>
      <c r="N58" s="113"/>
      <c r="O58" s="113"/>
      <c r="P58" s="113"/>
      <c r="Q58" s="113"/>
      <c r="R58" s="113"/>
      <c r="S58" s="113"/>
    </row>
    <row r="59" spans="1:19" ht="16" x14ac:dyDescent="0.2">
      <c r="A59" s="84">
        <v>0.22222222222222199</v>
      </c>
      <c r="B59" s="85" t="s">
        <v>89</v>
      </c>
      <c r="C59" s="92">
        <f t="shared" si="15"/>
        <v>2005110</v>
      </c>
      <c r="D59" s="102">
        <v>2022240</v>
      </c>
      <c r="E59" s="86">
        <f t="shared" si="12"/>
        <v>17130</v>
      </c>
      <c r="F59" s="124">
        <v>17019</v>
      </c>
      <c r="G59" s="40">
        <v>0.82499999999999996</v>
      </c>
      <c r="H59" s="88">
        <f t="shared" si="14"/>
        <v>14040.674999999999</v>
      </c>
      <c r="I59" s="1">
        <v>251</v>
      </c>
      <c r="J59" s="1">
        <v>6428</v>
      </c>
      <c r="K59" s="115" t="s">
        <v>91</v>
      </c>
      <c r="L59" s="113"/>
      <c r="M59" s="113"/>
      <c r="N59" s="113"/>
      <c r="O59" s="113"/>
      <c r="P59" s="113"/>
      <c r="Q59" s="113"/>
      <c r="R59" s="113"/>
      <c r="S59" s="113"/>
    </row>
    <row r="60" spans="1:19" ht="16" x14ac:dyDescent="0.2">
      <c r="A60" s="84">
        <v>0.32291666666666702</v>
      </c>
      <c r="B60" s="85" t="s">
        <v>72</v>
      </c>
      <c r="C60" s="92">
        <f t="shared" si="15"/>
        <v>2022240</v>
      </c>
      <c r="D60" s="102">
        <v>2039390</v>
      </c>
      <c r="E60" s="86">
        <f t="shared" si="12"/>
        <v>17150</v>
      </c>
      <c r="F60" s="124">
        <v>17019</v>
      </c>
      <c r="G60" s="40">
        <v>0.82599999999999996</v>
      </c>
      <c r="H60" s="193">
        <f t="shared" si="14"/>
        <v>14057.694</v>
      </c>
      <c r="I60" s="1">
        <v>251</v>
      </c>
      <c r="J60" s="1">
        <v>6432</v>
      </c>
      <c r="K60" s="114" t="s">
        <v>60</v>
      </c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A61" s="84"/>
      <c r="B61" s="85"/>
      <c r="C61" s="92">
        <v>0</v>
      </c>
      <c r="D61" s="102"/>
      <c r="E61" s="104">
        <f t="shared" si="12"/>
        <v>0</v>
      </c>
      <c r="F61" s="128">
        <f>SUM(F40:F60)</f>
        <v>232779</v>
      </c>
      <c r="G61" s="129"/>
      <c r="H61" s="130">
        <f>SUM(H40:H60)</f>
        <v>192009.32869999998</v>
      </c>
      <c r="I61" s="131"/>
      <c r="J61" s="1"/>
      <c r="K61" s="116"/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F63" s="141">
        <f>F61+F38</f>
        <v>499456</v>
      </c>
      <c r="G63" s="129"/>
      <c r="H63" s="130">
        <f>H61+H38</f>
        <v>413678.80619999999</v>
      </c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hidden="1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hidden="1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hidden="1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hidden="1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hidden="1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</row>
    <row r="90" spans="5:19" x14ac:dyDescent="0.2">
      <c r="E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26"/>
  <sheetViews>
    <sheetView topLeftCell="A19" zoomScale="65" zoomScaleNormal="65" workbookViewId="0">
      <selection activeCell="K57" sqref="K57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1" style="66" customWidth="1"/>
    <col min="12" max="12" width="10.5" style="65" customWidth="1"/>
    <col min="13" max="13" width="9.6640625" style="65" customWidth="1"/>
    <col min="14" max="14" width="14.5" style="65" customWidth="1"/>
    <col min="15" max="15" width="15.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/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144"/>
      <c r="M2" s="145" t="s">
        <v>37</v>
      </c>
      <c r="N2" s="146"/>
      <c r="O2" s="146"/>
      <c r="P2" s="146"/>
      <c r="Q2" s="147"/>
      <c r="R2" s="148"/>
      <c r="S2" s="149"/>
    </row>
    <row r="3" spans="1:22" ht="16" x14ac:dyDescent="0.2">
      <c r="A3" s="84">
        <v>0.42361111111111099</v>
      </c>
      <c r="B3" s="150" t="s">
        <v>54</v>
      </c>
      <c r="C3" s="92">
        <v>49451060</v>
      </c>
      <c r="D3" s="70">
        <v>49461510</v>
      </c>
      <c r="E3" s="86">
        <f t="shared" ref="E3:E33" si="0">SUM(D3-C3)</f>
        <v>10450</v>
      </c>
      <c r="F3" s="87">
        <f>SUM(D3-C3)</f>
        <v>10450</v>
      </c>
      <c r="G3" s="40">
        <v>0.83169999999999999</v>
      </c>
      <c r="H3" s="88">
        <f t="shared" ref="H3:H13" si="1">SUM(G3*F3)</f>
        <v>8691.2649999999994</v>
      </c>
      <c r="I3" s="151">
        <v>237</v>
      </c>
      <c r="J3" s="28">
        <v>6434</v>
      </c>
      <c r="K3" s="89"/>
      <c r="L3" s="152">
        <v>0.40277777777777801</v>
      </c>
      <c r="M3" s="153" t="s">
        <v>46</v>
      </c>
      <c r="N3" s="154">
        <v>7622400</v>
      </c>
      <c r="O3" s="155">
        <v>7622620</v>
      </c>
      <c r="P3" s="154">
        <f t="shared" ref="P3:P16" si="2">SUM(O3-N3)</f>
        <v>220</v>
      </c>
      <c r="Q3" s="156">
        <v>0.83499999999999996</v>
      </c>
      <c r="R3" s="157">
        <f t="shared" ref="R3:R16" si="3">SUM(Q3*P3)</f>
        <v>183.7</v>
      </c>
      <c r="S3" s="158" t="s">
        <v>53</v>
      </c>
      <c r="V3" t="s">
        <v>41</v>
      </c>
    </row>
    <row r="4" spans="1:22" ht="16" x14ac:dyDescent="0.2">
      <c r="A4" s="84">
        <v>0.44444444444444398</v>
      </c>
      <c r="B4" s="85" t="s">
        <v>54</v>
      </c>
      <c r="C4" s="92">
        <f t="shared" ref="C4:C22" si="4">SUM(D3)</f>
        <v>49461510</v>
      </c>
      <c r="D4" s="70">
        <v>49472990</v>
      </c>
      <c r="E4" s="86">
        <f t="shared" si="0"/>
        <v>11480</v>
      </c>
      <c r="F4" s="159">
        <v>11480</v>
      </c>
      <c r="G4" s="40">
        <v>0.83169999999999999</v>
      </c>
      <c r="H4" s="88">
        <f t="shared" si="1"/>
        <v>9547.9159999999993</v>
      </c>
      <c r="I4" s="151">
        <v>388</v>
      </c>
      <c r="J4" s="28">
        <v>6438</v>
      </c>
      <c r="K4" s="89"/>
      <c r="L4" s="152">
        <v>0.42013888888888901</v>
      </c>
      <c r="M4" s="153" t="s">
        <v>48</v>
      </c>
      <c r="N4" s="154">
        <f>SUM(O3)</f>
        <v>7622620</v>
      </c>
      <c r="O4" s="155">
        <v>7622780</v>
      </c>
      <c r="P4" s="154">
        <f t="shared" si="2"/>
        <v>160</v>
      </c>
      <c r="Q4" s="156">
        <v>0.8367</v>
      </c>
      <c r="R4" s="157">
        <f t="shared" si="3"/>
        <v>133.87200000000001</v>
      </c>
      <c r="S4" s="158" t="s">
        <v>65</v>
      </c>
    </row>
    <row r="5" spans="1:22" ht="16" x14ac:dyDescent="0.2">
      <c r="A5" s="84">
        <v>0.44444444444444398</v>
      </c>
      <c r="B5" s="134" t="s">
        <v>66</v>
      </c>
      <c r="C5" s="92">
        <f t="shared" si="4"/>
        <v>49472990</v>
      </c>
      <c r="D5" s="70">
        <v>49483930</v>
      </c>
      <c r="E5" s="86">
        <f t="shared" si="0"/>
        <v>10940</v>
      </c>
      <c r="F5" s="159">
        <v>10950</v>
      </c>
      <c r="G5" s="40">
        <v>0.83309999999999995</v>
      </c>
      <c r="H5" s="88">
        <f t="shared" si="1"/>
        <v>9122.4449999999997</v>
      </c>
      <c r="I5" s="160">
        <v>388</v>
      </c>
      <c r="J5" s="28">
        <v>6438</v>
      </c>
      <c r="K5" s="89"/>
      <c r="L5" s="152">
        <v>0.48611111111111099</v>
      </c>
      <c r="M5" s="153" t="s">
        <v>48</v>
      </c>
      <c r="N5" s="154">
        <f>SUM(O4)</f>
        <v>7622780</v>
      </c>
      <c r="O5" s="155">
        <v>7622920</v>
      </c>
      <c r="P5" s="154">
        <f t="shared" si="2"/>
        <v>140</v>
      </c>
      <c r="Q5" s="156">
        <v>0.8367</v>
      </c>
      <c r="R5" s="157">
        <f t="shared" si="3"/>
        <v>117.13800000000001</v>
      </c>
      <c r="S5" s="158" t="s">
        <v>64</v>
      </c>
    </row>
    <row r="6" spans="1:22" ht="16" x14ac:dyDescent="0.2">
      <c r="A6" s="84">
        <v>0.46875</v>
      </c>
      <c r="B6" s="85" t="s">
        <v>66</v>
      </c>
      <c r="C6" s="92">
        <f t="shared" si="4"/>
        <v>49483930</v>
      </c>
      <c r="D6" s="70">
        <v>49493640</v>
      </c>
      <c r="E6" s="86">
        <f t="shared" si="0"/>
        <v>9710</v>
      </c>
      <c r="F6" s="87">
        <f>SUM(D6-C6)</f>
        <v>9710</v>
      </c>
      <c r="G6" s="40">
        <v>0.83309999999999995</v>
      </c>
      <c r="H6" s="88">
        <f t="shared" si="1"/>
        <v>8089.4009999999998</v>
      </c>
      <c r="I6" s="160">
        <v>248</v>
      </c>
      <c r="J6" s="28">
        <v>6441</v>
      </c>
      <c r="K6" s="89"/>
      <c r="L6" s="152">
        <v>0.84375</v>
      </c>
      <c r="M6" s="153" t="s">
        <v>66</v>
      </c>
      <c r="N6" s="154">
        <f>SUM(O5)</f>
        <v>7622920</v>
      </c>
      <c r="O6" s="155">
        <v>7623040</v>
      </c>
      <c r="P6" s="154">
        <f t="shared" si="2"/>
        <v>120</v>
      </c>
      <c r="Q6" s="163">
        <v>0.83309999999999995</v>
      </c>
      <c r="R6" s="157">
        <f t="shared" si="3"/>
        <v>99.971999999999994</v>
      </c>
      <c r="S6" s="158" t="s">
        <v>45</v>
      </c>
    </row>
    <row r="7" spans="1:22" ht="16" x14ac:dyDescent="0.2">
      <c r="A7" s="84">
        <v>0.48958333333333298</v>
      </c>
      <c r="B7" s="85" t="s">
        <v>66</v>
      </c>
      <c r="C7" s="92">
        <f t="shared" si="4"/>
        <v>49493640</v>
      </c>
      <c r="D7" s="70">
        <v>49494430</v>
      </c>
      <c r="E7" s="86">
        <f t="shared" si="0"/>
        <v>790</v>
      </c>
      <c r="F7" s="87">
        <f>SUM(D7-C7)</f>
        <v>790</v>
      </c>
      <c r="G7" s="40">
        <v>0.83309999999999995</v>
      </c>
      <c r="H7" s="88">
        <f t="shared" si="1"/>
        <v>658.149</v>
      </c>
      <c r="I7" s="160">
        <v>237</v>
      </c>
      <c r="J7" s="28">
        <v>6442</v>
      </c>
      <c r="K7" s="89"/>
      <c r="L7" s="166">
        <v>0.875</v>
      </c>
      <c r="M7" s="99" t="s">
        <v>54</v>
      </c>
      <c r="N7" s="94">
        <f>SUM(O6)</f>
        <v>7623040</v>
      </c>
      <c r="O7" s="167">
        <v>7623080</v>
      </c>
      <c r="P7" s="94">
        <f t="shared" si="2"/>
        <v>40</v>
      </c>
      <c r="Q7" s="194">
        <v>0.82699999999999996</v>
      </c>
      <c r="R7" s="96">
        <f t="shared" si="3"/>
        <v>33.08</v>
      </c>
      <c r="S7" s="97" t="s">
        <v>94</v>
      </c>
    </row>
    <row r="8" spans="1:22" ht="16" x14ac:dyDescent="0.2">
      <c r="A8" s="84">
        <v>0.66319444444444398</v>
      </c>
      <c r="B8" s="85" t="s">
        <v>66</v>
      </c>
      <c r="C8" s="92">
        <f t="shared" si="4"/>
        <v>49494430</v>
      </c>
      <c r="D8" s="70">
        <v>49516850</v>
      </c>
      <c r="E8" s="86">
        <f t="shared" si="0"/>
        <v>22420</v>
      </c>
      <c r="F8" s="159">
        <v>22430</v>
      </c>
      <c r="G8" s="40">
        <v>0.83309999999999995</v>
      </c>
      <c r="H8" s="88">
        <f t="shared" si="1"/>
        <v>18686.432999999997</v>
      </c>
      <c r="I8" s="160">
        <v>388</v>
      </c>
      <c r="J8" s="28">
        <v>6448</v>
      </c>
      <c r="K8" s="89"/>
      <c r="L8" s="90">
        <v>0.98611111111111105</v>
      </c>
      <c r="M8" s="91" t="s">
        <v>66</v>
      </c>
      <c r="N8" s="94">
        <f>SUM(O7)</f>
        <v>7623080</v>
      </c>
      <c r="O8" s="167">
        <v>7623150</v>
      </c>
      <c r="P8" s="94">
        <f t="shared" si="2"/>
        <v>70</v>
      </c>
      <c r="Q8" s="95">
        <v>0.82799999999999996</v>
      </c>
      <c r="R8" s="96">
        <f t="shared" si="3"/>
        <v>57.959999999999994</v>
      </c>
      <c r="S8" s="1" t="s">
        <v>42</v>
      </c>
    </row>
    <row r="9" spans="1:22" ht="16" x14ac:dyDescent="0.2">
      <c r="A9" s="84">
        <v>0.72916666666666696</v>
      </c>
      <c r="B9" s="85" t="s">
        <v>66</v>
      </c>
      <c r="C9" s="92">
        <f t="shared" si="4"/>
        <v>49516850</v>
      </c>
      <c r="D9" s="70">
        <v>49539270</v>
      </c>
      <c r="E9" s="86">
        <f t="shared" si="0"/>
        <v>22420</v>
      </c>
      <c r="F9" s="159">
        <v>22430</v>
      </c>
      <c r="G9" s="40">
        <v>0.83309999999999995</v>
      </c>
      <c r="H9" s="88">
        <f t="shared" si="1"/>
        <v>18686.432999999997</v>
      </c>
      <c r="I9" s="160">
        <v>388</v>
      </c>
      <c r="J9" s="28">
        <v>6449</v>
      </c>
      <c r="K9" s="89"/>
      <c r="L9" s="90"/>
      <c r="M9" s="91"/>
      <c r="N9" s="94">
        <v>0</v>
      </c>
      <c r="O9" s="167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0.75</v>
      </c>
      <c r="B10" s="120" t="s">
        <v>39</v>
      </c>
      <c r="C10" s="92">
        <f t="shared" si="4"/>
        <v>49539270</v>
      </c>
      <c r="D10" s="70">
        <v>49556290</v>
      </c>
      <c r="E10" s="86">
        <f t="shared" si="0"/>
        <v>17020</v>
      </c>
      <c r="F10" s="124">
        <v>17019</v>
      </c>
      <c r="G10" s="40">
        <v>0.8296</v>
      </c>
      <c r="H10" s="88">
        <f t="shared" si="1"/>
        <v>14118.9624</v>
      </c>
      <c r="I10" s="162">
        <v>251</v>
      </c>
      <c r="J10" s="28">
        <v>6450</v>
      </c>
      <c r="K10" s="89"/>
      <c r="L10" s="90"/>
      <c r="M10" s="91"/>
      <c r="N10" s="94">
        <f t="shared" ref="N10:N16" si="5">SUM(O9)</f>
        <v>0</v>
      </c>
      <c r="O10" s="167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0.79166666666666696</v>
      </c>
      <c r="B11" s="85" t="s">
        <v>39</v>
      </c>
      <c r="C11" s="92">
        <f t="shared" si="4"/>
        <v>49556290</v>
      </c>
      <c r="D11" s="70">
        <v>49578710</v>
      </c>
      <c r="E11" s="86">
        <f t="shared" si="0"/>
        <v>22420</v>
      </c>
      <c r="F11" s="159">
        <v>22430</v>
      </c>
      <c r="G11" s="40">
        <v>0.8296</v>
      </c>
      <c r="H11" s="88">
        <f t="shared" si="1"/>
        <v>18607.928</v>
      </c>
      <c r="I11" s="162">
        <v>388</v>
      </c>
      <c r="J11" s="28">
        <v>6451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0.89236111111111105</v>
      </c>
      <c r="B12" s="85" t="s">
        <v>39</v>
      </c>
      <c r="C12" s="92">
        <f t="shared" si="4"/>
        <v>49578710</v>
      </c>
      <c r="D12" s="70">
        <v>49595740</v>
      </c>
      <c r="E12" s="86">
        <f t="shared" si="0"/>
        <v>17030</v>
      </c>
      <c r="F12" s="124">
        <v>17019</v>
      </c>
      <c r="G12" s="40">
        <v>0.8296</v>
      </c>
      <c r="H12" s="88">
        <f t="shared" si="1"/>
        <v>14118.9624</v>
      </c>
      <c r="I12" s="162">
        <v>251</v>
      </c>
      <c r="J12" s="28">
        <v>6453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0.90277777777777801</v>
      </c>
      <c r="B13" s="85" t="s">
        <v>39</v>
      </c>
      <c r="C13" s="92">
        <f t="shared" si="4"/>
        <v>49595740</v>
      </c>
      <c r="D13" s="70">
        <v>49604380</v>
      </c>
      <c r="E13" s="86">
        <f t="shared" si="0"/>
        <v>8640</v>
      </c>
      <c r="F13" s="87">
        <f>SUM(D13-C13)</f>
        <v>8640</v>
      </c>
      <c r="G13" s="40">
        <v>0.83</v>
      </c>
      <c r="H13" s="88">
        <f t="shared" si="1"/>
        <v>7171.2</v>
      </c>
      <c r="I13" s="162">
        <v>237</v>
      </c>
      <c r="J13" s="28">
        <v>6454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7.2916666666666699E-2</v>
      </c>
      <c r="B14" s="139" t="s">
        <v>46</v>
      </c>
      <c r="C14" s="92">
        <f t="shared" si="4"/>
        <v>49604380</v>
      </c>
      <c r="D14" s="70">
        <v>49626810</v>
      </c>
      <c r="E14" s="86">
        <f t="shared" si="0"/>
        <v>22430</v>
      </c>
      <c r="F14" s="159">
        <v>22430</v>
      </c>
      <c r="G14" s="40">
        <v>0.83150000000000002</v>
      </c>
      <c r="H14" s="88">
        <v>18561</v>
      </c>
      <c r="I14" s="172">
        <v>388</v>
      </c>
      <c r="J14" s="28">
        <v>6460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0.13541666666666699</v>
      </c>
      <c r="B15" s="85" t="s">
        <v>46</v>
      </c>
      <c r="C15" s="92">
        <f t="shared" si="4"/>
        <v>49626810</v>
      </c>
      <c r="D15" s="70">
        <v>49638290</v>
      </c>
      <c r="E15" s="86">
        <f t="shared" si="0"/>
        <v>11480</v>
      </c>
      <c r="F15" s="159">
        <v>11480</v>
      </c>
      <c r="G15" s="40">
        <v>0.83150000000000002</v>
      </c>
      <c r="H15" s="88">
        <f t="shared" ref="H15:H32" si="6">SUM(G15*F15)</f>
        <v>9545.6200000000008</v>
      </c>
      <c r="I15" s="172">
        <v>388</v>
      </c>
      <c r="J15" s="28">
        <v>6462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0.13541666666666699</v>
      </c>
      <c r="B16" s="85" t="s">
        <v>46</v>
      </c>
      <c r="C16" s="92">
        <f t="shared" si="4"/>
        <v>49638290</v>
      </c>
      <c r="D16" s="70">
        <v>49649240</v>
      </c>
      <c r="E16" s="86">
        <f t="shared" si="0"/>
        <v>10950</v>
      </c>
      <c r="F16" s="159">
        <v>10950</v>
      </c>
      <c r="G16" s="40">
        <v>0.83150000000000002</v>
      </c>
      <c r="H16" s="88">
        <f t="shared" si="6"/>
        <v>9104.9250000000011</v>
      </c>
      <c r="I16" s="172">
        <v>388</v>
      </c>
      <c r="J16" s="28">
        <v>6463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0.21875</v>
      </c>
      <c r="B17" s="85" t="s">
        <v>46</v>
      </c>
      <c r="C17" s="92">
        <f t="shared" si="4"/>
        <v>49649240</v>
      </c>
      <c r="D17" s="70">
        <v>49666250</v>
      </c>
      <c r="E17" s="86">
        <f t="shared" si="0"/>
        <v>17010</v>
      </c>
      <c r="F17" s="124">
        <v>17019</v>
      </c>
      <c r="G17" s="40">
        <v>0.83150000000000002</v>
      </c>
      <c r="H17" s="88">
        <f t="shared" si="6"/>
        <v>14151.298500000001</v>
      </c>
      <c r="I17" s="172">
        <v>251</v>
      </c>
      <c r="J17" s="28">
        <v>6465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0.23611111111111099</v>
      </c>
      <c r="B18" s="182" t="s">
        <v>48</v>
      </c>
      <c r="C18" s="92">
        <f t="shared" si="4"/>
        <v>49666250</v>
      </c>
      <c r="D18" s="70">
        <v>49688670</v>
      </c>
      <c r="E18" s="86">
        <f t="shared" si="0"/>
        <v>22420</v>
      </c>
      <c r="F18" s="159">
        <v>22430</v>
      </c>
      <c r="G18" s="40">
        <v>0.83250000000000002</v>
      </c>
      <c r="H18" s="88">
        <f t="shared" si="6"/>
        <v>18672.975000000002</v>
      </c>
      <c r="I18" s="183">
        <v>388</v>
      </c>
      <c r="J18" s="28">
        <v>6466</v>
      </c>
      <c r="K18" s="89"/>
      <c r="L18" s="90"/>
      <c r="M18" s="99"/>
      <c r="N18" s="125"/>
      <c r="O18" s="93"/>
      <c r="P18" s="103">
        <f t="shared" ref="P18:P31" si="7">SUM(O18-N18)</f>
        <v>0</v>
      </c>
      <c r="Q18" s="40"/>
      <c r="R18" s="88">
        <f t="shared" ref="R18:R31" si="8">SUM(Q18*P18)</f>
        <v>0</v>
      </c>
      <c r="S18" s="97"/>
      <c r="T18" t="s">
        <v>41</v>
      </c>
    </row>
    <row r="19" spans="1:20" ht="16" x14ac:dyDescent="0.2">
      <c r="A19" s="84">
        <v>0.29513888888888901</v>
      </c>
      <c r="B19" s="85" t="s">
        <v>48</v>
      </c>
      <c r="C19" s="92">
        <f t="shared" si="4"/>
        <v>49688670</v>
      </c>
      <c r="D19" s="70">
        <v>49711090</v>
      </c>
      <c r="E19" s="86">
        <f t="shared" si="0"/>
        <v>22420</v>
      </c>
      <c r="F19" s="159">
        <v>22430</v>
      </c>
      <c r="G19" s="40">
        <v>0.83250000000000002</v>
      </c>
      <c r="H19" s="88">
        <f t="shared" si="6"/>
        <v>18672.975000000002</v>
      </c>
      <c r="I19" s="183">
        <v>388</v>
      </c>
      <c r="J19" s="28">
        <v>6468</v>
      </c>
      <c r="K19" s="89"/>
      <c r="L19" s="90"/>
      <c r="M19" s="99"/>
      <c r="N19" s="92">
        <f t="shared" ref="N19:N31" si="9">SUM(O18)</f>
        <v>0</v>
      </c>
      <c r="O19" s="93"/>
      <c r="P19" s="103">
        <f t="shared" si="7"/>
        <v>0</v>
      </c>
      <c r="Q19" s="40"/>
      <c r="R19" s="88">
        <f t="shared" si="8"/>
        <v>0</v>
      </c>
      <c r="S19" s="97"/>
    </row>
    <row r="20" spans="1:20" ht="16" x14ac:dyDescent="0.2">
      <c r="A20" s="84">
        <v>0.34375</v>
      </c>
      <c r="B20" s="85" t="s">
        <v>48</v>
      </c>
      <c r="C20" s="92">
        <f t="shared" si="4"/>
        <v>49711090</v>
      </c>
      <c r="D20" s="70">
        <v>49721080</v>
      </c>
      <c r="E20" s="86">
        <f t="shared" si="0"/>
        <v>9990</v>
      </c>
      <c r="F20" s="124">
        <v>9986</v>
      </c>
      <c r="G20" s="40">
        <v>0.83250000000000002</v>
      </c>
      <c r="H20" s="88">
        <f t="shared" si="6"/>
        <v>8313.3449999999993</v>
      </c>
      <c r="I20" s="183">
        <v>251</v>
      </c>
      <c r="J20" s="28">
        <v>6470</v>
      </c>
      <c r="K20" s="89"/>
      <c r="L20" s="90"/>
      <c r="M20" s="99"/>
      <c r="N20" s="92">
        <f t="shared" si="9"/>
        <v>0</v>
      </c>
      <c r="O20" s="93"/>
      <c r="P20" s="103">
        <f t="shared" si="7"/>
        <v>0</v>
      </c>
      <c r="Q20" s="40"/>
      <c r="R20" s="88">
        <f t="shared" si="8"/>
        <v>0</v>
      </c>
      <c r="S20" s="97"/>
    </row>
    <row r="21" spans="1:20" ht="16" x14ac:dyDescent="0.2">
      <c r="A21" s="84">
        <v>0.34375</v>
      </c>
      <c r="B21" s="85" t="s">
        <v>54</v>
      </c>
      <c r="C21" s="92">
        <f t="shared" si="4"/>
        <v>49721080</v>
      </c>
      <c r="D21" s="70">
        <v>49728120</v>
      </c>
      <c r="E21" s="86">
        <f t="shared" si="0"/>
        <v>7040</v>
      </c>
      <c r="F21" s="124">
        <v>7033</v>
      </c>
      <c r="G21" s="40">
        <v>0.82850000000000001</v>
      </c>
      <c r="H21" s="88">
        <f t="shared" si="6"/>
        <v>5826.8405000000002</v>
      </c>
      <c r="I21" s="151">
        <v>251</v>
      </c>
      <c r="J21" s="28">
        <v>6470</v>
      </c>
      <c r="K21" s="89"/>
      <c r="L21" s="90"/>
      <c r="M21" s="99"/>
      <c r="N21" s="92">
        <f t="shared" si="9"/>
        <v>0</v>
      </c>
      <c r="O21" s="93"/>
      <c r="P21" s="103">
        <f t="shared" si="7"/>
        <v>0</v>
      </c>
      <c r="Q21" s="40"/>
      <c r="R21" s="88">
        <f t="shared" si="8"/>
        <v>0</v>
      </c>
      <c r="S21" s="97"/>
    </row>
    <row r="22" spans="1:20" ht="16" x14ac:dyDescent="0.2">
      <c r="A22" s="84">
        <v>0.35763888888888901</v>
      </c>
      <c r="B22" s="85" t="s">
        <v>54</v>
      </c>
      <c r="C22" s="92">
        <f t="shared" si="4"/>
        <v>49728120</v>
      </c>
      <c r="D22" s="70">
        <v>49750540</v>
      </c>
      <c r="E22" s="86">
        <f t="shared" si="0"/>
        <v>22420</v>
      </c>
      <c r="F22" s="159">
        <v>22430</v>
      </c>
      <c r="G22" s="40">
        <v>0.82850000000000001</v>
      </c>
      <c r="H22" s="88">
        <f t="shared" si="6"/>
        <v>18583.255000000001</v>
      </c>
      <c r="I22" s="151">
        <v>388</v>
      </c>
      <c r="J22" s="28">
        <v>6472</v>
      </c>
      <c r="K22" s="89"/>
      <c r="L22" s="90"/>
      <c r="M22" s="99"/>
      <c r="N22" s="92">
        <f t="shared" si="9"/>
        <v>0</v>
      </c>
      <c r="O22" s="93"/>
      <c r="P22" s="103">
        <f t="shared" si="7"/>
        <v>0</v>
      </c>
      <c r="Q22" s="40"/>
      <c r="R22" s="88">
        <f t="shared" si="8"/>
        <v>0</v>
      </c>
      <c r="S22" s="97"/>
    </row>
    <row r="23" spans="1:20" x14ac:dyDescent="0.2">
      <c r="A23" s="84"/>
      <c r="B23" s="85"/>
      <c r="C23" s="92"/>
      <c r="D23" s="70"/>
      <c r="E23" s="86">
        <f t="shared" si="0"/>
        <v>0</v>
      </c>
      <c r="F23" s="103">
        <f t="shared" ref="F23:F32" si="10">SUM(D23-C23)</f>
        <v>0</v>
      </c>
      <c r="G23" s="40"/>
      <c r="H23" s="88">
        <f t="shared" si="6"/>
        <v>0</v>
      </c>
      <c r="I23" s="1"/>
      <c r="J23" s="28"/>
      <c r="K23" s="89"/>
      <c r="L23" s="90"/>
      <c r="M23" s="99"/>
      <c r="N23" s="92">
        <f t="shared" si="9"/>
        <v>0</v>
      </c>
      <c r="O23" s="93"/>
      <c r="P23" s="103">
        <f t="shared" si="7"/>
        <v>0</v>
      </c>
      <c r="Q23" s="40"/>
      <c r="R23" s="88">
        <f t="shared" si="8"/>
        <v>0</v>
      </c>
      <c r="S23" s="97"/>
    </row>
    <row r="24" spans="1:20" hidden="1" x14ac:dyDescent="0.2">
      <c r="A24" s="84"/>
      <c r="B24" s="85"/>
      <c r="C24" s="92">
        <f t="shared" ref="C24:C33" si="11">SUM(D23)</f>
        <v>0</v>
      </c>
      <c r="D24" s="70"/>
      <c r="E24" s="86">
        <f t="shared" si="0"/>
        <v>0</v>
      </c>
      <c r="F24" s="103">
        <f t="shared" si="10"/>
        <v>0</v>
      </c>
      <c r="G24" s="40"/>
      <c r="H24" s="88">
        <f t="shared" si="6"/>
        <v>0</v>
      </c>
      <c r="I24" s="1"/>
      <c r="J24" s="28"/>
      <c r="K24" s="89"/>
      <c r="L24" s="90"/>
      <c r="M24" s="99"/>
      <c r="N24" s="92">
        <f t="shared" si="9"/>
        <v>0</v>
      </c>
      <c r="O24" s="93"/>
      <c r="P24" s="103">
        <f t="shared" si="7"/>
        <v>0</v>
      </c>
      <c r="Q24" s="40"/>
      <c r="R24" s="88">
        <f t="shared" si="8"/>
        <v>0</v>
      </c>
      <c r="S24" s="97"/>
    </row>
    <row r="25" spans="1:20" hidden="1" x14ac:dyDescent="0.2">
      <c r="A25" s="84"/>
      <c r="B25" s="85"/>
      <c r="C25" s="92">
        <f t="shared" si="11"/>
        <v>0</v>
      </c>
      <c r="D25" s="70"/>
      <c r="E25" s="86">
        <f t="shared" si="0"/>
        <v>0</v>
      </c>
      <c r="F25" s="103">
        <f t="shared" si="10"/>
        <v>0</v>
      </c>
      <c r="G25" s="40"/>
      <c r="H25" s="88">
        <f t="shared" si="6"/>
        <v>0</v>
      </c>
      <c r="I25" s="1"/>
      <c r="J25" s="28"/>
      <c r="K25" s="89"/>
      <c r="L25" s="90"/>
      <c r="M25" s="91"/>
      <c r="N25" s="92">
        <f t="shared" si="9"/>
        <v>0</v>
      </c>
      <c r="O25" s="93"/>
      <c r="P25" s="103">
        <f t="shared" si="7"/>
        <v>0</v>
      </c>
      <c r="Q25" s="95"/>
      <c r="R25" s="88">
        <f t="shared" si="8"/>
        <v>0</v>
      </c>
      <c r="S25" s="1"/>
    </row>
    <row r="26" spans="1:20" hidden="1" x14ac:dyDescent="0.2">
      <c r="A26" s="84"/>
      <c r="B26" s="85"/>
      <c r="C26" s="92">
        <f t="shared" si="11"/>
        <v>0</v>
      </c>
      <c r="D26" s="70"/>
      <c r="E26" s="86">
        <f t="shared" si="0"/>
        <v>0</v>
      </c>
      <c r="F26" s="103">
        <f t="shared" si="10"/>
        <v>0</v>
      </c>
      <c r="G26" s="40"/>
      <c r="H26" s="88">
        <f t="shared" si="6"/>
        <v>0</v>
      </c>
      <c r="I26" s="1"/>
      <c r="J26" s="28"/>
      <c r="K26" s="89"/>
      <c r="L26" s="90"/>
      <c r="M26" s="91"/>
      <c r="N26" s="92">
        <f t="shared" si="9"/>
        <v>0</v>
      </c>
      <c r="O26" s="93"/>
      <c r="P26" s="103">
        <f t="shared" si="7"/>
        <v>0</v>
      </c>
      <c r="Q26" s="95"/>
      <c r="R26" s="88">
        <f t="shared" si="8"/>
        <v>0</v>
      </c>
      <c r="S26" s="97"/>
    </row>
    <row r="27" spans="1:20" hidden="1" x14ac:dyDescent="0.2">
      <c r="A27" s="84"/>
      <c r="B27" s="85"/>
      <c r="C27" s="92">
        <f t="shared" si="11"/>
        <v>0</v>
      </c>
      <c r="D27" s="70"/>
      <c r="E27" s="86">
        <f t="shared" si="0"/>
        <v>0</v>
      </c>
      <c r="F27" s="103">
        <f t="shared" si="10"/>
        <v>0</v>
      </c>
      <c r="G27" s="40"/>
      <c r="H27" s="88">
        <f t="shared" si="6"/>
        <v>0</v>
      </c>
      <c r="I27" s="1"/>
      <c r="J27" s="28"/>
      <c r="K27" s="89"/>
      <c r="L27" s="90"/>
      <c r="M27" s="91"/>
      <c r="N27" s="92">
        <f t="shared" si="9"/>
        <v>0</v>
      </c>
      <c r="O27" s="93"/>
      <c r="P27" s="103">
        <f t="shared" si="7"/>
        <v>0</v>
      </c>
      <c r="Q27" s="95"/>
      <c r="R27" s="88">
        <f t="shared" si="8"/>
        <v>0</v>
      </c>
      <c r="S27" s="1"/>
    </row>
    <row r="28" spans="1:20" hidden="1" x14ac:dyDescent="0.2">
      <c r="A28" s="84"/>
      <c r="B28" s="85"/>
      <c r="C28" s="92">
        <f t="shared" si="11"/>
        <v>0</v>
      </c>
      <c r="D28" s="70"/>
      <c r="E28" s="86">
        <f t="shared" si="0"/>
        <v>0</v>
      </c>
      <c r="F28" s="103">
        <f t="shared" si="10"/>
        <v>0</v>
      </c>
      <c r="G28" s="40"/>
      <c r="H28" s="88">
        <f t="shared" si="6"/>
        <v>0</v>
      </c>
      <c r="I28" s="1"/>
      <c r="J28" s="28"/>
      <c r="K28" s="89"/>
      <c r="L28" s="90"/>
      <c r="M28" s="91"/>
      <c r="N28" s="92">
        <f t="shared" si="9"/>
        <v>0</v>
      </c>
      <c r="O28" s="93"/>
      <c r="P28" s="103">
        <f t="shared" si="7"/>
        <v>0</v>
      </c>
      <c r="Q28" s="95"/>
      <c r="R28" s="88">
        <f t="shared" si="8"/>
        <v>0</v>
      </c>
      <c r="S28" s="1"/>
    </row>
    <row r="29" spans="1:20" hidden="1" x14ac:dyDescent="0.2">
      <c r="A29" s="84"/>
      <c r="B29" s="85"/>
      <c r="C29" s="92">
        <f t="shared" si="11"/>
        <v>0</v>
      </c>
      <c r="D29" s="70"/>
      <c r="E29" s="86">
        <f t="shared" si="0"/>
        <v>0</v>
      </c>
      <c r="F29" s="103">
        <f t="shared" si="10"/>
        <v>0</v>
      </c>
      <c r="G29" s="40"/>
      <c r="H29" s="88">
        <f t="shared" si="6"/>
        <v>0</v>
      </c>
      <c r="I29" s="1"/>
      <c r="J29" s="28"/>
      <c r="K29" s="89"/>
      <c r="L29" s="90"/>
      <c r="M29" s="91"/>
      <c r="N29" s="92">
        <f t="shared" si="9"/>
        <v>0</v>
      </c>
      <c r="O29" s="93"/>
      <c r="P29" s="103">
        <f t="shared" si="7"/>
        <v>0</v>
      </c>
      <c r="Q29" s="95"/>
      <c r="R29" s="88">
        <f t="shared" si="8"/>
        <v>0</v>
      </c>
      <c r="S29" s="1"/>
    </row>
    <row r="30" spans="1:20" hidden="1" x14ac:dyDescent="0.2">
      <c r="A30" s="84"/>
      <c r="B30" s="85"/>
      <c r="C30" s="92">
        <f t="shared" si="11"/>
        <v>0</v>
      </c>
      <c r="D30" s="70"/>
      <c r="E30" s="86">
        <f t="shared" si="0"/>
        <v>0</v>
      </c>
      <c r="F30" s="103">
        <f t="shared" si="10"/>
        <v>0</v>
      </c>
      <c r="G30" s="40"/>
      <c r="H30" s="88">
        <f t="shared" si="6"/>
        <v>0</v>
      </c>
      <c r="I30" s="1"/>
      <c r="J30" s="28"/>
      <c r="K30" s="105"/>
      <c r="L30" s="90"/>
      <c r="M30" s="91"/>
      <c r="N30" s="92">
        <f t="shared" si="9"/>
        <v>0</v>
      </c>
      <c r="O30" s="93"/>
      <c r="P30" s="103">
        <f t="shared" si="7"/>
        <v>0</v>
      </c>
      <c r="Q30" s="95"/>
      <c r="R30" s="88">
        <f t="shared" si="8"/>
        <v>0</v>
      </c>
      <c r="S30" s="1"/>
    </row>
    <row r="31" spans="1:20" hidden="1" x14ac:dyDescent="0.2">
      <c r="A31" s="84"/>
      <c r="B31" s="85"/>
      <c r="C31" s="92">
        <f t="shared" si="11"/>
        <v>0</v>
      </c>
      <c r="D31" s="70"/>
      <c r="E31" s="86">
        <f t="shared" si="0"/>
        <v>0</v>
      </c>
      <c r="F31" s="103">
        <f t="shared" si="10"/>
        <v>0</v>
      </c>
      <c r="G31" s="40"/>
      <c r="H31" s="88">
        <f t="shared" si="6"/>
        <v>0</v>
      </c>
      <c r="I31" s="1"/>
      <c r="J31" s="28"/>
      <c r="K31" s="89"/>
      <c r="L31" s="90"/>
      <c r="M31" s="91"/>
      <c r="N31" s="92">
        <f t="shared" si="9"/>
        <v>0</v>
      </c>
      <c r="O31" s="93"/>
      <c r="P31" s="103">
        <f t="shared" si="7"/>
        <v>0</v>
      </c>
      <c r="Q31" s="95"/>
      <c r="R31" s="88">
        <f t="shared" si="8"/>
        <v>0</v>
      </c>
      <c r="S31" s="1"/>
    </row>
    <row r="32" spans="1:20" x14ac:dyDescent="0.2">
      <c r="A32" s="84"/>
      <c r="B32" s="85"/>
      <c r="C32" s="92">
        <f t="shared" si="11"/>
        <v>0</v>
      </c>
      <c r="D32" s="70"/>
      <c r="E32" s="86">
        <f t="shared" si="0"/>
        <v>0</v>
      </c>
      <c r="F32" s="126">
        <f t="shared" si="10"/>
        <v>0</v>
      </c>
      <c r="G32" s="40"/>
      <c r="H32" s="127">
        <f t="shared" si="6"/>
        <v>0</v>
      </c>
      <c r="I32" s="1"/>
      <c r="J32" s="28"/>
      <c r="K32" s="89"/>
      <c r="L32" s="107"/>
      <c r="M32" s="108"/>
      <c r="N32" s="108"/>
      <c r="O32" s="109"/>
      <c r="P32" s="110"/>
      <c r="Q32" s="111"/>
      <c r="R32" s="112"/>
      <c r="S32" s="112"/>
    </row>
    <row r="33" spans="1:19" ht="16.5" customHeight="1" x14ac:dyDescent="0.2">
      <c r="A33" s="84"/>
      <c r="B33" s="85"/>
      <c r="C33" s="92">
        <f t="shared" si="11"/>
        <v>0</v>
      </c>
      <c r="D33" s="70"/>
      <c r="E33" s="104">
        <f t="shared" si="0"/>
        <v>0</v>
      </c>
      <c r="F33" s="128">
        <f>SUM(F3:F32)</f>
        <v>299536</v>
      </c>
      <c r="G33" s="129"/>
      <c r="H33" s="130">
        <f>SUM(H3:H32)</f>
        <v>248931.32879999999</v>
      </c>
      <c r="I33" s="131"/>
      <c r="J33" s="28"/>
      <c r="K33" s="89"/>
      <c r="L33" s="113"/>
      <c r="M33" s="113"/>
      <c r="N33" s="113"/>
      <c r="O33" s="113"/>
      <c r="P33" s="113"/>
      <c r="Q33" s="113"/>
      <c r="R33" s="113"/>
      <c r="S33" s="113"/>
    </row>
    <row r="34" spans="1:19" x14ac:dyDescent="0.2">
      <c r="A34" s="83"/>
      <c r="B34" s="76" t="s">
        <v>49</v>
      </c>
      <c r="C34" s="77"/>
      <c r="D34" s="77"/>
      <c r="E34" s="77"/>
      <c r="F34" s="132"/>
      <c r="G34" s="78"/>
      <c r="H34" s="133"/>
      <c r="I34" s="80"/>
      <c r="J34" s="80"/>
      <c r="L34" s="113"/>
      <c r="M34" s="113"/>
      <c r="N34" s="113"/>
      <c r="O34" s="113"/>
      <c r="P34" s="113"/>
      <c r="Q34" s="113"/>
      <c r="R34" s="113"/>
      <c r="S34" s="113"/>
    </row>
    <row r="35" spans="1:19" ht="16" x14ac:dyDescent="0.2">
      <c r="A35" s="84">
        <v>0.41319444444444398</v>
      </c>
      <c r="B35" s="173" t="s">
        <v>62</v>
      </c>
      <c r="C35" s="92">
        <v>2039390</v>
      </c>
      <c r="D35" s="102">
        <v>2045560</v>
      </c>
      <c r="E35" s="86">
        <f t="shared" ref="E35:E60" si="12">SUM(D35-C35)</f>
        <v>6170</v>
      </c>
      <c r="F35" s="103">
        <f>SUM(D35-C35)</f>
        <v>6170</v>
      </c>
      <c r="G35" s="40">
        <v>0.82450000000000001</v>
      </c>
      <c r="H35" s="88">
        <f t="shared" ref="H35:H59" si="13">SUM(G35*F35)</f>
        <v>5087.165</v>
      </c>
      <c r="I35" s="195">
        <v>119</v>
      </c>
      <c r="J35" s="177">
        <v>6433</v>
      </c>
      <c r="K35" s="115" t="s">
        <v>91</v>
      </c>
      <c r="L35" s="113"/>
      <c r="M35" s="113"/>
      <c r="N35" s="113"/>
      <c r="O35" s="113"/>
      <c r="P35" s="113"/>
      <c r="Q35" s="113"/>
      <c r="R35" s="113"/>
      <c r="S35" s="113"/>
    </row>
    <row r="36" spans="1:19" ht="14.25" customHeight="1" x14ac:dyDescent="0.2">
      <c r="A36" s="84">
        <v>0.42708333333333298</v>
      </c>
      <c r="B36" s="139" t="s">
        <v>61</v>
      </c>
      <c r="C36" s="92">
        <f t="shared" ref="C36:C54" si="14">SUM(D35)</f>
        <v>2045560</v>
      </c>
      <c r="D36" s="102">
        <v>2051630</v>
      </c>
      <c r="E36" s="86">
        <f t="shared" si="12"/>
        <v>6070</v>
      </c>
      <c r="F36" s="103">
        <f>SUM(D36-C36)</f>
        <v>6070</v>
      </c>
      <c r="G36" s="40">
        <v>0.82469999999999999</v>
      </c>
      <c r="H36" s="88">
        <f t="shared" si="13"/>
        <v>5005.9290000000001</v>
      </c>
      <c r="I36" s="172">
        <v>81</v>
      </c>
      <c r="J36" s="1">
        <v>6435</v>
      </c>
      <c r="K36" s="114" t="s">
        <v>60</v>
      </c>
      <c r="L36" s="113"/>
      <c r="M36" s="113"/>
      <c r="N36" s="113"/>
      <c r="O36" s="113"/>
      <c r="P36" s="113"/>
      <c r="Q36" s="113"/>
      <c r="R36" s="113"/>
      <c r="S36" s="113"/>
    </row>
    <row r="37" spans="1:19" ht="15" customHeight="1" x14ac:dyDescent="0.2">
      <c r="A37" s="84">
        <v>0.44097222222222199</v>
      </c>
      <c r="B37" s="85" t="s">
        <v>61</v>
      </c>
      <c r="C37" s="92">
        <f t="shared" si="14"/>
        <v>2051630</v>
      </c>
      <c r="D37" s="102">
        <v>2061620</v>
      </c>
      <c r="E37" s="86">
        <f t="shared" si="12"/>
        <v>9990</v>
      </c>
      <c r="F37" s="124">
        <v>9986</v>
      </c>
      <c r="G37" s="40">
        <v>0.82469999999999999</v>
      </c>
      <c r="H37" s="88">
        <f t="shared" si="13"/>
        <v>8235.4542000000001</v>
      </c>
      <c r="I37" s="172">
        <v>251</v>
      </c>
      <c r="J37" s="1">
        <v>6436</v>
      </c>
      <c r="K37" s="114" t="s">
        <v>60</v>
      </c>
      <c r="L37" s="113"/>
      <c r="M37" s="113"/>
      <c r="N37" s="113"/>
      <c r="O37" s="113"/>
      <c r="P37" s="113"/>
      <c r="Q37" s="113"/>
      <c r="R37" s="113"/>
      <c r="S37" s="113"/>
    </row>
    <row r="38" spans="1:19" ht="16" x14ac:dyDescent="0.2">
      <c r="A38" s="84">
        <v>0.44791666666666702</v>
      </c>
      <c r="B38" s="85" t="s">
        <v>61</v>
      </c>
      <c r="C38" s="92">
        <f t="shared" si="14"/>
        <v>2061620</v>
      </c>
      <c r="D38" s="102">
        <v>2068750</v>
      </c>
      <c r="E38" s="86">
        <f t="shared" si="12"/>
        <v>7130</v>
      </c>
      <c r="F38" s="124">
        <v>7033</v>
      </c>
      <c r="G38" s="40">
        <v>0.82469999999999999</v>
      </c>
      <c r="H38" s="88">
        <f t="shared" si="13"/>
        <v>5800.1151</v>
      </c>
      <c r="I38" s="172">
        <v>251</v>
      </c>
      <c r="J38" s="1">
        <v>6437</v>
      </c>
      <c r="K38" s="114" t="s">
        <v>60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0.45833333333333298</v>
      </c>
      <c r="B39" s="85" t="s">
        <v>61</v>
      </c>
      <c r="C39" s="92">
        <f t="shared" si="14"/>
        <v>2068750</v>
      </c>
      <c r="D39" s="102">
        <v>2074980</v>
      </c>
      <c r="E39" s="86">
        <f t="shared" si="12"/>
        <v>6230</v>
      </c>
      <c r="F39" s="103">
        <f>SUM(D39-C39)</f>
        <v>6230</v>
      </c>
      <c r="G39" s="40">
        <v>0.82469999999999999</v>
      </c>
      <c r="H39" s="88">
        <f t="shared" si="13"/>
        <v>5137.8810000000003</v>
      </c>
      <c r="I39" s="172">
        <v>57</v>
      </c>
      <c r="J39" s="1">
        <v>6439</v>
      </c>
      <c r="K39" s="114" t="s">
        <v>60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0.46527777777777801</v>
      </c>
      <c r="B40" s="85" t="s">
        <v>61</v>
      </c>
      <c r="C40" s="92">
        <f t="shared" si="14"/>
        <v>2074980</v>
      </c>
      <c r="D40" s="102">
        <v>2082290</v>
      </c>
      <c r="E40" s="86">
        <f t="shared" si="12"/>
        <v>7310</v>
      </c>
      <c r="F40" s="103">
        <f>SUM(D40-C40)</f>
        <v>7310</v>
      </c>
      <c r="G40" s="40">
        <v>0.82469999999999999</v>
      </c>
      <c r="H40" s="88">
        <f t="shared" si="13"/>
        <v>6028.5569999999998</v>
      </c>
      <c r="I40" s="172">
        <v>382</v>
      </c>
      <c r="J40" s="1">
        <v>6440</v>
      </c>
      <c r="K40" s="114" t="s">
        <v>60</v>
      </c>
      <c r="L40" s="113"/>
      <c r="M40" s="113"/>
      <c r="N40" s="113"/>
      <c r="O40" s="113"/>
      <c r="P40" s="113"/>
      <c r="Q40" s="113"/>
      <c r="R40" s="113"/>
      <c r="S40" s="113"/>
    </row>
    <row r="41" spans="1:19" ht="16" x14ac:dyDescent="0.2">
      <c r="A41" s="84">
        <v>0.49652777777777801</v>
      </c>
      <c r="B41" s="85" t="s">
        <v>62</v>
      </c>
      <c r="C41" s="92">
        <f t="shared" si="14"/>
        <v>2082290</v>
      </c>
      <c r="D41" s="102">
        <v>2099400</v>
      </c>
      <c r="E41" s="86">
        <f t="shared" si="12"/>
        <v>17110</v>
      </c>
      <c r="F41" s="124">
        <v>17019</v>
      </c>
      <c r="G41" s="40">
        <v>0.82450000000000001</v>
      </c>
      <c r="H41" s="88">
        <f t="shared" si="13"/>
        <v>14032.165500000001</v>
      </c>
      <c r="I41" s="195">
        <v>251</v>
      </c>
      <c r="J41" s="177">
        <v>6443</v>
      </c>
      <c r="K41" s="115" t="s">
        <v>91</v>
      </c>
      <c r="L41" s="113"/>
      <c r="M41" s="113"/>
      <c r="N41" s="89"/>
      <c r="O41" s="113"/>
      <c r="P41" s="113"/>
      <c r="Q41" s="113"/>
      <c r="R41" s="113"/>
      <c r="S41" s="113"/>
    </row>
    <row r="42" spans="1:19" ht="16" x14ac:dyDescent="0.2">
      <c r="A42" s="84">
        <v>0.53125</v>
      </c>
      <c r="B42" s="85" t="s">
        <v>61</v>
      </c>
      <c r="C42" s="92">
        <f t="shared" si="14"/>
        <v>2099400</v>
      </c>
      <c r="D42" s="102">
        <v>2121930</v>
      </c>
      <c r="E42" s="86">
        <f t="shared" si="12"/>
        <v>22530</v>
      </c>
      <c r="F42" s="159">
        <v>22430</v>
      </c>
      <c r="G42" s="40">
        <v>0.82469999999999999</v>
      </c>
      <c r="H42" s="88">
        <f t="shared" si="13"/>
        <v>18498.021000000001</v>
      </c>
      <c r="I42" s="172">
        <v>388</v>
      </c>
      <c r="J42" s="28">
        <v>6444</v>
      </c>
      <c r="K42" s="114" t="s">
        <v>60</v>
      </c>
      <c r="L42" s="113"/>
      <c r="M42" s="113"/>
      <c r="N42" s="89"/>
      <c r="O42" s="113"/>
      <c r="P42" s="113"/>
      <c r="Q42" s="113"/>
      <c r="R42" s="113"/>
      <c r="S42" s="113"/>
    </row>
    <row r="43" spans="1:19" ht="16" x14ac:dyDescent="0.2">
      <c r="A43" s="84">
        <v>0.57638888888888895</v>
      </c>
      <c r="B43" s="85" t="s">
        <v>61</v>
      </c>
      <c r="C43" s="92">
        <f t="shared" si="14"/>
        <v>2121930</v>
      </c>
      <c r="D43" s="102">
        <v>2133210</v>
      </c>
      <c r="E43" s="86">
        <f t="shared" si="12"/>
        <v>11280</v>
      </c>
      <c r="F43" s="196">
        <v>11219</v>
      </c>
      <c r="G43" s="40">
        <v>0.82320000000000004</v>
      </c>
      <c r="H43" s="88">
        <f t="shared" si="13"/>
        <v>9235.4808000000012</v>
      </c>
      <c r="I43" s="172">
        <v>81</v>
      </c>
      <c r="J43" s="28">
        <v>6445</v>
      </c>
      <c r="K43" s="114" t="s">
        <v>60</v>
      </c>
      <c r="L43" s="113"/>
      <c r="M43" s="113"/>
      <c r="N43" s="89"/>
      <c r="O43" s="113"/>
      <c r="P43" s="113"/>
      <c r="Q43" s="113"/>
      <c r="R43" s="113"/>
      <c r="S43" s="113"/>
    </row>
    <row r="44" spans="1:19" ht="15" customHeight="1" x14ac:dyDescent="0.2">
      <c r="A44" s="84">
        <v>0.59722222222222199</v>
      </c>
      <c r="B44" s="85" t="s">
        <v>61</v>
      </c>
      <c r="C44" s="92">
        <f t="shared" si="14"/>
        <v>2133210</v>
      </c>
      <c r="D44" s="102">
        <v>2138260</v>
      </c>
      <c r="E44" s="86">
        <f t="shared" si="12"/>
        <v>5050</v>
      </c>
      <c r="F44" s="103">
        <v>5017</v>
      </c>
      <c r="G44" s="40">
        <v>0.82320000000000004</v>
      </c>
      <c r="H44" s="88">
        <f t="shared" si="13"/>
        <v>4129.9944000000005</v>
      </c>
      <c r="I44" s="172">
        <v>57</v>
      </c>
      <c r="J44" s="28">
        <v>6446</v>
      </c>
      <c r="K44" s="197" t="s">
        <v>95</v>
      </c>
      <c r="L44" s="113"/>
      <c r="M44" s="113"/>
      <c r="N44" s="89"/>
      <c r="O44" s="113"/>
      <c r="P44" s="113"/>
      <c r="Q44" s="113"/>
      <c r="R44" s="113"/>
      <c r="S44" s="113"/>
    </row>
    <row r="45" spans="1:19" ht="16" x14ac:dyDescent="0.2">
      <c r="A45" s="84">
        <v>0.64236111111111105</v>
      </c>
      <c r="B45" s="85" t="s">
        <v>62</v>
      </c>
      <c r="C45" s="92">
        <f t="shared" si="14"/>
        <v>2138260</v>
      </c>
      <c r="D45" s="102">
        <v>2155360</v>
      </c>
      <c r="E45" s="86">
        <f t="shared" si="12"/>
        <v>17100</v>
      </c>
      <c r="F45" s="124">
        <v>17019</v>
      </c>
      <c r="G45" s="40">
        <v>0.82399999999999995</v>
      </c>
      <c r="H45" s="88">
        <f t="shared" si="13"/>
        <v>14023.655999999999</v>
      </c>
      <c r="I45" s="195">
        <v>251</v>
      </c>
      <c r="J45" s="177">
        <v>6447</v>
      </c>
      <c r="K45" s="115" t="s">
        <v>91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0.80208333333333304</v>
      </c>
      <c r="B46" s="178" t="s">
        <v>90</v>
      </c>
      <c r="C46" s="92">
        <f t="shared" si="14"/>
        <v>2155360</v>
      </c>
      <c r="D46" s="102">
        <v>2172490</v>
      </c>
      <c r="E46" s="86">
        <f t="shared" si="12"/>
        <v>17130</v>
      </c>
      <c r="F46" s="124">
        <v>17019</v>
      </c>
      <c r="G46" s="40">
        <v>0.82210000000000005</v>
      </c>
      <c r="H46" s="88">
        <f t="shared" si="13"/>
        <v>13991.3199</v>
      </c>
      <c r="I46" s="179">
        <v>251</v>
      </c>
      <c r="J46" s="28">
        <v>6452</v>
      </c>
      <c r="K46" s="114" t="s">
        <v>60</v>
      </c>
      <c r="L46" s="113"/>
      <c r="M46" s="113"/>
      <c r="N46" s="113"/>
      <c r="O46" s="113"/>
      <c r="P46" s="113"/>
      <c r="Q46" s="113"/>
      <c r="R46" s="113"/>
      <c r="S46" s="113"/>
    </row>
    <row r="47" spans="1:19" ht="16" x14ac:dyDescent="0.2">
      <c r="A47" s="84">
        <v>0.91319444444444398</v>
      </c>
      <c r="B47" s="85" t="s">
        <v>62</v>
      </c>
      <c r="C47" s="92">
        <f t="shared" si="14"/>
        <v>2172490</v>
      </c>
      <c r="D47" s="102">
        <v>2183550</v>
      </c>
      <c r="E47" s="86">
        <f t="shared" si="12"/>
        <v>11060</v>
      </c>
      <c r="F47" s="103">
        <v>11005</v>
      </c>
      <c r="G47" s="40">
        <v>0.82399999999999995</v>
      </c>
      <c r="H47" s="88">
        <f t="shared" si="13"/>
        <v>9068.119999999999</v>
      </c>
      <c r="I47" s="195">
        <v>119</v>
      </c>
      <c r="J47" s="28">
        <v>6455</v>
      </c>
      <c r="K47" s="115" t="s">
        <v>91</v>
      </c>
      <c r="L47" s="113"/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0.92708333333333304</v>
      </c>
      <c r="B48" s="85" t="s">
        <v>62</v>
      </c>
      <c r="C48" s="92">
        <f t="shared" si="14"/>
        <v>2183550</v>
      </c>
      <c r="D48" s="102">
        <v>2206080</v>
      </c>
      <c r="E48" s="86">
        <f t="shared" si="12"/>
        <v>22530</v>
      </c>
      <c r="F48" s="159">
        <v>22430</v>
      </c>
      <c r="G48" s="40">
        <v>0.82399999999999995</v>
      </c>
      <c r="H48" s="88">
        <f t="shared" si="13"/>
        <v>18482.32</v>
      </c>
      <c r="I48" s="195">
        <v>388</v>
      </c>
      <c r="J48" s="28">
        <v>6456</v>
      </c>
      <c r="K48" s="115" t="s">
        <v>91</v>
      </c>
      <c r="L48" s="113"/>
      <c r="M48" s="113"/>
      <c r="N48" s="113"/>
      <c r="O48" s="113"/>
      <c r="P48" s="113"/>
      <c r="Q48" s="113"/>
      <c r="R48" s="113"/>
      <c r="S48" s="113"/>
    </row>
    <row r="49" spans="1:19" ht="16" x14ac:dyDescent="0.2">
      <c r="A49" s="84">
        <v>0.9375</v>
      </c>
      <c r="B49" s="85" t="s">
        <v>90</v>
      </c>
      <c r="C49" s="92">
        <f t="shared" si="14"/>
        <v>2206080</v>
      </c>
      <c r="D49" s="102">
        <v>2215980</v>
      </c>
      <c r="E49" s="86">
        <f t="shared" si="12"/>
        <v>9900</v>
      </c>
      <c r="F49" s="103">
        <v>9847</v>
      </c>
      <c r="G49" s="40">
        <v>0.82250000000000001</v>
      </c>
      <c r="H49" s="88">
        <f t="shared" si="13"/>
        <v>8099.1575000000003</v>
      </c>
      <c r="I49" s="179">
        <v>81</v>
      </c>
      <c r="J49" s="28">
        <v>6457</v>
      </c>
      <c r="K49" s="114" t="s">
        <v>60</v>
      </c>
      <c r="L49" s="113"/>
      <c r="M49" s="113"/>
      <c r="N49" s="113"/>
      <c r="O49" s="113"/>
      <c r="P49" s="113"/>
      <c r="Q49" s="113"/>
      <c r="R49" s="113"/>
      <c r="S49" s="113"/>
    </row>
    <row r="50" spans="1:19" ht="16" x14ac:dyDescent="0.2">
      <c r="A50" s="84">
        <v>0.94791666666666696</v>
      </c>
      <c r="B50" s="85" t="s">
        <v>90</v>
      </c>
      <c r="C50" s="92">
        <f t="shared" si="14"/>
        <v>2215980</v>
      </c>
      <c r="D50" s="102">
        <v>2226300</v>
      </c>
      <c r="E50" s="86">
        <f t="shared" si="12"/>
        <v>10320</v>
      </c>
      <c r="F50" s="103">
        <v>10265</v>
      </c>
      <c r="G50" s="40">
        <v>0.82250000000000001</v>
      </c>
      <c r="H50" s="88">
        <f t="shared" si="13"/>
        <v>8442.9624999999996</v>
      </c>
      <c r="I50" s="179">
        <v>382</v>
      </c>
      <c r="J50" s="28">
        <v>6458</v>
      </c>
      <c r="K50" s="114" t="s">
        <v>60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0.95833333333333304</v>
      </c>
      <c r="B51" s="85" t="s">
        <v>90</v>
      </c>
      <c r="C51" s="92">
        <f t="shared" si="14"/>
        <v>2226300</v>
      </c>
      <c r="D51" s="102">
        <v>2231190</v>
      </c>
      <c r="E51" s="86">
        <f t="shared" si="12"/>
        <v>4890</v>
      </c>
      <c r="F51" s="103">
        <v>4850</v>
      </c>
      <c r="G51" s="40">
        <v>0.82250000000000001</v>
      </c>
      <c r="H51" s="88">
        <f t="shared" si="13"/>
        <v>3989.125</v>
      </c>
      <c r="I51" s="179">
        <v>57</v>
      </c>
      <c r="J51" s="28">
        <v>6459</v>
      </c>
      <c r="K51" s="114" t="s">
        <v>60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7.2916666666666699E-2</v>
      </c>
      <c r="B52" s="85" t="s">
        <v>90</v>
      </c>
      <c r="C52" s="92">
        <f t="shared" si="14"/>
        <v>2231190</v>
      </c>
      <c r="D52" s="102">
        <v>2237900</v>
      </c>
      <c r="E52" s="86">
        <f t="shared" si="12"/>
        <v>6710</v>
      </c>
      <c r="F52" s="103">
        <v>6676</v>
      </c>
      <c r="G52" s="40">
        <v>0.82299999999999995</v>
      </c>
      <c r="H52" s="88">
        <f t="shared" si="13"/>
        <v>5494.348</v>
      </c>
      <c r="I52" s="179">
        <v>57</v>
      </c>
      <c r="J52" s="28">
        <v>6461</v>
      </c>
      <c r="K52" s="114" t="s">
        <v>60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0.17708333333333301</v>
      </c>
      <c r="B53" s="85" t="s">
        <v>62</v>
      </c>
      <c r="C53" s="92">
        <f t="shared" si="14"/>
        <v>2237900</v>
      </c>
      <c r="D53" s="102">
        <v>2255020</v>
      </c>
      <c r="E53" s="86">
        <f t="shared" si="12"/>
        <v>17120</v>
      </c>
      <c r="F53" s="124">
        <v>17019</v>
      </c>
      <c r="G53" s="40">
        <v>0.82550000000000001</v>
      </c>
      <c r="H53" s="88">
        <f t="shared" si="13"/>
        <v>14049.184499999999</v>
      </c>
      <c r="I53" s="195">
        <v>251</v>
      </c>
      <c r="J53" s="28">
        <v>6464</v>
      </c>
      <c r="K53" s="115" t="s">
        <v>91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0.26041666666666702</v>
      </c>
      <c r="B54" s="85" t="s">
        <v>62</v>
      </c>
      <c r="C54" s="92">
        <f t="shared" si="14"/>
        <v>2255020</v>
      </c>
      <c r="D54" s="102">
        <v>2272120</v>
      </c>
      <c r="E54" s="86">
        <f t="shared" si="12"/>
        <v>17100</v>
      </c>
      <c r="F54" s="124">
        <v>17019</v>
      </c>
      <c r="G54" s="40">
        <v>0.82550000000000001</v>
      </c>
      <c r="H54" s="88">
        <f t="shared" si="13"/>
        <v>14049.184499999999</v>
      </c>
      <c r="I54" s="195">
        <v>251</v>
      </c>
      <c r="J54" s="28">
        <v>6467</v>
      </c>
      <c r="K54" s="115" t="s">
        <v>91</v>
      </c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0.30208333333333298</v>
      </c>
      <c r="B55" s="85" t="s">
        <v>62</v>
      </c>
      <c r="C55" s="92">
        <f>D54</f>
        <v>2272120</v>
      </c>
      <c r="D55" s="102">
        <v>2282120</v>
      </c>
      <c r="E55" s="86">
        <f t="shared" si="12"/>
        <v>10000</v>
      </c>
      <c r="F55" s="124">
        <v>9986</v>
      </c>
      <c r="G55" s="40">
        <v>0.82550000000000001</v>
      </c>
      <c r="H55" s="88">
        <f t="shared" si="13"/>
        <v>8243.4429999999993</v>
      </c>
      <c r="I55" s="195">
        <v>251</v>
      </c>
      <c r="J55" s="28">
        <v>6469</v>
      </c>
      <c r="K55" s="115" t="s">
        <v>91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0.30208333333333298</v>
      </c>
      <c r="B56" s="85" t="s">
        <v>62</v>
      </c>
      <c r="C56" s="92">
        <f>D55</f>
        <v>2282120</v>
      </c>
      <c r="D56" s="102">
        <v>2289270</v>
      </c>
      <c r="E56" s="86">
        <f t="shared" si="12"/>
        <v>7150</v>
      </c>
      <c r="F56" s="124">
        <v>7033</v>
      </c>
      <c r="G56" s="40">
        <v>0.82650000000000001</v>
      </c>
      <c r="H56" s="127">
        <f t="shared" si="13"/>
        <v>5812.7745000000004</v>
      </c>
      <c r="I56" s="195">
        <v>251</v>
      </c>
      <c r="J56" s="28">
        <v>6469</v>
      </c>
      <c r="K56" s="115" t="s">
        <v>91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0.34375</v>
      </c>
      <c r="B57" s="85" t="s">
        <v>52</v>
      </c>
      <c r="C57" s="92">
        <f>SUM(D56)</f>
        <v>2289270</v>
      </c>
      <c r="D57" s="102">
        <v>2304420</v>
      </c>
      <c r="E57" s="86">
        <f t="shared" si="12"/>
        <v>15150</v>
      </c>
      <c r="F57" s="198">
        <v>15040</v>
      </c>
      <c r="G57" s="40">
        <v>0.83760000000000001</v>
      </c>
      <c r="H57" s="88">
        <f t="shared" si="13"/>
        <v>12597.504000000001</v>
      </c>
      <c r="I57" s="1">
        <v>467</v>
      </c>
      <c r="J57" s="28">
        <v>6471</v>
      </c>
      <c r="K57" s="115" t="s">
        <v>82</v>
      </c>
      <c r="L57" s="113"/>
      <c r="M57" s="113"/>
      <c r="N57" s="113"/>
      <c r="O57" s="113"/>
      <c r="P57" s="113"/>
      <c r="Q57" s="113"/>
      <c r="R57" s="113"/>
      <c r="S57" s="113"/>
    </row>
    <row r="58" spans="1:19" x14ac:dyDescent="0.2">
      <c r="A58" s="84"/>
      <c r="B58" s="85"/>
      <c r="C58" s="92">
        <v>0</v>
      </c>
      <c r="D58" s="102"/>
      <c r="E58" s="86">
        <f t="shared" si="12"/>
        <v>0</v>
      </c>
      <c r="F58" s="103">
        <f>SUM(D58-C58)</f>
        <v>0</v>
      </c>
      <c r="G58" s="40"/>
      <c r="H58" s="88">
        <f t="shared" si="13"/>
        <v>0</v>
      </c>
      <c r="I58" s="1"/>
      <c r="J58" s="28"/>
      <c r="K58" s="115"/>
      <c r="L58" s="113"/>
      <c r="M58" s="113"/>
      <c r="N58" s="113"/>
      <c r="O58" s="113"/>
      <c r="P58" s="113"/>
      <c r="Q58" s="113"/>
      <c r="R58" s="113"/>
      <c r="S58" s="113"/>
    </row>
    <row r="59" spans="1:19" x14ac:dyDescent="0.2">
      <c r="A59" s="84"/>
      <c r="B59" s="85"/>
      <c r="C59" s="92">
        <f>SUM(D58)</f>
        <v>0</v>
      </c>
      <c r="D59" s="102"/>
      <c r="E59" s="86">
        <f t="shared" si="12"/>
        <v>0</v>
      </c>
      <c r="F59" s="103">
        <f>SUM(D59-C59)</f>
        <v>0</v>
      </c>
      <c r="G59" s="40"/>
      <c r="H59" s="88">
        <f t="shared" si="13"/>
        <v>0</v>
      </c>
      <c r="I59" s="1"/>
      <c r="J59" s="28"/>
      <c r="K59" s="114"/>
      <c r="L59" s="113"/>
      <c r="M59" s="113"/>
      <c r="N59" s="113"/>
      <c r="O59" s="113"/>
      <c r="P59" s="113"/>
      <c r="Q59" s="113"/>
      <c r="R59" s="113"/>
      <c r="S59" s="113"/>
    </row>
    <row r="60" spans="1:19" x14ac:dyDescent="0.2">
      <c r="A60" s="84"/>
      <c r="B60" s="85"/>
      <c r="C60" s="92">
        <v>0</v>
      </c>
      <c r="D60" s="70"/>
      <c r="E60" s="104">
        <f t="shared" si="12"/>
        <v>0</v>
      </c>
      <c r="F60" s="128">
        <v>263692</v>
      </c>
      <c r="G60" s="129"/>
      <c r="H60" s="130">
        <v>217534</v>
      </c>
      <c r="I60" s="131"/>
      <c r="J60" s="28"/>
      <c r="K60" s="116"/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F62" s="141">
        <f>F60+F33</f>
        <v>563228</v>
      </c>
      <c r="G62" s="129"/>
      <c r="H62" s="130">
        <f>H60+H33</f>
        <v>466465.32880000002</v>
      </c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E63" s="113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hidden="1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hidden="1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hidden="1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hidden="1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hidden="1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</row>
    <row r="89" spans="5:19" x14ac:dyDescent="0.2">
      <c r="E89" s="113"/>
    </row>
    <row r="90" spans="5:19" x14ac:dyDescent="0.2">
      <c r="E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25"/>
  <sheetViews>
    <sheetView zoomScale="65" zoomScaleNormal="65" workbookViewId="0">
      <selection activeCell="K51" sqref="K51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6.5" style="66" customWidth="1"/>
    <col min="12" max="12" width="10.5" style="65" customWidth="1"/>
    <col min="13" max="13" width="9.5" style="65" customWidth="1"/>
    <col min="14" max="14" width="15" style="65" customWidth="1"/>
    <col min="15" max="15" width="14.16406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/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144"/>
      <c r="M2" s="145" t="s">
        <v>37</v>
      </c>
      <c r="N2" s="146"/>
      <c r="O2" s="146"/>
      <c r="P2" s="146"/>
      <c r="Q2" s="147"/>
      <c r="R2" s="148"/>
      <c r="S2" s="149"/>
    </row>
    <row r="3" spans="1:22" ht="16" x14ac:dyDescent="0.2">
      <c r="A3" s="84">
        <v>0.42013888888888901</v>
      </c>
      <c r="B3" s="150" t="s">
        <v>66</v>
      </c>
      <c r="C3" s="92">
        <v>49750540</v>
      </c>
      <c r="D3" s="70">
        <v>49758950</v>
      </c>
      <c r="E3" s="86">
        <f t="shared" ref="E3:E26" si="0">SUM(D3-C3)</f>
        <v>8410</v>
      </c>
      <c r="F3" s="87">
        <f>SUM(D3-C3)</f>
        <v>8410</v>
      </c>
      <c r="G3" s="40">
        <v>0.8296</v>
      </c>
      <c r="H3" s="88">
        <f t="shared" ref="H3:H25" si="1">SUM(G3*F3)</f>
        <v>6976.9359999999997</v>
      </c>
      <c r="I3" s="151">
        <v>237</v>
      </c>
      <c r="J3" s="28">
        <v>6474</v>
      </c>
      <c r="K3" s="89"/>
      <c r="L3" s="152">
        <v>0.44444444444444398</v>
      </c>
      <c r="M3" s="153" t="s">
        <v>39</v>
      </c>
      <c r="N3" s="154">
        <v>7623150</v>
      </c>
      <c r="O3" s="155">
        <v>7623470</v>
      </c>
      <c r="P3" s="154">
        <f t="shared" ref="P3:P16" si="2">SUM(O3-N3)</f>
        <v>320</v>
      </c>
      <c r="Q3" s="156">
        <v>0.83650000000000002</v>
      </c>
      <c r="R3" s="157">
        <f t="shared" ref="R3:R16" si="3">SUM(Q3*P3)</f>
        <v>267.68</v>
      </c>
      <c r="S3" s="158" t="s">
        <v>67</v>
      </c>
      <c r="V3" t="s">
        <v>41</v>
      </c>
    </row>
    <row r="4" spans="1:22" ht="16" x14ac:dyDescent="0.2">
      <c r="A4" s="84">
        <v>0.44791666666666702</v>
      </c>
      <c r="B4" s="85" t="s">
        <v>66</v>
      </c>
      <c r="C4" s="92">
        <f t="shared" ref="C4:C20" si="4">SUM(D3)</f>
        <v>49758950</v>
      </c>
      <c r="D4" s="70">
        <v>49770430</v>
      </c>
      <c r="E4" s="86">
        <f t="shared" si="0"/>
        <v>11480</v>
      </c>
      <c r="F4" s="159">
        <v>11480</v>
      </c>
      <c r="G4" s="40">
        <v>0.8296</v>
      </c>
      <c r="H4" s="88">
        <f t="shared" si="1"/>
        <v>9523.8080000000009</v>
      </c>
      <c r="I4" s="151">
        <v>388</v>
      </c>
      <c r="J4" s="28">
        <v>6477</v>
      </c>
      <c r="K4" s="89"/>
      <c r="L4" s="152">
        <v>0.63194444444444398</v>
      </c>
      <c r="M4" s="153" t="s">
        <v>39</v>
      </c>
      <c r="N4" s="154">
        <f t="shared" ref="N4:N16" si="5">SUM(O3)</f>
        <v>7623470</v>
      </c>
      <c r="O4" s="155">
        <v>7623580</v>
      </c>
      <c r="P4" s="154">
        <f t="shared" si="2"/>
        <v>110</v>
      </c>
      <c r="Q4" s="156">
        <v>0.83440000000000003</v>
      </c>
      <c r="R4" s="157">
        <f t="shared" si="3"/>
        <v>91.784000000000006</v>
      </c>
      <c r="S4" s="158" t="s">
        <v>63</v>
      </c>
    </row>
    <row r="5" spans="1:22" ht="16" x14ac:dyDescent="0.2">
      <c r="A5" s="84">
        <v>0.45486111111111099</v>
      </c>
      <c r="B5" s="85" t="s">
        <v>66</v>
      </c>
      <c r="C5" s="92">
        <f t="shared" si="4"/>
        <v>49770430</v>
      </c>
      <c r="D5" s="70">
        <v>49781380</v>
      </c>
      <c r="E5" s="86">
        <f t="shared" si="0"/>
        <v>10950</v>
      </c>
      <c r="F5" s="159">
        <v>10950</v>
      </c>
      <c r="G5" s="40">
        <v>0.8296</v>
      </c>
      <c r="H5" s="88">
        <f t="shared" si="1"/>
        <v>9084.1200000000008</v>
      </c>
      <c r="I5" s="151">
        <v>388</v>
      </c>
      <c r="J5" s="28">
        <v>6479</v>
      </c>
      <c r="K5" s="89"/>
      <c r="L5" s="152">
        <v>0.64930555555555602</v>
      </c>
      <c r="M5" s="153" t="s">
        <v>46</v>
      </c>
      <c r="N5" s="154">
        <f t="shared" si="5"/>
        <v>7623580</v>
      </c>
      <c r="O5" s="155">
        <v>7623720</v>
      </c>
      <c r="P5" s="154">
        <f t="shared" si="2"/>
        <v>140</v>
      </c>
      <c r="Q5" s="156">
        <v>0.83309999999999995</v>
      </c>
      <c r="R5" s="157">
        <f t="shared" si="3"/>
        <v>116.63399999999999</v>
      </c>
      <c r="S5" s="158" t="s">
        <v>65</v>
      </c>
    </row>
    <row r="6" spans="1:22" ht="16" x14ac:dyDescent="0.2">
      <c r="A6" s="84">
        <v>0.46180555555555602</v>
      </c>
      <c r="B6" s="85" t="s">
        <v>66</v>
      </c>
      <c r="C6" s="92">
        <f t="shared" si="4"/>
        <v>49781380</v>
      </c>
      <c r="D6" s="70">
        <v>49787300</v>
      </c>
      <c r="E6" s="86">
        <f t="shared" si="0"/>
        <v>5920</v>
      </c>
      <c r="F6" s="87">
        <f>SUM(D6-C6)</f>
        <v>5920</v>
      </c>
      <c r="G6" s="40">
        <v>0.8296</v>
      </c>
      <c r="H6" s="88">
        <f t="shared" si="1"/>
        <v>4911.232</v>
      </c>
      <c r="I6" s="151">
        <v>248</v>
      </c>
      <c r="J6" s="28">
        <v>6481</v>
      </c>
      <c r="K6" s="89"/>
      <c r="L6" s="152">
        <v>0.87152777777777801</v>
      </c>
      <c r="M6" s="153" t="s">
        <v>66</v>
      </c>
      <c r="N6" s="154">
        <f t="shared" si="5"/>
        <v>7623720</v>
      </c>
      <c r="O6" s="155">
        <v>7623800</v>
      </c>
      <c r="P6" s="154">
        <f t="shared" si="2"/>
        <v>80</v>
      </c>
      <c r="Q6" s="163">
        <v>0.8296</v>
      </c>
      <c r="R6" s="157">
        <f t="shared" si="3"/>
        <v>66.367999999999995</v>
      </c>
      <c r="S6" s="158" t="s">
        <v>45</v>
      </c>
    </row>
    <row r="7" spans="1:22" ht="16" x14ac:dyDescent="0.2">
      <c r="A7" s="84">
        <v>0.47916666666666702</v>
      </c>
      <c r="B7" s="85" t="s">
        <v>66</v>
      </c>
      <c r="C7" s="92">
        <f t="shared" si="4"/>
        <v>49787300</v>
      </c>
      <c r="D7" s="70">
        <v>49788600</v>
      </c>
      <c r="E7" s="86">
        <f t="shared" si="0"/>
        <v>1300</v>
      </c>
      <c r="F7" s="87">
        <f>SUM(D7-C7)</f>
        <v>1300</v>
      </c>
      <c r="G7" s="40">
        <v>0.8296</v>
      </c>
      <c r="H7" s="88">
        <f t="shared" si="1"/>
        <v>1078.48</v>
      </c>
      <c r="I7" s="151">
        <v>237</v>
      </c>
      <c r="J7" s="28">
        <v>6482</v>
      </c>
      <c r="K7" s="89"/>
      <c r="L7" s="152">
        <v>0.88888888888888895</v>
      </c>
      <c r="M7" s="153" t="s">
        <v>38</v>
      </c>
      <c r="N7" s="154">
        <f t="shared" si="5"/>
        <v>7623800</v>
      </c>
      <c r="O7" s="155">
        <v>7623890</v>
      </c>
      <c r="P7" s="154">
        <f t="shared" si="2"/>
        <v>90</v>
      </c>
      <c r="Q7" s="163">
        <v>0.82889999999999997</v>
      </c>
      <c r="R7" s="157">
        <f t="shared" si="3"/>
        <v>74.600999999999999</v>
      </c>
      <c r="S7" s="158" t="s">
        <v>47</v>
      </c>
    </row>
    <row r="8" spans="1:22" ht="16" x14ac:dyDescent="0.2">
      <c r="A8" s="84">
        <v>0.53819444444444398</v>
      </c>
      <c r="B8" s="85" t="s">
        <v>66</v>
      </c>
      <c r="C8" s="92">
        <f t="shared" si="4"/>
        <v>49788600</v>
      </c>
      <c r="D8" s="70">
        <v>49811020</v>
      </c>
      <c r="E8" s="86">
        <f t="shared" si="0"/>
        <v>22420</v>
      </c>
      <c r="F8" s="159">
        <v>22430</v>
      </c>
      <c r="G8" s="40">
        <v>0.8296</v>
      </c>
      <c r="H8" s="88">
        <f t="shared" si="1"/>
        <v>18607.928</v>
      </c>
      <c r="I8" s="151">
        <v>388</v>
      </c>
      <c r="J8" s="28">
        <v>6484</v>
      </c>
      <c r="K8" s="89"/>
      <c r="L8" s="152">
        <v>9.375E-2</v>
      </c>
      <c r="M8" s="153" t="s">
        <v>48</v>
      </c>
      <c r="N8" s="154">
        <f t="shared" si="5"/>
        <v>7623890</v>
      </c>
      <c r="O8" s="155">
        <v>7624030</v>
      </c>
      <c r="P8" s="154">
        <f t="shared" si="2"/>
        <v>140</v>
      </c>
      <c r="Q8" s="156">
        <v>0.82979999999999998</v>
      </c>
      <c r="R8" s="157">
        <f t="shared" si="3"/>
        <v>116.172</v>
      </c>
      <c r="S8" s="158" t="s">
        <v>64</v>
      </c>
    </row>
    <row r="9" spans="1:22" ht="16" x14ac:dyDescent="0.2">
      <c r="A9" s="84">
        <v>0.72222222222222199</v>
      </c>
      <c r="B9" s="134" t="s">
        <v>38</v>
      </c>
      <c r="C9" s="92">
        <f t="shared" si="4"/>
        <v>49811020</v>
      </c>
      <c r="D9" s="70">
        <v>49833450</v>
      </c>
      <c r="E9" s="86">
        <f t="shared" si="0"/>
        <v>22430</v>
      </c>
      <c r="F9" s="159">
        <v>22430</v>
      </c>
      <c r="G9" s="40">
        <v>0.82889999999999997</v>
      </c>
      <c r="H9" s="88">
        <f t="shared" si="1"/>
        <v>18592.226999999999</v>
      </c>
      <c r="I9" s="160">
        <v>388</v>
      </c>
      <c r="J9" s="28">
        <v>6493</v>
      </c>
      <c r="K9" s="89"/>
      <c r="L9" s="166"/>
      <c r="M9" s="99"/>
      <c r="N9" s="94">
        <f t="shared" si="5"/>
        <v>7624030</v>
      </c>
      <c r="O9" s="167"/>
      <c r="P9" s="94">
        <f t="shared" si="2"/>
        <v>-7624030</v>
      </c>
      <c r="Q9" s="100"/>
      <c r="R9" s="96">
        <f t="shared" si="3"/>
        <v>0</v>
      </c>
      <c r="S9" s="97"/>
    </row>
    <row r="10" spans="1:22" ht="16" x14ac:dyDescent="0.2">
      <c r="A10" s="84">
        <v>0.78125</v>
      </c>
      <c r="B10" s="85" t="s">
        <v>38</v>
      </c>
      <c r="C10" s="92">
        <f t="shared" si="4"/>
        <v>49833450</v>
      </c>
      <c r="D10" s="70">
        <v>49855870</v>
      </c>
      <c r="E10" s="86">
        <f t="shared" si="0"/>
        <v>22420</v>
      </c>
      <c r="F10" s="159">
        <v>22430</v>
      </c>
      <c r="G10" s="40">
        <v>0.82889999999999997</v>
      </c>
      <c r="H10" s="88">
        <f t="shared" si="1"/>
        <v>18592.226999999999</v>
      </c>
      <c r="I10" s="160">
        <v>388</v>
      </c>
      <c r="J10" s="28">
        <v>6496</v>
      </c>
      <c r="K10" s="89"/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0.87152777777777801</v>
      </c>
      <c r="B11" s="85" t="s">
        <v>38</v>
      </c>
      <c r="C11" s="92">
        <f t="shared" si="4"/>
        <v>49855870</v>
      </c>
      <c r="D11" s="70">
        <v>49867350</v>
      </c>
      <c r="E11" s="86">
        <f t="shared" si="0"/>
        <v>11480</v>
      </c>
      <c r="F11" s="159">
        <v>11480</v>
      </c>
      <c r="G11" s="40">
        <v>0.82889999999999997</v>
      </c>
      <c r="H11" s="88">
        <f t="shared" si="1"/>
        <v>9515.771999999999</v>
      </c>
      <c r="I11" s="160">
        <v>388</v>
      </c>
      <c r="J11" s="28">
        <v>6498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0.87847222222222199</v>
      </c>
      <c r="B12" s="120" t="s">
        <v>44</v>
      </c>
      <c r="C12" s="92">
        <f t="shared" si="4"/>
        <v>49867350</v>
      </c>
      <c r="D12" s="70">
        <v>49878300</v>
      </c>
      <c r="E12" s="86">
        <f t="shared" si="0"/>
        <v>10950</v>
      </c>
      <c r="F12" s="159">
        <v>10950</v>
      </c>
      <c r="G12" s="40">
        <v>0.83209999999999995</v>
      </c>
      <c r="H12" s="88">
        <f t="shared" si="1"/>
        <v>9111.494999999999</v>
      </c>
      <c r="I12" s="162">
        <v>388</v>
      </c>
      <c r="J12" s="28">
        <v>6499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0.89583333333333304</v>
      </c>
      <c r="B13" s="85" t="s">
        <v>44</v>
      </c>
      <c r="C13" s="92">
        <f t="shared" si="4"/>
        <v>49878300</v>
      </c>
      <c r="D13" s="70">
        <v>49895330</v>
      </c>
      <c r="E13" s="86">
        <f t="shared" si="0"/>
        <v>17030</v>
      </c>
      <c r="F13" s="124">
        <v>17019</v>
      </c>
      <c r="G13" s="40">
        <v>0.83209999999999995</v>
      </c>
      <c r="H13" s="88">
        <f t="shared" si="1"/>
        <v>14161.509899999999</v>
      </c>
      <c r="I13" s="162">
        <v>251</v>
      </c>
      <c r="J13" s="28">
        <v>6501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0.91319444444444398</v>
      </c>
      <c r="B14" s="85" t="s">
        <v>44</v>
      </c>
      <c r="C14" s="92">
        <f t="shared" si="4"/>
        <v>49895330</v>
      </c>
      <c r="D14" s="70">
        <v>49903750</v>
      </c>
      <c r="E14" s="86">
        <f t="shared" si="0"/>
        <v>8420</v>
      </c>
      <c r="F14" s="87">
        <f>SUM(D14-C14)</f>
        <v>8420</v>
      </c>
      <c r="G14" s="40">
        <v>0.83209999999999995</v>
      </c>
      <c r="H14" s="88">
        <f t="shared" si="1"/>
        <v>7006.2819999999992</v>
      </c>
      <c r="I14" s="162">
        <v>237</v>
      </c>
      <c r="J14" s="28">
        <v>6502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7.6388888888888895E-2</v>
      </c>
      <c r="B15" s="85" t="s">
        <v>44</v>
      </c>
      <c r="C15" s="92">
        <f t="shared" si="4"/>
        <v>49903750</v>
      </c>
      <c r="D15" s="70">
        <v>49926170</v>
      </c>
      <c r="E15" s="86">
        <f t="shared" si="0"/>
        <v>22420</v>
      </c>
      <c r="F15" s="159">
        <v>22430</v>
      </c>
      <c r="G15" s="40">
        <v>0.83209999999999995</v>
      </c>
      <c r="H15" s="88">
        <f t="shared" si="1"/>
        <v>18664.003000000001</v>
      </c>
      <c r="I15" s="162">
        <v>388</v>
      </c>
      <c r="J15" s="28">
        <v>6508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0.17361111111111099</v>
      </c>
      <c r="B16" s="117" t="s">
        <v>39</v>
      </c>
      <c r="C16" s="92">
        <f t="shared" si="4"/>
        <v>49926170</v>
      </c>
      <c r="D16" s="70">
        <v>49948600</v>
      </c>
      <c r="E16" s="86">
        <f t="shared" si="0"/>
        <v>22430</v>
      </c>
      <c r="F16" s="159">
        <v>22430</v>
      </c>
      <c r="G16" s="40">
        <v>0.8327</v>
      </c>
      <c r="H16" s="88">
        <f t="shared" si="1"/>
        <v>18677.460999999999</v>
      </c>
      <c r="I16" s="169">
        <v>388</v>
      </c>
      <c r="J16" s="28">
        <v>6510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0.21875</v>
      </c>
      <c r="B17" s="85" t="s">
        <v>39</v>
      </c>
      <c r="C17" s="92">
        <f t="shared" si="4"/>
        <v>49948600</v>
      </c>
      <c r="D17" s="70">
        <v>49965620</v>
      </c>
      <c r="E17" s="86">
        <f t="shared" si="0"/>
        <v>17020</v>
      </c>
      <c r="F17" s="124">
        <v>17019</v>
      </c>
      <c r="G17" s="40">
        <v>0.8327</v>
      </c>
      <c r="H17" s="88">
        <f t="shared" si="1"/>
        <v>14171.721299999999</v>
      </c>
      <c r="I17" s="169">
        <v>251</v>
      </c>
      <c r="J17" s="28">
        <v>6511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0.23611111111111099</v>
      </c>
      <c r="B18" s="85" t="s">
        <v>39</v>
      </c>
      <c r="C18" s="92">
        <f t="shared" si="4"/>
        <v>49965620</v>
      </c>
      <c r="D18" s="70">
        <v>49988040</v>
      </c>
      <c r="E18" s="86">
        <f t="shared" si="0"/>
        <v>22420</v>
      </c>
      <c r="F18" s="159">
        <v>22430</v>
      </c>
      <c r="G18" s="40">
        <v>0.8327</v>
      </c>
      <c r="H18" s="88">
        <f t="shared" si="1"/>
        <v>18677.460999999999</v>
      </c>
      <c r="I18" s="169">
        <v>388</v>
      </c>
      <c r="J18" s="28">
        <v>6512</v>
      </c>
      <c r="K18" s="89"/>
      <c r="L18" s="90"/>
      <c r="M18" s="99"/>
      <c r="N18" s="125"/>
      <c r="O18" s="93"/>
      <c r="P18" s="103">
        <f t="shared" ref="P18:P26" si="6">SUM(O18-N18)</f>
        <v>0</v>
      </c>
      <c r="Q18" s="40"/>
      <c r="R18" s="88">
        <f t="shared" ref="R18:R26" si="7">SUM(Q18*P18)</f>
        <v>0</v>
      </c>
      <c r="S18" s="97"/>
      <c r="T18" t="s">
        <v>41</v>
      </c>
    </row>
    <row r="19" spans="1:20" ht="16" x14ac:dyDescent="0.2">
      <c r="A19" s="84">
        <v>0.29513888888888901</v>
      </c>
      <c r="B19" s="85" t="s">
        <v>38</v>
      </c>
      <c r="C19" s="92">
        <f t="shared" si="4"/>
        <v>49988040</v>
      </c>
      <c r="D19" s="70">
        <v>50005070</v>
      </c>
      <c r="E19" s="86">
        <f t="shared" si="0"/>
        <v>17030</v>
      </c>
      <c r="F19" s="124">
        <v>17019</v>
      </c>
      <c r="G19" s="40">
        <v>0.82979999999999998</v>
      </c>
      <c r="H19" s="88">
        <f t="shared" si="1"/>
        <v>14122.3662</v>
      </c>
      <c r="I19" s="160">
        <v>251</v>
      </c>
      <c r="J19" s="28">
        <v>6514</v>
      </c>
      <c r="K19" s="89"/>
      <c r="L19" s="90"/>
      <c r="M19" s="99"/>
      <c r="N19" s="92">
        <f t="shared" ref="N19:N26" si="8">SUM(O18)</f>
        <v>0</v>
      </c>
      <c r="O19" s="93"/>
      <c r="P19" s="103">
        <f t="shared" si="6"/>
        <v>0</v>
      </c>
      <c r="Q19" s="40"/>
      <c r="R19" s="88">
        <f t="shared" si="7"/>
        <v>0</v>
      </c>
      <c r="S19" s="97"/>
    </row>
    <row r="20" spans="1:20" ht="16" x14ac:dyDescent="0.2">
      <c r="A20" s="84">
        <v>0.30902777777777801</v>
      </c>
      <c r="B20" s="85" t="s">
        <v>38</v>
      </c>
      <c r="C20" s="92">
        <f t="shared" si="4"/>
        <v>50005070</v>
      </c>
      <c r="D20" s="70">
        <v>50027490</v>
      </c>
      <c r="E20" s="86">
        <f t="shared" si="0"/>
        <v>22420</v>
      </c>
      <c r="F20" s="159">
        <v>22430</v>
      </c>
      <c r="G20" s="40">
        <v>0.82979999999999998</v>
      </c>
      <c r="H20" s="88">
        <f t="shared" si="1"/>
        <v>18612.414000000001</v>
      </c>
      <c r="I20" s="160">
        <v>388</v>
      </c>
      <c r="J20" s="28">
        <v>6515</v>
      </c>
      <c r="K20" s="89"/>
      <c r="L20" s="90"/>
      <c r="M20" s="99"/>
      <c r="N20" s="92">
        <f t="shared" si="8"/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x14ac:dyDescent="0.2">
      <c r="A21" s="84"/>
      <c r="B21" s="85"/>
      <c r="C21" s="92">
        <v>0</v>
      </c>
      <c r="D21" s="70"/>
      <c r="E21" s="86">
        <f t="shared" si="0"/>
        <v>0</v>
      </c>
      <c r="F21" s="87">
        <f>SUM(D21-C21)</f>
        <v>0</v>
      </c>
      <c r="G21" s="40"/>
      <c r="H21" s="88">
        <f t="shared" si="1"/>
        <v>0</v>
      </c>
      <c r="I21" s="1"/>
      <c r="J21" s="28"/>
      <c r="K21" s="89"/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f>SUM(D21)</f>
        <v>0</v>
      </c>
      <c r="D22" s="70"/>
      <c r="E22" s="86">
        <f t="shared" si="0"/>
        <v>0</v>
      </c>
      <c r="F22" s="103">
        <f>SUM(D22-C22)</f>
        <v>0</v>
      </c>
      <c r="G22" s="40"/>
      <c r="H22" s="88">
        <f t="shared" si="1"/>
        <v>0</v>
      </c>
      <c r="I22" s="1"/>
      <c r="J22" s="28"/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x14ac:dyDescent="0.2">
      <c r="A23" s="84"/>
      <c r="B23" s="85"/>
      <c r="C23" s="92">
        <f>SUM(D22)</f>
        <v>0</v>
      </c>
      <c r="D23" s="70"/>
      <c r="E23" s="86">
        <f t="shared" si="0"/>
        <v>0</v>
      </c>
      <c r="F23" s="103">
        <f>SUM(D23-C23)</f>
        <v>0</v>
      </c>
      <c r="G23" s="40"/>
      <c r="H23" s="88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x14ac:dyDescent="0.2">
      <c r="A24" s="84"/>
      <c r="B24" s="85"/>
      <c r="C24" s="92">
        <f>SUM(D23)</f>
        <v>0</v>
      </c>
      <c r="D24" s="70"/>
      <c r="E24" s="86">
        <f t="shared" si="0"/>
        <v>0</v>
      </c>
      <c r="F24" s="103">
        <f>SUM(D24-C24)</f>
        <v>0</v>
      </c>
      <c r="G24" s="40"/>
      <c r="H24" s="88">
        <f t="shared" si="1"/>
        <v>0</v>
      </c>
      <c r="I24" s="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x14ac:dyDescent="0.2">
      <c r="A25" s="84"/>
      <c r="B25" s="85"/>
      <c r="C25" s="92">
        <f>SUM(D24)</f>
        <v>0</v>
      </c>
      <c r="D25" s="70"/>
      <c r="E25" s="86">
        <f t="shared" si="0"/>
        <v>0</v>
      </c>
      <c r="F25" s="126">
        <f>SUM(D25-C25)</f>
        <v>0</v>
      </c>
      <c r="G25" s="40"/>
      <c r="H25" s="127">
        <f t="shared" si="1"/>
        <v>0</v>
      </c>
      <c r="I25" s="1"/>
      <c r="J25" s="28"/>
      <c r="K25" s="89"/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x14ac:dyDescent="0.2">
      <c r="A26" s="84"/>
      <c r="B26" s="85"/>
      <c r="C26" s="92">
        <f>SUM(D25)</f>
        <v>0</v>
      </c>
      <c r="D26" s="70"/>
      <c r="E26" s="104">
        <f t="shared" si="0"/>
        <v>0</v>
      </c>
      <c r="F26" s="170">
        <v>276977</v>
      </c>
      <c r="G26" s="129"/>
      <c r="H26" s="171">
        <v>230087</v>
      </c>
      <c r="I26" s="131"/>
      <c r="J26" s="28"/>
      <c r="K26" s="89"/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x14ac:dyDescent="0.2">
      <c r="A27" s="83"/>
      <c r="B27" s="76" t="s">
        <v>49</v>
      </c>
      <c r="C27" s="77"/>
      <c r="D27" s="77"/>
      <c r="E27" s="77"/>
      <c r="F27" s="132"/>
      <c r="G27" s="78"/>
      <c r="H27" s="133"/>
      <c r="I27" s="80"/>
      <c r="J27" s="80"/>
      <c r="L27" s="113"/>
      <c r="M27" s="113"/>
      <c r="N27" s="113"/>
      <c r="O27" s="113"/>
      <c r="P27" s="113"/>
      <c r="Q27" s="113"/>
      <c r="R27" s="113"/>
      <c r="S27" s="113"/>
    </row>
    <row r="28" spans="1:20" ht="16" x14ac:dyDescent="0.2">
      <c r="A28" s="84">
        <v>0.40625</v>
      </c>
      <c r="B28" s="139" t="s">
        <v>57</v>
      </c>
      <c r="C28" s="92">
        <v>2304420</v>
      </c>
      <c r="D28" s="102">
        <v>2312200</v>
      </c>
      <c r="E28" s="86">
        <f t="shared" ref="E28:E59" si="9">SUM(D28-C28)</f>
        <v>7780</v>
      </c>
      <c r="F28" s="103">
        <v>7730</v>
      </c>
      <c r="G28" s="40">
        <v>0.82499999999999996</v>
      </c>
      <c r="H28" s="88">
        <f t="shared" ref="H28:H58" si="10">SUM(G28*F28)</f>
        <v>6377.25</v>
      </c>
      <c r="I28" s="172">
        <v>119</v>
      </c>
      <c r="J28" s="177">
        <v>6473</v>
      </c>
      <c r="K28" s="115" t="s">
        <v>91</v>
      </c>
      <c r="L28" s="113"/>
      <c r="M28" s="113"/>
      <c r="N28" s="113"/>
      <c r="O28" s="113"/>
      <c r="P28" s="113"/>
      <c r="Q28" s="113"/>
      <c r="R28" s="113"/>
      <c r="S28" s="113"/>
    </row>
    <row r="29" spans="1:20" ht="14.25" customHeight="1" x14ac:dyDescent="0.2">
      <c r="A29" s="84">
        <v>0.42708333333333298</v>
      </c>
      <c r="B29" s="173" t="s">
        <v>90</v>
      </c>
      <c r="C29" s="92">
        <f t="shared" ref="C29:C53" si="11">SUM(D28)</f>
        <v>2312200</v>
      </c>
      <c r="D29" s="102">
        <v>2323520</v>
      </c>
      <c r="E29" s="86">
        <f t="shared" si="9"/>
        <v>11320</v>
      </c>
      <c r="F29" s="103">
        <v>11266</v>
      </c>
      <c r="G29" s="40">
        <v>0.82340000000000002</v>
      </c>
      <c r="H29" s="88">
        <f t="shared" si="10"/>
        <v>9276.4243999999999</v>
      </c>
      <c r="I29" s="174">
        <v>81</v>
      </c>
      <c r="J29" s="1">
        <v>6475</v>
      </c>
      <c r="K29" s="114" t="s">
        <v>60</v>
      </c>
      <c r="L29" s="113"/>
      <c r="M29" s="113"/>
      <c r="N29" s="113"/>
      <c r="O29" s="113"/>
      <c r="P29" s="113"/>
      <c r="Q29" s="113"/>
      <c r="R29" s="113"/>
      <c r="S29" s="113"/>
    </row>
    <row r="30" spans="1:20" ht="15" customHeight="1" x14ac:dyDescent="0.2">
      <c r="A30" s="84">
        <v>0.4375</v>
      </c>
      <c r="B30" s="175" t="s">
        <v>72</v>
      </c>
      <c r="C30" s="92">
        <f t="shared" si="11"/>
        <v>2323520</v>
      </c>
      <c r="D30" s="102">
        <v>2340640</v>
      </c>
      <c r="E30" s="86">
        <f t="shared" si="9"/>
        <v>17120</v>
      </c>
      <c r="F30" s="124">
        <v>17019</v>
      </c>
      <c r="G30" s="40">
        <v>0.82310000000000005</v>
      </c>
      <c r="H30" s="88">
        <f t="shared" si="10"/>
        <v>14008.338900000001</v>
      </c>
      <c r="I30" s="176">
        <v>251</v>
      </c>
      <c r="J30" s="1">
        <v>6476</v>
      </c>
      <c r="K30" s="114" t="s">
        <v>60</v>
      </c>
      <c r="L30" s="113"/>
      <c r="M30" s="113"/>
      <c r="N30" s="113"/>
      <c r="O30" s="113"/>
      <c r="P30" s="113"/>
      <c r="Q30" s="113"/>
      <c r="R30" s="113"/>
      <c r="S30" s="113"/>
    </row>
    <row r="31" spans="1:20" ht="16" x14ac:dyDescent="0.2">
      <c r="A31" s="84">
        <v>0.45138888888888901</v>
      </c>
      <c r="B31" s="85" t="s">
        <v>90</v>
      </c>
      <c r="C31" s="92">
        <f t="shared" si="11"/>
        <v>2340640</v>
      </c>
      <c r="D31" s="102">
        <v>2346450</v>
      </c>
      <c r="E31" s="86">
        <f t="shared" si="9"/>
        <v>5810</v>
      </c>
      <c r="F31" s="103">
        <v>5772</v>
      </c>
      <c r="G31" s="40">
        <v>0.82340000000000002</v>
      </c>
      <c r="H31" s="88">
        <f t="shared" si="10"/>
        <v>4752.6648000000005</v>
      </c>
      <c r="I31" s="174">
        <v>57</v>
      </c>
      <c r="J31" s="1">
        <v>6478</v>
      </c>
      <c r="K31" s="114" t="s">
        <v>60</v>
      </c>
      <c r="L31" s="113"/>
      <c r="M31" s="113"/>
      <c r="N31" s="113"/>
      <c r="O31" s="113"/>
      <c r="P31" s="113"/>
      <c r="Q31" s="113"/>
      <c r="R31" s="113"/>
      <c r="S31" s="113"/>
    </row>
    <row r="32" spans="1:20" ht="16" x14ac:dyDescent="0.2">
      <c r="A32" s="84">
        <v>0.46180555555555602</v>
      </c>
      <c r="B32" s="85" t="s">
        <v>72</v>
      </c>
      <c r="C32" s="92">
        <f t="shared" si="11"/>
        <v>2346450</v>
      </c>
      <c r="D32" s="102">
        <v>2354650</v>
      </c>
      <c r="E32" s="86">
        <f t="shared" si="9"/>
        <v>8200</v>
      </c>
      <c r="F32" s="103">
        <v>8147</v>
      </c>
      <c r="G32" s="40">
        <v>0.82310000000000005</v>
      </c>
      <c r="H32" s="88">
        <f t="shared" si="10"/>
        <v>6705.7957000000006</v>
      </c>
      <c r="I32" s="176">
        <v>382</v>
      </c>
      <c r="J32" s="1">
        <v>6480</v>
      </c>
      <c r="K32" s="114" t="s">
        <v>60</v>
      </c>
      <c r="L32" s="113"/>
      <c r="M32" s="113"/>
      <c r="N32" s="113"/>
      <c r="O32" s="113"/>
      <c r="P32" s="113"/>
      <c r="Q32" s="113"/>
      <c r="R32" s="113"/>
      <c r="S32" s="113"/>
    </row>
    <row r="33" spans="1:19" ht="16" x14ac:dyDescent="0.2">
      <c r="A33" s="84">
        <v>0.49305555555555602</v>
      </c>
      <c r="B33" s="85" t="s">
        <v>57</v>
      </c>
      <c r="C33" s="92">
        <f t="shared" si="11"/>
        <v>2354650</v>
      </c>
      <c r="D33" s="102">
        <v>2371760</v>
      </c>
      <c r="E33" s="86">
        <f t="shared" si="9"/>
        <v>17110</v>
      </c>
      <c r="F33" s="124">
        <v>17019</v>
      </c>
      <c r="G33" s="40">
        <v>0.82499999999999996</v>
      </c>
      <c r="H33" s="88">
        <f t="shared" si="10"/>
        <v>14040.674999999999</v>
      </c>
      <c r="I33" s="172">
        <v>251</v>
      </c>
      <c r="J33" s="177">
        <v>6483</v>
      </c>
      <c r="K33" s="115" t="s">
        <v>91</v>
      </c>
      <c r="L33" s="113"/>
      <c r="M33" s="113"/>
      <c r="N33" s="113"/>
      <c r="O33" s="113"/>
      <c r="P33" s="113"/>
      <c r="Q33" s="113"/>
      <c r="R33" s="113"/>
      <c r="S33" s="113"/>
    </row>
    <row r="34" spans="1:19" ht="16" x14ac:dyDescent="0.2">
      <c r="A34" s="84">
        <v>0.54861111111111105</v>
      </c>
      <c r="B34" s="85" t="s">
        <v>72</v>
      </c>
      <c r="C34" s="92">
        <f t="shared" si="11"/>
        <v>2371760</v>
      </c>
      <c r="D34" s="102">
        <v>2383910</v>
      </c>
      <c r="E34" s="86">
        <f t="shared" si="9"/>
        <v>12150</v>
      </c>
      <c r="F34" s="103">
        <v>12093</v>
      </c>
      <c r="G34" s="40">
        <v>0.82310000000000005</v>
      </c>
      <c r="H34" s="88">
        <f t="shared" si="10"/>
        <v>9953.7483000000011</v>
      </c>
      <c r="I34" s="176">
        <v>119</v>
      </c>
      <c r="J34" s="1">
        <v>6485</v>
      </c>
      <c r="K34" s="114" t="s">
        <v>96</v>
      </c>
      <c r="L34" s="113"/>
      <c r="M34" s="113"/>
      <c r="N34" s="89"/>
      <c r="O34" s="113"/>
      <c r="P34" s="113"/>
      <c r="Q34" s="113"/>
      <c r="R34" s="113"/>
      <c r="S34" s="113"/>
    </row>
    <row r="35" spans="1:19" ht="16" x14ac:dyDescent="0.2">
      <c r="A35" s="84">
        <v>0.5625</v>
      </c>
      <c r="B35" s="85" t="s">
        <v>72</v>
      </c>
      <c r="C35" s="92">
        <f t="shared" si="11"/>
        <v>2383910</v>
      </c>
      <c r="D35" s="102">
        <v>2394760</v>
      </c>
      <c r="E35" s="86">
        <f t="shared" si="9"/>
        <v>10850</v>
      </c>
      <c r="F35" s="103">
        <v>10798</v>
      </c>
      <c r="G35" s="40">
        <v>0.82310000000000005</v>
      </c>
      <c r="H35" s="88">
        <f t="shared" si="10"/>
        <v>8887.8338000000003</v>
      </c>
      <c r="I35" s="176">
        <v>81</v>
      </c>
      <c r="J35" s="28">
        <v>6486</v>
      </c>
      <c r="K35" s="114" t="s">
        <v>60</v>
      </c>
      <c r="L35" s="113"/>
      <c r="M35" s="113"/>
      <c r="N35" s="89"/>
      <c r="O35" s="113"/>
      <c r="P35" s="113"/>
      <c r="Q35" s="113"/>
      <c r="R35" s="113"/>
      <c r="S35" s="113"/>
    </row>
    <row r="36" spans="1:19" ht="16" x14ac:dyDescent="0.2">
      <c r="A36" s="84">
        <v>0.59027777777777801</v>
      </c>
      <c r="B36" s="85" t="s">
        <v>72</v>
      </c>
      <c r="C36" s="92">
        <f t="shared" si="11"/>
        <v>2394760</v>
      </c>
      <c r="D36" s="102">
        <v>2400750</v>
      </c>
      <c r="E36" s="86">
        <f t="shared" si="9"/>
        <v>5990</v>
      </c>
      <c r="F36" s="103">
        <v>5926</v>
      </c>
      <c r="G36" s="40">
        <v>0.82310000000000005</v>
      </c>
      <c r="H36" s="88">
        <f t="shared" si="10"/>
        <v>4877.6905999999999</v>
      </c>
      <c r="I36" s="176">
        <v>57</v>
      </c>
      <c r="J36" s="28">
        <v>6487</v>
      </c>
      <c r="K36" s="114" t="s">
        <v>60</v>
      </c>
      <c r="L36" s="113"/>
      <c r="M36" s="113"/>
      <c r="N36" s="89"/>
      <c r="O36" s="113"/>
      <c r="P36" s="113"/>
      <c r="Q36" s="113"/>
      <c r="R36" s="113"/>
      <c r="S36" s="113"/>
    </row>
    <row r="37" spans="1:19" ht="15" customHeight="1" x14ac:dyDescent="0.2">
      <c r="A37" s="84">
        <v>0.59722222222222199</v>
      </c>
      <c r="B37" s="85" t="s">
        <v>72</v>
      </c>
      <c r="C37" s="92">
        <f t="shared" si="11"/>
        <v>2400750</v>
      </c>
      <c r="D37" s="102">
        <v>2405900</v>
      </c>
      <c r="E37" s="86">
        <f t="shared" si="9"/>
        <v>5150</v>
      </c>
      <c r="F37" s="103">
        <v>5117</v>
      </c>
      <c r="G37" s="40">
        <v>0.82310000000000005</v>
      </c>
      <c r="H37" s="88">
        <f t="shared" si="10"/>
        <v>4211.8027000000002</v>
      </c>
      <c r="I37" s="176">
        <v>382</v>
      </c>
      <c r="J37" s="28">
        <v>6488</v>
      </c>
      <c r="K37" s="114" t="s">
        <v>60</v>
      </c>
      <c r="L37" s="113"/>
      <c r="M37" s="113"/>
      <c r="N37" s="89"/>
      <c r="O37" s="113"/>
      <c r="P37" s="113"/>
      <c r="Q37" s="113"/>
      <c r="R37" s="113"/>
      <c r="S37" s="113"/>
    </row>
    <row r="38" spans="1:19" ht="16" x14ac:dyDescent="0.2">
      <c r="A38" s="84">
        <v>0.60416666666666696</v>
      </c>
      <c r="B38" s="85" t="s">
        <v>57</v>
      </c>
      <c r="C38" s="92">
        <f t="shared" si="11"/>
        <v>2405900</v>
      </c>
      <c r="D38" s="102">
        <v>2411440</v>
      </c>
      <c r="E38" s="86">
        <f t="shared" si="9"/>
        <v>5540</v>
      </c>
      <c r="F38" s="103">
        <v>5500</v>
      </c>
      <c r="G38" s="40">
        <v>0.82499999999999996</v>
      </c>
      <c r="H38" s="88">
        <f t="shared" si="10"/>
        <v>4537.5</v>
      </c>
      <c r="I38" s="172">
        <v>467</v>
      </c>
      <c r="J38" s="177">
        <v>6489</v>
      </c>
      <c r="K38" s="115" t="s">
        <v>91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0.63541666666666696</v>
      </c>
      <c r="B39" s="85" t="s">
        <v>57</v>
      </c>
      <c r="C39" s="92">
        <f t="shared" si="11"/>
        <v>2411440</v>
      </c>
      <c r="D39" s="102">
        <v>2412470</v>
      </c>
      <c r="E39" s="86">
        <f t="shared" si="9"/>
        <v>1030</v>
      </c>
      <c r="F39" s="103">
        <v>1010</v>
      </c>
      <c r="G39" s="40">
        <v>0.82499999999999996</v>
      </c>
      <c r="H39" s="88">
        <f t="shared" si="10"/>
        <v>833.25</v>
      </c>
      <c r="I39" s="172">
        <v>467</v>
      </c>
      <c r="J39" s="177">
        <v>6490</v>
      </c>
      <c r="K39" s="115" t="s">
        <v>91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0.68055555555555503</v>
      </c>
      <c r="B40" s="85" t="s">
        <v>72</v>
      </c>
      <c r="C40" s="92">
        <f t="shared" si="11"/>
        <v>2412470</v>
      </c>
      <c r="D40" s="102">
        <v>2422510</v>
      </c>
      <c r="E40" s="86">
        <f t="shared" si="9"/>
        <v>10040</v>
      </c>
      <c r="F40" s="124">
        <v>9986</v>
      </c>
      <c r="G40" s="40">
        <v>0.82289999999999996</v>
      </c>
      <c r="H40" s="88">
        <f t="shared" si="10"/>
        <v>8217.4794000000002</v>
      </c>
      <c r="I40" s="176">
        <v>251</v>
      </c>
      <c r="J40" s="28">
        <v>6491</v>
      </c>
      <c r="K40" s="114" t="s">
        <v>60</v>
      </c>
      <c r="L40" s="113"/>
      <c r="M40" s="113"/>
      <c r="N40" s="113"/>
      <c r="O40" s="113"/>
      <c r="P40" s="113"/>
      <c r="Q40" s="113"/>
      <c r="R40" s="113"/>
      <c r="S40" s="113"/>
    </row>
    <row r="41" spans="1:19" ht="16" x14ac:dyDescent="0.2">
      <c r="A41" s="84">
        <v>0.6875</v>
      </c>
      <c r="B41" s="178" t="s">
        <v>55</v>
      </c>
      <c r="C41" s="92">
        <f t="shared" si="11"/>
        <v>2422510</v>
      </c>
      <c r="D41" s="102">
        <v>2429590</v>
      </c>
      <c r="E41" s="86">
        <f t="shared" si="9"/>
        <v>7080</v>
      </c>
      <c r="F41" s="124">
        <v>7033</v>
      </c>
      <c r="G41" s="40">
        <v>0.82240000000000002</v>
      </c>
      <c r="H41" s="88">
        <f t="shared" si="10"/>
        <v>5783.9391999999998</v>
      </c>
      <c r="I41" s="179">
        <v>251</v>
      </c>
      <c r="J41" s="28">
        <v>6492</v>
      </c>
      <c r="K41" s="114" t="s">
        <v>60</v>
      </c>
      <c r="L41" s="113"/>
      <c r="M41" s="113"/>
      <c r="N41" s="113"/>
      <c r="O41" s="113"/>
      <c r="P41" s="113"/>
      <c r="Q41" s="113"/>
      <c r="R41" s="113"/>
      <c r="S41" s="113"/>
    </row>
    <row r="42" spans="1:19" ht="16" x14ac:dyDescent="0.2">
      <c r="A42" s="84">
        <v>0.73263888888888895</v>
      </c>
      <c r="B42" s="85" t="s">
        <v>57</v>
      </c>
      <c r="C42" s="92">
        <f t="shared" si="11"/>
        <v>2429590</v>
      </c>
      <c r="D42" s="102">
        <v>2446700</v>
      </c>
      <c r="E42" s="86">
        <f t="shared" si="9"/>
        <v>17110</v>
      </c>
      <c r="F42" s="124">
        <v>17019</v>
      </c>
      <c r="G42" s="40">
        <v>0.82420000000000004</v>
      </c>
      <c r="H42" s="88">
        <f t="shared" si="10"/>
        <v>14027.059800000001</v>
      </c>
      <c r="I42" s="172">
        <v>251</v>
      </c>
      <c r="J42" s="177">
        <v>6494</v>
      </c>
      <c r="K42" s="115" t="s">
        <v>91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0.77777777777777801</v>
      </c>
      <c r="B43" s="85" t="s">
        <v>55</v>
      </c>
      <c r="C43" s="92">
        <f t="shared" si="11"/>
        <v>2446700</v>
      </c>
      <c r="D43" s="102">
        <v>2463820</v>
      </c>
      <c r="E43" s="86">
        <f t="shared" si="9"/>
        <v>17120</v>
      </c>
      <c r="F43" s="124">
        <v>17019</v>
      </c>
      <c r="G43" s="40">
        <v>0.82240000000000002</v>
      </c>
      <c r="H43" s="88">
        <f t="shared" si="10"/>
        <v>13996.4256</v>
      </c>
      <c r="I43" s="179">
        <v>251</v>
      </c>
      <c r="J43" s="28">
        <v>6495</v>
      </c>
      <c r="K43" s="114" t="s">
        <v>60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0.85763888888888895</v>
      </c>
      <c r="B44" s="85" t="s">
        <v>57</v>
      </c>
      <c r="C44" s="92">
        <f t="shared" si="11"/>
        <v>2463820</v>
      </c>
      <c r="D44" s="102">
        <v>2480930</v>
      </c>
      <c r="E44" s="86">
        <f t="shared" si="9"/>
        <v>17110</v>
      </c>
      <c r="F44" s="124">
        <v>17019</v>
      </c>
      <c r="G44" s="40">
        <v>0.82420000000000004</v>
      </c>
      <c r="H44" s="88">
        <f t="shared" si="10"/>
        <v>14027.059800000001</v>
      </c>
      <c r="I44" s="172">
        <v>251</v>
      </c>
      <c r="J44" s="177">
        <v>6497</v>
      </c>
      <c r="K44" s="115" t="s">
        <v>91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0.88541666666666696</v>
      </c>
      <c r="B45" s="85" t="s">
        <v>57</v>
      </c>
      <c r="C45" s="92">
        <f t="shared" si="11"/>
        <v>2480930</v>
      </c>
      <c r="D45" s="102">
        <v>2491020</v>
      </c>
      <c r="E45" s="86">
        <f t="shared" si="9"/>
        <v>10090</v>
      </c>
      <c r="F45" s="103">
        <v>10030</v>
      </c>
      <c r="G45" s="40">
        <v>0.82420000000000004</v>
      </c>
      <c r="H45" s="88">
        <f t="shared" si="10"/>
        <v>8266.7260000000006</v>
      </c>
      <c r="I45" s="172">
        <v>467</v>
      </c>
      <c r="J45" s="177">
        <v>6500</v>
      </c>
      <c r="K45" s="115" t="s">
        <v>91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0.91666666666666696</v>
      </c>
      <c r="B46" s="85" t="s">
        <v>55</v>
      </c>
      <c r="C46" s="92">
        <f t="shared" si="11"/>
        <v>2491020</v>
      </c>
      <c r="D46" s="102">
        <v>2499310</v>
      </c>
      <c r="E46" s="86">
        <f t="shared" si="9"/>
        <v>8290</v>
      </c>
      <c r="F46" s="103">
        <v>8243</v>
      </c>
      <c r="G46" s="40">
        <v>0.82240000000000002</v>
      </c>
      <c r="H46" s="88">
        <f t="shared" si="10"/>
        <v>6779.0432000000001</v>
      </c>
      <c r="I46" s="179">
        <v>382</v>
      </c>
      <c r="J46" s="28">
        <v>6503</v>
      </c>
      <c r="K46" s="114" t="s">
        <v>60</v>
      </c>
      <c r="L46" s="113"/>
      <c r="M46" s="113"/>
      <c r="N46" s="113"/>
      <c r="O46" s="113"/>
      <c r="P46" s="113"/>
      <c r="Q46" s="113"/>
      <c r="R46" s="113"/>
      <c r="S46" s="113"/>
    </row>
    <row r="47" spans="1:19" ht="16" x14ac:dyDescent="0.2">
      <c r="A47" s="84">
        <v>0.92708333333333304</v>
      </c>
      <c r="B47" s="85" t="s">
        <v>55</v>
      </c>
      <c r="C47" s="92">
        <f t="shared" si="11"/>
        <v>2499310</v>
      </c>
      <c r="D47" s="102">
        <v>2506320</v>
      </c>
      <c r="E47" s="86">
        <f t="shared" si="9"/>
        <v>7010</v>
      </c>
      <c r="F47" s="103">
        <v>6969</v>
      </c>
      <c r="G47" s="40">
        <v>0.82240000000000002</v>
      </c>
      <c r="H47" s="88">
        <f t="shared" si="10"/>
        <v>5731.3055999999997</v>
      </c>
      <c r="I47" s="179">
        <v>81</v>
      </c>
      <c r="J47" s="28">
        <v>6504</v>
      </c>
      <c r="K47" s="114" t="s">
        <v>60</v>
      </c>
      <c r="L47" s="113"/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0.93402777777777801</v>
      </c>
      <c r="B48" s="85" t="s">
        <v>55</v>
      </c>
      <c r="C48" s="92">
        <f t="shared" si="11"/>
        <v>2506320</v>
      </c>
      <c r="D48" s="102">
        <v>2511640</v>
      </c>
      <c r="E48" s="86">
        <f t="shared" si="9"/>
        <v>5320</v>
      </c>
      <c r="F48" s="103">
        <v>5280</v>
      </c>
      <c r="G48" s="40">
        <v>0.82240000000000002</v>
      </c>
      <c r="H48" s="88">
        <f t="shared" si="10"/>
        <v>4342.2719999999999</v>
      </c>
      <c r="I48" s="179">
        <v>57</v>
      </c>
      <c r="J48" s="28">
        <v>6505</v>
      </c>
      <c r="K48" s="114" t="s">
        <v>60</v>
      </c>
      <c r="L48" s="113"/>
      <c r="M48" s="113"/>
      <c r="N48" s="113"/>
      <c r="O48" s="113"/>
      <c r="P48" s="113"/>
      <c r="Q48" s="113"/>
      <c r="R48" s="113"/>
      <c r="S48" s="113"/>
    </row>
    <row r="49" spans="1:19" ht="16" x14ac:dyDescent="0.2">
      <c r="A49" s="84">
        <v>0.94444444444444398</v>
      </c>
      <c r="B49" s="180" t="s">
        <v>89</v>
      </c>
      <c r="C49" s="92">
        <f t="shared" si="11"/>
        <v>2511640</v>
      </c>
      <c r="D49" s="102">
        <v>2528760</v>
      </c>
      <c r="E49" s="86">
        <f t="shared" si="9"/>
        <v>17120</v>
      </c>
      <c r="F49" s="124">
        <v>17019</v>
      </c>
      <c r="G49" s="40">
        <v>0.82410000000000005</v>
      </c>
      <c r="H49" s="88">
        <f t="shared" si="10"/>
        <v>14025.357900000001</v>
      </c>
      <c r="I49" s="181">
        <v>251</v>
      </c>
      <c r="J49" s="177">
        <v>6506</v>
      </c>
      <c r="K49" s="115" t="s">
        <v>91</v>
      </c>
      <c r="L49" s="113"/>
      <c r="M49" s="113"/>
      <c r="N49" s="113"/>
      <c r="O49" s="113"/>
      <c r="P49" s="113"/>
      <c r="Q49" s="113"/>
      <c r="R49" s="113"/>
      <c r="S49" s="113"/>
    </row>
    <row r="50" spans="1:19" ht="16" x14ac:dyDescent="0.2">
      <c r="A50" s="84">
        <v>7.6388888888888895E-2</v>
      </c>
      <c r="B50" s="85" t="s">
        <v>55</v>
      </c>
      <c r="C50" s="92">
        <f t="shared" si="11"/>
        <v>2528760</v>
      </c>
      <c r="D50" s="102">
        <v>2534780</v>
      </c>
      <c r="E50" s="86">
        <f t="shared" si="9"/>
        <v>6020</v>
      </c>
      <c r="F50" s="103">
        <v>5982</v>
      </c>
      <c r="G50" s="40">
        <v>0.82240000000000002</v>
      </c>
      <c r="H50" s="88">
        <f t="shared" si="10"/>
        <v>4919.5968000000003</v>
      </c>
      <c r="I50" s="179">
        <v>57</v>
      </c>
      <c r="J50" s="28">
        <v>6507</v>
      </c>
      <c r="K50" s="114" t="s">
        <v>60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0.11111111111111099</v>
      </c>
      <c r="B51" s="134" t="s">
        <v>52</v>
      </c>
      <c r="C51" s="92">
        <f t="shared" si="11"/>
        <v>2534780</v>
      </c>
      <c r="D51" s="102">
        <v>2549920</v>
      </c>
      <c r="E51" s="86">
        <f t="shared" si="9"/>
        <v>15140</v>
      </c>
      <c r="F51" s="103">
        <v>15040</v>
      </c>
      <c r="G51" s="40">
        <v>0.83789999999999998</v>
      </c>
      <c r="H51" s="88">
        <f t="shared" si="10"/>
        <v>12602.016</v>
      </c>
      <c r="I51" s="160">
        <v>467</v>
      </c>
      <c r="J51" s="28">
        <v>6509</v>
      </c>
      <c r="K51" s="115" t="s">
        <v>82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0.26041666666666702</v>
      </c>
      <c r="B52" s="85" t="s">
        <v>89</v>
      </c>
      <c r="C52" s="92">
        <f t="shared" si="11"/>
        <v>2549920</v>
      </c>
      <c r="D52" s="102">
        <v>2567030</v>
      </c>
      <c r="E52" s="86">
        <f t="shared" si="9"/>
        <v>17110</v>
      </c>
      <c r="F52" s="124">
        <v>17019</v>
      </c>
      <c r="G52" s="40">
        <v>0.82410000000000005</v>
      </c>
      <c r="H52" s="88">
        <f t="shared" si="10"/>
        <v>14025.357900000001</v>
      </c>
      <c r="I52" s="181">
        <v>251</v>
      </c>
      <c r="J52" s="177">
        <v>6513</v>
      </c>
      <c r="K52" s="115" t="s">
        <v>91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0.33680555555555602</v>
      </c>
      <c r="B53" s="85" t="s">
        <v>89</v>
      </c>
      <c r="C53" s="92">
        <f t="shared" si="11"/>
        <v>2567030</v>
      </c>
      <c r="D53" s="102">
        <v>2584150</v>
      </c>
      <c r="E53" s="86">
        <f t="shared" si="9"/>
        <v>17120</v>
      </c>
      <c r="F53" s="124">
        <v>17019</v>
      </c>
      <c r="G53" s="40">
        <v>0.82410000000000005</v>
      </c>
      <c r="H53" s="88">
        <f t="shared" si="10"/>
        <v>14025.357900000001</v>
      </c>
      <c r="I53" s="181">
        <v>251</v>
      </c>
      <c r="J53" s="177">
        <v>6516</v>
      </c>
      <c r="K53" s="115" t="s">
        <v>91</v>
      </c>
      <c r="L53" s="113"/>
      <c r="M53" s="113"/>
      <c r="N53" s="113"/>
      <c r="O53" s="113"/>
      <c r="P53" s="113"/>
      <c r="Q53" s="113"/>
      <c r="R53" s="113"/>
      <c r="S53" s="113"/>
    </row>
    <row r="54" spans="1:19" x14ac:dyDescent="0.2">
      <c r="A54" s="84"/>
      <c r="B54" s="85"/>
      <c r="C54" s="92">
        <v>0</v>
      </c>
      <c r="D54" s="102"/>
      <c r="E54" s="86">
        <f t="shared" si="9"/>
        <v>0</v>
      </c>
      <c r="F54" s="103">
        <f>SUM(D54-C54)</f>
        <v>0</v>
      </c>
      <c r="G54" s="40"/>
      <c r="H54" s="88">
        <f t="shared" si="10"/>
        <v>0</v>
      </c>
      <c r="I54" s="1"/>
      <c r="J54" s="28"/>
      <c r="K54" s="105"/>
      <c r="L54" s="113"/>
      <c r="M54" s="113"/>
      <c r="N54" s="113"/>
      <c r="O54" s="113"/>
      <c r="P54" s="113"/>
      <c r="Q54" s="113"/>
      <c r="R54" s="113"/>
      <c r="S54" s="113"/>
    </row>
    <row r="55" spans="1:19" x14ac:dyDescent="0.2">
      <c r="A55" s="84"/>
      <c r="B55" s="85"/>
      <c r="C55" s="92">
        <f>SUM(D54)</f>
        <v>0</v>
      </c>
      <c r="D55" s="102"/>
      <c r="E55" s="86">
        <f t="shared" si="9"/>
        <v>0</v>
      </c>
      <c r="F55" s="103">
        <f>SUM(D55-C55)</f>
        <v>0</v>
      </c>
      <c r="G55" s="40"/>
      <c r="H55" s="88">
        <f t="shared" si="10"/>
        <v>0</v>
      </c>
      <c r="I55" s="1"/>
      <c r="J55" s="28"/>
      <c r="K55" s="105"/>
      <c r="L55" s="113"/>
      <c r="M55" s="113"/>
      <c r="N55" s="113"/>
      <c r="O55" s="113"/>
      <c r="P55" s="113"/>
      <c r="Q55" s="113"/>
      <c r="R55" s="113"/>
      <c r="S55" s="113"/>
    </row>
    <row r="56" spans="1:19" x14ac:dyDescent="0.2">
      <c r="A56" s="84"/>
      <c r="B56" s="85"/>
      <c r="C56" s="92">
        <f>SUM(D55)</f>
        <v>0</v>
      </c>
      <c r="D56" s="102"/>
      <c r="E56" s="86">
        <f t="shared" si="9"/>
        <v>0</v>
      </c>
      <c r="F56" s="103">
        <f>SUM(D56-C56)</f>
        <v>0</v>
      </c>
      <c r="G56" s="40"/>
      <c r="H56" s="88">
        <f t="shared" si="10"/>
        <v>0</v>
      </c>
      <c r="I56" s="1"/>
      <c r="J56" s="28"/>
      <c r="K56" s="105"/>
      <c r="L56" s="113"/>
      <c r="M56" s="113"/>
      <c r="N56" s="113"/>
      <c r="O56" s="113"/>
      <c r="P56" s="113"/>
      <c r="Q56" s="113"/>
      <c r="R56" s="113"/>
      <c r="S56" s="113"/>
    </row>
    <row r="57" spans="1:19" x14ac:dyDescent="0.2">
      <c r="A57" s="84"/>
      <c r="B57" s="85"/>
      <c r="C57" s="92">
        <f>SUM(D56)</f>
        <v>0</v>
      </c>
      <c r="D57" s="102"/>
      <c r="E57" s="86">
        <f t="shared" si="9"/>
        <v>0</v>
      </c>
      <c r="F57" s="103">
        <f>SUM(D57-C57)</f>
        <v>0</v>
      </c>
      <c r="G57" s="40"/>
      <c r="H57" s="88">
        <f t="shared" si="10"/>
        <v>0</v>
      </c>
      <c r="I57" s="1"/>
      <c r="J57" s="28"/>
      <c r="K57" s="113"/>
      <c r="L57" s="113"/>
      <c r="M57" s="113"/>
      <c r="N57" s="113"/>
      <c r="O57" s="113"/>
      <c r="P57" s="113"/>
      <c r="Q57" s="113"/>
      <c r="R57" s="113"/>
      <c r="S57" s="113"/>
    </row>
    <row r="58" spans="1:19" x14ac:dyDescent="0.2">
      <c r="A58" s="84"/>
      <c r="B58" s="85"/>
      <c r="C58" s="92">
        <f>SUM(D57)</f>
        <v>0</v>
      </c>
      <c r="D58" s="70"/>
      <c r="E58" s="86">
        <f t="shared" si="9"/>
        <v>0</v>
      </c>
      <c r="F58" s="126">
        <f>SUM(D58-C58)</f>
        <v>0</v>
      </c>
      <c r="G58" s="40"/>
      <c r="H58" s="127">
        <f t="shared" si="10"/>
        <v>0</v>
      </c>
      <c r="I58" s="1"/>
      <c r="J58" s="28"/>
      <c r="K58" s="113"/>
      <c r="L58" s="113"/>
      <c r="M58" s="113"/>
      <c r="N58" s="113"/>
      <c r="O58" s="113"/>
      <c r="P58" s="113"/>
      <c r="Q58" s="113"/>
      <c r="R58" s="113"/>
      <c r="S58" s="113"/>
    </row>
    <row r="59" spans="1:19" x14ac:dyDescent="0.2">
      <c r="A59" s="84"/>
      <c r="B59" s="85"/>
      <c r="C59" s="92">
        <f>SUM(D58)</f>
        <v>0</v>
      </c>
      <c r="D59" s="70"/>
      <c r="E59" s="104">
        <f t="shared" si="9"/>
        <v>0</v>
      </c>
      <c r="F59" s="170">
        <v>278074</v>
      </c>
      <c r="G59" s="129"/>
      <c r="H59" s="171">
        <v>229232</v>
      </c>
      <c r="I59" s="131"/>
      <c r="J59" s="28"/>
      <c r="K59" s="116"/>
      <c r="L59" s="113"/>
      <c r="M59" s="113"/>
      <c r="N59" s="113"/>
      <c r="O59" s="113"/>
      <c r="P59" s="113"/>
      <c r="Q59" s="113"/>
      <c r="R59" s="113"/>
      <c r="S59" s="113"/>
    </row>
    <row r="60" spans="1:19" x14ac:dyDescent="0.2"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F61" s="170">
        <f>F59+F26</f>
        <v>555051</v>
      </c>
      <c r="G61" s="129"/>
      <c r="H61" s="171">
        <f>H59+H26</f>
        <v>459319</v>
      </c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E62" s="113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E63" s="113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hidden="1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hidden="1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hidden="1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hidden="1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hidden="1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</row>
    <row r="88" spans="5:19" x14ac:dyDescent="0.2">
      <c r="E88" s="113"/>
    </row>
    <row r="89" spans="5:19" x14ac:dyDescent="0.2">
      <c r="E89" s="113"/>
    </row>
    <row r="90" spans="5:19" x14ac:dyDescent="0.2">
      <c r="E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2"/>
  <sheetViews>
    <sheetView topLeftCell="A28" zoomScale="65" zoomScaleNormal="65" workbookViewId="0">
      <selection activeCell="H54" sqref="H54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0.5" style="66" customWidth="1"/>
    <col min="12" max="12" width="12.1640625" style="65" customWidth="1"/>
    <col min="13" max="13" width="10.8320312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>
        <v>45083</v>
      </c>
      <c r="B2" s="76" t="s">
        <v>36</v>
      </c>
      <c r="C2" s="77"/>
      <c r="D2" s="77"/>
      <c r="E2" s="77"/>
      <c r="F2" s="77"/>
      <c r="G2" s="78"/>
      <c r="H2" s="79"/>
      <c r="I2" s="80"/>
      <c r="J2" s="81"/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0.40277777777777801</v>
      </c>
      <c r="B3" s="85" t="s">
        <v>54</v>
      </c>
      <c r="C3" s="70">
        <v>50027490</v>
      </c>
      <c r="D3" s="70">
        <v>50045740</v>
      </c>
      <c r="E3" s="86">
        <f t="shared" ref="E3:E30" si="0">SUM(D3-C3)</f>
        <v>18250</v>
      </c>
      <c r="F3" s="185">
        <v>18241</v>
      </c>
      <c r="G3" s="40">
        <v>0.83069999999999999</v>
      </c>
      <c r="H3" s="88">
        <f t="shared" ref="H3:H30" si="1">SUM(G3*F3)</f>
        <v>15152.798699999999</v>
      </c>
      <c r="I3" s="28">
        <v>787</v>
      </c>
      <c r="J3" s="28">
        <v>6517</v>
      </c>
      <c r="K3" s="89" t="s">
        <v>18</v>
      </c>
      <c r="L3" s="90">
        <v>0.40277777777777801</v>
      </c>
      <c r="M3" s="91" t="s">
        <v>39</v>
      </c>
      <c r="N3" s="155">
        <v>7624030</v>
      </c>
      <c r="O3" s="93">
        <v>7624220</v>
      </c>
      <c r="P3" s="94">
        <f t="shared" ref="P3:P16" si="2">SUM(O3-N3)</f>
        <v>190</v>
      </c>
      <c r="Q3" s="95">
        <v>0.83309999999999995</v>
      </c>
      <c r="R3" s="96">
        <f t="shared" ref="R3:R16" si="3">SUM(Q3*P3)</f>
        <v>158.28899999999999</v>
      </c>
      <c r="S3" s="97" t="s">
        <v>42</v>
      </c>
      <c r="V3" t="s">
        <v>41</v>
      </c>
    </row>
    <row r="4" spans="1:22" ht="16" x14ac:dyDescent="0.2">
      <c r="A4" s="84">
        <v>0.46875</v>
      </c>
      <c r="B4" s="85" t="s">
        <v>54</v>
      </c>
      <c r="C4" s="92">
        <f t="shared" ref="C4:C19" si="4">SUM(D3)</f>
        <v>50045740</v>
      </c>
      <c r="D4" s="70">
        <v>50064000</v>
      </c>
      <c r="E4" s="86">
        <f t="shared" si="0"/>
        <v>18260</v>
      </c>
      <c r="F4" s="185">
        <v>18241</v>
      </c>
      <c r="G4" s="40">
        <v>0.8256</v>
      </c>
      <c r="H4" s="88">
        <f t="shared" si="1"/>
        <v>15059.7696</v>
      </c>
      <c r="I4" s="28">
        <v>787</v>
      </c>
      <c r="J4" s="28">
        <v>6522</v>
      </c>
      <c r="K4" s="89" t="s">
        <v>18</v>
      </c>
      <c r="L4" s="90">
        <v>0.69444444444444398</v>
      </c>
      <c r="M4" s="99" t="s">
        <v>54</v>
      </c>
      <c r="N4" s="94">
        <f t="shared" ref="N4:N16" si="5">SUM(O3)</f>
        <v>7624220</v>
      </c>
      <c r="O4" s="93">
        <v>7624490</v>
      </c>
      <c r="P4" s="94">
        <f t="shared" si="2"/>
        <v>270</v>
      </c>
      <c r="Q4" s="100">
        <v>0.8256</v>
      </c>
      <c r="R4" s="96">
        <f t="shared" si="3"/>
        <v>222.91200000000001</v>
      </c>
      <c r="S4" s="97" t="s">
        <v>43</v>
      </c>
    </row>
    <row r="5" spans="1:22" ht="16" x14ac:dyDescent="0.2">
      <c r="A5" s="84">
        <v>0.49305555555555602</v>
      </c>
      <c r="B5" s="85" t="s">
        <v>46</v>
      </c>
      <c r="C5" s="92">
        <f t="shared" si="4"/>
        <v>50064000</v>
      </c>
      <c r="D5" s="70">
        <v>50075970</v>
      </c>
      <c r="E5" s="86">
        <f t="shared" si="0"/>
        <v>11970</v>
      </c>
      <c r="F5" s="103">
        <v>11965</v>
      </c>
      <c r="G5" s="40">
        <v>0.82940000000000003</v>
      </c>
      <c r="H5" s="88">
        <f t="shared" si="1"/>
        <v>9923.7710000000006</v>
      </c>
      <c r="I5" s="28">
        <v>147</v>
      </c>
      <c r="J5" s="28">
        <v>6524</v>
      </c>
      <c r="K5" s="89" t="s">
        <v>18</v>
      </c>
      <c r="L5" s="90">
        <v>0.8125</v>
      </c>
      <c r="M5" s="99" t="s">
        <v>44</v>
      </c>
      <c r="N5" s="94">
        <f t="shared" si="5"/>
        <v>7624490</v>
      </c>
      <c r="O5" s="93">
        <v>7624590</v>
      </c>
      <c r="P5" s="94">
        <f t="shared" si="2"/>
        <v>100</v>
      </c>
      <c r="Q5" s="95">
        <v>0.83299999999999996</v>
      </c>
      <c r="R5" s="96">
        <f t="shared" si="3"/>
        <v>83.3</v>
      </c>
      <c r="S5" s="97" t="s">
        <v>67</v>
      </c>
    </row>
    <row r="6" spans="1:22" ht="16" x14ac:dyDescent="0.2">
      <c r="A6" s="84">
        <v>0.50694444444444398</v>
      </c>
      <c r="B6" s="85" t="s">
        <v>46</v>
      </c>
      <c r="C6" s="92">
        <f t="shared" si="4"/>
        <v>50075970</v>
      </c>
      <c r="D6" s="70">
        <v>50089020</v>
      </c>
      <c r="E6" s="86">
        <f t="shared" si="0"/>
        <v>13050</v>
      </c>
      <c r="F6" s="103">
        <v>13049</v>
      </c>
      <c r="G6" s="40">
        <v>0.82940000000000003</v>
      </c>
      <c r="H6" s="88">
        <f t="shared" si="1"/>
        <v>10822.8406</v>
      </c>
      <c r="I6" s="28">
        <v>248</v>
      </c>
      <c r="J6" s="28">
        <v>6527</v>
      </c>
      <c r="K6" s="89" t="s">
        <v>18</v>
      </c>
      <c r="L6" s="90">
        <v>0.99305555555555503</v>
      </c>
      <c r="M6" s="99" t="s">
        <v>39</v>
      </c>
      <c r="N6" s="94">
        <f t="shared" si="5"/>
        <v>7624590</v>
      </c>
      <c r="O6" s="93">
        <v>7624830</v>
      </c>
      <c r="P6" s="94">
        <f t="shared" si="2"/>
        <v>240</v>
      </c>
      <c r="Q6" s="40">
        <v>0.83379999999999999</v>
      </c>
      <c r="R6" s="96">
        <f t="shared" si="3"/>
        <v>200.11199999999999</v>
      </c>
      <c r="S6" s="97" t="s">
        <v>45</v>
      </c>
    </row>
    <row r="7" spans="1:22" ht="16" x14ac:dyDescent="0.2">
      <c r="A7" s="84">
        <v>0.71180555555555503</v>
      </c>
      <c r="B7" s="85" t="s">
        <v>46</v>
      </c>
      <c r="C7" s="92">
        <f t="shared" si="4"/>
        <v>50089020</v>
      </c>
      <c r="D7" s="70">
        <v>50107260</v>
      </c>
      <c r="E7" s="86">
        <f t="shared" si="0"/>
        <v>18240</v>
      </c>
      <c r="F7" s="185">
        <v>18241</v>
      </c>
      <c r="G7" s="40">
        <v>0.82940000000000003</v>
      </c>
      <c r="H7" s="88">
        <f t="shared" si="1"/>
        <v>15129.0854</v>
      </c>
      <c r="I7" s="28">
        <v>787</v>
      </c>
      <c r="J7" s="28">
        <v>6533</v>
      </c>
      <c r="K7" s="89" t="s">
        <v>18</v>
      </c>
      <c r="L7" s="90">
        <v>3.4722222222222203E-2</v>
      </c>
      <c r="M7" s="99" t="s">
        <v>44</v>
      </c>
      <c r="N7" s="94">
        <f t="shared" si="5"/>
        <v>7624830</v>
      </c>
      <c r="O7" s="93">
        <v>7625040</v>
      </c>
      <c r="P7" s="94">
        <f t="shared" si="2"/>
        <v>210</v>
      </c>
      <c r="Q7" s="40">
        <v>0.83160000000000001</v>
      </c>
      <c r="R7" s="96">
        <f t="shared" si="3"/>
        <v>174.636</v>
      </c>
      <c r="S7" s="97" t="s">
        <v>65</v>
      </c>
    </row>
    <row r="8" spans="1:22" ht="16" x14ac:dyDescent="0.2">
      <c r="A8" s="84">
        <v>0.77083333333333304</v>
      </c>
      <c r="B8" s="85" t="s">
        <v>54</v>
      </c>
      <c r="C8" s="92">
        <f t="shared" si="4"/>
        <v>50107260</v>
      </c>
      <c r="D8" s="70">
        <v>50125500</v>
      </c>
      <c r="E8" s="86">
        <f t="shared" si="0"/>
        <v>18240</v>
      </c>
      <c r="F8" s="185">
        <v>18241</v>
      </c>
      <c r="G8" s="40">
        <v>0.83020000000000005</v>
      </c>
      <c r="H8" s="88">
        <f t="shared" si="1"/>
        <v>15143.6782</v>
      </c>
      <c r="I8" s="28">
        <v>787</v>
      </c>
      <c r="J8" s="28">
        <v>6535</v>
      </c>
      <c r="K8" s="89" t="s">
        <v>18</v>
      </c>
      <c r="L8" s="90">
        <v>5.5555555555555601E-2</v>
      </c>
      <c r="M8" s="91" t="s">
        <v>54</v>
      </c>
      <c r="N8" s="94">
        <f t="shared" si="5"/>
        <v>7625040</v>
      </c>
      <c r="O8" s="93">
        <v>7625310</v>
      </c>
      <c r="P8" s="94">
        <f t="shared" si="2"/>
        <v>270</v>
      </c>
      <c r="Q8" s="95">
        <v>0.82969999999999999</v>
      </c>
      <c r="R8" s="96">
        <f t="shared" si="3"/>
        <v>224.01900000000001</v>
      </c>
      <c r="S8" s="1" t="s">
        <v>47</v>
      </c>
    </row>
    <row r="9" spans="1:22" ht="16" x14ac:dyDescent="0.2">
      <c r="A9" s="84">
        <v>0.88194444444444398</v>
      </c>
      <c r="B9" s="85" t="s">
        <v>54</v>
      </c>
      <c r="C9" s="92">
        <f t="shared" si="4"/>
        <v>50125500</v>
      </c>
      <c r="D9" s="70">
        <v>50147930</v>
      </c>
      <c r="E9" s="86">
        <f t="shared" si="0"/>
        <v>22430</v>
      </c>
      <c r="F9" s="185">
        <v>22430</v>
      </c>
      <c r="G9" s="40">
        <v>0.82969999999999999</v>
      </c>
      <c r="H9" s="88">
        <f t="shared" si="1"/>
        <v>18610.170999999998</v>
      </c>
      <c r="I9" s="28">
        <v>388</v>
      </c>
      <c r="J9" s="28">
        <v>6539</v>
      </c>
      <c r="K9" s="89" t="s">
        <v>18</v>
      </c>
      <c r="L9" s="90">
        <v>0.125</v>
      </c>
      <c r="M9" s="91" t="s">
        <v>54</v>
      </c>
      <c r="N9" s="94">
        <f t="shared" si="5"/>
        <v>7625310</v>
      </c>
      <c r="O9" s="93">
        <v>7625560</v>
      </c>
      <c r="P9" s="94">
        <f t="shared" si="2"/>
        <v>250</v>
      </c>
      <c r="Q9" s="95">
        <v>0.82969999999999999</v>
      </c>
      <c r="R9" s="96">
        <f t="shared" si="3"/>
        <v>207.42500000000001</v>
      </c>
      <c r="S9" s="1" t="s">
        <v>53</v>
      </c>
    </row>
    <row r="10" spans="1:22" ht="16" x14ac:dyDescent="0.2">
      <c r="A10" s="84">
        <v>0.92361111111111105</v>
      </c>
      <c r="B10" s="85" t="s">
        <v>44</v>
      </c>
      <c r="C10" s="92">
        <f t="shared" si="4"/>
        <v>50147930</v>
      </c>
      <c r="D10" s="70">
        <v>50154960</v>
      </c>
      <c r="E10" s="86">
        <f t="shared" si="0"/>
        <v>7030</v>
      </c>
      <c r="F10" s="101">
        <v>7033</v>
      </c>
      <c r="G10" s="40">
        <v>0.83160000000000001</v>
      </c>
      <c r="H10" s="88">
        <f t="shared" si="1"/>
        <v>5848.6427999999996</v>
      </c>
      <c r="I10" s="28">
        <v>251</v>
      </c>
      <c r="J10" s="28">
        <v>6542</v>
      </c>
      <c r="K10" s="89" t="s">
        <v>18</v>
      </c>
      <c r="L10" s="90"/>
      <c r="M10" s="91"/>
      <c r="N10" s="94">
        <f t="shared" si="5"/>
        <v>7625560</v>
      </c>
      <c r="O10" s="93"/>
      <c r="P10" s="94">
        <f t="shared" si="2"/>
        <v>-7625560</v>
      </c>
      <c r="Q10" s="95"/>
      <c r="R10" s="96">
        <f t="shared" si="3"/>
        <v>0</v>
      </c>
      <c r="S10" s="97"/>
    </row>
    <row r="11" spans="1:22" ht="16" x14ac:dyDescent="0.2">
      <c r="A11" s="84">
        <v>0.94444444444444398</v>
      </c>
      <c r="B11" s="85" t="s">
        <v>46</v>
      </c>
      <c r="C11" s="92">
        <f t="shared" si="4"/>
        <v>50154960</v>
      </c>
      <c r="D11" s="70">
        <v>50163540</v>
      </c>
      <c r="E11" s="86">
        <f t="shared" si="0"/>
        <v>8580</v>
      </c>
      <c r="F11" s="103">
        <v>8589</v>
      </c>
      <c r="G11" s="40">
        <v>0.82989999999999997</v>
      </c>
      <c r="H11" s="88">
        <f t="shared" si="1"/>
        <v>7128.0110999999997</v>
      </c>
      <c r="I11" s="28">
        <v>147</v>
      </c>
      <c r="J11" s="28">
        <v>6545</v>
      </c>
      <c r="K11" s="89" t="s">
        <v>18</v>
      </c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0.95138888888888895</v>
      </c>
      <c r="B12" s="85" t="s">
        <v>54</v>
      </c>
      <c r="C12" s="92">
        <f t="shared" si="4"/>
        <v>50163540</v>
      </c>
      <c r="D12" s="70">
        <v>50185960</v>
      </c>
      <c r="E12" s="86">
        <f t="shared" si="0"/>
        <v>22420</v>
      </c>
      <c r="F12" s="185">
        <v>22430</v>
      </c>
      <c r="G12" s="40">
        <v>0.82969999999999999</v>
      </c>
      <c r="H12" s="88">
        <f t="shared" si="1"/>
        <v>18610.170999999998</v>
      </c>
      <c r="I12" s="28">
        <v>388</v>
      </c>
      <c r="J12" s="28">
        <v>6546</v>
      </c>
      <c r="K12" s="89" t="s">
        <v>18</v>
      </c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0.15972222222222199</v>
      </c>
      <c r="B13" s="85" t="s">
        <v>46</v>
      </c>
      <c r="C13" s="92">
        <f t="shared" si="4"/>
        <v>50185960</v>
      </c>
      <c r="D13" s="70">
        <v>50208390</v>
      </c>
      <c r="E13" s="86">
        <f t="shared" si="0"/>
        <v>22430</v>
      </c>
      <c r="F13" s="185">
        <v>22430</v>
      </c>
      <c r="G13" s="40">
        <v>0.83320000000000005</v>
      </c>
      <c r="H13" s="88">
        <f t="shared" si="1"/>
        <v>18688.675999999999</v>
      </c>
      <c r="I13" s="28">
        <v>388</v>
      </c>
      <c r="J13" s="28">
        <v>6551</v>
      </c>
      <c r="K13" s="89" t="s">
        <v>18</v>
      </c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0.180555555555556</v>
      </c>
      <c r="B14" s="85" t="s">
        <v>46</v>
      </c>
      <c r="C14" s="92">
        <f t="shared" si="4"/>
        <v>50208390</v>
      </c>
      <c r="D14" s="70">
        <v>50225420</v>
      </c>
      <c r="E14" s="86">
        <f t="shared" si="0"/>
        <v>17030</v>
      </c>
      <c r="F14" s="101">
        <v>17019</v>
      </c>
      <c r="G14" s="40">
        <v>0.83320000000000005</v>
      </c>
      <c r="H14" s="88">
        <f t="shared" si="1"/>
        <v>14180.230800000001</v>
      </c>
      <c r="I14" s="28">
        <v>251</v>
      </c>
      <c r="J14" s="28">
        <v>6552</v>
      </c>
      <c r="K14" s="89" t="s">
        <v>18</v>
      </c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0.225694444444444</v>
      </c>
      <c r="B15" s="85" t="s">
        <v>54</v>
      </c>
      <c r="C15" s="92">
        <f t="shared" si="4"/>
        <v>50225420</v>
      </c>
      <c r="D15" s="70">
        <v>50247850</v>
      </c>
      <c r="E15" s="86">
        <f t="shared" si="0"/>
        <v>22430</v>
      </c>
      <c r="F15" s="185">
        <v>22430</v>
      </c>
      <c r="G15" s="40">
        <v>0.83260000000000001</v>
      </c>
      <c r="H15" s="88">
        <f t="shared" si="1"/>
        <v>18675.218000000001</v>
      </c>
      <c r="I15" s="28">
        <v>388</v>
      </c>
      <c r="J15" s="28">
        <v>6553</v>
      </c>
      <c r="K15" s="89" t="s">
        <v>18</v>
      </c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0.27083333333333298</v>
      </c>
      <c r="B16" s="85" t="s">
        <v>39</v>
      </c>
      <c r="C16" s="92">
        <f t="shared" si="4"/>
        <v>50247850</v>
      </c>
      <c r="D16" s="70">
        <v>50264870</v>
      </c>
      <c r="E16" s="86">
        <f t="shared" si="0"/>
        <v>17020</v>
      </c>
      <c r="F16" s="101">
        <v>17019</v>
      </c>
      <c r="G16" s="40">
        <v>0.83589999999999998</v>
      </c>
      <c r="H16" s="88">
        <f t="shared" si="1"/>
        <v>14226.1821</v>
      </c>
      <c r="I16" s="28">
        <v>251</v>
      </c>
      <c r="J16" s="28">
        <v>6555</v>
      </c>
      <c r="K16" s="89" t="s">
        <v>18</v>
      </c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0.29166666666666702</v>
      </c>
      <c r="B17" s="85" t="s">
        <v>39</v>
      </c>
      <c r="C17" s="92">
        <f t="shared" si="4"/>
        <v>50264870</v>
      </c>
      <c r="D17" s="70">
        <v>50287300</v>
      </c>
      <c r="E17" s="86">
        <f t="shared" si="0"/>
        <v>22430</v>
      </c>
      <c r="F17" s="185">
        <v>22430</v>
      </c>
      <c r="G17" s="40">
        <v>0.83589999999999998</v>
      </c>
      <c r="H17" s="88">
        <f t="shared" si="1"/>
        <v>18749.237000000001</v>
      </c>
      <c r="I17" s="28">
        <v>388</v>
      </c>
      <c r="J17" s="28">
        <v>6556</v>
      </c>
      <c r="K17" s="89" t="s">
        <v>18</v>
      </c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0.35416666666666702</v>
      </c>
      <c r="B18" s="85" t="s">
        <v>39</v>
      </c>
      <c r="C18" s="92">
        <f t="shared" si="4"/>
        <v>50287300</v>
      </c>
      <c r="D18" s="70">
        <v>50298780</v>
      </c>
      <c r="E18" s="86">
        <f t="shared" si="0"/>
        <v>11480</v>
      </c>
      <c r="F18" s="185">
        <v>11480</v>
      </c>
      <c r="G18" s="40">
        <v>0.83589999999999998</v>
      </c>
      <c r="H18" s="88">
        <f t="shared" si="1"/>
        <v>9596.1319999999996</v>
      </c>
      <c r="I18" s="28">
        <v>388</v>
      </c>
      <c r="J18" s="28">
        <v>6558</v>
      </c>
      <c r="K18" s="89" t="s">
        <v>18</v>
      </c>
      <c r="L18" s="90"/>
      <c r="M18" s="99"/>
      <c r="N18" s="125"/>
      <c r="O18" s="93"/>
      <c r="P18" s="103">
        <f t="shared" ref="P18:P26" si="6">SUM(O18-N18)</f>
        <v>0</v>
      </c>
      <c r="Q18" s="40"/>
      <c r="R18" s="88">
        <f t="shared" ref="R18:R26" si="7">SUM(Q18*P18)</f>
        <v>0</v>
      </c>
      <c r="S18" s="97"/>
      <c r="T18" t="s">
        <v>41</v>
      </c>
    </row>
    <row r="19" spans="1:20" ht="16" x14ac:dyDescent="0.2">
      <c r="A19" s="84">
        <v>0.35416666666666702</v>
      </c>
      <c r="B19" s="85" t="s">
        <v>39</v>
      </c>
      <c r="C19" s="92">
        <f t="shared" si="4"/>
        <v>50298780</v>
      </c>
      <c r="D19" s="70">
        <v>50309730</v>
      </c>
      <c r="E19" s="86">
        <f t="shared" si="0"/>
        <v>10950</v>
      </c>
      <c r="F19" s="185">
        <v>10950</v>
      </c>
      <c r="G19" s="40">
        <v>0.83589999999999998</v>
      </c>
      <c r="H19" s="88">
        <f t="shared" si="1"/>
        <v>9153.1049999999996</v>
      </c>
      <c r="I19" s="28">
        <v>388</v>
      </c>
      <c r="J19" s="28">
        <v>6559</v>
      </c>
      <c r="K19" s="89" t="s">
        <v>18</v>
      </c>
      <c r="L19" s="90"/>
      <c r="M19" s="99"/>
      <c r="N19" s="92">
        <f t="shared" ref="N19:N26" si="8">SUM(O18)</f>
        <v>0</v>
      </c>
      <c r="O19" s="93"/>
      <c r="P19" s="103">
        <f t="shared" si="6"/>
        <v>0</v>
      </c>
      <c r="Q19" s="40"/>
      <c r="R19" s="88">
        <f t="shared" si="7"/>
        <v>0</v>
      </c>
      <c r="S19" s="97"/>
    </row>
    <row r="20" spans="1:20" x14ac:dyDescent="0.2">
      <c r="A20" s="84"/>
      <c r="B20" s="85"/>
      <c r="C20" s="92"/>
      <c r="D20" s="70"/>
      <c r="E20" s="86">
        <f t="shared" si="0"/>
        <v>0</v>
      </c>
      <c r="F20" s="103">
        <f t="shared" ref="F20:F30" si="9">SUM(D20-C20)</f>
        <v>0</v>
      </c>
      <c r="G20" s="40"/>
      <c r="H20" s="88">
        <f t="shared" si="1"/>
        <v>0</v>
      </c>
      <c r="I20" s="1"/>
      <c r="J20" s="28"/>
      <c r="K20" s="89" t="s">
        <v>18</v>
      </c>
      <c r="L20" s="90"/>
      <c r="M20" s="99"/>
      <c r="N20" s="92">
        <f t="shared" si="8"/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x14ac:dyDescent="0.2">
      <c r="A21" s="84"/>
      <c r="B21" s="85"/>
      <c r="C21" s="92">
        <f t="shared" ref="C21:C31" si="10">SUM(D20)</f>
        <v>0</v>
      </c>
      <c r="D21" s="70"/>
      <c r="E21" s="86">
        <f t="shared" si="0"/>
        <v>0</v>
      </c>
      <c r="F21" s="103">
        <f t="shared" si="9"/>
        <v>0</v>
      </c>
      <c r="G21" s="40"/>
      <c r="H21" s="88">
        <f t="shared" si="1"/>
        <v>0</v>
      </c>
      <c r="I21" s="1"/>
      <c r="J21" s="28"/>
      <c r="K21" s="89" t="s">
        <v>18</v>
      </c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f t="shared" si="10"/>
        <v>0</v>
      </c>
      <c r="D22" s="70"/>
      <c r="E22" s="86">
        <f t="shared" si="0"/>
        <v>0</v>
      </c>
      <c r="F22" s="103">
        <f t="shared" si="9"/>
        <v>0</v>
      </c>
      <c r="G22" s="40"/>
      <c r="H22" s="88">
        <f t="shared" si="1"/>
        <v>0</v>
      </c>
      <c r="I22" s="1"/>
      <c r="J22" s="28"/>
      <c r="K22" s="89" t="s">
        <v>18</v>
      </c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x14ac:dyDescent="0.2">
      <c r="A23" s="84"/>
      <c r="B23" s="85"/>
      <c r="C23" s="92">
        <f t="shared" si="10"/>
        <v>0</v>
      </c>
      <c r="D23" s="70"/>
      <c r="E23" s="86">
        <f t="shared" si="0"/>
        <v>0</v>
      </c>
      <c r="F23" s="103">
        <f t="shared" si="9"/>
        <v>0</v>
      </c>
      <c r="G23" s="40"/>
      <c r="H23" s="88">
        <f t="shared" si="1"/>
        <v>0</v>
      </c>
      <c r="I23" s="1"/>
      <c r="J23" s="28"/>
      <c r="K23" s="89" t="s">
        <v>18</v>
      </c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x14ac:dyDescent="0.2">
      <c r="A24" s="84"/>
      <c r="B24" s="85"/>
      <c r="C24" s="92">
        <f t="shared" si="10"/>
        <v>0</v>
      </c>
      <c r="D24" s="70"/>
      <c r="E24" s="86">
        <f t="shared" si="0"/>
        <v>0</v>
      </c>
      <c r="F24" s="103">
        <f t="shared" si="9"/>
        <v>0</v>
      </c>
      <c r="G24" s="40"/>
      <c r="H24" s="88">
        <f t="shared" si="1"/>
        <v>0</v>
      </c>
      <c r="I24" s="1"/>
      <c r="J24" s="28"/>
      <c r="K24" s="89" t="s">
        <v>18</v>
      </c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x14ac:dyDescent="0.2">
      <c r="A25" s="84"/>
      <c r="B25" s="85"/>
      <c r="C25" s="92">
        <f t="shared" si="10"/>
        <v>0</v>
      </c>
      <c r="D25" s="70"/>
      <c r="E25" s="86">
        <f t="shared" si="0"/>
        <v>0</v>
      </c>
      <c r="F25" s="103">
        <f t="shared" si="9"/>
        <v>0</v>
      </c>
      <c r="G25" s="40"/>
      <c r="H25" s="88">
        <f t="shared" si="1"/>
        <v>0</v>
      </c>
      <c r="I25" s="1"/>
      <c r="J25" s="28"/>
      <c r="K25" s="89" t="s">
        <v>18</v>
      </c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x14ac:dyDescent="0.2">
      <c r="A26" s="84"/>
      <c r="B26" s="85"/>
      <c r="C26" s="92">
        <f t="shared" si="10"/>
        <v>0</v>
      </c>
      <c r="D26" s="70"/>
      <c r="E26" s="86">
        <f t="shared" si="0"/>
        <v>0</v>
      </c>
      <c r="F26" s="103">
        <f t="shared" si="9"/>
        <v>0</v>
      </c>
      <c r="G26" s="40"/>
      <c r="H26" s="88">
        <f t="shared" si="1"/>
        <v>0</v>
      </c>
      <c r="I26" s="1"/>
      <c r="J26" s="28"/>
      <c r="K26" s="89" t="s">
        <v>18</v>
      </c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x14ac:dyDescent="0.2">
      <c r="A27" s="84"/>
      <c r="B27" s="85"/>
      <c r="C27" s="92">
        <f t="shared" si="10"/>
        <v>0</v>
      </c>
      <c r="D27" s="70"/>
      <c r="E27" s="86">
        <f t="shared" si="0"/>
        <v>0</v>
      </c>
      <c r="F27" s="103">
        <f t="shared" si="9"/>
        <v>0</v>
      </c>
      <c r="G27" s="40"/>
      <c r="H27" s="88">
        <f t="shared" si="1"/>
        <v>0</v>
      </c>
      <c r="I27" s="1"/>
      <c r="J27" s="28"/>
      <c r="K27" s="89"/>
      <c r="L27" s="113"/>
      <c r="M27" s="113"/>
      <c r="N27" s="113"/>
      <c r="O27" s="113"/>
      <c r="P27" s="113"/>
      <c r="Q27" s="113"/>
      <c r="R27" s="113"/>
      <c r="S27" s="113"/>
    </row>
    <row r="28" spans="1:20" x14ac:dyDescent="0.2">
      <c r="A28" s="84"/>
      <c r="B28" s="85"/>
      <c r="C28" s="92">
        <f t="shared" si="10"/>
        <v>0</v>
      </c>
      <c r="D28" s="70"/>
      <c r="E28" s="86">
        <f t="shared" si="0"/>
        <v>0</v>
      </c>
      <c r="F28" s="103">
        <f t="shared" si="9"/>
        <v>0</v>
      </c>
      <c r="G28" s="40"/>
      <c r="H28" s="88">
        <f t="shared" si="1"/>
        <v>0</v>
      </c>
      <c r="I28" s="1"/>
      <c r="J28" s="28"/>
      <c r="K28" s="89"/>
      <c r="L28" s="113"/>
      <c r="M28" s="113"/>
      <c r="N28" s="113"/>
      <c r="O28" s="113"/>
      <c r="P28" s="113"/>
      <c r="Q28" s="113"/>
      <c r="R28" s="113"/>
      <c r="S28" s="113"/>
    </row>
    <row r="29" spans="1:20" x14ac:dyDescent="0.2">
      <c r="A29" s="84"/>
      <c r="B29" s="85"/>
      <c r="C29" s="92">
        <f t="shared" si="10"/>
        <v>0</v>
      </c>
      <c r="D29" s="70"/>
      <c r="E29" s="86">
        <f t="shared" si="0"/>
        <v>0</v>
      </c>
      <c r="F29" s="103">
        <f t="shared" si="9"/>
        <v>0</v>
      </c>
      <c r="G29" s="40"/>
      <c r="H29" s="88">
        <f t="shared" si="1"/>
        <v>0</v>
      </c>
      <c r="I29" s="1"/>
      <c r="J29" s="28"/>
      <c r="K29" s="89"/>
      <c r="L29" s="113"/>
      <c r="M29" s="113"/>
      <c r="N29" s="113"/>
      <c r="O29" s="113"/>
      <c r="P29" s="113"/>
      <c r="Q29" s="113"/>
      <c r="R29" s="113"/>
      <c r="S29" s="113"/>
    </row>
    <row r="30" spans="1:20" x14ac:dyDescent="0.2">
      <c r="A30" s="84"/>
      <c r="B30" s="85"/>
      <c r="C30" s="92">
        <f t="shared" si="10"/>
        <v>0</v>
      </c>
      <c r="D30" s="70"/>
      <c r="E30" s="86">
        <f t="shared" si="0"/>
        <v>0</v>
      </c>
      <c r="F30" s="103">
        <f t="shared" si="9"/>
        <v>0</v>
      </c>
      <c r="G30" s="40"/>
      <c r="H30" s="88">
        <f t="shared" si="1"/>
        <v>0</v>
      </c>
      <c r="I30" s="1"/>
      <c r="J30" s="1"/>
      <c r="K30" s="89"/>
      <c r="L30" s="113"/>
      <c r="M30" s="113"/>
      <c r="N30" s="113"/>
      <c r="O30" s="113"/>
      <c r="P30" s="113"/>
      <c r="Q30" s="113"/>
      <c r="R30" s="113"/>
      <c r="S30" s="113"/>
    </row>
    <row r="31" spans="1:20" x14ac:dyDescent="0.2">
      <c r="A31" s="84"/>
      <c r="B31" s="85"/>
      <c r="C31" s="92">
        <f t="shared" si="10"/>
        <v>0</v>
      </c>
      <c r="D31" s="70"/>
      <c r="E31" s="104"/>
      <c r="F31" s="103">
        <f>SUM(F3:F30)</f>
        <v>282218</v>
      </c>
      <c r="G31" s="40"/>
      <c r="H31" s="88">
        <f>SUM(H3:H30)</f>
        <v>234697.72030000002</v>
      </c>
      <c r="I31" s="1"/>
      <c r="J31" s="1"/>
      <c r="L31" s="113"/>
      <c r="M31" s="113"/>
      <c r="N31" s="113"/>
      <c r="O31" s="113"/>
      <c r="P31" s="113"/>
      <c r="Q31" s="113"/>
      <c r="R31" s="113"/>
      <c r="S31" s="113"/>
    </row>
    <row r="32" spans="1:20" x14ac:dyDescent="0.2">
      <c r="A32" s="83"/>
      <c r="B32" s="76" t="s">
        <v>49</v>
      </c>
      <c r="C32" s="77"/>
      <c r="D32" s="77"/>
      <c r="E32" s="77"/>
      <c r="F32" s="77"/>
      <c r="G32" s="78"/>
      <c r="H32" s="79"/>
      <c r="I32" s="80"/>
      <c r="J32" s="80"/>
      <c r="L32" s="113"/>
      <c r="M32" s="113"/>
      <c r="N32" s="113"/>
      <c r="O32" s="113"/>
      <c r="P32" s="113"/>
      <c r="Q32" s="113"/>
      <c r="R32" s="113"/>
      <c r="S32" s="113"/>
    </row>
    <row r="33" spans="1:19" ht="16" x14ac:dyDescent="0.2">
      <c r="A33" s="84">
        <v>0.40277777777777801</v>
      </c>
      <c r="B33" s="85" t="s">
        <v>55</v>
      </c>
      <c r="C33" s="102">
        <v>2584150</v>
      </c>
      <c r="D33" s="102">
        <v>2592610</v>
      </c>
      <c r="E33" s="86">
        <f t="shared" ref="E33:E66" si="11">SUM(D33-C33)</f>
        <v>8460</v>
      </c>
      <c r="F33" s="103">
        <v>8416</v>
      </c>
      <c r="G33" s="40">
        <v>0.8236</v>
      </c>
      <c r="H33" s="88">
        <f t="shared" ref="H33:H65" si="12">SUM(G33*F33)</f>
        <v>6931.4175999999998</v>
      </c>
      <c r="I33" s="28">
        <v>382</v>
      </c>
      <c r="J33" s="1">
        <v>6518</v>
      </c>
      <c r="K33" s="114" t="s">
        <v>60</v>
      </c>
      <c r="L33" s="113"/>
      <c r="M33" s="113"/>
      <c r="N33" s="113"/>
      <c r="O33" s="113"/>
      <c r="P33" s="113"/>
      <c r="Q33" s="113"/>
      <c r="R33" s="113"/>
      <c r="S33" s="113"/>
    </row>
    <row r="34" spans="1:19" ht="14.25" customHeight="1" x14ac:dyDescent="0.2">
      <c r="A34" s="84">
        <v>0.4375</v>
      </c>
      <c r="B34" s="85" t="s">
        <v>61</v>
      </c>
      <c r="C34" s="92">
        <f t="shared" ref="C34:C60" si="13">SUM(D33)</f>
        <v>2592610</v>
      </c>
      <c r="D34" s="102">
        <v>2603230</v>
      </c>
      <c r="E34" s="86">
        <f t="shared" si="11"/>
        <v>10620</v>
      </c>
      <c r="F34" s="103">
        <v>10560</v>
      </c>
      <c r="G34" s="40">
        <v>0.82230000000000003</v>
      </c>
      <c r="H34" s="88">
        <f t="shared" si="12"/>
        <v>8683.4880000000012</v>
      </c>
      <c r="I34" s="28">
        <v>81</v>
      </c>
      <c r="J34" s="1">
        <v>6519</v>
      </c>
      <c r="K34" s="114" t="s">
        <v>60</v>
      </c>
      <c r="L34" s="113"/>
      <c r="M34" s="113"/>
      <c r="N34" s="113"/>
      <c r="O34" s="113"/>
      <c r="P34" s="113"/>
      <c r="Q34" s="113"/>
      <c r="R34" s="113"/>
      <c r="S34" s="113"/>
    </row>
    <row r="35" spans="1:19" ht="15" customHeight="1" x14ac:dyDescent="0.2">
      <c r="A35" s="84">
        <v>0.44444444444444398</v>
      </c>
      <c r="B35" s="85" t="s">
        <v>61</v>
      </c>
      <c r="C35" s="92">
        <f t="shared" si="13"/>
        <v>2603230</v>
      </c>
      <c r="D35" s="102">
        <v>2620260</v>
      </c>
      <c r="E35" s="86">
        <f t="shared" si="11"/>
        <v>17030</v>
      </c>
      <c r="F35" s="101">
        <v>17019</v>
      </c>
      <c r="G35" s="40">
        <v>0.82230000000000003</v>
      </c>
      <c r="H35" s="88">
        <f t="shared" si="12"/>
        <v>13994.7237</v>
      </c>
      <c r="I35" s="28">
        <v>251</v>
      </c>
      <c r="J35" s="1">
        <v>6520</v>
      </c>
      <c r="K35" s="114" t="s">
        <v>60</v>
      </c>
      <c r="L35" s="113"/>
      <c r="M35" s="113"/>
      <c r="N35" s="113"/>
      <c r="O35" s="113"/>
      <c r="P35" s="113"/>
      <c r="Q35" s="113"/>
      <c r="R35" s="113"/>
      <c r="S35" s="113"/>
    </row>
    <row r="36" spans="1:19" ht="16" x14ac:dyDescent="0.2">
      <c r="A36" s="84">
        <v>0.46527777777777801</v>
      </c>
      <c r="B36" s="85" t="s">
        <v>61</v>
      </c>
      <c r="C36" s="92">
        <f t="shared" si="13"/>
        <v>2620260</v>
      </c>
      <c r="D36" s="102">
        <v>2625510</v>
      </c>
      <c r="E36" s="86">
        <f t="shared" si="11"/>
        <v>5250</v>
      </c>
      <c r="F36" s="103">
        <v>5128</v>
      </c>
      <c r="G36" s="40">
        <v>0.82230000000000003</v>
      </c>
      <c r="H36" s="88">
        <f t="shared" si="12"/>
        <v>4216.7543999999998</v>
      </c>
      <c r="I36" s="28">
        <v>57</v>
      </c>
      <c r="J36" s="1">
        <v>6521</v>
      </c>
      <c r="K36" s="114" t="s">
        <v>60</v>
      </c>
      <c r="L36" s="113"/>
      <c r="M36" s="113"/>
      <c r="N36" s="113"/>
      <c r="O36" s="113"/>
      <c r="P36" s="113"/>
      <c r="Q36" s="113"/>
      <c r="R36" s="113"/>
      <c r="S36" s="113"/>
    </row>
    <row r="37" spans="1:19" ht="16" x14ac:dyDescent="0.2">
      <c r="A37" s="84">
        <v>0.47222222222222199</v>
      </c>
      <c r="B37" s="85" t="s">
        <v>89</v>
      </c>
      <c r="C37" s="92">
        <f t="shared" si="13"/>
        <v>2625510</v>
      </c>
      <c r="D37" s="102">
        <v>2635110</v>
      </c>
      <c r="E37" s="86">
        <f t="shared" si="11"/>
        <v>9600</v>
      </c>
      <c r="F37" s="103">
        <v>9540</v>
      </c>
      <c r="G37" s="40">
        <v>0.82520000000000004</v>
      </c>
      <c r="H37" s="88">
        <f t="shared" si="12"/>
        <v>7872.4080000000004</v>
      </c>
      <c r="I37" s="28">
        <v>467</v>
      </c>
      <c r="J37" s="1">
        <v>6523</v>
      </c>
      <c r="K37" s="106" t="s">
        <v>91</v>
      </c>
      <c r="L37" s="113"/>
      <c r="M37" s="199"/>
      <c r="N37" s="113"/>
      <c r="O37" s="113"/>
      <c r="P37" s="113"/>
      <c r="Q37" s="113"/>
      <c r="R37" s="113"/>
      <c r="S37" s="113"/>
    </row>
    <row r="38" spans="1:19" ht="16" x14ac:dyDescent="0.2">
      <c r="A38" s="84">
        <v>0.50694444444444398</v>
      </c>
      <c r="B38" s="85" t="s">
        <v>61</v>
      </c>
      <c r="C38" s="92">
        <f t="shared" si="13"/>
        <v>2635110</v>
      </c>
      <c r="D38" s="102">
        <v>2645090</v>
      </c>
      <c r="E38" s="86">
        <f t="shared" si="11"/>
        <v>9980</v>
      </c>
      <c r="F38" s="101">
        <v>9986</v>
      </c>
      <c r="G38" s="40">
        <v>0.82230000000000003</v>
      </c>
      <c r="H38" s="88">
        <f t="shared" si="12"/>
        <v>8211.4878000000008</v>
      </c>
      <c r="I38" s="28">
        <v>251</v>
      </c>
      <c r="J38" s="1">
        <v>6525</v>
      </c>
      <c r="K38" s="114" t="s">
        <v>60</v>
      </c>
      <c r="L38" s="113"/>
      <c r="M38" s="199"/>
      <c r="N38" s="113"/>
      <c r="O38" s="113"/>
      <c r="P38" s="113"/>
      <c r="Q38" s="113"/>
      <c r="R38" s="113"/>
      <c r="S38" s="113"/>
    </row>
    <row r="39" spans="1:19" ht="16" x14ac:dyDescent="0.2">
      <c r="A39" s="84">
        <v>0.50694444444444398</v>
      </c>
      <c r="B39" s="85" t="s">
        <v>61</v>
      </c>
      <c r="C39" s="92">
        <f t="shared" si="13"/>
        <v>2645090</v>
      </c>
      <c r="D39" s="102">
        <v>2652230</v>
      </c>
      <c r="E39" s="86">
        <f t="shared" si="11"/>
        <v>7140</v>
      </c>
      <c r="F39" s="101">
        <v>7033</v>
      </c>
      <c r="G39" s="40">
        <v>0.82230000000000003</v>
      </c>
      <c r="H39" s="88">
        <f t="shared" si="12"/>
        <v>5783.2359000000006</v>
      </c>
      <c r="I39" s="28">
        <v>251</v>
      </c>
      <c r="J39" s="1">
        <v>6526</v>
      </c>
      <c r="K39" s="114" t="s">
        <v>60</v>
      </c>
      <c r="L39" s="113"/>
      <c r="M39" s="199"/>
      <c r="N39" s="89"/>
      <c r="O39" s="113"/>
      <c r="P39" s="113"/>
      <c r="Q39" s="113"/>
      <c r="R39" s="113"/>
      <c r="S39" s="113"/>
    </row>
    <row r="40" spans="1:19" ht="16" x14ac:dyDescent="0.2">
      <c r="A40" s="84">
        <v>0.59722222222222199</v>
      </c>
      <c r="B40" s="85" t="s">
        <v>61</v>
      </c>
      <c r="C40" s="92">
        <f t="shared" si="13"/>
        <v>2652230</v>
      </c>
      <c r="D40" s="102">
        <v>2658700</v>
      </c>
      <c r="E40" s="86">
        <f t="shared" si="11"/>
        <v>6470</v>
      </c>
      <c r="F40" s="103">
        <v>6414</v>
      </c>
      <c r="G40" s="40">
        <v>0.82230000000000003</v>
      </c>
      <c r="H40" s="88">
        <f t="shared" si="12"/>
        <v>5274.2322000000004</v>
      </c>
      <c r="I40" s="28">
        <v>81</v>
      </c>
      <c r="J40" s="28">
        <v>6528</v>
      </c>
      <c r="K40" s="114" t="s">
        <v>60</v>
      </c>
      <c r="L40" s="113"/>
      <c r="M40" s="113"/>
      <c r="N40" s="89"/>
      <c r="O40" s="113"/>
      <c r="P40" s="113"/>
      <c r="Q40" s="113"/>
      <c r="R40" s="113"/>
      <c r="S40" s="113"/>
    </row>
    <row r="41" spans="1:19" ht="16" x14ac:dyDescent="0.2">
      <c r="A41" s="84">
        <v>0.60763888888888895</v>
      </c>
      <c r="B41" s="85" t="s">
        <v>61</v>
      </c>
      <c r="C41" s="92">
        <f t="shared" si="13"/>
        <v>2658700</v>
      </c>
      <c r="D41" s="102">
        <v>2667030</v>
      </c>
      <c r="E41" s="86">
        <f t="shared" si="11"/>
        <v>8330</v>
      </c>
      <c r="F41" s="103">
        <v>8289</v>
      </c>
      <c r="G41" s="40">
        <v>0.82230000000000003</v>
      </c>
      <c r="H41" s="88">
        <f t="shared" si="12"/>
        <v>6816.0447000000004</v>
      </c>
      <c r="I41" s="28">
        <v>57</v>
      </c>
      <c r="J41" s="28">
        <v>6529</v>
      </c>
      <c r="K41" s="114" t="s">
        <v>60</v>
      </c>
      <c r="L41" s="113"/>
      <c r="M41" s="113"/>
      <c r="N41" s="89"/>
      <c r="O41" s="113"/>
      <c r="P41" s="113"/>
      <c r="Q41" s="113"/>
      <c r="R41" s="113"/>
      <c r="S41" s="113"/>
    </row>
    <row r="42" spans="1:19" ht="15" customHeight="1" x14ac:dyDescent="0.2">
      <c r="A42" s="84">
        <v>0.625</v>
      </c>
      <c r="B42" s="85" t="s">
        <v>90</v>
      </c>
      <c r="C42" s="92">
        <f t="shared" si="13"/>
        <v>2667030</v>
      </c>
      <c r="D42" s="102">
        <v>2673750</v>
      </c>
      <c r="E42" s="86">
        <f t="shared" si="11"/>
        <v>6720</v>
      </c>
      <c r="F42" s="103">
        <v>6667</v>
      </c>
      <c r="G42" s="40">
        <v>0.82289999999999996</v>
      </c>
      <c r="H42" s="88">
        <f t="shared" si="12"/>
        <v>5486.2743</v>
      </c>
      <c r="I42" s="28">
        <v>382</v>
      </c>
      <c r="J42" s="28">
        <v>6530</v>
      </c>
      <c r="K42" s="115" t="s">
        <v>56</v>
      </c>
      <c r="L42" s="113"/>
      <c r="M42" s="113"/>
      <c r="N42" s="89"/>
      <c r="O42" s="113"/>
      <c r="P42" s="113"/>
      <c r="Q42" s="113"/>
      <c r="R42" s="113"/>
      <c r="S42" s="113"/>
    </row>
    <row r="43" spans="1:19" ht="16" x14ac:dyDescent="0.2">
      <c r="A43" s="84">
        <v>0.63888888888888895</v>
      </c>
      <c r="B43" s="85" t="s">
        <v>52</v>
      </c>
      <c r="C43" s="92">
        <f t="shared" si="13"/>
        <v>2673750</v>
      </c>
      <c r="D43" s="102">
        <v>2683360</v>
      </c>
      <c r="E43" s="86">
        <f t="shared" si="11"/>
        <v>9610</v>
      </c>
      <c r="F43" s="200">
        <v>9540</v>
      </c>
      <c r="G43" s="40">
        <v>0.83750000000000002</v>
      </c>
      <c r="H43" s="88">
        <f t="shared" si="12"/>
        <v>7989.75</v>
      </c>
      <c r="I43" s="28">
        <v>467</v>
      </c>
      <c r="J43" s="28">
        <v>6531</v>
      </c>
      <c r="K43" s="201" t="s">
        <v>83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0.63888888888888895</v>
      </c>
      <c r="B44" s="85" t="s">
        <v>59</v>
      </c>
      <c r="C44" s="92">
        <f t="shared" si="13"/>
        <v>2683360</v>
      </c>
      <c r="D44" s="102">
        <v>2688880</v>
      </c>
      <c r="E44" s="86">
        <f t="shared" si="11"/>
        <v>5520</v>
      </c>
      <c r="F44" s="200">
        <v>5500</v>
      </c>
      <c r="G44" s="40">
        <v>0.83750000000000002</v>
      </c>
      <c r="H44" s="88">
        <f t="shared" si="12"/>
        <v>4606.25</v>
      </c>
      <c r="I44" s="28">
        <v>467</v>
      </c>
      <c r="J44" s="28">
        <v>6531</v>
      </c>
      <c r="K44" s="201" t="s">
        <v>83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0.65972222222222199</v>
      </c>
      <c r="B45" s="85" t="s">
        <v>59</v>
      </c>
      <c r="C45" s="92">
        <f t="shared" si="13"/>
        <v>2688880</v>
      </c>
      <c r="D45" s="102">
        <v>2695980</v>
      </c>
      <c r="E45" s="86">
        <f t="shared" si="11"/>
        <v>7100</v>
      </c>
      <c r="F45" s="101">
        <v>7033</v>
      </c>
      <c r="G45" s="40">
        <v>0.83150000000000002</v>
      </c>
      <c r="H45" s="88">
        <f t="shared" si="12"/>
        <v>5847.9395000000004</v>
      </c>
      <c r="I45" s="28">
        <v>251</v>
      </c>
      <c r="J45" s="28">
        <v>6532</v>
      </c>
      <c r="K45" s="201" t="s">
        <v>83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0.65972222222222199</v>
      </c>
      <c r="B46" s="85" t="s">
        <v>62</v>
      </c>
      <c r="C46" s="92">
        <f t="shared" si="13"/>
        <v>2695980</v>
      </c>
      <c r="D46" s="102">
        <v>2706020</v>
      </c>
      <c r="E46" s="86">
        <f t="shared" si="11"/>
        <v>10040</v>
      </c>
      <c r="F46" s="101">
        <v>9986</v>
      </c>
      <c r="G46" s="40">
        <v>0.83150000000000002</v>
      </c>
      <c r="H46" s="88">
        <f t="shared" si="12"/>
        <v>8303.3590000000004</v>
      </c>
      <c r="I46" s="28">
        <v>251</v>
      </c>
      <c r="J46" s="28">
        <v>6532</v>
      </c>
      <c r="K46" s="106" t="s">
        <v>91</v>
      </c>
      <c r="L46" s="113"/>
      <c r="M46" s="113"/>
      <c r="N46" s="113"/>
      <c r="O46" s="113"/>
      <c r="P46" s="113"/>
      <c r="Q46" s="113"/>
      <c r="R46" s="113"/>
      <c r="S46" s="113"/>
    </row>
    <row r="47" spans="1:19" ht="16" x14ac:dyDescent="0.2">
      <c r="A47" s="84">
        <v>0.77083333333333304</v>
      </c>
      <c r="B47" s="85" t="s">
        <v>90</v>
      </c>
      <c r="C47" s="92">
        <f t="shared" si="13"/>
        <v>2706020</v>
      </c>
      <c r="D47" s="102">
        <v>2723140</v>
      </c>
      <c r="E47" s="86">
        <f t="shared" si="11"/>
        <v>17120</v>
      </c>
      <c r="F47" s="101">
        <v>17019</v>
      </c>
      <c r="G47" s="40">
        <v>0.82250000000000001</v>
      </c>
      <c r="H47" s="88">
        <f t="shared" si="12"/>
        <v>13998.127500000001</v>
      </c>
      <c r="I47" s="1">
        <v>251</v>
      </c>
      <c r="J47" s="28">
        <v>6534</v>
      </c>
      <c r="K47" s="115" t="s">
        <v>56</v>
      </c>
      <c r="L47" s="113"/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0.78472222222222199</v>
      </c>
      <c r="B48" s="85" t="s">
        <v>62</v>
      </c>
      <c r="C48" s="92">
        <f t="shared" si="13"/>
        <v>2723140</v>
      </c>
      <c r="D48" s="102">
        <v>2735290</v>
      </c>
      <c r="E48" s="86">
        <f t="shared" si="11"/>
        <v>12150</v>
      </c>
      <c r="F48" s="103">
        <v>12093</v>
      </c>
      <c r="G48" s="40">
        <v>0.82450000000000001</v>
      </c>
      <c r="H48" s="88">
        <f t="shared" si="12"/>
        <v>9970.6785</v>
      </c>
      <c r="I48" s="1">
        <v>119</v>
      </c>
      <c r="J48" s="28">
        <v>6536</v>
      </c>
      <c r="K48" s="106" t="s">
        <v>91</v>
      </c>
      <c r="L48" s="113"/>
      <c r="M48" s="113"/>
      <c r="N48" s="113"/>
      <c r="O48" s="113"/>
      <c r="P48" s="113"/>
      <c r="Q48" s="113"/>
      <c r="R48" s="113"/>
      <c r="S48" s="113"/>
    </row>
    <row r="49" spans="1:19" ht="16" x14ac:dyDescent="0.2">
      <c r="A49" s="84">
        <v>0.79861111111111105</v>
      </c>
      <c r="B49" s="85" t="s">
        <v>90</v>
      </c>
      <c r="C49" s="92">
        <f t="shared" si="13"/>
        <v>2735290</v>
      </c>
      <c r="D49" s="102">
        <v>2740580</v>
      </c>
      <c r="E49" s="86">
        <f t="shared" si="11"/>
        <v>5290</v>
      </c>
      <c r="F49" s="103">
        <v>5276</v>
      </c>
      <c r="G49" s="40">
        <v>0.82250000000000001</v>
      </c>
      <c r="H49" s="88">
        <f t="shared" si="12"/>
        <v>4339.51</v>
      </c>
      <c r="I49" s="1">
        <v>81</v>
      </c>
      <c r="J49" s="28">
        <v>6537</v>
      </c>
      <c r="K49" s="115" t="s">
        <v>56</v>
      </c>
      <c r="L49" s="113"/>
      <c r="M49" s="113"/>
      <c r="N49" s="113"/>
      <c r="O49" s="113"/>
      <c r="P49" s="113"/>
      <c r="Q49" s="113"/>
      <c r="R49" s="113"/>
      <c r="S49" s="113"/>
    </row>
    <row r="50" spans="1:19" ht="16" x14ac:dyDescent="0.2">
      <c r="A50" s="84">
        <v>0.8125</v>
      </c>
      <c r="B50" s="85" t="s">
        <v>62</v>
      </c>
      <c r="C50" s="92">
        <f t="shared" si="13"/>
        <v>2740580</v>
      </c>
      <c r="D50" s="102">
        <v>2757710</v>
      </c>
      <c r="E50" s="86">
        <f t="shared" si="11"/>
        <v>17130</v>
      </c>
      <c r="F50" s="101">
        <v>17019</v>
      </c>
      <c r="G50" s="40">
        <v>0.82450000000000001</v>
      </c>
      <c r="H50" s="88">
        <f t="shared" si="12"/>
        <v>14032.165500000001</v>
      </c>
      <c r="I50" s="1">
        <v>251</v>
      </c>
      <c r="J50" s="28">
        <v>6538</v>
      </c>
      <c r="K50" s="106" t="s">
        <v>91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0.90277777777777801</v>
      </c>
      <c r="B51" s="85" t="s">
        <v>90</v>
      </c>
      <c r="C51" s="92">
        <f t="shared" si="13"/>
        <v>2757710</v>
      </c>
      <c r="D51" s="102">
        <v>2763830</v>
      </c>
      <c r="E51" s="86">
        <f t="shared" si="11"/>
        <v>6120</v>
      </c>
      <c r="F51" s="103">
        <v>6070</v>
      </c>
      <c r="G51" s="40">
        <v>0.82250000000000001</v>
      </c>
      <c r="H51" s="88">
        <f t="shared" si="12"/>
        <v>4992.5749999999998</v>
      </c>
      <c r="I51" s="1">
        <v>57</v>
      </c>
      <c r="J51" s="28">
        <v>6540</v>
      </c>
      <c r="K51" s="115" t="s">
        <v>56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0.91666666666666696</v>
      </c>
      <c r="B52" s="85" t="s">
        <v>62</v>
      </c>
      <c r="C52" s="92">
        <f t="shared" si="13"/>
        <v>2763830</v>
      </c>
      <c r="D52" s="102">
        <v>2773860</v>
      </c>
      <c r="E52" s="86">
        <f t="shared" si="11"/>
        <v>10030</v>
      </c>
      <c r="F52" s="101">
        <v>9986</v>
      </c>
      <c r="G52" s="40">
        <v>0.82550000000000001</v>
      </c>
      <c r="H52" s="88">
        <f t="shared" si="12"/>
        <v>8243.4429999999993</v>
      </c>
      <c r="I52" s="1">
        <v>251</v>
      </c>
      <c r="J52" s="28">
        <v>6541</v>
      </c>
      <c r="K52" s="106" t="s">
        <v>91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0.92708333333333304</v>
      </c>
      <c r="B53" s="85" t="s">
        <v>62</v>
      </c>
      <c r="C53" s="92">
        <f t="shared" si="13"/>
        <v>2773860</v>
      </c>
      <c r="D53" s="102">
        <v>2779980</v>
      </c>
      <c r="E53" s="86">
        <f t="shared" si="11"/>
        <v>6120</v>
      </c>
      <c r="F53" s="103">
        <v>6089</v>
      </c>
      <c r="G53" s="40">
        <v>0.82550000000000001</v>
      </c>
      <c r="H53" s="88">
        <f t="shared" si="12"/>
        <v>5026.4695000000002</v>
      </c>
      <c r="I53" s="1">
        <v>119</v>
      </c>
      <c r="J53" s="28">
        <v>6543</v>
      </c>
      <c r="K53" s="106" t="s">
        <v>91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0.9375</v>
      </c>
      <c r="B54" s="85" t="s">
        <v>59</v>
      </c>
      <c r="C54" s="92">
        <f t="shared" si="13"/>
        <v>2779980</v>
      </c>
      <c r="D54" s="102">
        <v>2795140</v>
      </c>
      <c r="E54" s="86">
        <f t="shared" si="11"/>
        <v>15160</v>
      </c>
      <c r="F54" s="200">
        <v>15040</v>
      </c>
      <c r="G54" s="40">
        <v>0.8387</v>
      </c>
      <c r="H54" s="88">
        <f t="shared" si="12"/>
        <v>12614.048000000001</v>
      </c>
      <c r="I54" s="1">
        <v>467</v>
      </c>
      <c r="J54" s="28">
        <v>6544</v>
      </c>
      <c r="K54" s="201" t="s">
        <v>83</v>
      </c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0.95138888888888895</v>
      </c>
      <c r="B55" s="85" t="s">
        <v>90</v>
      </c>
      <c r="C55" s="92">
        <f t="shared" si="13"/>
        <v>2795140</v>
      </c>
      <c r="D55" s="102">
        <v>2804630</v>
      </c>
      <c r="E55" s="86">
        <f t="shared" si="11"/>
        <v>9490</v>
      </c>
      <c r="F55" s="103">
        <v>9437</v>
      </c>
      <c r="G55" s="40">
        <v>0.82279999999999998</v>
      </c>
      <c r="H55" s="88">
        <f t="shared" si="12"/>
        <v>7764.7636000000002</v>
      </c>
      <c r="I55" s="1">
        <v>382</v>
      </c>
      <c r="J55" s="28">
        <v>6547</v>
      </c>
      <c r="K55" s="115" t="s">
        <v>56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8.3333333333333301E-2</v>
      </c>
      <c r="B56" s="85" t="s">
        <v>90</v>
      </c>
      <c r="C56" s="92">
        <f t="shared" si="13"/>
        <v>2804630</v>
      </c>
      <c r="D56" s="102">
        <v>2812580</v>
      </c>
      <c r="E56" s="86">
        <f t="shared" si="11"/>
        <v>7950</v>
      </c>
      <c r="F56" s="103">
        <v>7898</v>
      </c>
      <c r="G56" s="40">
        <v>0.82410000000000005</v>
      </c>
      <c r="H56" s="88">
        <f t="shared" si="12"/>
        <v>6508.7418000000007</v>
      </c>
      <c r="I56" s="1">
        <v>81</v>
      </c>
      <c r="J56" s="28">
        <v>6548</v>
      </c>
      <c r="K56" s="115" t="s">
        <v>56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9.0277777777777804E-2</v>
      </c>
      <c r="B57" s="85" t="s">
        <v>90</v>
      </c>
      <c r="C57" s="92">
        <f t="shared" si="13"/>
        <v>2812580</v>
      </c>
      <c r="D57" s="102">
        <v>2818580</v>
      </c>
      <c r="E57" s="86">
        <f t="shared" si="11"/>
        <v>6000</v>
      </c>
      <c r="F57" s="103">
        <v>5972</v>
      </c>
      <c r="G57" s="40">
        <v>0.82410000000000005</v>
      </c>
      <c r="H57" s="88">
        <f t="shared" si="12"/>
        <v>4921.5252</v>
      </c>
      <c r="I57" s="1">
        <v>57</v>
      </c>
      <c r="J57" s="28">
        <v>6549</v>
      </c>
      <c r="K57" s="115" t="s">
        <v>56</v>
      </c>
      <c r="L57" s="113"/>
      <c r="M57" s="113"/>
      <c r="N57" s="113"/>
      <c r="O57" s="113"/>
      <c r="P57" s="113"/>
      <c r="Q57" s="113"/>
      <c r="R57" s="113"/>
      <c r="S57" s="113"/>
    </row>
    <row r="58" spans="1:19" ht="16" x14ac:dyDescent="0.2">
      <c r="A58" s="84">
        <v>0.13541666666666699</v>
      </c>
      <c r="B58" s="85" t="s">
        <v>89</v>
      </c>
      <c r="C58" s="92">
        <f t="shared" si="13"/>
        <v>2818580</v>
      </c>
      <c r="D58" s="102">
        <v>2835700</v>
      </c>
      <c r="E58" s="86">
        <f t="shared" si="11"/>
        <v>17120</v>
      </c>
      <c r="F58" s="101">
        <v>17019</v>
      </c>
      <c r="G58" s="40">
        <v>0.82589999999999997</v>
      </c>
      <c r="H58" s="88">
        <f t="shared" si="12"/>
        <v>14055.992099999999</v>
      </c>
      <c r="I58" s="1">
        <v>251</v>
      </c>
      <c r="J58" s="28">
        <v>6550</v>
      </c>
      <c r="K58" s="106" t="s">
        <v>91</v>
      </c>
      <c r="L58" s="113"/>
      <c r="M58" s="113"/>
      <c r="N58" s="113"/>
      <c r="O58" s="113"/>
      <c r="P58" s="113"/>
      <c r="Q58" s="113"/>
      <c r="R58" s="113"/>
      <c r="S58" s="113"/>
    </row>
    <row r="59" spans="1:19" ht="16" x14ac:dyDescent="0.2">
      <c r="A59" s="84">
        <v>0.22916666666666699</v>
      </c>
      <c r="B59" s="85" t="s">
        <v>89</v>
      </c>
      <c r="C59" s="92">
        <f t="shared" si="13"/>
        <v>2835700</v>
      </c>
      <c r="D59" s="102">
        <v>2852820</v>
      </c>
      <c r="E59" s="86">
        <f t="shared" si="11"/>
        <v>17120</v>
      </c>
      <c r="F59" s="101">
        <v>17019</v>
      </c>
      <c r="G59" s="40">
        <v>0.82630000000000003</v>
      </c>
      <c r="H59" s="88">
        <f t="shared" si="12"/>
        <v>14062.799700000001</v>
      </c>
      <c r="I59" s="1">
        <v>251</v>
      </c>
      <c r="J59" s="28">
        <v>6554</v>
      </c>
      <c r="K59" s="106" t="s">
        <v>91</v>
      </c>
      <c r="L59" s="113"/>
      <c r="M59" s="113"/>
      <c r="N59" s="113"/>
      <c r="O59" s="113"/>
      <c r="P59" s="113"/>
      <c r="Q59" s="113"/>
      <c r="R59" s="113"/>
      <c r="S59" s="113"/>
    </row>
    <row r="60" spans="1:19" ht="16" x14ac:dyDescent="0.2">
      <c r="A60" s="84">
        <v>0.3125</v>
      </c>
      <c r="B60" s="85" t="s">
        <v>72</v>
      </c>
      <c r="C60" s="92">
        <f t="shared" si="13"/>
        <v>2852820</v>
      </c>
      <c r="D60" s="102">
        <v>2869940</v>
      </c>
      <c r="E60" s="86">
        <f t="shared" si="11"/>
        <v>17120</v>
      </c>
      <c r="F60" s="101">
        <v>17019</v>
      </c>
      <c r="G60" s="40">
        <v>0.82750000000000001</v>
      </c>
      <c r="H60" s="88">
        <f t="shared" si="12"/>
        <v>14083.2225</v>
      </c>
      <c r="I60" s="1">
        <v>251</v>
      </c>
      <c r="J60" s="28">
        <v>6557</v>
      </c>
      <c r="K60" s="114" t="s">
        <v>60</v>
      </c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A61" s="84"/>
      <c r="B61" s="85"/>
      <c r="C61" s="92"/>
      <c r="D61" s="102"/>
      <c r="E61" s="86">
        <f t="shared" si="11"/>
        <v>0</v>
      </c>
      <c r="F61" s="103">
        <f>SUM(D61-C61)</f>
        <v>0</v>
      </c>
      <c r="G61" s="40"/>
      <c r="H61" s="88">
        <f t="shared" si="12"/>
        <v>0</v>
      </c>
      <c r="I61" s="1"/>
      <c r="J61" s="28"/>
      <c r="K61" s="113"/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A62" s="84"/>
      <c r="B62" s="85"/>
      <c r="C62" s="92">
        <f>SUM(D61)</f>
        <v>0</v>
      </c>
      <c r="D62" s="102"/>
      <c r="E62" s="86">
        <f t="shared" si="11"/>
        <v>0</v>
      </c>
      <c r="F62" s="103">
        <f>SUM(D62-C62)</f>
        <v>0</v>
      </c>
      <c r="G62" s="40"/>
      <c r="H62" s="88">
        <f t="shared" si="12"/>
        <v>0</v>
      </c>
      <c r="I62" s="1"/>
      <c r="J62" s="28"/>
      <c r="K62" s="116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A63" s="84"/>
      <c r="B63" s="85"/>
      <c r="C63" s="92">
        <f>SUM(D62)</f>
        <v>0</v>
      </c>
      <c r="D63" s="102"/>
      <c r="E63" s="86">
        <f t="shared" si="11"/>
        <v>0</v>
      </c>
      <c r="F63" s="103">
        <f>SUM(D63-C63)</f>
        <v>0</v>
      </c>
      <c r="G63" s="40"/>
      <c r="H63" s="88">
        <f t="shared" si="12"/>
        <v>0</v>
      </c>
      <c r="I63" s="1"/>
      <c r="J63" s="28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A64" s="84"/>
      <c r="B64" s="85"/>
      <c r="C64" s="92">
        <f>SUM(D63)</f>
        <v>0</v>
      </c>
      <c r="D64" s="102"/>
      <c r="E64" s="86">
        <f t="shared" si="11"/>
        <v>0</v>
      </c>
      <c r="F64" s="103">
        <f>SUM(D64-C64)</f>
        <v>0</v>
      </c>
      <c r="G64" s="40"/>
      <c r="H64" s="88">
        <f t="shared" si="12"/>
        <v>0</v>
      </c>
      <c r="I64" s="1"/>
      <c r="J64" s="28"/>
      <c r="L64" s="113"/>
      <c r="M64" s="113"/>
      <c r="N64" s="113"/>
      <c r="O64" s="113"/>
      <c r="P64" s="113"/>
      <c r="Q64" s="113"/>
      <c r="R64" s="113"/>
      <c r="S64" s="113"/>
    </row>
    <row r="65" spans="1:19" x14ac:dyDescent="0.2">
      <c r="A65" s="84"/>
      <c r="B65" s="85"/>
      <c r="C65" s="92">
        <f>SUM(D64)</f>
        <v>0</v>
      </c>
      <c r="D65" s="70"/>
      <c r="E65" s="86">
        <f t="shared" si="11"/>
        <v>0</v>
      </c>
      <c r="F65" s="103">
        <f>SUM(D65-C65)</f>
        <v>0</v>
      </c>
      <c r="G65" s="40"/>
      <c r="H65" s="88">
        <f t="shared" si="12"/>
        <v>0</v>
      </c>
      <c r="I65" s="1"/>
      <c r="J65" s="28"/>
      <c r="L65" s="113"/>
      <c r="M65" s="113"/>
      <c r="N65" s="113"/>
      <c r="O65" s="113"/>
      <c r="P65" s="113"/>
      <c r="Q65" s="113"/>
      <c r="R65" s="113"/>
      <c r="S65" s="113"/>
    </row>
    <row r="66" spans="1:19" x14ac:dyDescent="0.2">
      <c r="A66" s="84"/>
      <c r="B66" s="85"/>
      <c r="C66" s="92">
        <f>SUM(D65)</f>
        <v>0</v>
      </c>
      <c r="D66" s="70"/>
      <c r="E66" s="86">
        <f t="shared" si="11"/>
        <v>0</v>
      </c>
      <c r="F66" s="103">
        <f>SUM(F33:F65)</f>
        <v>284067</v>
      </c>
      <c r="G66" s="40"/>
      <c r="H66" s="88">
        <f>SUM(H33:H65)</f>
        <v>234631.42700000003</v>
      </c>
      <c r="I66" s="1"/>
      <c r="J66" s="28"/>
      <c r="L66" s="113"/>
      <c r="M66" s="113"/>
      <c r="N66" s="113"/>
      <c r="O66" s="113"/>
      <c r="P66" s="113"/>
      <c r="Q66" s="113"/>
      <c r="R66" s="113"/>
      <c r="S66" s="113"/>
    </row>
    <row r="67" spans="1:19" x14ac:dyDescent="0.2">
      <c r="L67" s="113"/>
      <c r="M67" s="113"/>
      <c r="N67" s="113"/>
      <c r="O67" s="113"/>
      <c r="P67" s="113"/>
      <c r="Q67" s="113"/>
      <c r="R67" s="113"/>
      <c r="S67" s="113"/>
    </row>
    <row r="68" spans="1:19" x14ac:dyDescent="0.2">
      <c r="F68" s="92">
        <f>SUM(F31+F66)</f>
        <v>566285</v>
      </c>
      <c r="G68" s="40"/>
      <c r="H68" s="88">
        <f>SUM(H3:H66)</f>
        <v>938658.29459999991</v>
      </c>
      <c r="L68" s="113"/>
      <c r="M68" s="113"/>
      <c r="N68" s="113"/>
      <c r="O68" s="113"/>
      <c r="P68" s="113"/>
      <c r="Q68" s="113"/>
      <c r="R68" s="113"/>
      <c r="S68" s="113"/>
    </row>
    <row r="69" spans="1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1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1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1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1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1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1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1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1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1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1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1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hidden="1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hidden="1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hidden="1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hidden="1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hidden="1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  <row r="128" spans="5:5" x14ac:dyDescent="0.2">
      <c r="E128" s="113"/>
    </row>
    <row r="129" spans="5:5" x14ac:dyDescent="0.2">
      <c r="E129" s="113"/>
    </row>
    <row r="130" spans="5:5" x14ac:dyDescent="0.2">
      <c r="E130" s="113"/>
    </row>
    <row r="131" spans="5:5" x14ac:dyDescent="0.2">
      <c r="E131" s="113"/>
    </row>
    <row r="132" spans="5:5" x14ac:dyDescent="0.2">
      <c r="E132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36"/>
  <sheetViews>
    <sheetView topLeftCell="A25" zoomScale="65" zoomScaleNormal="65" workbookViewId="0">
      <selection activeCell="K48" sqref="K48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9.6640625" style="66" customWidth="1"/>
    <col min="12" max="12" width="12.1640625" style="65" customWidth="1"/>
    <col min="13" max="13" width="12.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/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0.44791666666666702</v>
      </c>
      <c r="B3" s="134" t="s">
        <v>48</v>
      </c>
      <c r="C3" s="70">
        <v>50309730</v>
      </c>
      <c r="D3" s="70">
        <v>50320120</v>
      </c>
      <c r="E3" s="86">
        <f t="shared" ref="E3:E18" si="0">SUM(D3-C3)</f>
        <v>10390</v>
      </c>
      <c r="F3" s="103">
        <f>SUM(D3-C3)</f>
        <v>10390</v>
      </c>
      <c r="G3" s="40">
        <v>0.83850000000000002</v>
      </c>
      <c r="H3" s="135">
        <f t="shared" ref="H3:H18" si="1">SUM(G3*F3)</f>
        <v>8712.0149999999994</v>
      </c>
      <c r="I3" s="28">
        <v>147</v>
      </c>
      <c r="J3" s="28">
        <v>6563</v>
      </c>
      <c r="K3" s="89"/>
      <c r="L3" s="90">
        <v>0.52430555555555602</v>
      </c>
      <c r="M3" s="91" t="s">
        <v>54</v>
      </c>
      <c r="N3" s="93">
        <v>7625560</v>
      </c>
      <c r="O3" s="93">
        <v>7625850</v>
      </c>
      <c r="P3" s="94">
        <f t="shared" ref="P3:P16" si="2">SUM(O3-N3)</f>
        <v>290</v>
      </c>
      <c r="Q3" s="95">
        <v>0.83230000000000004</v>
      </c>
      <c r="R3" s="96">
        <f t="shared" ref="R3:R16" si="3">SUM(Q3*P3)</f>
        <v>241.36700000000002</v>
      </c>
      <c r="S3" s="97" t="s">
        <v>63</v>
      </c>
      <c r="V3" t="s">
        <v>41</v>
      </c>
    </row>
    <row r="4" spans="1:22" ht="16" x14ac:dyDescent="0.2">
      <c r="A4" s="84">
        <v>0.45833333333333298</v>
      </c>
      <c r="B4" s="85" t="s">
        <v>48</v>
      </c>
      <c r="C4" s="92">
        <f t="shared" ref="C4:C18" si="4">SUM(D3)</f>
        <v>50320120</v>
      </c>
      <c r="D4" s="70">
        <v>50328090</v>
      </c>
      <c r="E4" s="86">
        <f t="shared" si="0"/>
        <v>7970</v>
      </c>
      <c r="F4" s="103">
        <f>SUM(D4-C4)</f>
        <v>7970</v>
      </c>
      <c r="G4" s="40">
        <v>0.83850000000000002</v>
      </c>
      <c r="H4" s="135">
        <f t="shared" si="1"/>
        <v>6682.8450000000003</v>
      </c>
      <c r="I4" s="28">
        <v>248</v>
      </c>
      <c r="J4" s="28">
        <v>6564</v>
      </c>
      <c r="K4" s="89"/>
      <c r="L4" s="90">
        <v>0.61111111111111105</v>
      </c>
      <c r="M4" s="99" t="s">
        <v>48</v>
      </c>
      <c r="N4" s="94">
        <f t="shared" ref="N4:N9" si="5">SUM(O3)</f>
        <v>7625850</v>
      </c>
      <c r="O4" s="93">
        <v>7625990</v>
      </c>
      <c r="P4" s="94">
        <f t="shared" si="2"/>
        <v>140</v>
      </c>
      <c r="Q4" s="100">
        <v>0.83479999999999999</v>
      </c>
      <c r="R4" s="96">
        <f t="shared" si="3"/>
        <v>116.872</v>
      </c>
      <c r="S4" s="97" t="s">
        <v>42</v>
      </c>
    </row>
    <row r="5" spans="1:22" ht="16" x14ac:dyDescent="0.2">
      <c r="A5" s="84">
        <v>0.46875</v>
      </c>
      <c r="B5" s="85" t="s">
        <v>48</v>
      </c>
      <c r="C5" s="92">
        <f t="shared" si="4"/>
        <v>50328090</v>
      </c>
      <c r="D5" s="70">
        <v>50350510</v>
      </c>
      <c r="E5" s="86">
        <f t="shared" si="0"/>
        <v>22420</v>
      </c>
      <c r="F5" s="118">
        <v>22430</v>
      </c>
      <c r="G5" s="40">
        <v>0.83850000000000002</v>
      </c>
      <c r="H5" s="135">
        <f t="shared" si="1"/>
        <v>18807.555</v>
      </c>
      <c r="I5" s="28">
        <v>388</v>
      </c>
      <c r="J5" s="28">
        <v>6566</v>
      </c>
      <c r="K5" s="89"/>
      <c r="L5" s="90">
        <v>0.74305555555555503</v>
      </c>
      <c r="M5" s="99" t="s">
        <v>38</v>
      </c>
      <c r="N5" s="94">
        <f t="shared" si="5"/>
        <v>7625990</v>
      </c>
      <c r="O5" s="93">
        <v>7626190</v>
      </c>
      <c r="P5" s="94">
        <f t="shared" si="2"/>
        <v>200</v>
      </c>
      <c r="Q5" s="95">
        <v>0.83689999999999998</v>
      </c>
      <c r="R5" s="96">
        <f t="shared" si="3"/>
        <v>167.38</v>
      </c>
      <c r="S5" s="97" t="s">
        <v>97</v>
      </c>
    </row>
    <row r="6" spans="1:22" ht="16" x14ac:dyDescent="0.2">
      <c r="A6" s="84">
        <v>0.69097222222222199</v>
      </c>
      <c r="B6" s="85" t="s">
        <v>48</v>
      </c>
      <c r="C6" s="92">
        <f t="shared" si="4"/>
        <v>50350510</v>
      </c>
      <c r="D6" s="70">
        <v>50372930</v>
      </c>
      <c r="E6" s="86">
        <f t="shared" si="0"/>
        <v>22420</v>
      </c>
      <c r="F6" s="118">
        <v>22430</v>
      </c>
      <c r="G6" s="40">
        <v>0.84099999999999997</v>
      </c>
      <c r="H6" s="135">
        <f t="shared" si="1"/>
        <v>18863.63</v>
      </c>
      <c r="I6" s="28">
        <v>388</v>
      </c>
      <c r="J6" s="28">
        <v>6573</v>
      </c>
      <c r="K6" s="89"/>
      <c r="L6" s="90">
        <v>0.75694444444444398</v>
      </c>
      <c r="M6" s="99" t="s">
        <v>39</v>
      </c>
      <c r="N6" s="94">
        <f t="shared" si="5"/>
        <v>7626190</v>
      </c>
      <c r="O6" s="93">
        <v>7626450</v>
      </c>
      <c r="P6" s="94">
        <f t="shared" si="2"/>
        <v>260</v>
      </c>
      <c r="Q6" s="40">
        <v>0.84360000000000002</v>
      </c>
      <c r="R6" s="96">
        <f t="shared" si="3"/>
        <v>219.33600000000001</v>
      </c>
      <c r="S6" s="97" t="s">
        <v>43</v>
      </c>
    </row>
    <row r="7" spans="1:22" ht="16" x14ac:dyDescent="0.2">
      <c r="A7" s="84">
        <v>0.74652777777777801</v>
      </c>
      <c r="B7" s="85" t="s">
        <v>48</v>
      </c>
      <c r="C7" s="92">
        <f t="shared" si="4"/>
        <v>50372930</v>
      </c>
      <c r="D7" s="70">
        <v>50384410</v>
      </c>
      <c r="E7" s="86">
        <f t="shared" si="0"/>
        <v>11480</v>
      </c>
      <c r="F7" s="118">
        <v>11480</v>
      </c>
      <c r="G7" s="40">
        <v>0.84099999999999997</v>
      </c>
      <c r="H7" s="135">
        <f t="shared" si="1"/>
        <v>9654.68</v>
      </c>
      <c r="I7" s="28">
        <v>388</v>
      </c>
      <c r="J7" s="28">
        <v>6575</v>
      </c>
      <c r="K7" s="89"/>
      <c r="L7" s="90">
        <v>0.85416666666666696</v>
      </c>
      <c r="M7" s="99" t="s">
        <v>54</v>
      </c>
      <c r="N7" s="94">
        <f t="shared" si="5"/>
        <v>7626450</v>
      </c>
      <c r="O7" s="93">
        <v>7626630</v>
      </c>
      <c r="P7" s="94">
        <f t="shared" si="2"/>
        <v>180</v>
      </c>
      <c r="Q7" s="40">
        <v>0.83530000000000004</v>
      </c>
      <c r="R7" s="96">
        <f t="shared" si="3"/>
        <v>150.35400000000001</v>
      </c>
      <c r="S7" s="97" t="s">
        <v>98</v>
      </c>
    </row>
    <row r="8" spans="1:22" ht="16" x14ac:dyDescent="0.2">
      <c r="A8" s="84">
        <v>0.74652777777777801</v>
      </c>
      <c r="B8" s="85" t="s">
        <v>54</v>
      </c>
      <c r="C8" s="92">
        <f t="shared" si="4"/>
        <v>50384410</v>
      </c>
      <c r="D8" s="70">
        <v>50395360</v>
      </c>
      <c r="E8" s="86">
        <f t="shared" si="0"/>
        <v>10950</v>
      </c>
      <c r="F8" s="118">
        <v>10950</v>
      </c>
      <c r="G8" s="40">
        <v>0.83579999999999999</v>
      </c>
      <c r="H8" s="88">
        <f t="shared" si="1"/>
        <v>9152.01</v>
      </c>
      <c r="I8" s="28">
        <v>388</v>
      </c>
      <c r="J8" s="28">
        <v>6575</v>
      </c>
      <c r="K8" s="89"/>
      <c r="L8" s="90">
        <v>0.89583333333333304</v>
      </c>
      <c r="M8" s="91" t="s">
        <v>48</v>
      </c>
      <c r="N8" s="94">
        <f t="shared" si="5"/>
        <v>7626630</v>
      </c>
      <c r="O8" s="93">
        <v>7626840</v>
      </c>
      <c r="P8" s="94">
        <f t="shared" si="2"/>
        <v>210</v>
      </c>
      <c r="Q8" s="95">
        <v>0.83850000000000002</v>
      </c>
      <c r="R8" s="96">
        <f t="shared" si="3"/>
        <v>176.08500000000001</v>
      </c>
      <c r="S8" s="1" t="s">
        <v>67</v>
      </c>
    </row>
    <row r="9" spans="1:22" ht="16" x14ac:dyDescent="0.2">
      <c r="A9" s="84">
        <v>0.8125</v>
      </c>
      <c r="B9" s="85" t="s">
        <v>54</v>
      </c>
      <c r="C9" s="92">
        <f t="shared" si="4"/>
        <v>50395360</v>
      </c>
      <c r="D9" s="70">
        <v>50417790</v>
      </c>
      <c r="E9" s="86">
        <f t="shared" si="0"/>
        <v>22430</v>
      </c>
      <c r="F9" s="118">
        <v>22430</v>
      </c>
      <c r="G9" s="40">
        <v>0.83750000000000002</v>
      </c>
      <c r="H9" s="88">
        <f t="shared" si="1"/>
        <v>18785.125</v>
      </c>
      <c r="I9" s="28">
        <v>388</v>
      </c>
      <c r="J9" s="28">
        <v>6579</v>
      </c>
      <c r="K9" s="89"/>
      <c r="L9" s="90">
        <v>0.94444444444444398</v>
      </c>
      <c r="M9" s="91" t="s">
        <v>48</v>
      </c>
      <c r="N9" s="94">
        <f t="shared" si="5"/>
        <v>7626840</v>
      </c>
      <c r="O9" s="93">
        <v>7627030</v>
      </c>
      <c r="P9" s="94">
        <f t="shared" si="2"/>
        <v>190</v>
      </c>
      <c r="Q9" s="95">
        <v>0.83579999999999999</v>
      </c>
      <c r="R9" s="96">
        <f t="shared" si="3"/>
        <v>158.80199999999999</v>
      </c>
      <c r="S9" s="1" t="s">
        <v>64</v>
      </c>
    </row>
    <row r="10" spans="1:22" ht="16" x14ac:dyDescent="0.2">
      <c r="A10" s="84">
        <v>0.90972222222222199</v>
      </c>
      <c r="B10" s="117" t="s">
        <v>39</v>
      </c>
      <c r="C10" s="92">
        <f t="shared" si="4"/>
        <v>50417790</v>
      </c>
      <c r="D10" s="70">
        <v>50426710</v>
      </c>
      <c r="E10" s="86">
        <f t="shared" si="0"/>
        <v>8920</v>
      </c>
      <c r="F10" s="103">
        <f>SUM(D10-C10)</f>
        <v>8920</v>
      </c>
      <c r="G10" s="40">
        <v>0.83979999999999999</v>
      </c>
      <c r="H10" s="88">
        <f t="shared" si="1"/>
        <v>7491.0159999999996</v>
      </c>
      <c r="I10" s="28">
        <v>147</v>
      </c>
      <c r="J10" s="28">
        <v>6581</v>
      </c>
      <c r="K10" s="89"/>
      <c r="L10" s="90"/>
      <c r="M10" s="91"/>
      <c r="N10" s="94"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0.95486111111111105</v>
      </c>
      <c r="B11" s="85" t="s">
        <v>39</v>
      </c>
      <c r="C11" s="92">
        <f t="shared" si="4"/>
        <v>50426710</v>
      </c>
      <c r="D11" s="70">
        <v>50449140</v>
      </c>
      <c r="E11" s="86">
        <f t="shared" si="0"/>
        <v>22430</v>
      </c>
      <c r="F11" s="118">
        <v>22430</v>
      </c>
      <c r="G11" s="40">
        <v>0.83979999999999999</v>
      </c>
      <c r="H11" s="88">
        <f t="shared" si="1"/>
        <v>18836.714</v>
      </c>
      <c r="I11" s="28">
        <v>388</v>
      </c>
      <c r="J11" s="28">
        <v>6586</v>
      </c>
      <c r="K11" s="89"/>
      <c r="L11" s="90"/>
      <c r="M11" s="91"/>
      <c r="N11" s="94">
        <f t="shared" ref="N11:N16" si="6">SUM(O10)</f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0.99652777777777801</v>
      </c>
      <c r="B12" s="85" t="s">
        <v>39</v>
      </c>
      <c r="C12" s="92">
        <f t="shared" si="4"/>
        <v>50449140</v>
      </c>
      <c r="D12" s="70">
        <v>50466170</v>
      </c>
      <c r="E12" s="86">
        <f t="shared" si="0"/>
        <v>17030</v>
      </c>
      <c r="F12" s="124">
        <v>17019</v>
      </c>
      <c r="G12" s="40">
        <v>0.83979999999999999</v>
      </c>
      <c r="H12" s="88">
        <f t="shared" si="1"/>
        <v>14292.556199999999</v>
      </c>
      <c r="I12" s="28">
        <v>251</v>
      </c>
      <c r="J12" s="28">
        <v>6587</v>
      </c>
      <c r="K12" s="89"/>
      <c r="L12" s="90"/>
      <c r="M12" s="91"/>
      <c r="N12" s="94">
        <f t="shared" si="6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4.1666666666666699E-2</v>
      </c>
      <c r="B13" s="85" t="s">
        <v>46</v>
      </c>
      <c r="C13" s="92">
        <f t="shared" si="4"/>
        <v>50466170</v>
      </c>
      <c r="D13" s="70">
        <v>50477630</v>
      </c>
      <c r="E13" s="86">
        <f t="shared" si="0"/>
        <v>11460</v>
      </c>
      <c r="F13" s="118">
        <v>11480</v>
      </c>
      <c r="G13" s="40">
        <v>0.84050000000000002</v>
      </c>
      <c r="H13" s="88">
        <f t="shared" si="1"/>
        <v>9648.94</v>
      </c>
      <c r="I13" s="28">
        <v>388</v>
      </c>
      <c r="J13" s="28">
        <v>6588</v>
      </c>
      <c r="K13" s="89"/>
      <c r="L13" s="90"/>
      <c r="M13" s="91"/>
      <c r="N13" s="94">
        <f t="shared" si="6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7.6388888888888895E-2</v>
      </c>
      <c r="B14" s="85" t="s">
        <v>46</v>
      </c>
      <c r="C14" s="92">
        <f t="shared" si="4"/>
        <v>50477630</v>
      </c>
      <c r="D14" s="70">
        <v>50500050</v>
      </c>
      <c r="E14" s="86">
        <f t="shared" si="0"/>
        <v>22420</v>
      </c>
      <c r="F14" s="118">
        <v>22430</v>
      </c>
      <c r="G14" s="40">
        <v>0.84050000000000002</v>
      </c>
      <c r="H14" s="88">
        <f t="shared" si="1"/>
        <v>18852.415000000001</v>
      </c>
      <c r="I14" s="28">
        <v>388</v>
      </c>
      <c r="J14" s="28">
        <v>6591</v>
      </c>
      <c r="K14" s="89"/>
      <c r="L14" s="90"/>
      <c r="M14" s="91"/>
      <c r="N14" s="94">
        <f t="shared" si="6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0.24652777777777801</v>
      </c>
      <c r="B15" s="178" t="s">
        <v>38</v>
      </c>
      <c r="C15" s="92">
        <f t="shared" si="4"/>
        <v>50500050</v>
      </c>
      <c r="D15" s="70">
        <v>50522470</v>
      </c>
      <c r="E15" s="86">
        <f t="shared" si="0"/>
        <v>22420</v>
      </c>
      <c r="F15" s="118">
        <v>22430</v>
      </c>
      <c r="G15" s="40">
        <v>0.84250000000000003</v>
      </c>
      <c r="H15" s="202">
        <f t="shared" si="1"/>
        <v>18897.275000000001</v>
      </c>
      <c r="I15" s="28">
        <v>388</v>
      </c>
      <c r="J15" s="28">
        <v>6594</v>
      </c>
      <c r="K15" s="89"/>
      <c r="L15" s="90"/>
      <c r="M15" s="91"/>
      <c r="N15" s="94">
        <f t="shared" si="6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0.26041666666666702</v>
      </c>
      <c r="B16" s="85" t="s">
        <v>38</v>
      </c>
      <c r="C16" s="92">
        <f t="shared" si="4"/>
        <v>50522470</v>
      </c>
      <c r="D16" s="70">
        <v>50539500</v>
      </c>
      <c r="E16" s="86">
        <f t="shared" si="0"/>
        <v>17030</v>
      </c>
      <c r="F16" s="124">
        <v>17019</v>
      </c>
      <c r="G16" s="40">
        <v>0.84250000000000003</v>
      </c>
      <c r="H16" s="202">
        <f t="shared" si="1"/>
        <v>14338.5075</v>
      </c>
      <c r="I16" s="28">
        <v>251</v>
      </c>
      <c r="J16" s="28">
        <v>6595</v>
      </c>
      <c r="K16" s="89"/>
      <c r="L16" s="90"/>
      <c r="M16" s="99"/>
      <c r="N16" s="94">
        <f t="shared" si="6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0.30902777777777801</v>
      </c>
      <c r="B17" s="85" t="s">
        <v>38</v>
      </c>
      <c r="C17" s="92">
        <f t="shared" si="4"/>
        <v>50539500</v>
      </c>
      <c r="D17" s="70">
        <v>50550980</v>
      </c>
      <c r="E17" s="86">
        <f t="shared" si="0"/>
        <v>11480</v>
      </c>
      <c r="F17" s="118">
        <v>11480</v>
      </c>
      <c r="G17" s="40">
        <v>0.84250000000000003</v>
      </c>
      <c r="H17" s="202">
        <f t="shared" si="1"/>
        <v>9671.9</v>
      </c>
      <c r="I17" s="28">
        <v>388</v>
      </c>
      <c r="J17" s="28">
        <v>6597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0.30902777777777801</v>
      </c>
      <c r="B18" s="85" t="s">
        <v>48</v>
      </c>
      <c r="C18" s="92">
        <f t="shared" si="4"/>
        <v>50550980</v>
      </c>
      <c r="D18" s="70">
        <v>50561920</v>
      </c>
      <c r="E18" s="86">
        <f t="shared" si="0"/>
        <v>10940</v>
      </c>
      <c r="F18" s="118">
        <v>10950</v>
      </c>
      <c r="G18" s="40">
        <v>0.84</v>
      </c>
      <c r="H18" s="135">
        <f t="shared" si="1"/>
        <v>9198</v>
      </c>
      <c r="I18" s="28">
        <v>388</v>
      </c>
      <c r="J18" s="28">
        <v>6597</v>
      </c>
      <c r="K18" s="89"/>
      <c r="L18" s="90">
        <v>0.49652777777777801</v>
      </c>
      <c r="M18" s="99" t="s">
        <v>62</v>
      </c>
      <c r="N18" s="125">
        <f>D44</f>
        <v>2913660</v>
      </c>
      <c r="O18" s="93">
        <v>2913730</v>
      </c>
      <c r="P18" s="103">
        <f t="shared" ref="P18:P31" si="7">SUM(O18-N18)</f>
        <v>70</v>
      </c>
      <c r="Q18" s="40">
        <v>0.82909999999999995</v>
      </c>
      <c r="R18" s="88">
        <f t="shared" ref="R18:R31" si="8">SUM(Q18*P18)</f>
        <v>58.036999999999999</v>
      </c>
      <c r="S18" s="97" t="s">
        <v>69</v>
      </c>
      <c r="T18" t="s">
        <v>41</v>
      </c>
    </row>
    <row r="19" spans="1:20" x14ac:dyDescent="0.2">
      <c r="A19" s="84"/>
      <c r="B19" s="85"/>
      <c r="C19" s="92">
        <v>0</v>
      </c>
      <c r="D19" s="70"/>
      <c r="E19" s="86"/>
      <c r="F19" s="124"/>
      <c r="G19" s="40"/>
      <c r="H19" s="135"/>
      <c r="I19" s="28"/>
      <c r="J19" s="28"/>
      <c r="K19" s="89"/>
      <c r="L19" s="90"/>
      <c r="M19" s="99"/>
      <c r="N19" s="92">
        <v>0</v>
      </c>
      <c r="O19" s="93"/>
      <c r="P19" s="103">
        <f t="shared" si="7"/>
        <v>0</v>
      </c>
      <c r="Q19" s="40"/>
      <c r="R19" s="88">
        <f t="shared" si="8"/>
        <v>0</v>
      </c>
      <c r="S19" s="97"/>
    </row>
    <row r="20" spans="1:20" x14ac:dyDescent="0.2">
      <c r="A20" s="84"/>
      <c r="B20" s="85"/>
      <c r="C20" s="92">
        <v>0</v>
      </c>
      <c r="D20" s="70"/>
      <c r="E20" s="86">
        <f t="shared" ref="E20:E37" si="9">SUM(D20-C20)</f>
        <v>0</v>
      </c>
      <c r="F20" s="103">
        <f t="shared" ref="F20:F37" si="10">SUM(D20-C20)</f>
        <v>0</v>
      </c>
      <c r="G20" s="40"/>
      <c r="H20" s="88"/>
      <c r="I20" s="1"/>
      <c r="J20" s="28"/>
      <c r="K20" s="89"/>
      <c r="L20" s="90"/>
      <c r="M20" s="99"/>
      <c r="N20" s="92">
        <f t="shared" ref="N20:N31" si="11">SUM(O19)</f>
        <v>0</v>
      </c>
      <c r="O20" s="93"/>
      <c r="P20" s="103">
        <f t="shared" si="7"/>
        <v>0</v>
      </c>
      <c r="Q20" s="40"/>
      <c r="R20" s="88">
        <f t="shared" si="8"/>
        <v>0</v>
      </c>
      <c r="S20" s="97"/>
    </row>
    <row r="21" spans="1:20" x14ac:dyDescent="0.2">
      <c r="A21" s="84"/>
      <c r="B21" s="85"/>
      <c r="C21" s="92">
        <v>0</v>
      </c>
      <c r="D21" s="70"/>
      <c r="E21" s="86">
        <f t="shared" si="9"/>
        <v>0</v>
      </c>
      <c r="F21" s="103">
        <f t="shared" si="10"/>
        <v>0</v>
      </c>
      <c r="G21" s="40"/>
      <c r="H21" s="88"/>
      <c r="I21" s="1"/>
      <c r="J21" s="28"/>
      <c r="K21" s="89"/>
      <c r="L21" s="90"/>
      <c r="M21" s="99"/>
      <c r="N21" s="92">
        <f t="shared" si="11"/>
        <v>0</v>
      </c>
      <c r="O21" s="93"/>
      <c r="P21" s="103">
        <f t="shared" si="7"/>
        <v>0</v>
      </c>
      <c r="Q21" s="40"/>
      <c r="R21" s="88">
        <f t="shared" si="8"/>
        <v>0</v>
      </c>
      <c r="S21" s="97"/>
    </row>
    <row r="22" spans="1:20" x14ac:dyDescent="0.2">
      <c r="A22" s="84"/>
      <c r="B22" s="85"/>
      <c r="C22" s="92">
        <f t="shared" ref="C22:C38" si="12">SUM(D21)</f>
        <v>0</v>
      </c>
      <c r="D22" s="70"/>
      <c r="E22" s="86">
        <f t="shared" si="9"/>
        <v>0</v>
      </c>
      <c r="F22" s="103">
        <f t="shared" si="10"/>
        <v>0</v>
      </c>
      <c r="G22" s="40"/>
      <c r="H22" s="88">
        <f t="shared" ref="H22:H37" si="13">SUM(G22*F22)</f>
        <v>0</v>
      </c>
      <c r="I22" s="1"/>
      <c r="J22" s="28"/>
      <c r="K22" s="89"/>
      <c r="L22" s="90"/>
      <c r="M22" s="99"/>
      <c r="N22" s="92">
        <f t="shared" si="11"/>
        <v>0</v>
      </c>
      <c r="O22" s="93"/>
      <c r="P22" s="103">
        <f t="shared" si="7"/>
        <v>0</v>
      </c>
      <c r="Q22" s="40"/>
      <c r="R22" s="88">
        <f t="shared" si="8"/>
        <v>0</v>
      </c>
      <c r="S22" s="97"/>
    </row>
    <row r="23" spans="1:20" x14ac:dyDescent="0.2">
      <c r="A23" s="84"/>
      <c r="B23" s="85"/>
      <c r="C23" s="92">
        <f t="shared" si="12"/>
        <v>0</v>
      </c>
      <c r="D23" s="70"/>
      <c r="E23" s="86">
        <f t="shared" si="9"/>
        <v>0</v>
      </c>
      <c r="F23" s="103">
        <f t="shared" si="10"/>
        <v>0</v>
      </c>
      <c r="G23" s="40"/>
      <c r="H23" s="88">
        <f t="shared" si="13"/>
        <v>0</v>
      </c>
      <c r="I23" s="1"/>
      <c r="J23" s="28"/>
      <c r="K23" s="89"/>
      <c r="L23" s="90"/>
      <c r="M23" s="99"/>
      <c r="N23" s="92">
        <f t="shared" si="11"/>
        <v>0</v>
      </c>
      <c r="O23" s="93"/>
      <c r="P23" s="103">
        <f t="shared" si="7"/>
        <v>0</v>
      </c>
      <c r="Q23" s="40"/>
      <c r="R23" s="88">
        <f t="shared" si="8"/>
        <v>0</v>
      </c>
      <c r="S23" s="97"/>
    </row>
    <row r="24" spans="1:20" x14ac:dyDescent="0.2">
      <c r="A24" s="84"/>
      <c r="B24" s="85"/>
      <c r="C24" s="92">
        <f t="shared" si="12"/>
        <v>0</v>
      </c>
      <c r="D24" s="70"/>
      <c r="E24" s="86">
        <f t="shared" si="9"/>
        <v>0</v>
      </c>
      <c r="F24" s="103">
        <f t="shared" si="10"/>
        <v>0</v>
      </c>
      <c r="G24" s="40"/>
      <c r="H24" s="88">
        <f t="shared" si="13"/>
        <v>0</v>
      </c>
      <c r="I24" s="1"/>
      <c r="J24" s="28"/>
      <c r="K24" s="89"/>
      <c r="L24" s="90"/>
      <c r="M24" s="99"/>
      <c r="N24" s="92">
        <f t="shared" si="11"/>
        <v>0</v>
      </c>
      <c r="O24" s="93"/>
      <c r="P24" s="103">
        <f t="shared" si="7"/>
        <v>0</v>
      </c>
      <c r="Q24" s="40"/>
      <c r="R24" s="88">
        <f t="shared" si="8"/>
        <v>0</v>
      </c>
      <c r="S24" s="97"/>
    </row>
    <row r="25" spans="1:20" ht="14.25" customHeight="1" x14ac:dyDescent="0.2">
      <c r="A25" s="84"/>
      <c r="B25" s="85"/>
      <c r="C25" s="92">
        <f t="shared" si="12"/>
        <v>0</v>
      </c>
      <c r="D25" s="70"/>
      <c r="E25" s="86">
        <f t="shared" si="9"/>
        <v>0</v>
      </c>
      <c r="F25" s="103">
        <f t="shared" si="10"/>
        <v>0</v>
      </c>
      <c r="G25" s="40"/>
      <c r="H25" s="88">
        <f t="shared" si="13"/>
        <v>0</v>
      </c>
      <c r="I25" s="1"/>
      <c r="J25" s="28"/>
      <c r="K25" s="89"/>
      <c r="L25" s="90"/>
      <c r="M25" s="91"/>
      <c r="N25" s="92">
        <f t="shared" si="11"/>
        <v>0</v>
      </c>
      <c r="O25" s="93"/>
      <c r="P25" s="103">
        <f t="shared" si="7"/>
        <v>0</v>
      </c>
      <c r="Q25" s="95"/>
      <c r="R25" s="88">
        <f t="shared" si="8"/>
        <v>0</v>
      </c>
      <c r="S25" s="1"/>
    </row>
    <row r="26" spans="1:20" hidden="1" x14ac:dyDescent="0.2">
      <c r="A26" s="84"/>
      <c r="B26" s="85"/>
      <c r="C26" s="92">
        <f t="shared" si="12"/>
        <v>0</v>
      </c>
      <c r="D26" s="70"/>
      <c r="E26" s="86">
        <f t="shared" si="9"/>
        <v>0</v>
      </c>
      <c r="F26" s="103">
        <f t="shared" si="10"/>
        <v>0</v>
      </c>
      <c r="G26" s="40"/>
      <c r="H26" s="88">
        <f t="shared" si="13"/>
        <v>0</v>
      </c>
      <c r="I26" s="1"/>
      <c r="J26" s="28"/>
      <c r="K26" s="89"/>
      <c r="L26" s="90"/>
      <c r="M26" s="91"/>
      <c r="N26" s="92">
        <f t="shared" si="11"/>
        <v>0</v>
      </c>
      <c r="O26" s="93"/>
      <c r="P26" s="103">
        <f t="shared" si="7"/>
        <v>0</v>
      </c>
      <c r="Q26" s="95"/>
      <c r="R26" s="88">
        <f t="shared" si="8"/>
        <v>0</v>
      </c>
      <c r="S26" s="97"/>
    </row>
    <row r="27" spans="1:20" hidden="1" x14ac:dyDescent="0.2">
      <c r="A27" s="84"/>
      <c r="B27" s="85"/>
      <c r="C27" s="92">
        <f t="shared" si="12"/>
        <v>0</v>
      </c>
      <c r="D27" s="70"/>
      <c r="E27" s="86">
        <f t="shared" si="9"/>
        <v>0</v>
      </c>
      <c r="F27" s="103">
        <f t="shared" si="10"/>
        <v>0</v>
      </c>
      <c r="G27" s="40"/>
      <c r="H27" s="88">
        <f t="shared" si="13"/>
        <v>0</v>
      </c>
      <c r="I27" s="1"/>
      <c r="J27" s="28"/>
      <c r="K27" s="89"/>
      <c r="L27" s="90"/>
      <c r="M27" s="91"/>
      <c r="N27" s="92">
        <f t="shared" si="11"/>
        <v>0</v>
      </c>
      <c r="O27" s="93"/>
      <c r="P27" s="103">
        <f t="shared" si="7"/>
        <v>0</v>
      </c>
      <c r="Q27" s="95"/>
      <c r="R27" s="88">
        <f t="shared" si="8"/>
        <v>0</v>
      </c>
      <c r="S27" s="1"/>
    </row>
    <row r="28" spans="1:20" hidden="1" x14ac:dyDescent="0.2">
      <c r="A28" s="84"/>
      <c r="B28" s="85"/>
      <c r="C28" s="92">
        <f t="shared" si="12"/>
        <v>0</v>
      </c>
      <c r="D28" s="70"/>
      <c r="E28" s="86">
        <f t="shared" si="9"/>
        <v>0</v>
      </c>
      <c r="F28" s="103">
        <f t="shared" si="10"/>
        <v>0</v>
      </c>
      <c r="G28" s="40"/>
      <c r="H28" s="88">
        <f t="shared" si="13"/>
        <v>0</v>
      </c>
      <c r="I28" s="1"/>
      <c r="J28" s="28"/>
      <c r="K28" s="89"/>
      <c r="L28" s="90"/>
      <c r="M28" s="91"/>
      <c r="N28" s="92">
        <f t="shared" si="11"/>
        <v>0</v>
      </c>
      <c r="O28" s="93"/>
      <c r="P28" s="103">
        <f t="shared" si="7"/>
        <v>0</v>
      </c>
      <c r="Q28" s="95"/>
      <c r="R28" s="88">
        <f t="shared" si="8"/>
        <v>0</v>
      </c>
      <c r="S28" s="1"/>
    </row>
    <row r="29" spans="1:20" hidden="1" x14ac:dyDescent="0.2">
      <c r="A29" s="84"/>
      <c r="B29" s="85"/>
      <c r="C29" s="92">
        <f t="shared" si="12"/>
        <v>0</v>
      </c>
      <c r="D29" s="70"/>
      <c r="E29" s="86">
        <f t="shared" si="9"/>
        <v>0</v>
      </c>
      <c r="F29" s="103">
        <f t="shared" si="10"/>
        <v>0</v>
      </c>
      <c r="G29" s="40"/>
      <c r="H29" s="88">
        <f t="shared" si="13"/>
        <v>0</v>
      </c>
      <c r="I29" s="1"/>
      <c r="J29" s="28"/>
      <c r="K29" s="89"/>
      <c r="L29" s="90"/>
      <c r="M29" s="91"/>
      <c r="N29" s="92">
        <f t="shared" si="11"/>
        <v>0</v>
      </c>
      <c r="O29" s="93"/>
      <c r="P29" s="103">
        <f t="shared" si="7"/>
        <v>0</v>
      </c>
      <c r="Q29" s="95"/>
      <c r="R29" s="88">
        <f t="shared" si="8"/>
        <v>0</v>
      </c>
      <c r="S29" s="1"/>
    </row>
    <row r="30" spans="1:20" hidden="1" x14ac:dyDescent="0.2">
      <c r="A30" s="84"/>
      <c r="B30" s="85"/>
      <c r="C30" s="92">
        <f t="shared" si="12"/>
        <v>0</v>
      </c>
      <c r="D30" s="70"/>
      <c r="E30" s="86">
        <f t="shared" si="9"/>
        <v>0</v>
      </c>
      <c r="F30" s="103">
        <f t="shared" si="10"/>
        <v>0</v>
      </c>
      <c r="G30" s="40"/>
      <c r="H30" s="88">
        <f t="shared" si="13"/>
        <v>0</v>
      </c>
      <c r="I30" s="1"/>
      <c r="J30" s="28"/>
      <c r="K30" s="105"/>
      <c r="L30" s="90"/>
      <c r="M30" s="91"/>
      <c r="N30" s="92">
        <f t="shared" si="11"/>
        <v>0</v>
      </c>
      <c r="O30" s="93"/>
      <c r="P30" s="103">
        <f t="shared" si="7"/>
        <v>0</v>
      </c>
      <c r="Q30" s="95"/>
      <c r="R30" s="88">
        <f t="shared" si="8"/>
        <v>0</v>
      </c>
      <c r="S30" s="1"/>
    </row>
    <row r="31" spans="1:20" hidden="1" x14ac:dyDescent="0.2">
      <c r="A31" s="84"/>
      <c r="B31" s="85"/>
      <c r="C31" s="92">
        <f t="shared" si="12"/>
        <v>0</v>
      </c>
      <c r="D31" s="70"/>
      <c r="E31" s="86">
        <f t="shared" si="9"/>
        <v>0</v>
      </c>
      <c r="F31" s="103">
        <f t="shared" si="10"/>
        <v>0</v>
      </c>
      <c r="G31" s="40"/>
      <c r="H31" s="88">
        <f t="shared" si="13"/>
        <v>0</v>
      </c>
      <c r="I31" s="1"/>
      <c r="J31" s="28"/>
      <c r="K31" s="89"/>
      <c r="L31" s="90"/>
      <c r="M31" s="91"/>
      <c r="N31" s="92">
        <f t="shared" si="11"/>
        <v>0</v>
      </c>
      <c r="O31" s="93"/>
      <c r="P31" s="103">
        <f t="shared" si="7"/>
        <v>0</v>
      </c>
      <c r="Q31" s="95"/>
      <c r="R31" s="88">
        <f t="shared" si="8"/>
        <v>0</v>
      </c>
      <c r="S31" s="1"/>
    </row>
    <row r="32" spans="1:20" hidden="1" x14ac:dyDescent="0.2">
      <c r="A32" s="84"/>
      <c r="B32" s="85"/>
      <c r="C32" s="92">
        <f t="shared" si="12"/>
        <v>0</v>
      </c>
      <c r="D32" s="70"/>
      <c r="E32" s="86">
        <f t="shared" si="9"/>
        <v>0</v>
      </c>
      <c r="F32" s="103">
        <f t="shared" si="10"/>
        <v>0</v>
      </c>
      <c r="G32" s="40"/>
      <c r="H32" s="88">
        <f t="shared" si="13"/>
        <v>0</v>
      </c>
      <c r="I32" s="1"/>
      <c r="J32" s="28"/>
      <c r="K32" s="89"/>
      <c r="L32" s="107"/>
      <c r="M32" s="108"/>
      <c r="N32" s="108"/>
      <c r="O32" s="109"/>
      <c r="P32" s="110"/>
      <c r="Q32" s="111"/>
      <c r="R32" s="112"/>
      <c r="S32" s="112"/>
    </row>
    <row r="33" spans="1:19" hidden="1" x14ac:dyDescent="0.2">
      <c r="A33" s="84"/>
      <c r="B33" s="85"/>
      <c r="C33" s="92">
        <f t="shared" si="12"/>
        <v>0</v>
      </c>
      <c r="D33" s="70"/>
      <c r="E33" s="86">
        <f t="shared" si="9"/>
        <v>0</v>
      </c>
      <c r="F33" s="103">
        <f t="shared" si="10"/>
        <v>0</v>
      </c>
      <c r="G33" s="40"/>
      <c r="H33" s="88">
        <f t="shared" si="13"/>
        <v>0</v>
      </c>
      <c r="I33" s="1"/>
      <c r="J33" s="28"/>
      <c r="K33" s="89"/>
      <c r="L33" s="113"/>
      <c r="M33" s="113"/>
      <c r="N33" s="113"/>
      <c r="O33" s="113"/>
      <c r="P33" s="113"/>
      <c r="Q33" s="113"/>
      <c r="R33" s="113"/>
      <c r="S33" s="113"/>
    </row>
    <row r="34" spans="1:19" hidden="1" x14ac:dyDescent="0.2">
      <c r="A34" s="84"/>
      <c r="B34" s="85"/>
      <c r="C34" s="92">
        <f t="shared" si="12"/>
        <v>0</v>
      </c>
      <c r="D34" s="70"/>
      <c r="E34" s="86">
        <f t="shared" si="9"/>
        <v>0</v>
      </c>
      <c r="F34" s="103">
        <f t="shared" si="10"/>
        <v>0</v>
      </c>
      <c r="G34" s="40"/>
      <c r="H34" s="88">
        <f t="shared" si="13"/>
        <v>0</v>
      </c>
      <c r="I34" s="1"/>
      <c r="J34" s="28"/>
      <c r="K34" s="89"/>
      <c r="L34" s="113"/>
      <c r="M34" s="113"/>
      <c r="N34" s="113"/>
      <c r="O34" s="113"/>
      <c r="P34" s="113"/>
      <c r="Q34" s="113"/>
      <c r="R34" s="113"/>
      <c r="S34" s="113"/>
    </row>
    <row r="35" spans="1:19" hidden="1" x14ac:dyDescent="0.2">
      <c r="A35" s="84"/>
      <c r="B35" s="85"/>
      <c r="C35" s="92">
        <f t="shared" si="12"/>
        <v>0</v>
      </c>
      <c r="D35" s="70"/>
      <c r="E35" s="86">
        <f t="shared" si="9"/>
        <v>0</v>
      </c>
      <c r="F35" s="103">
        <f t="shared" si="10"/>
        <v>0</v>
      </c>
      <c r="G35" s="40"/>
      <c r="H35" s="88">
        <f t="shared" si="13"/>
        <v>0</v>
      </c>
      <c r="I35" s="1"/>
      <c r="J35" s="28"/>
      <c r="K35" s="89"/>
      <c r="L35" s="113"/>
      <c r="M35" s="113"/>
      <c r="N35" s="113"/>
      <c r="O35" s="113"/>
      <c r="P35" s="113"/>
      <c r="Q35" s="113"/>
      <c r="R35" s="113"/>
      <c r="S35" s="113"/>
    </row>
    <row r="36" spans="1:19" hidden="1" x14ac:dyDescent="0.2">
      <c r="A36" s="84"/>
      <c r="B36" s="85"/>
      <c r="C36" s="92">
        <f t="shared" si="12"/>
        <v>0</v>
      </c>
      <c r="D36" s="70"/>
      <c r="E36" s="86">
        <f t="shared" si="9"/>
        <v>0</v>
      </c>
      <c r="F36" s="103">
        <f t="shared" si="10"/>
        <v>0</v>
      </c>
      <c r="G36" s="40"/>
      <c r="H36" s="88">
        <f t="shared" si="13"/>
        <v>0</v>
      </c>
      <c r="I36" s="1"/>
      <c r="J36" s="28"/>
      <c r="K36" s="89"/>
      <c r="L36" s="113"/>
      <c r="M36" s="113"/>
      <c r="N36" s="113"/>
      <c r="O36" s="113"/>
      <c r="P36" s="113"/>
      <c r="Q36" s="113"/>
      <c r="R36" s="113"/>
      <c r="S36" s="113"/>
    </row>
    <row r="37" spans="1:19" x14ac:dyDescent="0.2">
      <c r="A37" s="84"/>
      <c r="B37" s="85"/>
      <c r="C37" s="92">
        <f t="shared" si="12"/>
        <v>0</v>
      </c>
      <c r="D37" s="70"/>
      <c r="E37" s="86">
        <f t="shared" si="9"/>
        <v>0</v>
      </c>
      <c r="F37" s="126">
        <f t="shared" si="10"/>
        <v>0</v>
      </c>
      <c r="G37" s="40"/>
      <c r="H37" s="127">
        <f t="shared" si="13"/>
        <v>0</v>
      </c>
      <c r="I37" s="1"/>
      <c r="J37" s="1"/>
      <c r="K37" s="89"/>
      <c r="L37" s="113"/>
      <c r="M37" s="113"/>
      <c r="N37" s="113"/>
      <c r="O37" s="113"/>
      <c r="P37" s="113"/>
      <c r="Q37" s="113"/>
      <c r="R37" s="113"/>
      <c r="S37" s="113"/>
    </row>
    <row r="38" spans="1:19" x14ac:dyDescent="0.2">
      <c r="A38" s="84"/>
      <c r="B38" s="85"/>
      <c r="C38" s="92">
        <f t="shared" si="12"/>
        <v>0</v>
      </c>
      <c r="D38" s="70"/>
      <c r="E38" s="104"/>
      <c r="F38" s="128">
        <f>SUM(F3:F37)</f>
        <v>252238</v>
      </c>
      <c r="G38" s="129"/>
      <c r="H38" s="130">
        <f>SUM(H3:H37)</f>
        <v>211885.18369999999</v>
      </c>
      <c r="I38" s="131"/>
      <c r="J38" s="1"/>
      <c r="L38" s="113"/>
      <c r="M38" s="113"/>
      <c r="N38" s="113"/>
      <c r="O38" s="113"/>
      <c r="P38" s="113"/>
      <c r="Q38" s="113"/>
      <c r="R38" s="113"/>
      <c r="S38" s="113"/>
    </row>
    <row r="39" spans="1:19" x14ac:dyDescent="0.2">
      <c r="A39" s="83"/>
      <c r="B39" s="76" t="s">
        <v>49</v>
      </c>
      <c r="C39" s="77"/>
      <c r="D39" s="77"/>
      <c r="E39" s="77"/>
      <c r="F39" s="132"/>
      <c r="G39" s="78"/>
      <c r="H39" s="133"/>
      <c r="I39" s="80"/>
      <c r="J39" s="80"/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0.43402777777777801</v>
      </c>
      <c r="B40" s="117" t="s">
        <v>72</v>
      </c>
      <c r="C40" s="102">
        <v>2869940</v>
      </c>
      <c r="D40" s="102">
        <v>2878370</v>
      </c>
      <c r="E40" s="86">
        <f t="shared" ref="E40:E70" si="14">SUM(D40-C40)</f>
        <v>8430</v>
      </c>
      <c r="F40" s="103">
        <v>8390</v>
      </c>
      <c r="G40" s="40">
        <v>0.83299999999999996</v>
      </c>
      <c r="H40" s="119">
        <f t="shared" ref="H40:H69" si="15">SUM(G40*F40)</f>
        <v>6988.87</v>
      </c>
      <c r="I40" s="28">
        <v>382</v>
      </c>
      <c r="J40" s="28">
        <v>6560</v>
      </c>
      <c r="K40" s="114" t="s">
        <v>60</v>
      </c>
      <c r="L40" s="113"/>
      <c r="M40" s="113"/>
      <c r="N40" s="113"/>
      <c r="O40" s="113"/>
      <c r="P40" s="113"/>
      <c r="Q40" s="113"/>
      <c r="R40" s="113"/>
      <c r="S40" s="113"/>
    </row>
    <row r="41" spans="1:19" ht="14.25" customHeight="1" x14ac:dyDescent="0.2">
      <c r="A41" s="84">
        <v>0.44097222222222199</v>
      </c>
      <c r="B41" s="85" t="s">
        <v>72</v>
      </c>
      <c r="C41" s="92">
        <f>SUM(D40)</f>
        <v>2878370</v>
      </c>
      <c r="D41" s="102">
        <v>2884450</v>
      </c>
      <c r="E41" s="86">
        <f t="shared" si="14"/>
        <v>6080</v>
      </c>
      <c r="F41" s="103">
        <v>6034</v>
      </c>
      <c r="G41" s="40">
        <v>0.83299999999999996</v>
      </c>
      <c r="H41" s="119">
        <f t="shared" si="15"/>
        <v>5026.3220000000001</v>
      </c>
      <c r="I41" s="28">
        <v>81</v>
      </c>
      <c r="J41" s="28">
        <v>6561</v>
      </c>
      <c r="K41" s="114" t="s">
        <v>60</v>
      </c>
      <c r="L41" s="113"/>
      <c r="M41" s="113"/>
      <c r="N41" s="113"/>
      <c r="O41" s="113"/>
      <c r="P41" s="113"/>
      <c r="Q41" s="113"/>
      <c r="R41" s="113"/>
      <c r="S41" s="113"/>
    </row>
    <row r="42" spans="1:19" ht="15" customHeight="1" x14ac:dyDescent="0.2">
      <c r="A42" s="84">
        <v>0.45138888888888901</v>
      </c>
      <c r="B42" s="85" t="s">
        <v>72</v>
      </c>
      <c r="C42" s="92">
        <f>SUM(D41)</f>
        <v>2884450</v>
      </c>
      <c r="D42" s="102">
        <v>2890350</v>
      </c>
      <c r="E42" s="86">
        <f t="shared" si="14"/>
        <v>5900</v>
      </c>
      <c r="F42" s="103">
        <v>5855</v>
      </c>
      <c r="G42" s="40">
        <v>0.83299999999999996</v>
      </c>
      <c r="H42" s="119">
        <f t="shared" si="15"/>
        <v>4877.2150000000001</v>
      </c>
      <c r="I42" s="28">
        <v>57</v>
      </c>
      <c r="J42" s="28">
        <v>6562</v>
      </c>
      <c r="K42" s="114" t="s">
        <v>60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0.46180555555555602</v>
      </c>
      <c r="B43" s="134" t="s">
        <v>62</v>
      </c>
      <c r="C43" s="92">
        <f>SUM(D42)</f>
        <v>2890350</v>
      </c>
      <c r="D43" s="102">
        <v>2907450</v>
      </c>
      <c r="E43" s="86">
        <f t="shared" si="14"/>
        <v>17100</v>
      </c>
      <c r="F43" s="124">
        <v>17019</v>
      </c>
      <c r="G43" s="40">
        <v>0.83250000000000002</v>
      </c>
      <c r="H43" s="135">
        <f t="shared" si="15"/>
        <v>14168.317500000001</v>
      </c>
      <c r="I43" s="28">
        <v>251</v>
      </c>
      <c r="J43" s="28">
        <v>6565</v>
      </c>
      <c r="K43" s="106" t="s">
        <v>91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0.47569444444444398</v>
      </c>
      <c r="B44" s="85" t="s">
        <v>62</v>
      </c>
      <c r="C44" s="92">
        <f>SUM(D43)</f>
        <v>2907450</v>
      </c>
      <c r="D44" s="102">
        <v>2913660</v>
      </c>
      <c r="E44" s="86">
        <f t="shared" si="14"/>
        <v>6210</v>
      </c>
      <c r="F44" s="103">
        <v>6168</v>
      </c>
      <c r="G44" s="40">
        <v>0.83250000000000002</v>
      </c>
      <c r="H44" s="135">
        <f t="shared" si="15"/>
        <v>5134.8599999999997</v>
      </c>
      <c r="I44" s="28">
        <v>119</v>
      </c>
      <c r="J44" s="28">
        <v>6567</v>
      </c>
      <c r="K44" s="106" t="s">
        <v>91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0.59027777777777801</v>
      </c>
      <c r="B45" s="85" t="s">
        <v>72</v>
      </c>
      <c r="C45" s="92">
        <f>O18</f>
        <v>2913730</v>
      </c>
      <c r="D45" s="102">
        <v>2917990</v>
      </c>
      <c r="E45" s="86">
        <f t="shared" si="14"/>
        <v>4260</v>
      </c>
      <c r="F45" s="103">
        <v>4229</v>
      </c>
      <c r="G45" s="40">
        <v>0.83230000000000004</v>
      </c>
      <c r="H45" s="119">
        <f t="shared" si="15"/>
        <v>3519.7967000000003</v>
      </c>
      <c r="I45" s="28">
        <v>382</v>
      </c>
      <c r="J45" s="28">
        <v>6568</v>
      </c>
      <c r="K45" s="114" t="s">
        <v>60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0.59722222222222199</v>
      </c>
      <c r="B46" s="85" t="s">
        <v>72</v>
      </c>
      <c r="C46" s="92">
        <f t="shared" ref="C46:C66" si="16">SUM(D45)</f>
        <v>2917990</v>
      </c>
      <c r="D46" s="102">
        <v>2927690</v>
      </c>
      <c r="E46" s="86">
        <f t="shared" si="14"/>
        <v>9700</v>
      </c>
      <c r="F46" s="103">
        <v>9651</v>
      </c>
      <c r="G46" s="40">
        <v>0.83230000000000004</v>
      </c>
      <c r="H46" s="119">
        <f t="shared" si="15"/>
        <v>8032.5273000000007</v>
      </c>
      <c r="I46" s="28">
        <v>81</v>
      </c>
      <c r="J46" s="28">
        <v>6569</v>
      </c>
      <c r="K46" s="114" t="s">
        <v>60</v>
      </c>
      <c r="L46" s="113"/>
      <c r="M46" s="113"/>
      <c r="N46" s="89"/>
      <c r="O46" s="113"/>
      <c r="P46" s="113"/>
      <c r="Q46" s="113"/>
      <c r="R46" s="113"/>
      <c r="S46" s="113"/>
    </row>
    <row r="47" spans="1:19" ht="16" x14ac:dyDescent="0.2">
      <c r="A47" s="84">
        <v>0.60416666666666696</v>
      </c>
      <c r="B47" s="85" t="s">
        <v>72</v>
      </c>
      <c r="C47" s="92">
        <f t="shared" si="16"/>
        <v>2927690</v>
      </c>
      <c r="D47" s="102">
        <v>2933640</v>
      </c>
      <c r="E47" s="86">
        <f t="shared" si="14"/>
        <v>5950</v>
      </c>
      <c r="F47" s="103">
        <v>5908</v>
      </c>
      <c r="G47" s="40">
        <v>0.83230000000000004</v>
      </c>
      <c r="H47" s="119">
        <f t="shared" si="15"/>
        <v>4917.2284</v>
      </c>
      <c r="I47" s="28">
        <v>57</v>
      </c>
      <c r="J47" s="28">
        <v>6570</v>
      </c>
      <c r="K47" s="114" t="s">
        <v>60</v>
      </c>
      <c r="L47" s="113"/>
      <c r="M47" s="113"/>
      <c r="N47" s="89"/>
      <c r="O47" s="113"/>
      <c r="P47" s="113"/>
      <c r="Q47" s="113"/>
      <c r="R47" s="113"/>
      <c r="S47" s="113"/>
    </row>
    <row r="48" spans="1:19" ht="16" x14ac:dyDescent="0.2">
      <c r="A48" s="84">
        <v>0.65972222222222199</v>
      </c>
      <c r="B48" s="85" t="s">
        <v>59</v>
      </c>
      <c r="C48" s="92">
        <f t="shared" si="16"/>
        <v>2933640</v>
      </c>
      <c r="D48" s="102">
        <v>2948810</v>
      </c>
      <c r="E48" s="86">
        <f t="shared" si="14"/>
        <v>15170</v>
      </c>
      <c r="F48" s="137">
        <v>15040</v>
      </c>
      <c r="G48" s="40">
        <v>0.84250000000000003</v>
      </c>
      <c r="H48" s="88">
        <f t="shared" si="15"/>
        <v>12671.2</v>
      </c>
      <c r="I48" s="28">
        <v>467</v>
      </c>
      <c r="J48" s="28">
        <v>6571</v>
      </c>
      <c r="K48" s="115" t="s">
        <v>99</v>
      </c>
      <c r="L48" s="113" t="s">
        <v>100</v>
      </c>
      <c r="M48" s="113"/>
      <c r="N48" s="89"/>
      <c r="O48" s="113"/>
      <c r="P48" s="113"/>
      <c r="Q48" s="113"/>
      <c r="R48" s="113"/>
      <c r="S48" s="113"/>
    </row>
    <row r="49" spans="1:19" ht="15" customHeight="1" x14ac:dyDescent="0.2">
      <c r="A49" s="84">
        <v>0.68055555555555503</v>
      </c>
      <c r="B49" s="85" t="s">
        <v>59</v>
      </c>
      <c r="C49" s="92">
        <f t="shared" si="16"/>
        <v>2948810</v>
      </c>
      <c r="D49" s="102">
        <v>2955880</v>
      </c>
      <c r="E49" s="86">
        <f t="shared" si="14"/>
        <v>7070</v>
      </c>
      <c r="F49" s="124">
        <v>7033</v>
      </c>
      <c r="G49" s="40">
        <v>0.84250000000000003</v>
      </c>
      <c r="H49" s="88">
        <f t="shared" si="15"/>
        <v>5925.3024999999998</v>
      </c>
      <c r="I49" s="28">
        <v>251</v>
      </c>
      <c r="J49" s="28">
        <v>6572</v>
      </c>
      <c r="K49" s="115" t="s">
        <v>99</v>
      </c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0.68055555555555503</v>
      </c>
      <c r="B50" s="85" t="s">
        <v>62</v>
      </c>
      <c r="C50" s="92">
        <f t="shared" si="16"/>
        <v>2955880</v>
      </c>
      <c r="D50" s="102">
        <v>2965920</v>
      </c>
      <c r="E50" s="86">
        <f t="shared" si="14"/>
        <v>10040</v>
      </c>
      <c r="F50" s="124">
        <v>9986</v>
      </c>
      <c r="G50" s="40">
        <v>0.83330000000000004</v>
      </c>
      <c r="H50" s="135">
        <f t="shared" si="15"/>
        <v>8321.3338000000003</v>
      </c>
      <c r="I50" s="28">
        <v>251</v>
      </c>
      <c r="J50" s="28">
        <v>6572</v>
      </c>
      <c r="K50" s="106" t="s">
        <v>91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0.72222222222222199</v>
      </c>
      <c r="B51" s="85" t="s">
        <v>61</v>
      </c>
      <c r="C51" s="92">
        <f t="shared" si="16"/>
        <v>2965920</v>
      </c>
      <c r="D51" s="102">
        <v>2975950</v>
      </c>
      <c r="E51" s="86">
        <f t="shared" si="14"/>
        <v>10030</v>
      </c>
      <c r="F51" s="124">
        <v>9986</v>
      </c>
      <c r="G51" s="40">
        <v>0.83360000000000001</v>
      </c>
      <c r="H51" s="88">
        <f t="shared" si="15"/>
        <v>8324.3296000000009</v>
      </c>
      <c r="I51" s="28">
        <v>251</v>
      </c>
      <c r="J51" s="28">
        <v>6574</v>
      </c>
      <c r="K51" s="114" t="s">
        <v>60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0.75694444444444398</v>
      </c>
      <c r="B52" s="85" t="s">
        <v>61</v>
      </c>
      <c r="C52" s="92">
        <f t="shared" si="16"/>
        <v>2975950</v>
      </c>
      <c r="D52" s="102">
        <v>2985990</v>
      </c>
      <c r="E52" s="86">
        <f t="shared" si="14"/>
        <v>10040</v>
      </c>
      <c r="F52" s="124">
        <v>9986</v>
      </c>
      <c r="G52" s="40">
        <v>0.83360000000000001</v>
      </c>
      <c r="H52" s="88">
        <f t="shared" si="15"/>
        <v>8324.3296000000009</v>
      </c>
      <c r="I52" s="28">
        <v>251</v>
      </c>
      <c r="J52" s="28">
        <v>6576</v>
      </c>
      <c r="K52" s="114" t="s">
        <v>60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0.75694444444444398</v>
      </c>
      <c r="B53" s="178" t="s">
        <v>90</v>
      </c>
      <c r="C53" s="92">
        <f t="shared" si="16"/>
        <v>2985990</v>
      </c>
      <c r="D53" s="102">
        <v>2993070</v>
      </c>
      <c r="E53" s="86">
        <f t="shared" si="14"/>
        <v>7080</v>
      </c>
      <c r="F53" s="124">
        <v>7033</v>
      </c>
      <c r="G53" s="40">
        <v>0.83360000000000001</v>
      </c>
      <c r="H53" s="88">
        <f t="shared" si="15"/>
        <v>5862.7088000000003</v>
      </c>
      <c r="I53" s="28">
        <v>251</v>
      </c>
      <c r="J53" s="28">
        <v>6576</v>
      </c>
      <c r="K53" s="114" t="s">
        <v>60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0.79166666666666696</v>
      </c>
      <c r="B54" s="85" t="s">
        <v>90</v>
      </c>
      <c r="C54" s="92">
        <f t="shared" si="16"/>
        <v>2993070</v>
      </c>
      <c r="D54" s="102">
        <v>3000190</v>
      </c>
      <c r="E54" s="86">
        <f t="shared" si="14"/>
        <v>7120</v>
      </c>
      <c r="F54" s="103">
        <v>7070</v>
      </c>
      <c r="G54" s="40">
        <v>0.83360000000000001</v>
      </c>
      <c r="H54" s="88">
        <f t="shared" si="15"/>
        <v>5893.5519999999997</v>
      </c>
      <c r="I54" s="1">
        <v>81</v>
      </c>
      <c r="J54" s="28">
        <v>6577</v>
      </c>
      <c r="K54" s="114" t="s">
        <v>60</v>
      </c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0.80902777777777801</v>
      </c>
      <c r="B55" s="120" t="s">
        <v>89</v>
      </c>
      <c r="C55" s="92">
        <f t="shared" si="16"/>
        <v>3000190</v>
      </c>
      <c r="D55" s="102">
        <v>3017310</v>
      </c>
      <c r="E55" s="86">
        <f t="shared" si="14"/>
        <v>17120</v>
      </c>
      <c r="F55" s="124">
        <v>17019</v>
      </c>
      <c r="G55" s="40">
        <v>0.83460000000000001</v>
      </c>
      <c r="H55" s="121">
        <f t="shared" si="15"/>
        <v>14204.0574</v>
      </c>
      <c r="I55" s="1">
        <v>251</v>
      </c>
      <c r="J55" s="28">
        <v>6578</v>
      </c>
      <c r="K55" s="106" t="s">
        <v>91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0.90277777777777801</v>
      </c>
      <c r="B56" s="85" t="s">
        <v>90</v>
      </c>
      <c r="C56" s="92">
        <f t="shared" si="16"/>
        <v>3017310</v>
      </c>
      <c r="D56" s="102">
        <v>3023420</v>
      </c>
      <c r="E56" s="86">
        <f t="shared" si="14"/>
        <v>6110</v>
      </c>
      <c r="F56" s="103">
        <v>6078</v>
      </c>
      <c r="G56" s="40">
        <v>0.83360000000000001</v>
      </c>
      <c r="H56" s="88">
        <f t="shared" si="15"/>
        <v>5066.6207999999997</v>
      </c>
      <c r="I56" s="1">
        <v>57</v>
      </c>
      <c r="J56" s="28">
        <v>6580</v>
      </c>
      <c r="K56" s="114" t="s">
        <v>60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0.91319444444444398</v>
      </c>
      <c r="B57" s="85" t="s">
        <v>89</v>
      </c>
      <c r="C57" s="92">
        <f t="shared" si="16"/>
        <v>3023420</v>
      </c>
      <c r="D57" s="102">
        <v>3034980</v>
      </c>
      <c r="E57" s="86">
        <f t="shared" si="14"/>
        <v>11560</v>
      </c>
      <c r="F57" s="103">
        <v>11502</v>
      </c>
      <c r="G57" s="40">
        <v>0.83399999999999996</v>
      </c>
      <c r="H57" s="121">
        <f t="shared" si="15"/>
        <v>9592.6679999999997</v>
      </c>
      <c r="I57" s="1">
        <v>119</v>
      </c>
      <c r="J57" s="28">
        <v>6582</v>
      </c>
      <c r="K57" s="106" t="s">
        <v>91</v>
      </c>
      <c r="L57" s="113"/>
      <c r="M57" s="113"/>
      <c r="N57" s="113"/>
      <c r="O57" s="113"/>
      <c r="P57" s="113"/>
      <c r="Q57" s="113"/>
      <c r="R57" s="113"/>
      <c r="S57" s="113"/>
    </row>
    <row r="58" spans="1:19" ht="16" x14ac:dyDescent="0.2">
      <c r="A58" s="84">
        <v>0.92708333333333304</v>
      </c>
      <c r="B58" s="85" t="s">
        <v>90</v>
      </c>
      <c r="C58" s="92">
        <f t="shared" si="16"/>
        <v>3034980</v>
      </c>
      <c r="D58" s="102">
        <v>3043450</v>
      </c>
      <c r="E58" s="86">
        <f t="shared" si="14"/>
        <v>8470</v>
      </c>
      <c r="F58" s="103">
        <v>8419</v>
      </c>
      <c r="G58" s="40">
        <v>0.83360000000000001</v>
      </c>
      <c r="H58" s="88">
        <f t="shared" si="15"/>
        <v>7018.0784000000003</v>
      </c>
      <c r="I58" s="1">
        <v>382</v>
      </c>
      <c r="J58" s="28">
        <v>6583</v>
      </c>
      <c r="K58" s="114" t="s">
        <v>60</v>
      </c>
      <c r="L58" s="113"/>
      <c r="M58" s="113"/>
      <c r="N58" s="113"/>
      <c r="O58" s="113"/>
      <c r="P58" s="113"/>
      <c r="Q58" s="113"/>
      <c r="R58" s="113"/>
      <c r="S58" s="113"/>
    </row>
    <row r="59" spans="1:19" ht="16" x14ac:dyDescent="0.2">
      <c r="A59" s="84">
        <v>0.94097222222222199</v>
      </c>
      <c r="B59" s="85" t="s">
        <v>72</v>
      </c>
      <c r="C59" s="92">
        <f t="shared" si="16"/>
        <v>3043450</v>
      </c>
      <c r="D59" s="102">
        <v>3053500</v>
      </c>
      <c r="E59" s="86">
        <f t="shared" si="14"/>
        <v>10050</v>
      </c>
      <c r="F59" s="124">
        <v>9986</v>
      </c>
      <c r="G59" s="40">
        <v>0.83279999999999998</v>
      </c>
      <c r="H59" s="119">
        <f t="shared" si="15"/>
        <v>8316.3407999999999</v>
      </c>
      <c r="I59" s="1">
        <v>251</v>
      </c>
      <c r="J59" s="28">
        <v>6584</v>
      </c>
      <c r="K59" s="114" t="s">
        <v>60</v>
      </c>
      <c r="L59" s="113"/>
      <c r="M59" s="113"/>
      <c r="N59" s="113"/>
      <c r="O59" s="113"/>
      <c r="P59" s="113"/>
      <c r="Q59" s="113"/>
      <c r="R59" s="113"/>
      <c r="S59" s="113"/>
    </row>
    <row r="60" spans="1:19" ht="16" x14ac:dyDescent="0.2">
      <c r="A60" s="84">
        <v>0.94097222222222199</v>
      </c>
      <c r="B60" s="85" t="s">
        <v>72</v>
      </c>
      <c r="C60" s="92">
        <f t="shared" si="16"/>
        <v>3053500</v>
      </c>
      <c r="D60" s="102">
        <v>3060570</v>
      </c>
      <c r="E60" s="86">
        <f t="shared" si="14"/>
        <v>7070</v>
      </c>
      <c r="F60" s="124">
        <v>7033</v>
      </c>
      <c r="G60" s="40">
        <v>0.83279999999999998</v>
      </c>
      <c r="H60" s="119">
        <f t="shared" si="15"/>
        <v>5857.0824000000002</v>
      </c>
      <c r="I60" s="1">
        <v>251</v>
      </c>
      <c r="J60" s="28">
        <v>6585</v>
      </c>
      <c r="K60" s="114" t="s">
        <v>60</v>
      </c>
      <c r="L60" s="113"/>
      <c r="M60" s="113"/>
      <c r="N60" s="113"/>
      <c r="O60" s="113"/>
      <c r="P60" s="113"/>
      <c r="Q60" s="113"/>
      <c r="R60" s="113"/>
      <c r="S60" s="113"/>
    </row>
    <row r="61" spans="1:19" ht="16" x14ac:dyDescent="0.2">
      <c r="A61" s="84">
        <v>5.2083333333333301E-2</v>
      </c>
      <c r="B61" s="85" t="s">
        <v>89</v>
      </c>
      <c r="C61" s="92">
        <f t="shared" si="16"/>
        <v>3060570</v>
      </c>
      <c r="D61" s="102">
        <v>3077570</v>
      </c>
      <c r="E61" s="86">
        <f t="shared" si="14"/>
        <v>17000</v>
      </c>
      <c r="F61" s="124">
        <v>17019</v>
      </c>
      <c r="G61" s="40">
        <v>0.83399999999999996</v>
      </c>
      <c r="H61" s="121">
        <f t="shared" si="15"/>
        <v>14193.846</v>
      </c>
      <c r="I61" s="1">
        <v>251</v>
      </c>
      <c r="J61" s="28">
        <v>6589</v>
      </c>
      <c r="K61" s="106" t="s">
        <v>91</v>
      </c>
      <c r="L61" s="113"/>
      <c r="M61" s="113"/>
      <c r="N61" s="113"/>
      <c r="O61" s="113"/>
      <c r="P61" s="113"/>
      <c r="Q61" s="113"/>
      <c r="R61" s="113"/>
      <c r="S61" s="113"/>
    </row>
    <row r="62" spans="1:19" ht="16" x14ac:dyDescent="0.2">
      <c r="A62" s="84">
        <v>7.2916666666666699E-2</v>
      </c>
      <c r="B62" s="85" t="s">
        <v>72</v>
      </c>
      <c r="C62" s="92">
        <f t="shared" si="16"/>
        <v>3077570</v>
      </c>
      <c r="D62" s="102">
        <v>3083460</v>
      </c>
      <c r="E62" s="86">
        <f t="shared" si="14"/>
        <v>5890</v>
      </c>
      <c r="F62" s="103">
        <v>5738</v>
      </c>
      <c r="G62" s="40">
        <v>0.83299999999999996</v>
      </c>
      <c r="H62" s="119">
        <f t="shared" si="15"/>
        <v>4779.7539999999999</v>
      </c>
      <c r="I62" s="1">
        <v>57</v>
      </c>
      <c r="J62" s="28">
        <v>6590</v>
      </c>
      <c r="K62" s="114" t="s">
        <v>60</v>
      </c>
      <c r="L62" s="113"/>
      <c r="M62" s="113"/>
      <c r="N62" s="113"/>
      <c r="O62" s="113"/>
      <c r="P62" s="113"/>
      <c r="Q62" s="113"/>
      <c r="R62" s="113"/>
      <c r="S62" s="113"/>
    </row>
    <row r="63" spans="1:19" ht="16" x14ac:dyDescent="0.2">
      <c r="A63" s="84">
        <v>7.9861111111111105E-2</v>
      </c>
      <c r="B63" s="85" t="s">
        <v>72</v>
      </c>
      <c r="C63" s="92">
        <f t="shared" si="16"/>
        <v>3083460</v>
      </c>
      <c r="D63" s="102">
        <v>3091760</v>
      </c>
      <c r="E63" s="86">
        <f t="shared" si="14"/>
        <v>8300</v>
      </c>
      <c r="F63" s="103">
        <v>8354</v>
      </c>
      <c r="G63" s="40">
        <v>0.83299999999999996</v>
      </c>
      <c r="H63" s="119">
        <f t="shared" si="15"/>
        <v>6958.8819999999996</v>
      </c>
      <c r="I63" s="1">
        <v>81</v>
      </c>
      <c r="J63" s="28">
        <v>6592</v>
      </c>
      <c r="K63" s="114" t="s">
        <v>60</v>
      </c>
      <c r="L63" s="113"/>
      <c r="M63" s="113"/>
      <c r="N63" s="113"/>
      <c r="O63" s="113"/>
      <c r="P63" s="113"/>
      <c r="Q63" s="113"/>
      <c r="R63" s="113"/>
      <c r="S63" s="113"/>
    </row>
    <row r="64" spans="1:19" ht="16" x14ac:dyDescent="0.2">
      <c r="A64" s="84">
        <v>0.20138888888888901</v>
      </c>
      <c r="B64" s="85" t="s">
        <v>89</v>
      </c>
      <c r="C64" s="92">
        <f t="shared" si="16"/>
        <v>3091760</v>
      </c>
      <c r="D64" s="102">
        <v>3101850</v>
      </c>
      <c r="E64" s="86">
        <f t="shared" si="14"/>
        <v>10090</v>
      </c>
      <c r="F64" s="124">
        <v>9986</v>
      </c>
      <c r="G64" s="40">
        <v>0.83550000000000002</v>
      </c>
      <c r="H64" s="121">
        <f t="shared" si="15"/>
        <v>8343.3029999999999</v>
      </c>
      <c r="I64" s="1">
        <v>251</v>
      </c>
      <c r="J64" s="28">
        <v>6593</v>
      </c>
      <c r="K64" s="106" t="s">
        <v>91</v>
      </c>
      <c r="L64" s="113"/>
      <c r="M64" s="113"/>
      <c r="N64" s="113"/>
      <c r="O64" s="113"/>
      <c r="P64" s="113"/>
      <c r="Q64" s="113"/>
      <c r="R64" s="113"/>
      <c r="S64" s="113"/>
    </row>
    <row r="65" spans="1:19" ht="16" x14ac:dyDescent="0.2">
      <c r="A65" s="84">
        <v>0.20138888888888901</v>
      </c>
      <c r="B65" s="85" t="s">
        <v>62</v>
      </c>
      <c r="C65" s="92">
        <f t="shared" si="16"/>
        <v>3101850</v>
      </c>
      <c r="D65" s="102">
        <v>3108970</v>
      </c>
      <c r="E65" s="86">
        <f t="shared" si="14"/>
        <v>7120</v>
      </c>
      <c r="F65" s="124">
        <v>7033</v>
      </c>
      <c r="G65" s="40">
        <v>0.83350000000000002</v>
      </c>
      <c r="H65" s="135">
        <f t="shared" si="15"/>
        <v>5862.0055000000002</v>
      </c>
      <c r="I65" s="1">
        <v>251</v>
      </c>
      <c r="J65" s="28">
        <v>6593</v>
      </c>
      <c r="K65" s="106" t="s">
        <v>91</v>
      </c>
      <c r="L65" s="113"/>
      <c r="M65" s="113"/>
      <c r="N65" s="113"/>
      <c r="O65" s="113"/>
      <c r="P65" s="113"/>
      <c r="Q65" s="113"/>
      <c r="R65" s="113"/>
      <c r="S65" s="113"/>
    </row>
    <row r="66" spans="1:19" ht="16" x14ac:dyDescent="0.2">
      <c r="A66" s="84">
        <v>0.30555555555555503</v>
      </c>
      <c r="B66" s="85" t="s">
        <v>62</v>
      </c>
      <c r="C66" s="92">
        <f t="shared" si="16"/>
        <v>3108970</v>
      </c>
      <c r="D66" s="102">
        <v>3126080</v>
      </c>
      <c r="E66" s="86">
        <f t="shared" si="14"/>
        <v>17110</v>
      </c>
      <c r="F66" s="124">
        <v>17019</v>
      </c>
      <c r="G66" s="40">
        <v>0.83420000000000005</v>
      </c>
      <c r="H66" s="135">
        <f t="shared" si="15"/>
        <v>14197.249800000001</v>
      </c>
      <c r="I66" s="1">
        <v>251</v>
      </c>
      <c r="J66" s="28">
        <v>6596</v>
      </c>
      <c r="K66" s="106" t="s">
        <v>91</v>
      </c>
      <c r="L66" s="113"/>
      <c r="M66" s="113"/>
      <c r="N66" s="113"/>
      <c r="O66" s="113"/>
      <c r="P66" s="113"/>
      <c r="Q66" s="113"/>
      <c r="R66" s="113"/>
      <c r="S66" s="113"/>
    </row>
    <row r="67" spans="1:19" x14ac:dyDescent="0.2">
      <c r="A67" s="84"/>
      <c r="B67" s="85"/>
      <c r="C67" s="92">
        <v>0</v>
      </c>
      <c r="D67" s="102"/>
      <c r="E67" s="86">
        <f t="shared" si="14"/>
        <v>0</v>
      </c>
      <c r="F67" s="126">
        <f>SUM(D67-C67)</f>
        <v>0</v>
      </c>
      <c r="G67" s="40"/>
      <c r="H67" s="127">
        <f t="shared" si="15"/>
        <v>0</v>
      </c>
      <c r="I67" s="1"/>
      <c r="J67" s="28"/>
      <c r="K67" s="106"/>
      <c r="L67" s="113"/>
      <c r="M67" s="113"/>
      <c r="N67" s="113"/>
      <c r="O67" s="113"/>
      <c r="P67" s="113"/>
      <c r="Q67" s="113"/>
      <c r="R67" s="113"/>
      <c r="S67" s="113"/>
    </row>
    <row r="68" spans="1:19" x14ac:dyDescent="0.2">
      <c r="A68" s="84"/>
      <c r="B68" s="85"/>
      <c r="C68" s="92">
        <f>SUM(D67)</f>
        <v>0</v>
      </c>
      <c r="D68" s="102"/>
      <c r="E68" s="86">
        <f t="shared" si="14"/>
        <v>0</v>
      </c>
      <c r="F68" s="126">
        <f>SUM(D68-C68)</f>
        <v>0</v>
      </c>
      <c r="G68" s="40"/>
      <c r="H68" s="127">
        <f t="shared" si="15"/>
        <v>0</v>
      </c>
      <c r="I68" s="1"/>
      <c r="J68" s="28"/>
      <c r="K68" s="106"/>
      <c r="L68" s="113"/>
      <c r="M68" s="113"/>
      <c r="N68" s="113"/>
      <c r="O68" s="113"/>
      <c r="P68" s="113"/>
      <c r="Q68" s="113"/>
      <c r="R68" s="113"/>
      <c r="S68" s="113"/>
    </row>
    <row r="69" spans="1:19" x14ac:dyDescent="0.2">
      <c r="A69" s="84"/>
      <c r="B69" s="85"/>
      <c r="C69" s="92">
        <f>SUM(D68)</f>
        <v>0</v>
      </c>
      <c r="D69" s="102"/>
      <c r="E69" s="86">
        <f t="shared" si="14"/>
        <v>0</v>
      </c>
      <c r="F69" s="126">
        <f>SUM(D69-C69)</f>
        <v>0</v>
      </c>
      <c r="G69" s="40"/>
      <c r="H69" s="127">
        <f t="shared" si="15"/>
        <v>0</v>
      </c>
      <c r="I69" s="1"/>
      <c r="J69" s="28"/>
      <c r="K69" s="113"/>
      <c r="L69" s="113"/>
      <c r="M69" s="113"/>
      <c r="N69" s="113"/>
      <c r="O69" s="113"/>
      <c r="P69" s="113"/>
      <c r="Q69" s="113"/>
      <c r="R69" s="113"/>
      <c r="S69" s="113"/>
    </row>
    <row r="70" spans="1:19" x14ac:dyDescent="0.2">
      <c r="A70" s="84"/>
      <c r="B70" s="85"/>
      <c r="C70" s="92">
        <f>SUM(D69)</f>
        <v>0</v>
      </c>
      <c r="D70" s="70"/>
      <c r="E70" s="104">
        <f t="shared" si="14"/>
        <v>0</v>
      </c>
      <c r="F70" s="128">
        <f>SUM(F40:F69)</f>
        <v>254574</v>
      </c>
      <c r="G70" s="129"/>
      <c r="H70" s="130">
        <f>SUM(H40:H69)</f>
        <v>212377.7813</v>
      </c>
      <c r="I70" s="131"/>
      <c r="J70" s="28"/>
      <c r="K70" s="116"/>
      <c r="L70" s="113"/>
      <c r="M70" s="113"/>
      <c r="N70" s="113"/>
      <c r="O70" s="113"/>
      <c r="P70" s="113"/>
      <c r="Q70" s="113"/>
      <c r="R70" s="113"/>
      <c r="S70" s="113"/>
    </row>
    <row r="71" spans="1:19" x14ac:dyDescent="0.2">
      <c r="L71" s="113"/>
      <c r="M71" s="113"/>
      <c r="N71" s="113"/>
      <c r="O71" s="113"/>
      <c r="P71" s="113"/>
      <c r="Q71" s="113"/>
      <c r="R71" s="113"/>
      <c r="S71" s="113"/>
    </row>
    <row r="72" spans="1:19" x14ac:dyDescent="0.2">
      <c r="F72" s="141">
        <f>F70+F38</f>
        <v>506812</v>
      </c>
      <c r="G72" s="129"/>
      <c r="H72" s="130">
        <f>H70+H38</f>
        <v>424262.96499999997</v>
      </c>
      <c r="L72" s="113"/>
      <c r="M72" s="113"/>
      <c r="N72" s="113"/>
      <c r="O72" s="113"/>
      <c r="P72" s="113"/>
      <c r="Q72" s="113"/>
      <c r="R72" s="113"/>
      <c r="S72" s="113"/>
    </row>
    <row r="73" spans="1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1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1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1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1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1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1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1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hidden="1" x14ac:dyDescent="0.2">
      <c r="E90" s="113"/>
      <c r="L90" s="113"/>
      <c r="M90" s="113"/>
      <c r="N90" s="113"/>
      <c r="O90" s="113"/>
      <c r="P90" s="113"/>
      <c r="Q90" s="113"/>
      <c r="R90" s="113"/>
      <c r="S90" s="113"/>
    </row>
    <row r="91" spans="5:19" hidden="1" x14ac:dyDescent="0.2">
      <c r="E91" s="113"/>
      <c r="L91" s="113"/>
      <c r="M91" s="113"/>
      <c r="N91" s="113"/>
      <c r="O91" s="113"/>
      <c r="P91" s="113"/>
      <c r="Q91" s="113"/>
      <c r="R91" s="113"/>
      <c r="S91" s="113"/>
    </row>
    <row r="92" spans="5:19" hidden="1" x14ac:dyDescent="0.2">
      <c r="E92" s="113"/>
      <c r="L92" s="113"/>
      <c r="M92" s="113"/>
      <c r="N92" s="113"/>
      <c r="O92" s="113"/>
      <c r="P92" s="113"/>
      <c r="Q92" s="113"/>
      <c r="R92" s="113"/>
      <c r="S92" s="113"/>
    </row>
    <row r="93" spans="5:19" hidden="1" x14ac:dyDescent="0.2">
      <c r="E93" s="113"/>
      <c r="L93" s="113"/>
      <c r="M93" s="113"/>
      <c r="N93" s="113"/>
      <c r="O93" s="113"/>
      <c r="P93" s="113"/>
      <c r="Q93" s="113"/>
      <c r="R93" s="113"/>
      <c r="S93" s="113"/>
    </row>
    <row r="94" spans="5:19" hidden="1" x14ac:dyDescent="0.2">
      <c r="E94" s="113"/>
      <c r="L94" s="113"/>
      <c r="M94" s="113"/>
      <c r="N94" s="113"/>
      <c r="O94" s="113"/>
      <c r="P94" s="113"/>
      <c r="Q94" s="113"/>
      <c r="R94" s="113"/>
      <c r="S94" s="113"/>
    </row>
    <row r="95" spans="5:19" x14ac:dyDescent="0.2">
      <c r="E95" s="113"/>
      <c r="L95" s="113"/>
      <c r="M95" s="113"/>
      <c r="N95" s="113"/>
      <c r="O95" s="113"/>
      <c r="P95" s="113"/>
      <c r="Q95" s="113"/>
      <c r="R95" s="113"/>
      <c r="S95" s="113"/>
    </row>
    <row r="96" spans="5:19" x14ac:dyDescent="0.2">
      <c r="E96" s="113"/>
      <c r="L96" s="113"/>
      <c r="M96" s="113"/>
      <c r="N96" s="113"/>
      <c r="O96" s="113"/>
      <c r="P96" s="113"/>
      <c r="Q96" s="113"/>
      <c r="R96" s="113"/>
      <c r="S96" s="113"/>
    </row>
    <row r="97" spans="5:19" x14ac:dyDescent="0.2">
      <c r="E97" s="113"/>
      <c r="L97" s="113"/>
      <c r="M97" s="113"/>
      <c r="N97" s="113"/>
      <c r="O97" s="113"/>
      <c r="P97" s="113"/>
      <c r="Q97" s="113"/>
      <c r="R97" s="113"/>
      <c r="S97" s="113"/>
    </row>
    <row r="98" spans="5:19" x14ac:dyDescent="0.2">
      <c r="E98" s="113"/>
    </row>
    <row r="99" spans="5:19" x14ac:dyDescent="0.2">
      <c r="E99" s="113"/>
    </row>
    <row r="100" spans="5:19" x14ac:dyDescent="0.2">
      <c r="E100" s="113"/>
    </row>
    <row r="101" spans="5:19" x14ac:dyDescent="0.2">
      <c r="E101" s="113"/>
    </row>
    <row r="102" spans="5:19" x14ac:dyDescent="0.2">
      <c r="E102" s="113"/>
    </row>
    <row r="103" spans="5:19" x14ac:dyDescent="0.2">
      <c r="E103" s="113"/>
    </row>
    <row r="104" spans="5:19" x14ac:dyDescent="0.2">
      <c r="E104" s="113"/>
    </row>
    <row r="105" spans="5:19" x14ac:dyDescent="0.2">
      <c r="E105" s="113"/>
    </row>
    <row r="106" spans="5:19" x14ac:dyDescent="0.2">
      <c r="E106" s="113"/>
    </row>
    <row r="107" spans="5:19" x14ac:dyDescent="0.2">
      <c r="E107" s="113"/>
    </row>
    <row r="108" spans="5:19" x14ac:dyDescent="0.2">
      <c r="E108" s="113"/>
    </row>
    <row r="109" spans="5:19" x14ac:dyDescent="0.2">
      <c r="E109" s="113"/>
    </row>
    <row r="110" spans="5:19" x14ac:dyDescent="0.2">
      <c r="E110" s="113"/>
    </row>
    <row r="111" spans="5:19" x14ac:dyDescent="0.2">
      <c r="E111" s="113"/>
    </row>
    <row r="112" spans="5:19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  <row r="128" spans="5:5" x14ac:dyDescent="0.2">
      <c r="E128" s="113"/>
    </row>
    <row r="129" spans="5:5" x14ac:dyDescent="0.2">
      <c r="E129" s="113"/>
    </row>
    <row r="130" spans="5:5" x14ac:dyDescent="0.2">
      <c r="E130" s="113"/>
    </row>
    <row r="131" spans="5:5" x14ac:dyDescent="0.2">
      <c r="E131" s="113"/>
    </row>
    <row r="132" spans="5:5" x14ac:dyDescent="0.2">
      <c r="E132" s="113"/>
    </row>
    <row r="133" spans="5:5" x14ac:dyDescent="0.2">
      <c r="E133" s="113"/>
    </row>
    <row r="134" spans="5:5" x14ac:dyDescent="0.2">
      <c r="E134" s="113"/>
    </row>
    <row r="135" spans="5:5" x14ac:dyDescent="0.2">
      <c r="E135" s="113"/>
    </row>
    <row r="136" spans="5:5" x14ac:dyDescent="0.2">
      <c r="E136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38"/>
  <sheetViews>
    <sheetView topLeftCell="A19" zoomScale="65" zoomScaleNormal="65" workbookViewId="0">
      <selection activeCell="K62" sqref="K62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1.5" style="66" customWidth="1"/>
    <col min="12" max="12" width="12.1640625" style="65" customWidth="1"/>
    <col min="13" max="13" width="10.33203125" style="65" customWidth="1"/>
    <col min="14" max="15" width="15.3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83">
        <v>45088</v>
      </c>
      <c r="B2" s="83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83"/>
      <c r="M2" s="83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0.39930555555555602</v>
      </c>
      <c r="B3" s="85" t="s">
        <v>48</v>
      </c>
      <c r="C3" s="92">
        <v>50561920</v>
      </c>
      <c r="D3" s="70">
        <v>50578950</v>
      </c>
      <c r="E3" s="86">
        <f t="shared" ref="E3:E37" si="0">SUM(D3-C3)</f>
        <v>17030</v>
      </c>
      <c r="F3" s="124">
        <v>17019</v>
      </c>
      <c r="G3" s="40">
        <v>0.84</v>
      </c>
      <c r="H3" s="88">
        <f t="shared" ref="H3:H37" si="1">SUM(G3*F3)</f>
        <v>14295.96</v>
      </c>
      <c r="I3" s="28" t="s">
        <v>77</v>
      </c>
      <c r="J3" s="1">
        <v>6598</v>
      </c>
      <c r="K3" s="89"/>
      <c r="L3" s="90">
        <v>0.41319444444444398</v>
      </c>
      <c r="M3" s="91" t="s">
        <v>46</v>
      </c>
      <c r="N3" s="92">
        <v>7627030</v>
      </c>
      <c r="O3" s="93">
        <v>7627380</v>
      </c>
      <c r="P3" s="94">
        <f t="shared" ref="P3:P16" si="2">SUM(O3-N3)</f>
        <v>350</v>
      </c>
      <c r="Q3" s="95">
        <v>0.84099999999999997</v>
      </c>
      <c r="R3" s="96">
        <f t="shared" ref="R3:R16" si="3">SUM(Q3*P3)</f>
        <v>294.34999999999997</v>
      </c>
      <c r="S3" s="97" t="s">
        <v>53</v>
      </c>
      <c r="V3" t="s">
        <v>41</v>
      </c>
    </row>
    <row r="4" spans="1:22" ht="16" x14ac:dyDescent="0.2">
      <c r="A4" s="84">
        <v>0.44097222222222199</v>
      </c>
      <c r="B4" s="85" t="s">
        <v>48</v>
      </c>
      <c r="C4" s="92">
        <f t="shared" ref="C4:C21" si="4">SUM(D3)</f>
        <v>50578950</v>
      </c>
      <c r="D4" s="70">
        <v>50589350</v>
      </c>
      <c r="E4" s="86">
        <f t="shared" si="0"/>
        <v>10400</v>
      </c>
      <c r="F4" s="87">
        <f>SUM(D4-C4)</f>
        <v>10400</v>
      </c>
      <c r="G4" s="40">
        <v>0.84</v>
      </c>
      <c r="H4" s="88">
        <f t="shared" si="1"/>
        <v>8736</v>
      </c>
      <c r="I4" s="28" t="s">
        <v>101</v>
      </c>
      <c r="J4" s="1">
        <v>6602</v>
      </c>
      <c r="K4" s="89"/>
      <c r="L4" s="90">
        <v>0.47222222222222199</v>
      </c>
      <c r="M4" s="99" t="s">
        <v>46</v>
      </c>
      <c r="N4" s="94">
        <f t="shared" ref="N4:N16" si="5">SUM(O3)</f>
        <v>7627380</v>
      </c>
      <c r="O4" s="93">
        <v>7627540</v>
      </c>
      <c r="P4" s="94">
        <f t="shared" si="2"/>
        <v>160</v>
      </c>
      <c r="Q4" s="95">
        <v>0.84099999999999997</v>
      </c>
      <c r="R4" s="96">
        <f t="shared" si="3"/>
        <v>134.56</v>
      </c>
      <c r="S4" s="97" t="s">
        <v>40</v>
      </c>
    </row>
    <row r="5" spans="1:22" ht="16" x14ac:dyDescent="0.2">
      <c r="A5" s="84">
        <v>0.44791666666666702</v>
      </c>
      <c r="B5" s="85" t="s">
        <v>48</v>
      </c>
      <c r="C5" s="92">
        <f t="shared" si="4"/>
        <v>50589350</v>
      </c>
      <c r="D5" s="70">
        <v>50597530</v>
      </c>
      <c r="E5" s="86">
        <f t="shared" si="0"/>
        <v>8180</v>
      </c>
      <c r="F5" s="87">
        <f>SUM(D5-C5)</f>
        <v>8180</v>
      </c>
      <c r="G5" s="40">
        <v>0.84</v>
      </c>
      <c r="H5" s="88">
        <f t="shared" si="1"/>
        <v>6871.2</v>
      </c>
      <c r="I5" s="28" t="s">
        <v>73</v>
      </c>
      <c r="J5" s="1">
        <v>6603</v>
      </c>
      <c r="K5" s="89"/>
      <c r="L5" s="90">
        <v>0.50694444444444398</v>
      </c>
      <c r="M5" s="99" t="s">
        <v>48</v>
      </c>
      <c r="N5" s="94">
        <f t="shared" si="5"/>
        <v>7627540</v>
      </c>
      <c r="O5" s="93">
        <v>7627850</v>
      </c>
      <c r="P5" s="94">
        <f t="shared" si="2"/>
        <v>310</v>
      </c>
      <c r="Q5" s="40">
        <v>0.84</v>
      </c>
      <c r="R5" s="96">
        <f t="shared" si="3"/>
        <v>260.39999999999998</v>
      </c>
      <c r="S5" s="97" t="s">
        <v>65</v>
      </c>
    </row>
    <row r="6" spans="1:22" ht="16" x14ac:dyDescent="0.2">
      <c r="A6" s="84">
        <v>0.49305555555555602</v>
      </c>
      <c r="B6" s="85" t="s">
        <v>48</v>
      </c>
      <c r="C6" s="92">
        <f t="shared" si="4"/>
        <v>50597530</v>
      </c>
      <c r="D6" s="70">
        <v>50614550</v>
      </c>
      <c r="E6" s="86">
        <f t="shared" si="0"/>
        <v>17020</v>
      </c>
      <c r="F6" s="124">
        <v>17019</v>
      </c>
      <c r="G6" s="40">
        <v>0.84</v>
      </c>
      <c r="H6" s="88">
        <f t="shared" si="1"/>
        <v>14295.96</v>
      </c>
      <c r="I6" s="28" t="s">
        <v>77</v>
      </c>
      <c r="J6" s="1">
        <v>6607</v>
      </c>
      <c r="K6" s="89"/>
      <c r="L6" s="90">
        <v>0.53819444444444398</v>
      </c>
      <c r="M6" s="99" t="s">
        <v>38</v>
      </c>
      <c r="N6" s="94">
        <f t="shared" si="5"/>
        <v>7627850</v>
      </c>
      <c r="O6" s="93">
        <v>7628080</v>
      </c>
      <c r="P6" s="94">
        <f t="shared" si="2"/>
        <v>230</v>
      </c>
      <c r="Q6" s="40">
        <v>0.83979999999999999</v>
      </c>
      <c r="R6" s="88">
        <f t="shared" si="3"/>
        <v>193.154</v>
      </c>
      <c r="S6" s="97" t="s">
        <v>63</v>
      </c>
    </row>
    <row r="7" spans="1:22" ht="16" x14ac:dyDescent="0.2">
      <c r="A7" s="84">
        <v>0.52083333333333304</v>
      </c>
      <c r="B7" s="85" t="s">
        <v>44</v>
      </c>
      <c r="C7" s="92">
        <f t="shared" si="4"/>
        <v>50614550</v>
      </c>
      <c r="D7" s="70">
        <v>50626030</v>
      </c>
      <c r="E7" s="86">
        <f t="shared" si="0"/>
        <v>11480</v>
      </c>
      <c r="F7" s="185">
        <v>11480</v>
      </c>
      <c r="G7" s="40">
        <v>0.84160000000000001</v>
      </c>
      <c r="H7" s="79">
        <f t="shared" si="1"/>
        <v>9661.5679999999993</v>
      </c>
      <c r="I7" s="28" t="s">
        <v>102</v>
      </c>
      <c r="J7" s="1">
        <v>6608</v>
      </c>
      <c r="K7" s="89"/>
      <c r="L7" s="90">
        <v>0.74305555555555503</v>
      </c>
      <c r="M7" s="99" t="s">
        <v>44</v>
      </c>
      <c r="N7" s="94">
        <f t="shared" si="5"/>
        <v>7628080</v>
      </c>
      <c r="O7" s="93">
        <v>7628140</v>
      </c>
      <c r="P7" s="94">
        <f t="shared" si="2"/>
        <v>60</v>
      </c>
      <c r="Q7" s="40">
        <v>0.84160000000000001</v>
      </c>
      <c r="R7" s="88">
        <f t="shared" si="3"/>
        <v>50.496000000000002</v>
      </c>
      <c r="S7" s="97" t="s">
        <v>42</v>
      </c>
    </row>
    <row r="8" spans="1:22" ht="16" x14ac:dyDescent="0.2">
      <c r="A8" s="84">
        <v>0.52083333333333304</v>
      </c>
      <c r="B8" s="85" t="s">
        <v>44</v>
      </c>
      <c r="C8" s="92">
        <f t="shared" si="4"/>
        <v>50626030</v>
      </c>
      <c r="D8" s="70">
        <v>50636990</v>
      </c>
      <c r="E8" s="86">
        <f t="shared" si="0"/>
        <v>10960</v>
      </c>
      <c r="F8" s="185">
        <v>10950</v>
      </c>
      <c r="G8" s="40">
        <v>0.84160000000000001</v>
      </c>
      <c r="H8" s="79">
        <f t="shared" si="1"/>
        <v>9215.52</v>
      </c>
      <c r="I8" s="28" t="s">
        <v>102</v>
      </c>
      <c r="J8" s="1">
        <v>6609</v>
      </c>
      <c r="K8" s="89"/>
      <c r="L8" s="90">
        <v>0.78819444444444398</v>
      </c>
      <c r="M8" s="91" t="s">
        <v>38</v>
      </c>
      <c r="N8" s="94">
        <f t="shared" si="5"/>
        <v>7628140</v>
      </c>
      <c r="O8" s="93">
        <v>7628290</v>
      </c>
      <c r="P8" s="94">
        <f t="shared" si="2"/>
        <v>150</v>
      </c>
      <c r="Q8" s="40">
        <v>0.83799999999999997</v>
      </c>
      <c r="R8" s="88">
        <f t="shared" si="3"/>
        <v>125.69999999999999</v>
      </c>
      <c r="S8" s="1" t="s">
        <v>103</v>
      </c>
    </row>
    <row r="9" spans="1:22" ht="16" x14ac:dyDescent="0.2">
      <c r="A9" s="84">
        <v>0.60763888888888895</v>
      </c>
      <c r="B9" s="85" t="s">
        <v>44</v>
      </c>
      <c r="C9" s="92">
        <f t="shared" si="4"/>
        <v>50636990</v>
      </c>
      <c r="D9" s="70">
        <v>50659410</v>
      </c>
      <c r="E9" s="86">
        <f t="shared" si="0"/>
        <v>22420</v>
      </c>
      <c r="F9" s="185">
        <v>22430</v>
      </c>
      <c r="G9" s="40">
        <v>0.84160000000000001</v>
      </c>
      <c r="H9" s="79">
        <f t="shared" si="1"/>
        <v>18877.088</v>
      </c>
      <c r="I9" s="28" t="s">
        <v>102</v>
      </c>
      <c r="J9" s="1">
        <v>6613</v>
      </c>
      <c r="K9" s="89"/>
      <c r="L9" s="90">
        <v>0.875</v>
      </c>
      <c r="M9" s="91" t="s">
        <v>39</v>
      </c>
      <c r="N9" s="94">
        <f t="shared" si="5"/>
        <v>7628290</v>
      </c>
      <c r="O9" s="93">
        <v>7628520</v>
      </c>
      <c r="P9" s="94">
        <f t="shared" si="2"/>
        <v>230</v>
      </c>
      <c r="Q9" s="95">
        <v>0.83350000000000002</v>
      </c>
      <c r="R9" s="96">
        <f t="shared" si="3"/>
        <v>191.70500000000001</v>
      </c>
      <c r="S9" s="1" t="s">
        <v>45</v>
      </c>
    </row>
    <row r="10" spans="1:22" ht="16" x14ac:dyDescent="0.2">
      <c r="A10" s="84">
        <v>0.70833333333333304</v>
      </c>
      <c r="B10" s="85" t="s">
        <v>44</v>
      </c>
      <c r="C10" s="92">
        <f t="shared" si="4"/>
        <v>50659410</v>
      </c>
      <c r="D10" s="70">
        <v>50670880</v>
      </c>
      <c r="E10" s="86">
        <f t="shared" si="0"/>
        <v>11470</v>
      </c>
      <c r="F10" s="185">
        <v>11480</v>
      </c>
      <c r="G10" s="40">
        <v>0.84160000000000001</v>
      </c>
      <c r="H10" s="79">
        <f t="shared" si="1"/>
        <v>9661.5679999999993</v>
      </c>
      <c r="I10" s="28" t="s">
        <v>102</v>
      </c>
      <c r="J10" s="1">
        <v>6614</v>
      </c>
      <c r="K10" s="89"/>
      <c r="L10" s="90">
        <v>0.89583333333333304</v>
      </c>
      <c r="M10" s="91" t="s">
        <v>44</v>
      </c>
      <c r="N10" s="94">
        <f t="shared" si="5"/>
        <v>7628520</v>
      </c>
      <c r="O10" s="93">
        <v>7628690</v>
      </c>
      <c r="P10" s="94">
        <f t="shared" si="2"/>
        <v>170</v>
      </c>
      <c r="Q10" s="40">
        <v>0.83779999999999999</v>
      </c>
      <c r="R10" s="88">
        <f t="shared" si="3"/>
        <v>142.42599999999999</v>
      </c>
      <c r="S10" s="97" t="s">
        <v>97</v>
      </c>
    </row>
    <row r="11" spans="1:22" ht="16" x14ac:dyDescent="0.2">
      <c r="A11" s="84">
        <v>0.70833333333333304</v>
      </c>
      <c r="B11" s="85" t="s">
        <v>38</v>
      </c>
      <c r="C11" s="92">
        <f t="shared" si="4"/>
        <v>50670880</v>
      </c>
      <c r="D11" s="70">
        <v>50681830</v>
      </c>
      <c r="E11" s="86">
        <f t="shared" si="0"/>
        <v>10950</v>
      </c>
      <c r="F11" s="185">
        <v>10950</v>
      </c>
      <c r="G11" s="40">
        <v>0.83799999999999997</v>
      </c>
      <c r="H11" s="121">
        <f t="shared" si="1"/>
        <v>9176.1</v>
      </c>
      <c r="I11" s="28" t="s">
        <v>102</v>
      </c>
      <c r="J11" s="1">
        <v>6614</v>
      </c>
      <c r="K11" s="89"/>
      <c r="L11" s="90">
        <v>0.94791666666666696</v>
      </c>
      <c r="M11" s="91" t="s">
        <v>38</v>
      </c>
      <c r="N11" s="94">
        <f t="shared" si="5"/>
        <v>7628690</v>
      </c>
      <c r="O11" s="93">
        <v>7628950</v>
      </c>
      <c r="P11" s="94">
        <f t="shared" si="2"/>
        <v>260</v>
      </c>
      <c r="Q11" s="40">
        <v>0.83499999999999996</v>
      </c>
      <c r="R11" s="88">
        <f t="shared" si="3"/>
        <v>217.1</v>
      </c>
      <c r="S11" s="1" t="s">
        <v>43</v>
      </c>
    </row>
    <row r="12" spans="1:22" ht="16" x14ac:dyDescent="0.2">
      <c r="A12" s="84">
        <v>0.77430555555555503</v>
      </c>
      <c r="B12" s="85" t="s">
        <v>38</v>
      </c>
      <c r="C12" s="92">
        <f t="shared" si="4"/>
        <v>50681830</v>
      </c>
      <c r="D12" s="70">
        <v>50704250</v>
      </c>
      <c r="E12" s="86">
        <f t="shared" si="0"/>
        <v>22420</v>
      </c>
      <c r="F12" s="185">
        <v>22430</v>
      </c>
      <c r="G12" s="40">
        <v>0.83799999999999997</v>
      </c>
      <c r="H12" s="121">
        <f t="shared" si="1"/>
        <v>18796.34</v>
      </c>
      <c r="I12" s="28" t="s">
        <v>102</v>
      </c>
      <c r="J12" s="1">
        <v>6616</v>
      </c>
      <c r="K12" s="89"/>
      <c r="L12" s="90">
        <v>0.1875</v>
      </c>
      <c r="M12" s="91" t="s">
        <v>44</v>
      </c>
      <c r="N12" s="94">
        <f t="shared" si="5"/>
        <v>7628950</v>
      </c>
      <c r="O12" s="93">
        <v>7629180</v>
      </c>
      <c r="P12" s="94">
        <f t="shared" si="2"/>
        <v>230</v>
      </c>
      <c r="Q12" s="40">
        <v>0.83509999999999995</v>
      </c>
      <c r="R12" s="88">
        <f t="shared" si="3"/>
        <v>192.07299999999998</v>
      </c>
      <c r="S12" s="1" t="s">
        <v>64</v>
      </c>
    </row>
    <row r="13" spans="1:22" ht="16" x14ac:dyDescent="0.2">
      <c r="A13" s="84">
        <v>0.83333333333333304</v>
      </c>
      <c r="B13" s="85" t="s">
        <v>44</v>
      </c>
      <c r="C13" s="92">
        <f t="shared" si="4"/>
        <v>50704250</v>
      </c>
      <c r="D13" s="70">
        <v>50726680</v>
      </c>
      <c r="E13" s="86">
        <f t="shared" si="0"/>
        <v>22430</v>
      </c>
      <c r="F13" s="185">
        <v>22430</v>
      </c>
      <c r="G13" s="40">
        <v>0.83779999999999999</v>
      </c>
      <c r="H13" s="79">
        <f t="shared" si="1"/>
        <v>18791.853999999999</v>
      </c>
      <c r="I13" s="28" t="s">
        <v>102</v>
      </c>
      <c r="J13" s="1">
        <v>6620</v>
      </c>
      <c r="K13" s="89"/>
      <c r="L13" s="90"/>
      <c r="M13" s="91"/>
      <c r="N13" s="94">
        <f t="shared" si="5"/>
        <v>7629180</v>
      </c>
      <c r="O13" s="93"/>
      <c r="P13" s="94">
        <f t="shared" si="2"/>
        <v>-7629180</v>
      </c>
      <c r="Q13" s="95"/>
      <c r="R13" s="96">
        <f t="shared" si="3"/>
        <v>0</v>
      </c>
      <c r="S13" s="1"/>
    </row>
    <row r="14" spans="1:22" ht="16" x14ac:dyDescent="0.2">
      <c r="A14" s="84">
        <v>0.92708333333333304</v>
      </c>
      <c r="B14" s="85" t="s">
        <v>38</v>
      </c>
      <c r="C14" s="92">
        <f t="shared" si="4"/>
        <v>50726680</v>
      </c>
      <c r="D14" s="70">
        <v>50736720</v>
      </c>
      <c r="E14" s="86">
        <f t="shared" si="0"/>
        <v>10040</v>
      </c>
      <c r="F14" s="87">
        <f>SUM(D14-C14)</f>
        <v>10040</v>
      </c>
      <c r="G14" s="40">
        <v>0.83499999999999996</v>
      </c>
      <c r="H14" s="121">
        <f t="shared" si="1"/>
        <v>8383.4</v>
      </c>
      <c r="I14" s="28" t="s">
        <v>101</v>
      </c>
      <c r="J14" s="1">
        <v>6623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0.9375</v>
      </c>
      <c r="B15" s="85" t="s">
        <v>38</v>
      </c>
      <c r="C15" s="92">
        <f t="shared" si="4"/>
        <v>50736720</v>
      </c>
      <c r="D15" s="70">
        <v>50753750</v>
      </c>
      <c r="E15" s="86">
        <f t="shared" si="0"/>
        <v>17030</v>
      </c>
      <c r="F15" s="124">
        <v>17019</v>
      </c>
      <c r="G15" s="40">
        <v>0.83499999999999996</v>
      </c>
      <c r="H15" s="121">
        <f t="shared" si="1"/>
        <v>14210.865</v>
      </c>
      <c r="I15" s="28" t="s">
        <v>77</v>
      </c>
      <c r="J15" s="1">
        <v>6624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0.94791666666666696</v>
      </c>
      <c r="B16" s="85" t="s">
        <v>38</v>
      </c>
      <c r="C16" s="92">
        <f t="shared" si="4"/>
        <v>50753750</v>
      </c>
      <c r="D16" s="70">
        <v>50776170</v>
      </c>
      <c r="E16" s="86">
        <f t="shared" si="0"/>
        <v>22420</v>
      </c>
      <c r="F16" s="185">
        <v>22430</v>
      </c>
      <c r="G16" s="40">
        <v>0.83499999999999996</v>
      </c>
      <c r="H16" s="121">
        <f t="shared" si="1"/>
        <v>18729.05</v>
      </c>
      <c r="I16" s="28" t="s">
        <v>102</v>
      </c>
      <c r="J16" s="1">
        <v>6626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0.15625</v>
      </c>
      <c r="B17" s="85" t="s">
        <v>44</v>
      </c>
      <c r="C17" s="92">
        <f t="shared" si="4"/>
        <v>50776170</v>
      </c>
      <c r="D17" s="70">
        <v>50793200</v>
      </c>
      <c r="E17" s="86">
        <f t="shared" si="0"/>
        <v>17030</v>
      </c>
      <c r="F17" s="124">
        <v>17019</v>
      </c>
      <c r="G17" s="40">
        <v>0.83509999999999995</v>
      </c>
      <c r="H17" s="79">
        <f t="shared" si="1"/>
        <v>14212.5669</v>
      </c>
      <c r="I17" s="28" t="s">
        <v>77</v>
      </c>
      <c r="J17" s="1">
        <v>6631</v>
      </c>
      <c r="K17" s="89"/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0.180555555555556</v>
      </c>
      <c r="B18" s="85" t="s">
        <v>44</v>
      </c>
      <c r="C18" s="92">
        <f t="shared" si="4"/>
        <v>50793200</v>
      </c>
      <c r="D18" s="70">
        <v>50815620</v>
      </c>
      <c r="E18" s="86">
        <f t="shared" si="0"/>
        <v>22420</v>
      </c>
      <c r="F18" s="185">
        <v>22430</v>
      </c>
      <c r="G18" s="40">
        <v>0.83509999999999995</v>
      </c>
      <c r="H18" s="79">
        <f t="shared" si="1"/>
        <v>18731.292999999998</v>
      </c>
      <c r="I18" s="28" t="s">
        <v>102</v>
      </c>
      <c r="J18" s="28">
        <v>6632</v>
      </c>
      <c r="K18" s="89"/>
      <c r="L18" s="90"/>
      <c r="M18" s="99"/>
      <c r="N18" s="125"/>
      <c r="O18" s="93"/>
      <c r="P18" s="103">
        <f t="shared" ref="P18:P31" si="6">SUM(O18-N18)</f>
        <v>0</v>
      </c>
      <c r="Q18" s="40"/>
      <c r="R18" s="88">
        <f t="shared" ref="R18:R31" si="7">SUM(Q18*P18)</f>
        <v>0</v>
      </c>
      <c r="S18" s="97"/>
      <c r="T18" t="s">
        <v>41</v>
      </c>
    </row>
    <row r="19" spans="1:20" ht="16" x14ac:dyDescent="0.2">
      <c r="A19" s="84">
        <v>0.24652777777777801</v>
      </c>
      <c r="B19" s="85" t="s">
        <v>38</v>
      </c>
      <c r="C19" s="92">
        <f t="shared" si="4"/>
        <v>50815620</v>
      </c>
      <c r="D19" s="70">
        <v>50838040</v>
      </c>
      <c r="E19" s="86">
        <f t="shared" si="0"/>
        <v>22420</v>
      </c>
      <c r="F19" s="185">
        <v>22430</v>
      </c>
      <c r="G19" s="40">
        <v>0.83499999999999996</v>
      </c>
      <c r="H19" s="121">
        <f t="shared" si="1"/>
        <v>18729.05</v>
      </c>
      <c r="I19" s="28" t="s">
        <v>102</v>
      </c>
      <c r="J19" s="1">
        <v>6634</v>
      </c>
      <c r="K19" s="89"/>
      <c r="L19" s="90"/>
      <c r="M19" s="99"/>
      <c r="N19" s="92">
        <f t="shared" ref="N19:N31" si="8">SUM(O18)</f>
        <v>0</v>
      </c>
      <c r="O19" s="93"/>
      <c r="P19" s="103">
        <f t="shared" si="6"/>
        <v>0</v>
      </c>
      <c r="Q19" s="40"/>
      <c r="R19" s="88">
        <f t="shared" si="7"/>
        <v>0</v>
      </c>
      <c r="S19" s="97"/>
    </row>
    <row r="20" spans="1:20" ht="16" x14ac:dyDescent="0.2">
      <c r="A20" s="84">
        <v>0.26041666666666702</v>
      </c>
      <c r="B20" s="85" t="s">
        <v>38</v>
      </c>
      <c r="C20" s="92">
        <f t="shared" si="4"/>
        <v>50838040</v>
      </c>
      <c r="D20" s="70">
        <v>50855060</v>
      </c>
      <c r="E20" s="86">
        <f t="shared" si="0"/>
        <v>17020</v>
      </c>
      <c r="F20" s="124">
        <v>17019</v>
      </c>
      <c r="G20" s="40">
        <v>0.83499999999999996</v>
      </c>
      <c r="H20" s="121">
        <f t="shared" si="1"/>
        <v>14210.865</v>
      </c>
      <c r="I20" s="28" t="s">
        <v>77</v>
      </c>
      <c r="J20" s="1">
        <v>6635</v>
      </c>
      <c r="K20" s="89"/>
      <c r="L20" s="90"/>
      <c r="M20" s="99"/>
      <c r="N20" s="92">
        <f t="shared" si="8"/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ht="16" x14ac:dyDescent="0.2">
      <c r="A21" s="84">
        <v>0.30555555555555503</v>
      </c>
      <c r="B21" s="85" t="s">
        <v>48</v>
      </c>
      <c r="C21" s="92">
        <f t="shared" si="4"/>
        <v>50855060</v>
      </c>
      <c r="D21" s="70">
        <v>50877480</v>
      </c>
      <c r="E21" s="86">
        <f t="shared" si="0"/>
        <v>22420</v>
      </c>
      <c r="F21" s="185">
        <v>22430</v>
      </c>
      <c r="G21" s="40">
        <v>0.83699999999999997</v>
      </c>
      <c r="H21" s="88">
        <f t="shared" si="1"/>
        <v>18773.91</v>
      </c>
      <c r="I21" s="28" t="s">
        <v>102</v>
      </c>
      <c r="J21" s="1">
        <v>6636</v>
      </c>
      <c r="K21" s="89"/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v>0</v>
      </c>
      <c r="D22" s="70"/>
      <c r="E22" s="86">
        <f t="shared" si="0"/>
        <v>0</v>
      </c>
      <c r="F22" s="87">
        <f t="shared" ref="F22:F37" si="9">SUM(D22-C22)</f>
        <v>0</v>
      </c>
      <c r="G22" s="40"/>
      <c r="H22" s="88">
        <f t="shared" si="1"/>
        <v>0</v>
      </c>
      <c r="I22" s="1"/>
      <c r="J22" s="28"/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hidden="1" x14ac:dyDescent="0.2">
      <c r="A23" s="84"/>
      <c r="B23" s="85"/>
      <c r="C23" s="92">
        <f t="shared" ref="C23:C37" si="10">SUM(D22)</f>
        <v>0</v>
      </c>
      <c r="D23" s="70"/>
      <c r="E23" s="86">
        <f t="shared" si="0"/>
        <v>0</v>
      </c>
      <c r="F23" s="87">
        <f t="shared" si="9"/>
        <v>0</v>
      </c>
      <c r="G23" s="40"/>
      <c r="H23" s="88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hidden="1" x14ac:dyDescent="0.2">
      <c r="A24" s="84"/>
      <c r="B24" s="85"/>
      <c r="C24" s="92">
        <f t="shared" si="10"/>
        <v>0</v>
      </c>
      <c r="D24" s="70"/>
      <c r="E24" s="86">
        <f t="shared" si="0"/>
        <v>0</v>
      </c>
      <c r="F24" s="87">
        <f t="shared" si="9"/>
        <v>0</v>
      </c>
      <c r="G24" s="40"/>
      <c r="H24" s="88">
        <f t="shared" si="1"/>
        <v>0</v>
      </c>
      <c r="I24" s="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hidden="1" x14ac:dyDescent="0.2">
      <c r="A25" s="84"/>
      <c r="B25" s="85"/>
      <c r="C25" s="92">
        <f t="shared" si="10"/>
        <v>0</v>
      </c>
      <c r="D25" s="70"/>
      <c r="E25" s="86">
        <f t="shared" si="0"/>
        <v>0</v>
      </c>
      <c r="F25" s="103">
        <f t="shared" si="9"/>
        <v>0</v>
      </c>
      <c r="G25" s="40"/>
      <c r="H25" s="88">
        <f t="shared" si="1"/>
        <v>0</v>
      </c>
      <c r="I25" s="1"/>
      <c r="J25" s="28"/>
      <c r="K25" s="89"/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hidden="1" x14ac:dyDescent="0.2">
      <c r="A26" s="84"/>
      <c r="B26" s="85"/>
      <c r="C26" s="92">
        <f t="shared" si="10"/>
        <v>0</v>
      </c>
      <c r="D26" s="70"/>
      <c r="E26" s="86">
        <f t="shared" si="0"/>
        <v>0</v>
      </c>
      <c r="F26" s="103">
        <f t="shared" si="9"/>
        <v>0</v>
      </c>
      <c r="G26" s="40"/>
      <c r="H26" s="88">
        <f t="shared" si="1"/>
        <v>0</v>
      </c>
      <c r="I26" s="1"/>
      <c r="J26" s="28"/>
      <c r="K26" s="89"/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hidden="1" x14ac:dyDescent="0.2">
      <c r="A27" s="84"/>
      <c r="B27" s="85"/>
      <c r="C27" s="92">
        <f t="shared" si="10"/>
        <v>0</v>
      </c>
      <c r="D27" s="70"/>
      <c r="E27" s="86">
        <f t="shared" si="0"/>
        <v>0</v>
      </c>
      <c r="F27" s="103">
        <f t="shared" si="9"/>
        <v>0</v>
      </c>
      <c r="G27" s="40"/>
      <c r="H27" s="88">
        <f t="shared" si="1"/>
        <v>0</v>
      </c>
      <c r="I27" s="1"/>
      <c r="J27" s="28"/>
      <c r="K27" s="89"/>
      <c r="L27" s="90"/>
      <c r="M27" s="91"/>
      <c r="N27" s="92">
        <f t="shared" si="8"/>
        <v>0</v>
      </c>
      <c r="O27" s="93"/>
      <c r="P27" s="103">
        <f t="shared" si="6"/>
        <v>0</v>
      </c>
      <c r="Q27" s="95"/>
      <c r="R27" s="88">
        <f t="shared" si="7"/>
        <v>0</v>
      </c>
      <c r="S27" s="1"/>
    </row>
    <row r="28" spans="1:20" hidden="1" x14ac:dyDescent="0.2">
      <c r="A28" s="84"/>
      <c r="B28" s="85"/>
      <c r="C28" s="92">
        <f t="shared" si="10"/>
        <v>0</v>
      </c>
      <c r="D28" s="70"/>
      <c r="E28" s="86">
        <f t="shared" si="0"/>
        <v>0</v>
      </c>
      <c r="F28" s="103">
        <f t="shared" si="9"/>
        <v>0</v>
      </c>
      <c r="G28" s="40"/>
      <c r="H28" s="88">
        <f t="shared" si="1"/>
        <v>0</v>
      </c>
      <c r="I28" s="1"/>
      <c r="J28" s="28"/>
      <c r="K28" s="89"/>
      <c r="L28" s="90"/>
      <c r="M28" s="91"/>
      <c r="N28" s="92">
        <f t="shared" si="8"/>
        <v>0</v>
      </c>
      <c r="O28" s="93"/>
      <c r="P28" s="103">
        <f t="shared" si="6"/>
        <v>0</v>
      </c>
      <c r="Q28" s="95"/>
      <c r="R28" s="88">
        <f t="shared" si="7"/>
        <v>0</v>
      </c>
      <c r="S28" s="1"/>
    </row>
    <row r="29" spans="1:20" hidden="1" x14ac:dyDescent="0.2">
      <c r="A29" s="84"/>
      <c r="B29" s="85"/>
      <c r="C29" s="92">
        <f t="shared" si="10"/>
        <v>0</v>
      </c>
      <c r="D29" s="70"/>
      <c r="E29" s="86">
        <f t="shared" si="0"/>
        <v>0</v>
      </c>
      <c r="F29" s="103">
        <f t="shared" si="9"/>
        <v>0</v>
      </c>
      <c r="G29" s="40"/>
      <c r="H29" s="88">
        <f t="shared" si="1"/>
        <v>0</v>
      </c>
      <c r="I29" s="1"/>
      <c r="J29" s="28"/>
      <c r="K29" s="89"/>
      <c r="L29" s="90"/>
      <c r="M29" s="91"/>
      <c r="N29" s="92">
        <f t="shared" si="8"/>
        <v>0</v>
      </c>
      <c r="O29" s="93"/>
      <c r="P29" s="103">
        <f t="shared" si="6"/>
        <v>0</v>
      </c>
      <c r="Q29" s="95"/>
      <c r="R29" s="88">
        <f t="shared" si="7"/>
        <v>0</v>
      </c>
      <c r="S29" s="1"/>
    </row>
    <row r="30" spans="1:20" hidden="1" x14ac:dyDescent="0.2">
      <c r="A30" s="84"/>
      <c r="B30" s="85"/>
      <c r="C30" s="92">
        <f t="shared" si="10"/>
        <v>0</v>
      </c>
      <c r="D30" s="70"/>
      <c r="E30" s="86">
        <f t="shared" si="0"/>
        <v>0</v>
      </c>
      <c r="F30" s="103">
        <f t="shared" si="9"/>
        <v>0</v>
      </c>
      <c r="G30" s="40"/>
      <c r="H30" s="88">
        <f t="shared" si="1"/>
        <v>0</v>
      </c>
      <c r="I30" s="1"/>
      <c r="J30" s="28"/>
      <c r="K30" s="105"/>
      <c r="L30" s="90"/>
      <c r="M30" s="91"/>
      <c r="N30" s="92">
        <f t="shared" si="8"/>
        <v>0</v>
      </c>
      <c r="O30" s="93"/>
      <c r="P30" s="103">
        <f t="shared" si="6"/>
        <v>0</v>
      </c>
      <c r="Q30" s="95"/>
      <c r="R30" s="88">
        <f t="shared" si="7"/>
        <v>0</v>
      </c>
      <c r="S30" s="1"/>
    </row>
    <row r="31" spans="1:20" hidden="1" x14ac:dyDescent="0.2">
      <c r="A31" s="84"/>
      <c r="B31" s="85"/>
      <c r="C31" s="92">
        <f t="shared" si="10"/>
        <v>0</v>
      </c>
      <c r="D31" s="70"/>
      <c r="E31" s="86">
        <f t="shared" si="0"/>
        <v>0</v>
      </c>
      <c r="F31" s="103">
        <f t="shared" si="9"/>
        <v>0</v>
      </c>
      <c r="G31" s="40"/>
      <c r="H31" s="88">
        <f t="shared" si="1"/>
        <v>0</v>
      </c>
      <c r="I31" s="1"/>
      <c r="J31" s="28"/>
      <c r="K31" s="89"/>
      <c r="L31" s="90"/>
      <c r="M31" s="91"/>
      <c r="N31" s="92">
        <f t="shared" si="8"/>
        <v>0</v>
      </c>
      <c r="O31" s="93"/>
      <c r="P31" s="103">
        <f t="shared" si="6"/>
        <v>0</v>
      </c>
      <c r="Q31" s="95"/>
      <c r="R31" s="88">
        <f t="shared" si="7"/>
        <v>0</v>
      </c>
      <c r="S31" s="1"/>
    </row>
    <row r="32" spans="1:20" hidden="1" x14ac:dyDescent="0.2">
      <c r="A32" s="84"/>
      <c r="B32" s="85"/>
      <c r="C32" s="92">
        <f t="shared" si="10"/>
        <v>0</v>
      </c>
      <c r="D32" s="70"/>
      <c r="E32" s="86">
        <f t="shared" si="0"/>
        <v>0</v>
      </c>
      <c r="F32" s="103">
        <f t="shared" si="9"/>
        <v>0</v>
      </c>
      <c r="G32" s="40"/>
      <c r="H32" s="88">
        <f t="shared" si="1"/>
        <v>0</v>
      </c>
      <c r="I32" s="1"/>
      <c r="J32" s="28"/>
      <c r="K32" s="89"/>
      <c r="L32" s="107"/>
      <c r="M32" s="108"/>
      <c r="N32" s="108"/>
      <c r="O32" s="109"/>
      <c r="P32" s="110"/>
      <c r="Q32" s="111"/>
      <c r="R32" s="112"/>
      <c r="S32" s="112"/>
    </row>
    <row r="33" spans="1:19" hidden="1" x14ac:dyDescent="0.2">
      <c r="A33" s="84"/>
      <c r="B33" s="85"/>
      <c r="C33" s="92">
        <f t="shared" si="10"/>
        <v>0</v>
      </c>
      <c r="D33" s="70"/>
      <c r="E33" s="86">
        <f t="shared" si="0"/>
        <v>0</v>
      </c>
      <c r="F33" s="103">
        <f t="shared" si="9"/>
        <v>0</v>
      </c>
      <c r="G33" s="40"/>
      <c r="H33" s="88">
        <f t="shared" si="1"/>
        <v>0</v>
      </c>
      <c r="I33" s="1"/>
      <c r="J33" s="28"/>
      <c r="K33" s="89"/>
      <c r="L33" s="113"/>
      <c r="M33" s="113"/>
      <c r="N33" s="113"/>
      <c r="O33" s="113"/>
      <c r="P33" s="113"/>
      <c r="Q33" s="113"/>
      <c r="R33" s="113"/>
      <c r="S33" s="113"/>
    </row>
    <row r="34" spans="1:19" hidden="1" x14ac:dyDescent="0.2">
      <c r="A34" s="84"/>
      <c r="B34" s="85"/>
      <c r="C34" s="92">
        <f t="shared" si="10"/>
        <v>0</v>
      </c>
      <c r="D34" s="70"/>
      <c r="E34" s="86">
        <f t="shared" si="0"/>
        <v>0</v>
      </c>
      <c r="F34" s="103">
        <f t="shared" si="9"/>
        <v>0</v>
      </c>
      <c r="G34" s="40"/>
      <c r="H34" s="88">
        <f t="shared" si="1"/>
        <v>0</v>
      </c>
      <c r="I34" s="1"/>
      <c r="J34" s="28"/>
      <c r="K34" s="89"/>
      <c r="L34" s="113"/>
      <c r="M34" s="113"/>
      <c r="N34" s="113"/>
      <c r="O34" s="113"/>
      <c r="P34" s="113"/>
      <c r="Q34" s="113"/>
      <c r="R34" s="113"/>
      <c r="S34" s="113"/>
    </row>
    <row r="35" spans="1:19" hidden="1" x14ac:dyDescent="0.2">
      <c r="A35" s="84"/>
      <c r="B35" s="85"/>
      <c r="C35" s="92">
        <f t="shared" si="10"/>
        <v>0</v>
      </c>
      <c r="D35" s="70"/>
      <c r="E35" s="86">
        <f t="shared" si="0"/>
        <v>0</v>
      </c>
      <c r="F35" s="103">
        <f t="shared" si="9"/>
        <v>0</v>
      </c>
      <c r="G35" s="40"/>
      <c r="H35" s="88">
        <f t="shared" si="1"/>
        <v>0</v>
      </c>
      <c r="I35" s="1"/>
      <c r="J35" s="28"/>
      <c r="K35" s="89"/>
      <c r="L35" s="113"/>
      <c r="M35" s="113"/>
      <c r="N35" s="113"/>
      <c r="O35" s="113"/>
      <c r="P35" s="113"/>
      <c r="Q35" s="113"/>
      <c r="R35" s="113"/>
      <c r="S35" s="113"/>
    </row>
    <row r="36" spans="1:19" hidden="1" x14ac:dyDescent="0.2">
      <c r="A36" s="84"/>
      <c r="B36" s="85"/>
      <c r="C36" s="92">
        <f t="shared" si="10"/>
        <v>0</v>
      </c>
      <c r="D36" s="70"/>
      <c r="E36" s="86">
        <f t="shared" si="0"/>
        <v>0</v>
      </c>
      <c r="F36" s="103">
        <f t="shared" si="9"/>
        <v>0</v>
      </c>
      <c r="G36" s="40"/>
      <c r="H36" s="88">
        <f t="shared" si="1"/>
        <v>0</v>
      </c>
      <c r="I36" s="1"/>
      <c r="J36" s="28"/>
      <c r="K36" s="89"/>
      <c r="L36" s="113"/>
      <c r="M36" s="113"/>
      <c r="N36" s="113"/>
      <c r="O36" s="113"/>
      <c r="P36" s="113"/>
      <c r="Q36" s="113"/>
      <c r="R36" s="113"/>
      <c r="S36" s="113"/>
    </row>
    <row r="37" spans="1:19" hidden="1" x14ac:dyDescent="0.2">
      <c r="A37" s="84"/>
      <c r="B37" s="85"/>
      <c r="C37" s="92">
        <f t="shared" si="10"/>
        <v>0</v>
      </c>
      <c r="D37" s="70"/>
      <c r="E37" s="86">
        <f t="shared" si="0"/>
        <v>0</v>
      </c>
      <c r="F37" s="126">
        <f t="shared" si="9"/>
        <v>0</v>
      </c>
      <c r="G37" s="40"/>
      <c r="H37" s="127">
        <f t="shared" si="1"/>
        <v>0</v>
      </c>
      <c r="I37" s="1"/>
      <c r="J37" s="1"/>
      <c r="K37" s="89"/>
      <c r="L37" s="113"/>
      <c r="M37" s="113"/>
      <c r="N37" s="113"/>
      <c r="O37" s="113"/>
      <c r="P37" s="113"/>
      <c r="Q37" s="113"/>
      <c r="R37" s="113"/>
      <c r="S37" s="113"/>
    </row>
    <row r="38" spans="1:19" x14ac:dyDescent="0.2">
      <c r="A38" s="84"/>
      <c r="B38" s="85"/>
      <c r="C38" s="92"/>
      <c r="D38" s="70"/>
      <c r="E38" s="104"/>
      <c r="F38" s="128">
        <f>SUM(F3:F37)</f>
        <v>315585</v>
      </c>
      <c r="G38" s="129"/>
      <c r="H38" s="130">
        <f>SUM(H3:H37)</f>
        <v>264360.15789999993</v>
      </c>
      <c r="I38" s="131"/>
      <c r="J38" s="1"/>
      <c r="L38" s="113"/>
      <c r="M38" s="113"/>
      <c r="N38" s="113"/>
      <c r="O38" s="113"/>
      <c r="P38" s="113"/>
      <c r="Q38" s="113"/>
      <c r="R38" s="113"/>
      <c r="S38" s="113"/>
    </row>
    <row r="39" spans="1:19" x14ac:dyDescent="0.2">
      <c r="A39" s="83"/>
      <c r="B39" s="83" t="s">
        <v>49</v>
      </c>
      <c r="C39" s="77"/>
      <c r="D39" s="77"/>
      <c r="E39" s="77"/>
      <c r="F39" s="132"/>
      <c r="G39" s="78"/>
      <c r="H39" s="133"/>
      <c r="I39" s="80"/>
      <c r="J39" s="81" t="s">
        <v>79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0.42013888888888901</v>
      </c>
      <c r="B40" s="85" t="s">
        <v>62</v>
      </c>
      <c r="C40" s="92">
        <v>3126080</v>
      </c>
      <c r="D40" s="102">
        <v>3133930</v>
      </c>
      <c r="E40" s="86">
        <f t="shared" ref="E40:E71" si="11">SUM(D40-C40)</f>
        <v>7850</v>
      </c>
      <c r="F40" s="103">
        <v>7807</v>
      </c>
      <c r="G40" s="40">
        <v>0.83250000000000002</v>
      </c>
      <c r="H40" s="88">
        <f t="shared" ref="H40:H71" si="12">SUM(G40*F40)</f>
        <v>6499.3275000000003</v>
      </c>
      <c r="I40" s="28" t="s">
        <v>85</v>
      </c>
      <c r="J40" s="1">
        <v>6599</v>
      </c>
      <c r="K40" s="115" t="s">
        <v>84</v>
      </c>
      <c r="L40" s="113"/>
      <c r="M40" s="113"/>
      <c r="N40" s="113"/>
      <c r="O40" s="113"/>
      <c r="P40" s="113"/>
      <c r="Q40" s="113"/>
      <c r="R40" s="113"/>
      <c r="S40" s="113"/>
    </row>
    <row r="41" spans="1:19" ht="14.25" customHeight="1" x14ac:dyDescent="0.2">
      <c r="A41" s="84">
        <v>0.43055555555555602</v>
      </c>
      <c r="B41" s="85" t="s">
        <v>72</v>
      </c>
      <c r="C41" s="92">
        <f t="shared" ref="C41:C62" si="13">SUM(D40)</f>
        <v>3133930</v>
      </c>
      <c r="D41" s="102">
        <v>3141730</v>
      </c>
      <c r="E41" s="86">
        <f t="shared" si="11"/>
        <v>7800</v>
      </c>
      <c r="F41" s="103">
        <v>7761</v>
      </c>
      <c r="G41" s="40">
        <v>0.83230000000000004</v>
      </c>
      <c r="H41" s="79">
        <f t="shared" si="12"/>
        <v>6459.4803000000002</v>
      </c>
      <c r="I41" s="28" t="s">
        <v>86</v>
      </c>
      <c r="J41" s="1">
        <v>6600</v>
      </c>
      <c r="K41" s="115"/>
      <c r="L41" s="113"/>
      <c r="M41" s="113"/>
      <c r="N41" s="113"/>
      <c r="O41" s="113"/>
      <c r="P41" s="113"/>
      <c r="Q41" s="113"/>
      <c r="R41" s="113"/>
      <c r="S41" s="113"/>
    </row>
    <row r="42" spans="1:19" ht="15" customHeight="1" x14ac:dyDescent="0.2">
      <c r="A42" s="84">
        <v>0.44097222222222199</v>
      </c>
      <c r="B42" s="85" t="s">
        <v>72</v>
      </c>
      <c r="C42" s="92">
        <f t="shared" si="13"/>
        <v>3141730</v>
      </c>
      <c r="D42" s="102">
        <v>3147540</v>
      </c>
      <c r="E42" s="86">
        <f t="shared" si="11"/>
        <v>5810</v>
      </c>
      <c r="F42" s="103">
        <v>5763</v>
      </c>
      <c r="G42" s="40">
        <v>0.83230000000000004</v>
      </c>
      <c r="H42" s="79">
        <f t="shared" si="12"/>
        <v>4796.5448999999999</v>
      </c>
      <c r="I42" s="28" t="s">
        <v>87</v>
      </c>
      <c r="J42" s="1">
        <v>6601</v>
      </c>
      <c r="K42" s="114"/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0.45138888888888901</v>
      </c>
      <c r="B43" s="85" t="s">
        <v>62</v>
      </c>
      <c r="C43" s="92">
        <f t="shared" si="13"/>
        <v>3147540</v>
      </c>
      <c r="D43" s="102">
        <v>3164640</v>
      </c>
      <c r="E43" s="86">
        <f t="shared" si="11"/>
        <v>17100</v>
      </c>
      <c r="F43" s="124">
        <v>17019</v>
      </c>
      <c r="G43" s="40">
        <v>0.83250000000000002</v>
      </c>
      <c r="H43" s="88">
        <f t="shared" si="12"/>
        <v>14168.317500000001</v>
      </c>
      <c r="I43" s="28" t="s">
        <v>77</v>
      </c>
      <c r="J43" s="1">
        <v>6604</v>
      </c>
      <c r="K43" s="115" t="s">
        <v>84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0.46527777777777801</v>
      </c>
      <c r="B44" s="85" t="s">
        <v>72</v>
      </c>
      <c r="C44" s="92">
        <f t="shared" si="13"/>
        <v>3164640</v>
      </c>
      <c r="D44" s="102">
        <v>3187170</v>
      </c>
      <c r="E44" s="86">
        <f t="shared" si="11"/>
        <v>22530</v>
      </c>
      <c r="F44" s="185">
        <v>22430</v>
      </c>
      <c r="G44" s="40">
        <v>0.83230000000000004</v>
      </c>
      <c r="H44" s="79">
        <f t="shared" si="12"/>
        <v>18668.489000000001</v>
      </c>
      <c r="I44" s="28" t="s">
        <v>102</v>
      </c>
      <c r="J44" s="1">
        <v>6605</v>
      </c>
      <c r="K44" s="114"/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0.48263888888888901</v>
      </c>
      <c r="B45" s="85" t="s">
        <v>90</v>
      </c>
      <c r="C45" s="92">
        <f t="shared" si="13"/>
        <v>3187170</v>
      </c>
      <c r="D45" s="102">
        <v>3193910</v>
      </c>
      <c r="E45" s="86">
        <f t="shared" si="11"/>
        <v>6740</v>
      </c>
      <c r="F45" s="103">
        <v>6673</v>
      </c>
      <c r="G45" s="40">
        <v>0.83309999999999995</v>
      </c>
      <c r="H45" s="121">
        <f t="shared" si="12"/>
        <v>5559.2762999999995</v>
      </c>
      <c r="I45" s="28" t="s">
        <v>88</v>
      </c>
      <c r="J45" s="1">
        <v>6606</v>
      </c>
      <c r="K45" s="115"/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0.54861111111111105</v>
      </c>
      <c r="B46" s="85" t="s">
        <v>89</v>
      </c>
      <c r="C46" s="92">
        <f t="shared" si="13"/>
        <v>3193910</v>
      </c>
      <c r="D46" s="102">
        <v>3211020</v>
      </c>
      <c r="E46" s="86">
        <f t="shared" si="11"/>
        <v>17110</v>
      </c>
      <c r="F46" s="124">
        <v>17019</v>
      </c>
      <c r="G46" s="40">
        <v>0.83120000000000005</v>
      </c>
      <c r="H46" s="192">
        <f t="shared" si="12"/>
        <v>14146.192800000001</v>
      </c>
      <c r="I46" s="28" t="s">
        <v>77</v>
      </c>
      <c r="J46" s="1">
        <v>6610</v>
      </c>
      <c r="K46" s="115" t="s">
        <v>84</v>
      </c>
      <c r="L46" s="113"/>
      <c r="M46" s="113"/>
      <c r="N46" s="89"/>
      <c r="O46" s="113"/>
      <c r="P46" s="113"/>
      <c r="Q46" s="113"/>
      <c r="R46" s="113"/>
      <c r="S46" s="113"/>
    </row>
    <row r="47" spans="1:19" ht="16" x14ac:dyDescent="0.2">
      <c r="A47" s="84">
        <v>0.59722222222222199</v>
      </c>
      <c r="B47" s="85" t="s">
        <v>61</v>
      </c>
      <c r="C47" s="92">
        <f t="shared" si="13"/>
        <v>3211020</v>
      </c>
      <c r="D47" s="102">
        <v>3216690</v>
      </c>
      <c r="E47" s="86">
        <f t="shared" si="11"/>
        <v>5670</v>
      </c>
      <c r="F47" s="103">
        <v>5625</v>
      </c>
      <c r="G47" s="40">
        <v>0.83140000000000003</v>
      </c>
      <c r="H47" s="119">
        <f t="shared" si="12"/>
        <v>4676.625</v>
      </c>
      <c r="I47" s="28" t="s">
        <v>88</v>
      </c>
      <c r="J47" s="1">
        <v>6611</v>
      </c>
      <c r="K47" s="115"/>
      <c r="L47" s="113"/>
      <c r="M47" s="113"/>
      <c r="N47" s="89"/>
      <c r="O47" s="113"/>
      <c r="P47" s="113"/>
      <c r="Q47" s="113"/>
      <c r="R47" s="113"/>
      <c r="S47" s="113"/>
    </row>
    <row r="48" spans="1:19" ht="16" x14ac:dyDescent="0.2">
      <c r="A48" s="84">
        <v>0.60416666666666696</v>
      </c>
      <c r="B48" s="85" t="s">
        <v>61</v>
      </c>
      <c r="C48" s="92">
        <f t="shared" si="13"/>
        <v>3216690</v>
      </c>
      <c r="D48" s="102">
        <v>3227860</v>
      </c>
      <c r="E48" s="86">
        <f t="shared" si="11"/>
        <v>11170</v>
      </c>
      <c r="F48" s="103">
        <v>11116</v>
      </c>
      <c r="G48" s="40">
        <v>0.83140000000000003</v>
      </c>
      <c r="H48" s="119">
        <f t="shared" si="12"/>
        <v>9241.8423999999995</v>
      </c>
      <c r="I48" s="28" t="s">
        <v>87</v>
      </c>
      <c r="J48" s="1">
        <v>6612</v>
      </c>
      <c r="K48" s="114"/>
      <c r="L48" s="113"/>
      <c r="M48" s="113"/>
      <c r="N48" s="89"/>
      <c r="O48" s="113"/>
      <c r="P48" s="113"/>
      <c r="Q48" s="113"/>
      <c r="R48" s="113"/>
      <c r="S48" s="113"/>
    </row>
    <row r="49" spans="1:19" ht="15" customHeight="1" x14ac:dyDescent="0.2">
      <c r="A49" s="84">
        <v>0.75</v>
      </c>
      <c r="B49" s="85" t="s">
        <v>61</v>
      </c>
      <c r="C49" s="92">
        <f t="shared" si="13"/>
        <v>3227860</v>
      </c>
      <c r="D49" s="102">
        <v>3237900</v>
      </c>
      <c r="E49" s="86">
        <f t="shared" si="11"/>
        <v>10040</v>
      </c>
      <c r="F49" s="124">
        <v>9986</v>
      </c>
      <c r="G49" s="40">
        <v>0.83140000000000003</v>
      </c>
      <c r="H49" s="119">
        <f t="shared" si="12"/>
        <v>8302.3603999999996</v>
      </c>
      <c r="I49" s="28" t="s">
        <v>77</v>
      </c>
      <c r="J49" s="1">
        <v>6615</v>
      </c>
      <c r="K49" s="114"/>
      <c r="L49" s="113"/>
      <c r="M49" s="113"/>
      <c r="N49" s="89"/>
      <c r="O49" s="113"/>
      <c r="P49" s="113"/>
      <c r="Q49" s="113"/>
      <c r="R49" s="113"/>
      <c r="S49" s="113"/>
    </row>
    <row r="50" spans="1:19" ht="16" x14ac:dyDescent="0.2">
      <c r="A50" s="84">
        <v>0.78125</v>
      </c>
      <c r="B50" s="85" t="s">
        <v>61</v>
      </c>
      <c r="C50" s="92">
        <f t="shared" si="13"/>
        <v>3237900</v>
      </c>
      <c r="D50" s="102">
        <v>3255010</v>
      </c>
      <c r="E50" s="86">
        <f t="shared" si="11"/>
        <v>17110</v>
      </c>
      <c r="F50" s="124">
        <v>17019</v>
      </c>
      <c r="G50" s="40">
        <v>0.83140000000000003</v>
      </c>
      <c r="H50" s="119">
        <f t="shared" si="12"/>
        <v>14149.596600000001</v>
      </c>
      <c r="I50" s="28" t="s">
        <v>77</v>
      </c>
      <c r="J50" s="1">
        <v>6617</v>
      </c>
      <c r="K50" s="115"/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0.80208333333333304</v>
      </c>
      <c r="B51" s="85" t="s">
        <v>61</v>
      </c>
      <c r="C51" s="92">
        <f t="shared" si="13"/>
        <v>3255010</v>
      </c>
      <c r="D51" s="102">
        <v>3264900</v>
      </c>
      <c r="E51" s="86">
        <f t="shared" si="11"/>
        <v>9890</v>
      </c>
      <c r="F51" s="103">
        <v>9841</v>
      </c>
      <c r="G51" s="40">
        <v>0.83140000000000003</v>
      </c>
      <c r="H51" s="119">
        <f t="shared" si="12"/>
        <v>8181.8074000000006</v>
      </c>
      <c r="I51" s="28" t="s">
        <v>86</v>
      </c>
      <c r="J51" s="1">
        <v>6618</v>
      </c>
      <c r="K51" s="115"/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0.82291666666666696</v>
      </c>
      <c r="B52" s="85" t="s">
        <v>89</v>
      </c>
      <c r="C52" s="92">
        <f t="shared" si="13"/>
        <v>3264900</v>
      </c>
      <c r="D52" s="102">
        <v>3282020</v>
      </c>
      <c r="E52" s="86">
        <f t="shared" si="11"/>
        <v>17120</v>
      </c>
      <c r="F52" s="124">
        <v>17019</v>
      </c>
      <c r="G52" s="40">
        <v>0.82899999999999996</v>
      </c>
      <c r="H52" s="192">
        <f t="shared" si="12"/>
        <v>14108.751</v>
      </c>
      <c r="I52" s="28" t="s">
        <v>77</v>
      </c>
      <c r="J52" s="1">
        <v>6619</v>
      </c>
      <c r="K52" s="115" t="s">
        <v>84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0.90277777777777801</v>
      </c>
      <c r="B53" s="85" t="s">
        <v>72</v>
      </c>
      <c r="C53" s="92">
        <f t="shared" si="13"/>
        <v>3282020</v>
      </c>
      <c r="D53" s="102">
        <v>3284550</v>
      </c>
      <c r="E53" s="86">
        <f t="shared" si="11"/>
        <v>2530</v>
      </c>
      <c r="F53" s="103">
        <v>2492</v>
      </c>
      <c r="G53" s="40">
        <v>0.83</v>
      </c>
      <c r="H53" s="79">
        <f t="shared" si="12"/>
        <v>2068.36</v>
      </c>
      <c r="I53" s="28" t="s">
        <v>86</v>
      </c>
      <c r="J53" s="1">
        <v>6621</v>
      </c>
      <c r="K53" s="114"/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0.91319444444444398</v>
      </c>
      <c r="B54" s="85" t="s">
        <v>72</v>
      </c>
      <c r="C54" s="92">
        <f t="shared" si="13"/>
        <v>3284550</v>
      </c>
      <c r="D54" s="102">
        <v>3290870</v>
      </c>
      <c r="E54" s="86">
        <f t="shared" si="11"/>
        <v>6320</v>
      </c>
      <c r="F54" s="103">
        <v>6285</v>
      </c>
      <c r="G54" s="40">
        <v>0.83</v>
      </c>
      <c r="H54" s="79">
        <f t="shared" si="12"/>
        <v>5216.55</v>
      </c>
      <c r="I54" s="1" t="s">
        <v>88</v>
      </c>
      <c r="J54" s="1">
        <v>6622</v>
      </c>
      <c r="K54" s="105"/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0.94097222222222199</v>
      </c>
      <c r="B55" s="85" t="s">
        <v>72</v>
      </c>
      <c r="C55" s="92">
        <f t="shared" si="13"/>
        <v>3290870</v>
      </c>
      <c r="D55" s="102">
        <v>3297840</v>
      </c>
      <c r="E55" s="86">
        <f t="shared" si="11"/>
        <v>6970</v>
      </c>
      <c r="F55" s="103">
        <v>6920</v>
      </c>
      <c r="G55" s="40">
        <v>0.83</v>
      </c>
      <c r="H55" s="79">
        <f t="shared" si="12"/>
        <v>5743.5999999999995</v>
      </c>
      <c r="I55" s="1" t="s">
        <v>87</v>
      </c>
      <c r="J55" s="1">
        <v>6625</v>
      </c>
      <c r="K55" s="105"/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0.95486111111111105</v>
      </c>
      <c r="B56" s="85" t="s">
        <v>89</v>
      </c>
      <c r="C56" s="92">
        <f t="shared" si="13"/>
        <v>3297840</v>
      </c>
      <c r="D56" s="102">
        <v>3308740</v>
      </c>
      <c r="E56" s="86">
        <f t="shared" si="11"/>
        <v>10900</v>
      </c>
      <c r="F56" s="103">
        <v>10850</v>
      </c>
      <c r="G56" s="40">
        <v>0.82899999999999996</v>
      </c>
      <c r="H56" s="192">
        <f t="shared" si="12"/>
        <v>8994.65</v>
      </c>
      <c r="I56" s="28" t="s">
        <v>85</v>
      </c>
      <c r="J56" s="1">
        <v>6627</v>
      </c>
      <c r="K56" s="115" t="s">
        <v>84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9.375E-2</v>
      </c>
      <c r="B57" s="85" t="s">
        <v>72</v>
      </c>
      <c r="C57" s="92">
        <f t="shared" si="13"/>
        <v>3308740</v>
      </c>
      <c r="D57" s="102">
        <v>3317030</v>
      </c>
      <c r="E57" s="86">
        <f t="shared" si="11"/>
        <v>8290</v>
      </c>
      <c r="F57" s="103">
        <v>8244</v>
      </c>
      <c r="G57" s="40">
        <v>0.83</v>
      </c>
      <c r="H57" s="79">
        <f t="shared" si="12"/>
        <v>6842.5199999999995</v>
      </c>
      <c r="I57" s="1" t="s">
        <v>87</v>
      </c>
      <c r="J57" s="1">
        <v>6628</v>
      </c>
      <c r="K57" s="105"/>
      <c r="L57" s="113"/>
      <c r="M57" s="113"/>
      <c r="N57" s="113"/>
      <c r="O57" s="113"/>
      <c r="P57" s="113"/>
      <c r="Q57" s="113"/>
      <c r="R57" s="113"/>
      <c r="S57" s="113"/>
    </row>
    <row r="58" spans="1:19" ht="16" x14ac:dyDescent="0.2">
      <c r="A58" s="84">
        <v>0.104166666666667</v>
      </c>
      <c r="B58" s="85" t="s">
        <v>72</v>
      </c>
      <c r="C58" s="92">
        <f t="shared" si="13"/>
        <v>3317030</v>
      </c>
      <c r="D58" s="102">
        <v>3323700</v>
      </c>
      <c r="E58" s="86">
        <f t="shared" si="11"/>
        <v>6670</v>
      </c>
      <c r="F58" s="103">
        <v>6639</v>
      </c>
      <c r="G58" s="40">
        <v>0.83</v>
      </c>
      <c r="H58" s="79">
        <f t="shared" si="12"/>
        <v>5510.37</v>
      </c>
      <c r="I58" s="1" t="s">
        <v>88</v>
      </c>
      <c r="J58" s="1">
        <v>6629</v>
      </c>
      <c r="K58" s="115"/>
      <c r="L58" s="113"/>
      <c r="M58" s="113"/>
      <c r="N58" s="89"/>
      <c r="O58" s="113"/>
      <c r="P58" s="113"/>
      <c r="Q58" s="113"/>
      <c r="R58" s="113"/>
      <c r="S58" s="113"/>
    </row>
    <row r="59" spans="1:19" ht="16" x14ac:dyDescent="0.2">
      <c r="A59" s="84">
        <v>0.11111111111111099</v>
      </c>
      <c r="B59" s="85" t="s">
        <v>89</v>
      </c>
      <c r="C59" s="92">
        <f t="shared" si="13"/>
        <v>3323700</v>
      </c>
      <c r="D59" s="102">
        <v>3340810</v>
      </c>
      <c r="E59" s="86">
        <f t="shared" si="11"/>
        <v>17110</v>
      </c>
      <c r="F59" s="124">
        <v>17019</v>
      </c>
      <c r="G59" s="40">
        <v>0.82899999999999996</v>
      </c>
      <c r="H59" s="192">
        <f t="shared" si="12"/>
        <v>14108.751</v>
      </c>
      <c r="I59" s="28" t="s">
        <v>77</v>
      </c>
      <c r="J59" s="1">
        <v>6630</v>
      </c>
      <c r="K59" s="115" t="s">
        <v>84</v>
      </c>
      <c r="L59" s="113"/>
      <c r="M59" s="113"/>
      <c r="N59" s="89"/>
      <c r="O59" s="113"/>
      <c r="P59" s="113"/>
      <c r="Q59" s="113"/>
      <c r="R59" s="113"/>
      <c r="S59" s="113"/>
    </row>
    <row r="60" spans="1:19" ht="15" customHeight="1" x14ac:dyDescent="0.2">
      <c r="A60" s="84">
        <v>0.20138888888888901</v>
      </c>
      <c r="B60" s="85" t="s">
        <v>62</v>
      </c>
      <c r="C60" s="92">
        <f t="shared" si="13"/>
        <v>3340810</v>
      </c>
      <c r="D60" s="102">
        <v>3357920</v>
      </c>
      <c r="E60" s="86">
        <f t="shared" si="11"/>
        <v>17110</v>
      </c>
      <c r="F60" s="124">
        <v>17019</v>
      </c>
      <c r="G60" s="40">
        <v>0.83020000000000005</v>
      </c>
      <c r="H60" s="88">
        <f t="shared" si="12"/>
        <v>14129.1738</v>
      </c>
      <c r="I60" s="28" t="s">
        <v>77</v>
      </c>
      <c r="J60" s="1">
        <v>6633</v>
      </c>
      <c r="K60" s="115" t="s">
        <v>84</v>
      </c>
      <c r="L60" s="113"/>
      <c r="M60" s="113"/>
      <c r="N60" s="89"/>
      <c r="O60" s="113"/>
      <c r="P60" s="113"/>
      <c r="Q60" s="113"/>
      <c r="R60" s="113"/>
      <c r="S60" s="113"/>
    </row>
    <row r="61" spans="1:19" ht="16" x14ac:dyDescent="0.2">
      <c r="A61" s="84">
        <v>0.30555555555555503</v>
      </c>
      <c r="B61" s="85" t="s">
        <v>62</v>
      </c>
      <c r="C61" s="92">
        <f t="shared" si="13"/>
        <v>3357920</v>
      </c>
      <c r="D61" s="102">
        <v>3375030</v>
      </c>
      <c r="E61" s="86">
        <f t="shared" si="11"/>
        <v>17110</v>
      </c>
      <c r="F61" s="124">
        <v>17019</v>
      </c>
      <c r="G61" s="40">
        <v>0.83020000000000005</v>
      </c>
      <c r="H61" s="88">
        <f t="shared" si="12"/>
        <v>14129.1738</v>
      </c>
      <c r="I61" s="28" t="s">
        <v>77</v>
      </c>
      <c r="J61" s="1">
        <v>6637</v>
      </c>
      <c r="K61" s="115" t="s">
        <v>84</v>
      </c>
      <c r="L61" s="113"/>
      <c r="M61" s="113"/>
      <c r="N61" s="113"/>
      <c r="O61" s="113"/>
      <c r="P61" s="113"/>
      <c r="Q61" s="113"/>
      <c r="R61" s="113"/>
      <c r="S61" s="113"/>
    </row>
    <row r="62" spans="1:19" ht="16" x14ac:dyDescent="0.2">
      <c r="A62" s="84">
        <v>0.35069444444444398</v>
      </c>
      <c r="B62" s="85" t="s">
        <v>55</v>
      </c>
      <c r="C62" s="92">
        <f t="shared" si="13"/>
        <v>3375030</v>
      </c>
      <c r="D62" s="102">
        <v>3392140</v>
      </c>
      <c r="E62" s="86">
        <f t="shared" si="11"/>
        <v>17110</v>
      </c>
      <c r="F62" s="124">
        <v>17019</v>
      </c>
      <c r="G62" s="40">
        <v>0.83199999999999996</v>
      </c>
      <c r="H62" s="140">
        <f t="shared" si="12"/>
        <v>14159.807999999999</v>
      </c>
      <c r="I62" s="28" t="s">
        <v>77</v>
      </c>
      <c r="J62" s="1">
        <v>6638</v>
      </c>
      <c r="K62" s="114" t="s">
        <v>70</v>
      </c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A63" s="84"/>
      <c r="B63" s="85"/>
      <c r="C63" s="92">
        <v>0</v>
      </c>
      <c r="D63" s="102"/>
      <c r="E63" s="86">
        <f t="shared" si="11"/>
        <v>0</v>
      </c>
      <c r="F63" s="103">
        <f t="shared" ref="F63:F71" si="14">SUM(D63-C63)</f>
        <v>0</v>
      </c>
      <c r="G63" s="40"/>
      <c r="H63" s="88">
        <f t="shared" si="12"/>
        <v>0</v>
      </c>
      <c r="I63" s="28"/>
      <c r="J63" s="28"/>
      <c r="K63" s="115"/>
      <c r="L63" s="113"/>
      <c r="M63" s="113"/>
      <c r="N63" s="113"/>
      <c r="O63" s="113"/>
      <c r="P63" s="113"/>
      <c r="Q63" s="113"/>
      <c r="R63" s="113"/>
      <c r="S63" s="113"/>
    </row>
    <row r="64" spans="1:19" hidden="1" x14ac:dyDescent="0.2">
      <c r="A64" s="84"/>
      <c r="B64" s="85"/>
      <c r="C64" s="92">
        <f t="shared" ref="C64:C71" si="15">SUM(D63)</f>
        <v>0</v>
      </c>
      <c r="D64" s="102"/>
      <c r="E64" s="86">
        <f t="shared" si="11"/>
        <v>0</v>
      </c>
      <c r="F64" s="103">
        <f t="shared" si="14"/>
        <v>0</v>
      </c>
      <c r="G64" s="40"/>
      <c r="H64" s="88">
        <f t="shared" si="12"/>
        <v>0</v>
      </c>
      <c r="I64" s="28"/>
      <c r="J64" s="28"/>
      <c r="K64" s="114"/>
      <c r="L64" s="113"/>
      <c r="M64" s="113"/>
      <c r="N64" s="113"/>
      <c r="O64" s="113"/>
      <c r="P64" s="113"/>
      <c r="Q64" s="113"/>
      <c r="R64" s="113"/>
      <c r="S64" s="113"/>
    </row>
    <row r="65" spans="1:19" hidden="1" x14ac:dyDescent="0.2">
      <c r="A65" s="84"/>
      <c r="B65" s="85"/>
      <c r="C65" s="92">
        <f t="shared" si="15"/>
        <v>0</v>
      </c>
      <c r="D65" s="102"/>
      <c r="E65" s="86">
        <f t="shared" si="11"/>
        <v>0</v>
      </c>
      <c r="F65" s="103">
        <f t="shared" si="14"/>
        <v>0</v>
      </c>
      <c r="G65" s="40"/>
      <c r="H65" s="88">
        <f t="shared" si="12"/>
        <v>0</v>
      </c>
      <c r="I65" s="1"/>
      <c r="J65" s="28"/>
      <c r="K65" s="105"/>
      <c r="L65" s="113"/>
      <c r="M65" s="113"/>
      <c r="N65" s="113"/>
      <c r="O65" s="113"/>
      <c r="P65" s="113"/>
      <c r="Q65" s="113"/>
      <c r="R65" s="113"/>
      <c r="S65" s="113"/>
    </row>
    <row r="66" spans="1:19" hidden="1" x14ac:dyDescent="0.2">
      <c r="A66" s="84"/>
      <c r="B66" s="85"/>
      <c r="C66" s="92">
        <f t="shared" si="15"/>
        <v>0</v>
      </c>
      <c r="D66" s="102"/>
      <c r="E66" s="86">
        <f t="shared" si="11"/>
        <v>0</v>
      </c>
      <c r="F66" s="103">
        <f t="shared" si="14"/>
        <v>0</v>
      </c>
      <c r="G66" s="40"/>
      <c r="H66" s="88">
        <f t="shared" si="12"/>
        <v>0</v>
      </c>
      <c r="I66" s="1"/>
      <c r="J66" s="28"/>
      <c r="K66" s="105"/>
      <c r="L66" s="113"/>
      <c r="M66" s="113"/>
      <c r="N66" s="113"/>
      <c r="O66" s="113"/>
      <c r="P66" s="113"/>
      <c r="Q66" s="113"/>
      <c r="R66" s="113"/>
      <c r="S66" s="113"/>
    </row>
    <row r="67" spans="1:19" hidden="1" x14ac:dyDescent="0.2">
      <c r="A67" s="84"/>
      <c r="B67" s="85"/>
      <c r="C67" s="92">
        <f t="shared" si="15"/>
        <v>0</v>
      </c>
      <c r="D67" s="102"/>
      <c r="E67" s="86">
        <f t="shared" si="11"/>
        <v>0</v>
      </c>
      <c r="F67" s="103">
        <f t="shared" si="14"/>
        <v>0</v>
      </c>
      <c r="G67" s="40"/>
      <c r="H67" s="88">
        <f t="shared" si="12"/>
        <v>0</v>
      </c>
      <c r="I67" s="1"/>
      <c r="J67" s="28"/>
      <c r="K67" s="105"/>
      <c r="L67" s="113"/>
      <c r="M67" s="113"/>
      <c r="N67" s="113"/>
      <c r="O67" s="113"/>
      <c r="P67" s="113"/>
      <c r="Q67" s="113"/>
      <c r="R67" s="113"/>
      <c r="S67" s="113"/>
    </row>
    <row r="68" spans="1:19" hidden="1" x14ac:dyDescent="0.2">
      <c r="A68" s="84"/>
      <c r="B68" s="85"/>
      <c r="C68" s="92">
        <f t="shared" si="15"/>
        <v>0</v>
      </c>
      <c r="D68" s="102"/>
      <c r="E68" s="86">
        <f t="shared" si="11"/>
        <v>0</v>
      </c>
      <c r="F68" s="103">
        <f t="shared" si="14"/>
        <v>0</v>
      </c>
      <c r="G68" s="40"/>
      <c r="H68" s="88">
        <f t="shared" si="12"/>
        <v>0</v>
      </c>
      <c r="I68" s="1"/>
      <c r="J68" s="28"/>
      <c r="K68" s="105"/>
      <c r="L68" s="113"/>
      <c r="M68" s="113"/>
      <c r="N68" s="113"/>
      <c r="O68" s="113"/>
      <c r="P68" s="113"/>
      <c r="Q68" s="113"/>
      <c r="R68" s="113"/>
      <c r="S68" s="113"/>
    </row>
    <row r="69" spans="1:19" hidden="1" x14ac:dyDescent="0.2">
      <c r="A69" s="84"/>
      <c r="B69" s="85"/>
      <c r="C69" s="92">
        <f t="shared" si="15"/>
        <v>0</v>
      </c>
      <c r="D69" s="102"/>
      <c r="E69" s="86">
        <f t="shared" si="11"/>
        <v>0</v>
      </c>
      <c r="F69" s="103">
        <f t="shared" si="14"/>
        <v>0</v>
      </c>
      <c r="G69" s="40"/>
      <c r="H69" s="88">
        <f t="shared" si="12"/>
        <v>0</v>
      </c>
      <c r="I69" s="1"/>
      <c r="J69" s="28"/>
      <c r="K69" s="105"/>
      <c r="L69" s="113"/>
      <c r="M69" s="113"/>
      <c r="N69" s="113"/>
      <c r="O69" s="113"/>
      <c r="P69" s="113"/>
      <c r="Q69" s="113"/>
      <c r="R69" s="113"/>
      <c r="S69" s="113"/>
    </row>
    <row r="70" spans="1:19" hidden="1" x14ac:dyDescent="0.2">
      <c r="A70" s="84"/>
      <c r="B70" s="85"/>
      <c r="C70" s="92">
        <f t="shared" si="15"/>
        <v>0</v>
      </c>
      <c r="D70" s="102"/>
      <c r="E70" s="86">
        <f t="shared" si="11"/>
        <v>0</v>
      </c>
      <c r="F70" s="103">
        <f t="shared" si="14"/>
        <v>0</v>
      </c>
      <c r="G70" s="40"/>
      <c r="H70" s="88">
        <f t="shared" si="12"/>
        <v>0</v>
      </c>
      <c r="I70" s="1"/>
      <c r="J70" s="28"/>
      <c r="K70" s="113"/>
      <c r="L70" s="113"/>
      <c r="M70" s="113"/>
      <c r="N70" s="113"/>
      <c r="O70" s="113"/>
      <c r="P70" s="113"/>
      <c r="Q70" s="113"/>
      <c r="R70" s="113"/>
      <c r="S70" s="113"/>
    </row>
    <row r="71" spans="1:19" hidden="1" x14ac:dyDescent="0.2">
      <c r="A71" s="84"/>
      <c r="B71" s="85"/>
      <c r="C71" s="92">
        <f t="shared" si="15"/>
        <v>0</v>
      </c>
      <c r="D71" s="70"/>
      <c r="E71" s="86">
        <f t="shared" si="11"/>
        <v>0</v>
      </c>
      <c r="F71" s="126">
        <f t="shared" si="14"/>
        <v>0</v>
      </c>
      <c r="G71" s="40"/>
      <c r="H71" s="127">
        <f t="shared" si="12"/>
        <v>0</v>
      </c>
      <c r="I71" s="1"/>
      <c r="J71" s="28"/>
      <c r="K71" s="113"/>
      <c r="L71" s="113"/>
      <c r="M71" s="113"/>
      <c r="N71" s="113"/>
      <c r="O71" s="113"/>
      <c r="P71" s="113"/>
      <c r="Q71" s="113"/>
      <c r="R71" s="113"/>
      <c r="S71" s="113"/>
    </row>
    <row r="72" spans="1:19" x14ac:dyDescent="0.2">
      <c r="A72" s="84"/>
      <c r="B72" s="85"/>
      <c r="C72" s="92"/>
      <c r="D72" s="70"/>
      <c r="E72" s="104"/>
      <c r="F72" s="128">
        <f>SUM(F40:F71)</f>
        <v>264584</v>
      </c>
      <c r="G72" s="129"/>
      <c r="H72" s="130">
        <f>SUM(H40:H71)</f>
        <v>219861.56769999996</v>
      </c>
      <c r="I72" s="131"/>
      <c r="J72" s="28"/>
      <c r="K72" s="116"/>
      <c r="L72" s="113"/>
      <c r="M72" s="113"/>
      <c r="N72" s="113"/>
      <c r="O72" s="113"/>
      <c r="P72" s="113"/>
      <c r="Q72" s="113"/>
      <c r="R72" s="113"/>
      <c r="S72" s="113"/>
    </row>
    <row r="73" spans="1:19" x14ac:dyDescent="0.2">
      <c r="L73" s="113"/>
      <c r="M73" s="113"/>
      <c r="N73" s="113"/>
      <c r="O73" s="113"/>
      <c r="P73" s="113"/>
      <c r="Q73" s="113"/>
      <c r="R73" s="113"/>
      <c r="S73" s="113"/>
    </row>
    <row r="74" spans="1:19" x14ac:dyDescent="0.2">
      <c r="F74" s="141">
        <f>F72+F38</f>
        <v>580169</v>
      </c>
      <c r="H74" s="130">
        <f>H72+H38</f>
        <v>484221.72559999989</v>
      </c>
      <c r="L74" s="113"/>
      <c r="M74" s="113"/>
      <c r="N74" s="113"/>
      <c r="O74" s="113"/>
      <c r="P74" s="113"/>
      <c r="Q74" s="113"/>
      <c r="R74" s="113"/>
      <c r="S74" s="113"/>
    </row>
    <row r="75" spans="1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1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1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1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1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1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  <c r="L90" s="113"/>
      <c r="M90" s="113"/>
      <c r="N90" s="113"/>
      <c r="O90" s="113"/>
      <c r="P90" s="113"/>
      <c r="Q90" s="113"/>
      <c r="R90" s="113"/>
      <c r="S90" s="113"/>
    </row>
    <row r="91" spans="5:19" x14ac:dyDescent="0.2">
      <c r="E91" s="113"/>
      <c r="L91" s="113"/>
      <c r="M91" s="113"/>
      <c r="N91" s="113"/>
      <c r="O91" s="113"/>
      <c r="P91" s="113"/>
      <c r="Q91" s="113"/>
      <c r="R91" s="113"/>
      <c r="S91" s="113"/>
    </row>
    <row r="92" spans="5:19" hidden="1" x14ac:dyDescent="0.2">
      <c r="E92" s="113"/>
      <c r="L92" s="113"/>
      <c r="M92" s="113"/>
      <c r="N92" s="113"/>
      <c r="O92" s="113"/>
      <c r="P92" s="113"/>
      <c r="Q92" s="113"/>
      <c r="R92" s="113"/>
      <c r="S92" s="113"/>
    </row>
    <row r="93" spans="5:19" hidden="1" x14ac:dyDescent="0.2">
      <c r="E93" s="113"/>
      <c r="L93" s="113"/>
      <c r="M93" s="113"/>
      <c r="N93" s="113"/>
      <c r="O93" s="113"/>
      <c r="P93" s="113"/>
      <c r="Q93" s="113"/>
      <c r="R93" s="113"/>
      <c r="S93" s="113"/>
    </row>
    <row r="94" spans="5:19" hidden="1" x14ac:dyDescent="0.2">
      <c r="E94" s="113"/>
      <c r="L94" s="113"/>
      <c r="M94" s="113"/>
      <c r="N94" s="113"/>
      <c r="O94" s="113"/>
      <c r="P94" s="113"/>
      <c r="Q94" s="113"/>
      <c r="R94" s="113"/>
      <c r="S94" s="113"/>
    </row>
    <row r="95" spans="5:19" hidden="1" x14ac:dyDescent="0.2">
      <c r="E95" s="113"/>
      <c r="L95" s="113"/>
      <c r="M95" s="113"/>
      <c r="N95" s="113"/>
      <c r="O95" s="113"/>
      <c r="P95" s="113"/>
      <c r="Q95" s="113"/>
      <c r="R95" s="113"/>
      <c r="S95" s="113"/>
    </row>
    <row r="96" spans="5:19" hidden="1" x14ac:dyDescent="0.2">
      <c r="E96" s="113"/>
      <c r="L96" s="113"/>
      <c r="M96" s="113"/>
      <c r="N96" s="113"/>
      <c r="O96" s="113"/>
      <c r="P96" s="113"/>
      <c r="Q96" s="113"/>
      <c r="R96" s="113"/>
      <c r="S96" s="113"/>
    </row>
    <row r="97" spans="5:19" x14ac:dyDescent="0.2">
      <c r="E97" s="113"/>
      <c r="L97" s="113"/>
      <c r="M97" s="113"/>
      <c r="N97" s="113"/>
      <c r="O97" s="113"/>
      <c r="P97" s="113"/>
      <c r="Q97" s="113"/>
      <c r="R97" s="113"/>
      <c r="S97" s="113"/>
    </row>
    <row r="98" spans="5:19" x14ac:dyDescent="0.2">
      <c r="E98" s="113"/>
      <c r="L98" s="113"/>
      <c r="M98" s="113"/>
      <c r="N98" s="113"/>
      <c r="O98" s="113"/>
      <c r="P98" s="113"/>
      <c r="Q98" s="113"/>
      <c r="R98" s="113"/>
      <c r="S98" s="113"/>
    </row>
    <row r="99" spans="5:19" x14ac:dyDescent="0.2">
      <c r="E99" s="113"/>
      <c r="L99" s="113"/>
      <c r="M99" s="113"/>
      <c r="N99" s="113"/>
      <c r="O99" s="113"/>
      <c r="P99" s="113"/>
      <c r="Q99" s="113"/>
      <c r="R99" s="113"/>
      <c r="S99" s="113"/>
    </row>
    <row r="100" spans="5:19" x14ac:dyDescent="0.2">
      <c r="E100" s="113"/>
    </row>
    <row r="101" spans="5:19" x14ac:dyDescent="0.2">
      <c r="E101" s="113"/>
    </row>
    <row r="102" spans="5:19" x14ac:dyDescent="0.2">
      <c r="E102" s="113"/>
    </row>
    <row r="103" spans="5:19" x14ac:dyDescent="0.2">
      <c r="E103" s="113"/>
    </row>
    <row r="104" spans="5:19" x14ac:dyDescent="0.2">
      <c r="E104" s="113"/>
    </row>
    <row r="105" spans="5:19" x14ac:dyDescent="0.2">
      <c r="E105" s="113"/>
    </row>
    <row r="106" spans="5:19" x14ac:dyDescent="0.2">
      <c r="E106" s="113"/>
    </row>
    <row r="107" spans="5:19" x14ac:dyDescent="0.2">
      <c r="E107" s="113"/>
    </row>
    <row r="108" spans="5:19" x14ac:dyDescent="0.2">
      <c r="E108" s="113"/>
    </row>
    <row r="109" spans="5:19" x14ac:dyDescent="0.2">
      <c r="E109" s="113"/>
    </row>
    <row r="110" spans="5:19" x14ac:dyDescent="0.2">
      <c r="E110" s="113"/>
    </row>
    <row r="111" spans="5:19" x14ac:dyDescent="0.2">
      <c r="E111" s="113"/>
    </row>
    <row r="112" spans="5:19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  <row r="128" spans="5:5" x14ac:dyDescent="0.2">
      <c r="E128" s="113"/>
    </row>
    <row r="129" spans="5:5" x14ac:dyDescent="0.2">
      <c r="E129" s="113"/>
    </row>
    <row r="130" spans="5:5" x14ac:dyDescent="0.2">
      <c r="E130" s="113"/>
    </row>
    <row r="131" spans="5:5" x14ac:dyDescent="0.2">
      <c r="E131" s="113"/>
    </row>
    <row r="132" spans="5:5" x14ac:dyDescent="0.2">
      <c r="E132" s="113"/>
    </row>
    <row r="133" spans="5:5" x14ac:dyDescent="0.2">
      <c r="E133" s="113"/>
    </row>
    <row r="134" spans="5:5" x14ac:dyDescent="0.2">
      <c r="E134" s="113"/>
    </row>
    <row r="135" spans="5:5" x14ac:dyDescent="0.2">
      <c r="E135" s="113"/>
    </row>
    <row r="136" spans="5:5" x14ac:dyDescent="0.2">
      <c r="E136" s="113"/>
    </row>
    <row r="137" spans="5:5" x14ac:dyDescent="0.2">
      <c r="E137" s="113"/>
    </row>
    <row r="138" spans="5:5" x14ac:dyDescent="0.2">
      <c r="E138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77"/>
  <sheetViews>
    <sheetView topLeftCell="A16" zoomScale="65" zoomScaleNormal="65" workbookViewId="0">
      <selection activeCell="K27" sqref="K27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6.5" style="66" customWidth="1"/>
    <col min="12" max="12" width="9.1640625" style="65" customWidth="1"/>
    <col min="13" max="13" width="9.33203125" style="65" customWidth="1"/>
    <col min="14" max="14" width="15.1640625" style="65" customWidth="1"/>
    <col min="15" max="15" width="15.6640625" style="65" customWidth="1"/>
    <col min="16" max="16" width="13.83203125" style="65" customWidth="1"/>
    <col min="17" max="17" width="11.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>
        <v>45089</v>
      </c>
      <c r="B2" s="76" t="s">
        <v>36</v>
      </c>
      <c r="C2" s="77"/>
      <c r="D2" s="77"/>
      <c r="E2" s="77"/>
      <c r="F2" s="77"/>
      <c r="G2" s="78"/>
      <c r="H2" s="79"/>
      <c r="I2" s="80"/>
      <c r="J2" s="81" t="s">
        <v>18</v>
      </c>
      <c r="K2" s="82"/>
      <c r="L2" s="144"/>
      <c r="M2" s="145" t="s">
        <v>37</v>
      </c>
      <c r="N2" s="146"/>
      <c r="O2" s="146"/>
      <c r="P2" s="146"/>
      <c r="Q2" s="147"/>
      <c r="R2" s="148"/>
      <c r="S2" s="149"/>
    </row>
    <row r="3" spans="1:22" ht="16" x14ac:dyDescent="0.2">
      <c r="A3" s="84">
        <v>0.40277777777777801</v>
      </c>
      <c r="B3" s="150" t="s">
        <v>48</v>
      </c>
      <c r="C3" s="92">
        <v>50877480</v>
      </c>
      <c r="D3" s="70">
        <v>50899910</v>
      </c>
      <c r="E3" s="86">
        <f t="shared" ref="E3:E25" si="0">SUM(D3-C3)</f>
        <v>22430</v>
      </c>
      <c r="F3" s="159">
        <v>22430</v>
      </c>
      <c r="G3" s="40">
        <v>0.83819999999999995</v>
      </c>
      <c r="H3" s="88">
        <f t="shared" ref="H3:H24" si="1">SUM(G3*F3)</f>
        <v>18800.825999999997</v>
      </c>
      <c r="I3" s="151">
        <v>388</v>
      </c>
      <c r="J3" s="28">
        <v>6640</v>
      </c>
      <c r="K3" s="89"/>
      <c r="L3" s="152">
        <v>0.45138888888888901</v>
      </c>
      <c r="M3" s="153" t="s">
        <v>44</v>
      </c>
      <c r="N3" s="154">
        <v>7629180</v>
      </c>
      <c r="O3" s="155">
        <v>7629470</v>
      </c>
      <c r="P3" s="154">
        <f t="shared" ref="P3:P16" si="2">SUM(O3-N3)</f>
        <v>290</v>
      </c>
      <c r="Q3" s="156">
        <v>0.83760000000000001</v>
      </c>
      <c r="R3" s="157">
        <f t="shared" ref="R3:R16" si="3">SUM(Q3*P3)</f>
        <v>242.904</v>
      </c>
      <c r="S3" s="158" t="s">
        <v>98</v>
      </c>
      <c r="V3" t="s">
        <v>41</v>
      </c>
    </row>
    <row r="4" spans="1:22" ht="16" x14ac:dyDescent="0.2">
      <c r="A4" s="84">
        <v>0.41666666666666702</v>
      </c>
      <c r="B4" s="85" t="s">
        <v>48</v>
      </c>
      <c r="C4" s="92">
        <f t="shared" ref="C4:C20" si="4">SUM(D3)</f>
        <v>50899910</v>
      </c>
      <c r="D4" s="70">
        <v>50908880</v>
      </c>
      <c r="E4" s="86">
        <f t="shared" si="0"/>
        <v>8970</v>
      </c>
      <c r="F4" s="103">
        <v>8970</v>
      </c>
      <c r="G4" s="40">
        <v>0.83819999999999995</v>
      </c>
      <c r="H4" s="88">
        <f t="shared" si="1"/>
        <v>7518.6539999999995</v>
      </c>
      <c r="I4" s="151">
        <v>147</v>
      </c>
      <c r="J4" s="28">
        <v>6641</v>
      </c>
      <c r="K4" s="89"/>
      <c r="L4" s="152">
        <v>0.66319444444444398</v>
      </c>
      <c r="M4" s="153" t="s">
        <v>48</v>
      </c>
      <c r="N4" s="154">
        <f t="shared" ref="N4:N16" si="5">SUM(O3)</f>
        <v>7629470</v>
      </c>
      <c r="O4" s="155">
        <v>7629600</v>
      </c>
      <c r="P4" s="154">
        <f t="shared" si="2"/>
        <v>130</v>
      </c>
      <c r="Q4" s="156">
        <v>0.83440000000000003</v>
      </c>
      <c r="R4" s="157">
        <f t="shared" si="3"/>
        <v>108.47200000000001</v>
      </c>
      <c r="S4" s="158" t="s">
        <v>45</v>
      </c>
    </row>
    <row r="5" spans="1:22" ht="16" x14ac:dyDescent="0.2">
      <c r="A5" s="84">
        <v>0.44444444444444398</v>
      </c>
      <c r="B5" s="85" t="s">
        <v>48</v>
      </c>
      <c r="C5" s="92">
        <f t="shared" si="4"/>
        <v>50908880</v>
      </c>
      <c r="D5" s="70">
        <v>50919240</v>
      </c>
      <c r="E5" s="86">
        <f t="shared" si="0"/>
        <v>10360</v>
      </c>
      <c r="F5" s="103">
        <v>10360</v>
      </c>
      <c r="G5" s="40">
        <v>0.83819999999999995</v>
      </c>
      <c r="H5" s="88">
        <f t="shared" si="1"/>
        <v>8683.7519999999986</v>
      </c>
      <c r="I5" s="151">
        <v>248</v>
      </c>
      <c r="J5" s="28">
        <v>6645</v>
      </c>
      <c r="K5" s="89"/>
      <c r="L5" s="152">
        <v>0.92013888888888895</v>
      </c>
      <c r="M5" s="153" t="s">
        <v>39</v>
      </c>
      <c r="N5" s="154">
        <f t="shared" si="5"/>
        <v>7629600</v>
      </c>
      <c r="O5" s="155">
        <v>7629640</v>
      </c>
      <c r="P5" s="154">
        <f t="shared" si="2"/>
        <v>40</v>
      </c>
      <c r="Q5" s="156">
        <v>0.83489999999999998</v>
      </c>
      <c r="R5" s="157">
        <f t="shared" si="3"/>
        <v>33.396000000000001</v>
      </c>
      <c r="S5" s="158" t="s">
        <v>47</v>
      </c>
    </row>
    <row r="6" spans="1:22" ht="16" x14ac:dyDescent="0.2">
      <c r="A6" s="84">
        <v>0.47916666666666702</v>
      </c>
      <c r="B6" s="134" t="s">
        <v>66</v>
      </c>
      <c r="C6" s="92">
        <f t="shared" si="4"/>
        <v>50919240</v>
      </c>
      <c r="D6" s="70">
        <v>50930190</v>
      </c>
      <c r="E6" s="86">
        <f t="shared" si="0"/>
        <v>10950</v>
      </c>
      <c r="F6" s="159">
        <v>10950</v>
      </c>
      <c r="G6" s="40">
        <v>0.83940000000000003</v>
      </c>
      <c r="H6" s="88">
        <f t="shared" si="1"/>
        <v>9191.43</v>
      </c>
      <c r="I6" s="160">
        <v>388</v>
      </c>
      <c r="J6" s="28">
        <v>6648</v>
      </c>
      <c r="K6" s="89"/>
      <c r="L6" s="152">
        <v>0.93055555555555503</v>
      </c>
      <c r="M6" s="153" t="s">
        <v>38</v>
      </c>
      <c r="N6" s="154">
        <f t="shared" si="5"/>
        <v>7629640</v>
      </c>
      <c r="O6" s="155">
        <v>7629680</v>
      </c>
      <c r="P6" s="154">
        <f t="shared" si="2"/>
        <v>40</v>
      </c>
      <c r="Q6" s="163">
        <v>0.83520000000000005</v>
      </c>
      <c r="R6" s="157">
        <f t="shared" si="3"/>
        <v>33.408000000000001</v>
      </c>
      <c r="S6" s="158" t="s">
        <v>42</v>
      </c>
    </row>
    <row r="7" spans="1:22" ht="16" x14ac:dyDescent="0.2">
      <c r="A7" s="84">
        <v>0.54513888888888895</v>
      </c>
      <c r="B7" s="85" t="s">
        <v>66</v>
      </c>
      <c r="C7" s="92">
        <f t="shared" si="4"/>
        <v>50930190</v>
      </c>
      <c r="D7" s="70">
        <v>50947220</v>
      </c>
      <c r="E7" s="86">
        <f t="shared" si="0"/>
        <v>17030</v>
      </c>
      <c r="F7" s="124">
        <v>17019</v>
      </c>
      <c r="G7" s="40">
        <v>0.83940000000000003</v>
      </c>
      <c r="H7" s="88">
        <f t="shared" si="1"/>
        <v>14285.748600000001</v>
      </c>
      <c r="I7" s="160">
        <v>251</v>
      </c>
      <c r="J7" s="28">
        <v>6650</v>
      </c>
      <c r="K7" s="89"/>
      <c r="L7" s="166"/>
      <c r="M7" s="99"/>
      <c r="N7" s="94">
        <f t="shared" si="5"/>
        <v>7629680</v>
      </c>
      <c r="O7" s="167"/>
      <c r="P7" s="94">
        <f t="shared" si="2"/>
        <v>-7629680</v>
      </c>
      <c r="Q7" s="194"/>
      <c r="R7" s="96">
        <f t="shared" si="3"/>
        <v>0</v>
      </c>
      <c r="S7" s="97"/>
    </row>
    <row r="8" spans="1:22" ht="16" x14ac:dyDescent="0.2">
      <c r="A8" s="84">
        <v>0.55902777777777801</v>
      </c>
      <c r="B8" s="85" t="s">
        <v>66</v>
      </c>
      <c r="C8" s="92">
        <f t="shared" si="4"/>
        <v>50947220</v>
      </c>
      <c r="D8" s="70">
        <v>50969640</v>
      </c>
      <c r="E8" s="86">
        <f t="shared" si="0"/>
        <v>22420</v>
      </c>
      <c r="F8" s="159">
        <v>22430</v>
      </c>
      <c r="G8" s="40">
        <v>0.83940000000000003</v>
      </c>
      <c r="H8" s="88">
        <f t="shared" si="1"/>
        <v>18827.742000000002</v>
      </c>
      <c r="I8" s="160">
        <v>388</v>
      </c>
      <c r="J8" s="28">
        <v>6651</v>
      </c>
      <c r="K8" s="89"/>
      <c r="L8" s="90"/>
      <c r="M8" s="91"/>
      <c r="N8" s="94">
        <f t="shared" si="5"/>
        <v>0</v>
      </c>
      <c r="O8" s="93"/>
      <c r="P8" s="94">
        <f t="shared" si="2"/>
        <v>0</v>
      </c>
      <c r="Q8" s="95"/>
      <c r="R8" s="96">
        <f t="shared" si="3"/>
        <v>0</v>
      </c>
      <c r="S8" s="1"/>
    </row>
    <row r="9" spans="1:22" ht="16" x14ac:dyDescent="0.2">
      <c r="A9" s="84">
        <v>0.71180555555555503</v>
      </c>
      <c r="B9" s="85" t="s">
        <v>66</v>
      </c>
      <c r="C9" s="92">
        <f t="shared" si="4"/>
        <v>50969640</v>
      </c>
      <c r="D9" s="70">
        <v>50981110</v>
      </c>
      <c r="E9" s="86">
        <f t="shared" si="0"/>
        <v>11470</v>
      </c>
      <c r="F9" s="159">
        <v>11480</v>
      </c>
      <c r="G9" s="40">
        <v>0.83899999999999997</v>
      </c>
      <c r="H9" s="88">
        <f t="shared" si="1"/>
        <v>9631.7199999999993</v>
      </c>
      <c r="I9" s="160">
        <v>388</v>
      </c>
      <c r="J9" s="28">
        <v>6655</v>
      </c>
      <c r="K9" s="89"/>
      <c r="L9" s="90"/>
      <c r="M9" s="91"/>
      <c r="N9" s="94">
        <f t="shared" si="5"/>
        <v>0</v>
      </c>
      <c r="O9" s="93"/>
      <c r="P9" s="94">
        <f t="shared" si="2"/>
        <v>0</v>
      </c>
      <c r="Q9" s="95"/>
      <c r="R9" s="96">
        <f t="shared" si="3"/>
        <v>0</v>
      </c>
      <c r="S9" s="1"/>
    </row>
    <row r="10" spans="1:22" ht="16" x14ac:dyDescent="0.2">
      <c r="A10" s="84">
        <v>0.71180555555555503</v>
      </c>
      <c r="B10" s="120" t="s">
        <v>39</v>
      </c>
      <c r="C10" s="92">
        <f t="shared" si="4"/>
        <v>50981110</v>
      </c>
      <c r="D10" s="70">
        <v>50992060</v>
      </c>
      <c r="E10" s="86">
        <f t="shared" si="0"/>
        <v>10950</v>
      </c>
      <c r="F10" s="159">
        <v>10950</v>
      </c>
      <c r="G10" s="40">
        <v>0.83489999999999998</v>
      </c>
      <c r="H10" s="88">
        <f t="shared" si="1"/>
        <v>9142.1549999999988</v>
      </c>
      <c r="I10" s="162">
        <v>388</v>
      </c>
      <c r="J10" s="28">
        <v>6655</v>
      </c>
      <c r="K10" s="89"/>
      <c r="L10" s="90"/>
      <c r="M10" s="91"/>
      <c r="N10" s="94">
        <f t="shared" si="5"/>
        <v>0</v>
      </c>
      <c r="O10" s="93"/>
      <c r="P10" s="94">
        <f t="shared" si="2"/>
        <v>0</v>
      </c>
      <c r="Q10" s="95"/>
      <c r="R10" s="96">
        <f t="shared" si="3"/>
        <v>0</v>
      </c>
      <c r="S10" s="97"/>
    </row>
    <row r="11" spans="1:22" ht="16" x14ac:dyDescent="0.2">
      <c r="A11" s="84">
        <v>0.77430555555555503</v>
      </c>
      <c r="B11" s="85" t="s">
        <v>39</v>
      </c>
      <c r="C11" s="92">
        <f t="shared" si="4"/>
        <v>50992060</v>
      </c>
      <c r="D11" s="70">
        <v>51014480</v>
      </c>
      <c r="E11" s="86">
        <f t="shared" si="0"/>
        <v>22420</v>
      </c>
      <c r="F11" s="159">
        <v>22430</v>
      </c>
      <c r="G11" s="40">
        <v>0.83489999999999998</v>
      </c>
      <c r="H11" s="88">
        <f t="shared" si="1"/>
        <v>18726.807000000001</v>
      </c>
      <c r="I11" s="162">
        <v>388</v>
      </c>
      <c r="J11" s="28">
        <v>6658</v>
      </c>
      <c r="K11" s="89"/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0.83333333333333304</v>
      </c>
      <c r="B12" s="85" t="s">
        <v>39</v>
      </c>
      <c r="C12" s="92">
        <f t="shared" si="4"/>
        <v>51014480</v>
      </c>
      <c r="D12" s="70">
        <v>51036900</v>
      </c>
      <c r="E12" s="86">
        <f t="shared" si="0"/>
        <v>22420</v>
      </c>
      <c r="F12" s="159">
        <v>22430</v>
      </c>
      <c r="G12" s="40">
        <v>0.83489999999999998</v>
      </c>
      <c r="H12" s="88">
        <f t="shared" si="1"/>
        <v>18726.807000000001</v>
      </c>
      <c r="I12" s="162">
        <v>388</v>
      </c>
      <c r="J12" s="28">
        <v>6660</v>
      </c>
      <c r="K12" s="89"/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0.89583333333333304</v>
      </c>
      <c r="B13" s="85" t="s">
        <v>39</v>
      </c>
      <c r="C13" s="92">
        <f t="shared" si="4"/>
        <v>51036900</v>
      </c>
      <c r="D13" s="70">
        <v>51047040</v>
      </c>
      <c r="E13" s="86">
        <f t="shared" si="0"/>
        <v>10140</v>
      </c>
      <c r="F13" s="103">
        <v>10159</v>
      </c>
      <c r="G13" s="40">
        <v>0.83489999999999998</v>
      </c>
      <c r="H13" s="88">
        <f t="shared" si="1"/>
        <v>8481.7490999999991</v>
      </c>
      <c r="I13" s="162">
        <v>147</v>
      </c>
      <c r="J13" s="28">
        <v>6663</v>
      </c>
      <c r="K13" s="89"/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0.93055555555555503</v>
      </c>
      <c r="B14" s="117" t="s">
        <v>38</v>
      </c>
      <c r="C14" s="92">
        <f t="shared" si="4"/>
        <v>51047040</v>
      </c>
      <c r="D14" s="70">
        <v>51058520</v>
      </c>
      <c r="E14" s="86">
        <f t="shared" si="0"/>
        <v>11480</v>
      </c>
      <c r="F14" s="159">
        <v>11480</v>
      </c>
      <c r="G14" s="40">
        <v>0.83489999999999998</v>
      </c>
      <c r="H14" s="88">
        <f t="shared" si="1"/>
        <v>9584.652</v>
      </c>
      <c r="I14" s="169">
        <v>388</v>
      </c>
      <c r="J14" s="28">
        <v>6667</v>
      </c>
      <c r="K14" s="89"/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0.97569444444444398</v>
      </c>
      <c r="B15" s="85" t="s">
        <v>38</v>
      </c>
      <c r="C15" s="92">
        <f t="shared" si="4"/>
        <v>51058520</v>
      </c>
      <c r="D15" s="70">
        <v>51080940</v>
      </c>
      <c r="E15" s="86">
        <f t="shared" si="0"/>
        <v>22420</v>
      </c>
      <c r="F15" s="159">
        <v>22430</v>
      </c>
      <c r="G15" s="40">
        <v>0.83489999999999998</v>
      </c>
      <c r="H15" s="88">
        <f t="shared" si="1"/>
        <v>18726.807000000001</v>
      </c>
      <c r="I15" s="169">
        <v>388</v>
      </c>
      <c r="J15" s="28">
        <v>6669</v>
      </c>
      <c r="K15" s="89"/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5.2083333333333301E-2</v>
      </c>
      <c r="B16" s="85" t="s">
        <v>38</v>
      </c>
      <c r="C16" s="92">
        <f t="shared" si="4"/>
        <v>51080940</v>
      </c>
      <c r="D16" s="70">
        <v>51097970</v>
      </c>
      <c r="E16" s="86">
        <f t="shared" si="0"/>
        <v>17030</v>
      </c>
      <c r="F16" s="124">
        <v>17019</v>
      </c>
      <c r="G16" s="40">
        <v>0.83550000000000002</v>
      </c>
      <c r="H16" s="88">
        <f t="shared" si="1"/>
        <v>14219.3745</v>
      </c>
      <c r="I16" s="169">
        <v>251</v>
      </c>
      <c r="J16" s="28">
        <v>6671</v>
      </c>
      <c r="K16" s="89"/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0.14236111111111099</v>
      </c>
      <c r="B17" s="85" t="s">
        <v>38</v>
      </c>
      <c r="C17" s="92">
        <f t="shared" si="4"/>
        <v>51097970</v>
      </c>
      <c r="D17" s="70">
        <v>51114990</v>
      </c>
      <c r="E17" s="86">
        <f t="shared" si="0"/>
        <v>17020</v>
      </c>
      <c r="F17" s="124">
        <v>17019</v>
      </c>
      <c r="G17" s="40">
        <v>0.83550000000000002</v>
      </c>
      <c r="H17" s="88">
        <f t="shared" si="1"/>
        <v>14219.3745</v>
      </c>
      <c r="I17" s="169">
        <v>251</v>
      </c>
      <c r="J17" s="28">
        <v>6675</v>
      </c>
      <c r="K17" s="89"/>
      <c r="L17" s="144"/>
      <c r="M17" s="144" t="s">
        <v>49</v>
      </c>
      <c r="N17" s="146"/>
      <c r="O17" s="146"/>
      <c r="P17" s="146"/>
      <c r="Q17" s="147"/>
      <c r="R17" s="148"/>
      <c r="S17" s="149"/>
    </row>
    <row r="18" spans="1:20" ht="16" x14ac:dyDescent="0.2">
      <c r="A18" s="84">
        <v>0.19097222222222199</v>
      </c>
      <c r="B18" s="85" t="s">
        <v>38</v>
      </c>
      <c r="C18" s="92">
        <f t="shared" si="4"/>
        <v>51114990</v>
      </c>
      <c r="D18" s="70">
        <v>51137410</v>
      </c>
      <c r="E18" s="86">
        <f t="shared" si="0"/>
        <v>22420</v>
      </c>
      <c r="F18" s="159">
        <v>22430</v>
      </c>
      <c r="G18" s="40">
        <v>0.83550000000000002</v>
      </c>
      <c r="H18" s="88">
        <f t="shared" si="1"/>
        <v>18740.264999999999</v>
      </c>
      <c r="I18" s="169">
        <v>388</v>
      </c>
      <c r="J18" s="28">
        <v>6676</v>
      </c>
      <c r="K18" s="89"/>
      <c r="L18" s="152">
        <v>0.47569444444444398</v>
      </c>
      <c r="M18" s="153" t="s">
        <v>55</v>
      </c>
      <c r="N18" s="203">
        <v>3440760</v>
      </c>
      <c r="O18" s="155">
        <v>3440790</v>
      </c>
      <c r="P18" s="204">
        <f t="shared" ref="P18:P25" si="6">SUM(O18-N18)</f>
        <v>30</v>
      </c>
      <c r="Q18" s="163">
        <v>0.83399999999999996</v>
      </c>
      <c r="R18" s="157">
        <f t="shared" ref="R18:R25" si="7">SUM(Q18*P18)</f>
        <v>25.02</v>
      </c>
      <c r="S18" s="158" t="s">
        <v>69</v>
      </c>
      <c r="T18" t="s">
        <v>41</v>
      </c>
    </row>
    <row r="19" spans="1:20" ht="16" x14ac:dyDescent="0.2">
      <c r="A19" s="84">
        <v>0.25</v>
      </c>
      <c r="B19" s="85" t="s">
        <v>39</v>
      </c>
      <c r="C19" s="92">
        <f t="shared" si="4"/>
        <v>51137410</v>
      </c>
      <c r="D19" s="70">
        <v>51159850</v>
      </c>
      <c r="E19" s="86">
        <f t="shared" si="0"/>
        <v>22440</v>
      </c>
      <c r="F19" s="159">
        <v>22430</v>
      </c>
      <c r="G19" s="40">
        <v>0.8367</v>
      </c>
      <c r="H19" s="88">
        <f t="shared" si="1"/>
        <v>18767.181</v>
      </c>
      <c r="I19" s="162">
        <v>388</v>
      </c>
      <c r="J19" s="28">
        <v>6678</v>
      </c>
      <c r="K19" s="89"/>
      <c r="L19" s="166"/>
      <c r="M19" s="99"/>
      <c r="N19" s="94">
        <v>0</v>
      </c>
      <c r="O19" s="167"/>
      <c r="P19" s="205">
        <f t="shared" si="6"/>
        <v>0</v>
      </c>
      <c r="Q19" s="194"/>
      <c r="R19" s="96">
        <f t="shared" si="7"/>
        <v>0</v>
      </c>
      <c r="S19" s="97"/>
    </row>
    <row r="20" spans="1:20" ht="16" x14ac:dyDescent="0.2">
      <c r="A20" s="84">
        <v>0.31944444444444398</v>
      </c>
      <c r="B20" s="85" t="s">
        <v>39</v>
      </c>
      <c r="C20" s="92">
        <f t="shared" si="4"/>
        <v>51159850</v>
      </c>
      <c r="D20" s="70">
        <v>51182270</v>
      </c>
      <c r="E20" s="86">
        <f t="shared" si="0"/>
        <v>22420</v>
      </c>
      <c r="F20" s="159">
        <v>22430</v>
      </c>
      <c r="G20" s="40">
        <v>0.8367</v>
      </c>
      <c r="H20" s="88">
        <f t="shared" si="1"/>
        <v>18767.181</v>
      </c>
      <c r="I20" s="162">
        <v>388</v>
      </c>
      <c r="J20" s="28">
        <v>6681</v>
      </c>
      <c r="K20" s="89"/>
      <c r="L20" s="90"/>
      <c r="M20" s="99"/>
      <c r="N20" s="92">
        <f t="shared" ref="N20:N25" si="8">SUM(O19)</f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x14ac:dyDescent="0.2">
      <c r="A21" s="84"/>
      <c r="B21" s="85"/>
      <c r="C21" s="92">
        <v>0</v>
      </c>
      <c r="D21" s="70"/>
      <c r="E21" s="86">
        <f t="shared" si="0"/>
        <v>0</v>
      </c>
      <c r="F21" s="103">
        <f>SUM(D21-C21)</f>
        <v>0</v>
      </c>
      <c r="G21" s="40"/>
      <c r="H21" s="88">
        <f t="shared" si="1"/>
        <v>0</v>
      </c>
      <c r="I21" s="1"/>
      <c r="J21" s="28"/>
      <c r="K21" s="89"/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f>SUM(D21)</f>
        <v>0</v>
      </c>
      <c r="D22" s="70"/>
      <c r="E22" s="86">
        <f t="shared" si="0"/>
        <v>0</v>
      </c>
      <c r="F22" s="103">
        <f>SUM(D22-C22)</f>
        <v>0</v>
      </c>
      <c r="G22" s="40"/>
      <c r="H22" s="88">
        <f t="shared" si="1"/>
        <v>0</v>
      </c>
      <c r="I22" s="1"/>
      <c r="J22" s="28"/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x14ac:dyDescent="0.2">
      <c r="A23" s="84"/>
      <c r="B23" s="85"/>
      <c r="C23" s="92">
        <f>SUM(D22)</f>
        <v>0</v>
      </c>
      <c r="D23" s="70"/>
      <c r="E23" s="86">
        <f t="shared" si="0"/>
        <v>0</v>
      </c>
      <c r="F23" s="103">
        <f>SUM(D23-C23)</f>
        <v>0</v>
      </c>
      <c r="G23" s="40"/>
      <c r="H23" s="88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x14ac:dyDescent="0.2">
      <c r="A24" s="84"/>
      <c r="B24" s="85"/>
      <c r="C24" s="92">
        <f>SUM(D23)</f>
        <v>0</v>
      </c>
      <c r="D24" s="70"/>
      <c r="E24" s="86">
        <f t="shared" si="0"/>
        <v>0</v>
      </c>
      <c r="F24" s="126">
        <f>SUM(D24-C24)</f>
        <v>0</v>
      </c>
      <c r="G24" s="40"/>
      <c r="H24" s="127">
        <f t="shared" si="1"/>
        <v>0</v>
      </c>
      <c r="I24" s="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x14ac:dyDescent="0.2">
      <c r="A25" s="84"/>
      <c r="B25" s="85"/>
      <c r="C25" s="92">
        <f>SUM(D24)</f>
        <v>0</v>
      </c>
      <c r="D25" s="70"/>
      <c r="E25" s="104">
        <f t="shared" si="0"/>
        <v>0</v>
      </c>
      <c r="F25" s="170">
        <v>304846</v>
      </c>
      <c r="G25" s="129"/>
      <c r="H25" s="171">
        <v>255042</v>
      </c>
      <c r="I25" s="131"/>
      <c r="J25" s="28"/>
      <c r="K25" s="89"/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x14ac:dyDescent="0.2">
      <c r="A26" s="83"/>
      <c r="B26" s="76" t="s">
        <v>49</v>
      </c>
      <c r="C26" s="77"/>
      <c r="D26" s="77"/>
      <c r="E26" s="77"/>
      <c r="F26" s="132"/>
      <c r="G26" s="78"/>
      <c r="H26" s="133"/>
      <c r="I26" s="80"/>
      <c r="J26" s="80"/>
      <c r="L26" s="113"/>
      <c r="M26" s="113"/>
      <c r="N26" s="113"/>
      <c r="O26" s="113"/>
      <c r="P26" s="113"/>
      <c r="Q26" s="113"/>
      <c r="R26" s="113"/>
      <c r="S26" s="113"/>
    </row>
    <row r="27" spans="1:20" ht="16" x14ac:dyDescent="0.2">
      <c r="A27" s="84">
        <v>0.39930555555555602</v>
      </c>
      <c r="B27" s="139" t="s">
        <v>55</v>
      </c>
      <c r="C27" s="92">
        <v>3392140</v>
      </c>
      <c r="D27" s="102">
        <v>3399570</v>
      </c>
      <c r="E27" s="86">
        <f t="shared" ref="E27:E58" si="9">SUM(D27-C27)</f>
        <v>7430</v>
      </c>
      <c r="F27" s="103">
        <v>7386</v>
      </c>
      <c r="G27" s="40">
        <v>0.83399999999999996</v>
      </c>
      <c r="H27" s="88">
        <f t="shared" ref="H27:H57" si="10">SUM(G27*F27)</f>
        <v>6159.924</v>
      </c>
      <c r="I27" s="172">
        <v>382</v>
      </c>
      <c r="J27" s="1">
        <v>6639</v>
      </c>
      <c r="K27" s="114" t="s">
        <v>70</v>
      </c>
      <c r="L27" s="113"/>
      <c r="M27" s="113"/>
      <c r="N27" s="113"/>
      <c r="O27" s="113"/>
      <c r="P27" s="113"/>
      <c r="Q27" s="113"/>
      <c r="R27" s="113"/>
      <c r="S27" s="113"/>
    </row>
    <row r="28" spans="1:20" ht="14.25" customHeight="1" x14ac:dyDescent="0.2">
      <c r="A28" s="84">
        <v>0.41666666666666702</v>
      </c>
      <c r="B28" s="85" t="s">
        <v>55</v>
      </c>
      <c r="C28" s="92">
        <f>SUM(D27)</f>
        <v>3399570</v>
      </c>
      <c r="D28" s="102">
        <v>3404870</v>
      </c>
      <c r="E28" s="86">
        <f t="shared" si="9"/>
        <v>5300</v>
      </c>
      <c r="F28" s="103">
        <v>5272</v>
      </c>
      <c r="G28" s="40">
        <v>0.83399999999999996</v>
      </c>
      <c r="H28" s="88">
        <f t="shared" si="10"/>
        <v>4396.848</v>
      </c>
      <c r="I28" s="172">
        <v>81</v>
      </c>
      <c r="J28" s="1">
        <v>6642</v>
      </c>
      <c r="K28" s="197" t="s">
        <v>60</v>
      </c>
      <c r="L28" s="113"/>
      <c r="M28" s="113"/>
      <c r="N28" s="113"/>
      <c r="O28" s="113"/>
      <c r="P28" s="113"/>
      <c r="Q28" s="113"/>
      <c r="R28" s="113"/>
      <c r="S28" s="113"/>
    </row>
    <row r="29" spans="1:20" ht="15" customHeight="1" x14ac:dyDescent="0.2">
      <c r="A29" s="84">
        <v>0.42708333333333298</v>
      </c>
      <c r="B29" s="173" t="s">
        <v>57</v>
      </c>
      <c r="C29" s="92">
        <f>SUM(D28)</f>
        <v>3404870</v>
      </c>
      <c r="D29" s="102">
        <v>3421990</v>
      </c>
      <c r="E29" s="86">
        <f t="shared" si="9"/>
        <v>17120</v>
      </c>
      <c r="F29" s="124">
        <v>17019</v>
      </c>
      <c r="G29" s="40">
        <v>0.83260000000000001</v>
      </c>
      <c r="H29" s="88">
        <f t="shared" si="10"/>
        <v>14170.019399999999</v>
      </c>
      <c r="I29" s="174">
        <v>251</v>
      </c>
      <c r="J29" s="177">
        <v>6643</v>
      </c>
      <c r="K29" s="115" t="s">
        <v>84</v>
      </c>
      <c r="L29" s="113"/>
      <c r="M29" s="113"/>
      <c r="N29" s="113"/>
      <c r="O29" s="113"/>
      <c r="P29" s="113"/>
      <c r="Q29" s="113"/>
      <c r="R29" s="113"/>
      <c r="S29" s="113"/>
    </row>
    <row r="30" spans="1:20" ht="16" x14ac:dyDescent="0.2">
      <c r="A30" s="84">
        <v>0.4375</v>
      </c>
      <c r="B30" s="85" t="s">
        <v>57</v>
      </c>
      <c r="C30" s="92">
        <f>SUM(D29)</f>
        <v>3421990</v>
      </c>
      <c r="D30" s="102">
        <v>3429220</v>
      </c>
      <c r="E30" s="86">
        <f t="shared" si="9"/>
        <v>7230</v>
      </c>
      <c r="F30" s="103">
        <v>7191</v>
      </c>
      <c r="G30" s="40">
        <v>0.83260000000000001</v>
      </c>
      <c r="H30" s="88">
        <f t="shared" si="10"/>
        <v>5987.2266</v>
      </c>
      <c r="I30" s="174">
        <v>119</v>
      </c>
      <c r="J30" s="177">
        <v>6644</v>
      </c>
      <c r="K30" s="115" t="s">
        <v>84</v>
      </c>
      <c r="L30" s="113"/>
      <c r="M30" s="113"/>
      <c r="N30" s="113"/>
      <c r="O30" s="113"/>
      <c r="P30" s="113"/>
      <c r="Q30" s="113"/>
      <c r="R30" s="113"/>
      <c r="S30" s="113"/>
    </row>
    <row r="31" spans="1:20" ht="16" x14ac:dyDescent="0.2">
      <c r="A31" s="84">
        <v>0.46875</v>
      </c>
      <c r="B31" s="175" t="s">
        <v>61</v>
      </c>
      <c r="C31" s="92">
        <f>SUM(D30)</f>
        <v>3429220</v>
      </c>
      <c r="D31" s="102">
        <v>3440760</v>
      </c>
      <c r="E31" s="86">
        <f t="shared" si="9"/>
        <v>11540</v>
      </c>
      <c r="F31" s="159">
        <v>11480</v>
      </c>
      <c r="G31" s="40">
        <v>0.82930000000000004</v>
      </c>
      <c r="H31" s="88">
        <f t="shared" si="10"/>
        <v>9520.3639999999996</v>
      </c>
      <c r="I31" s="176">
        <v>388</v>
      </c>
      <c r="J31" s="1">
        <v>6646</v>
      </c>
      <c r="K31" s="197" t="s">
        <v>60</v>
      </c>
      <c r="L31" s="113"/>
      <c r="M31" s="113"/>
      <c r="N31" s="113"/>
      <c r="O31" s="113"/>
      <c r="P31" s="113"/>
      <c r="Q31" s="113"/>
      <c r="R31" s="113"/>
      <c r="S31" s="113"/>
    </row>
    <row r="32" spans="1:20" ht="16" x14ac:dyDescent="0.2">
      <c r="A32" s="84">
        <v>0.47569444444444398</v>
      </c>
      <c r="B32" s="85" t="s">
        <v>61</v>
      </c>
      <c r="C32" s="92">
        <v>3440790</v>
      </c>
      <c r="D32" s="102">
        <v>3446110</v>
      </c>
      <c r="E32" s="86">
        <f t="shared" si="9"/>
        <v>5320</v>
      </c>
      <c r="F32" s="103">
        <v>5277</v>
      </c>
      <c r="G32" s="40">
        <v>0.82930000000000004</v>
      </c>
      <c r="H32" s="88">
        <f t="shared" si="10"/>
        <v>4376.2161000000006</v>
      </c>
      <c r="I32" s="176">
        <v>57</v>
      </c>
      <c r="J32" s="1">
        <v>6647</v>
      </c>
      <c r="K32" s="197" t="s">
        <v>60</v>
      </c>
      <c r="L32" s="113"/>
      <c r="M32" s="113"/>
      <c r="N32" s="113"/>
      <c r="O32" s="113"/>
      <c r="P32" s="113"/>
      <c r="Q32" s="113"/>
      <c r="R32" s="113"/>
      <c r="S32" s="113"/>
    </row>
    <row r="33" spans="1:19" ht="16" x14ac:dyDescent="0.2">
      <c r="A33" s="84">
        <v>0.48958333333333298</v>
      </c>
      <c r="B33" s="85" t="s">
        <v>61</v>
      </c>
      <c r="C33" s="92">
        <f t="shared" ref="C33:C48" si="11">SUM(D32)</f>
        <v>3446110</v>
      </c>
      <c r="D33" s="102">
        <v>3463220</v>
      </c>
      <c r="E33" s="86">
        <f t="shared" si="9"/>
        <v>17110</v>
      </c>
      <c r="F33" s="124">
        <v>17019</v>
      </c>
      <c r="G33" s="40">
        <v>0.82930000000000004</v>
      </c>
      <c r="H33" s="88">
        <f t="shared" si="10"/>
        <v>14113.8567</v>
      </c>
      <c r="I33" s="176">
        <v>251</v>
      </c>
      <c r="J33" s="1">
        <v>6649</v>
      </c>
      <c r="K33" s="197" t="s">
        <v>60</v>
      </c>
      <c r="L33" s="113"/>
      <c r="M33" s="113"/>
      <c r="N33" s="89"/>
      <c r="O33" s="113"/>
      <c r="P33" s="113"/>
      <c r="Q33" s="113"/>
      <c r="R33" s="113"/>
      <c r="S33" s="113"/>
    </row>
    <row r="34" spans="1:19" ht="16" x14ac:dyDescent="0.2">
      <c r="A34" s="84">
        <v>0.59027777777777801</v>
      </c>
      <c r="B34" s="85" t="s">
        <v>61</v>
      </c>
      <c r="C34" s="92">
        <f t="shared" si="11"/>
        <v>3463220</v>
      </c>
      <c r="D34" s="102">
        <v>3472820</v>
      </c>
      <c r="E34" s="86">
        <f t="shared" si="9"/>
        <v>9600</v>
      </c>
      <c r="F34" s="103">
        <v>9552</v>
      </c>
      <c r="G34" s="40">
        <v>0.82930000000000004</v>
      </c>
      <c r="H34" s="88">
        <f t="shared" si="10"/>
        <v>7921.4736000000003</v>
      </c>
      <c r="I34" s="176">
        <v>81</v>
      </c>
      <c r="J34" s="28">
        <v>6652</v>
      </c>
      <c r="K34" s="197" t="s">
        <v>60</v>
      </c>
      <c r="L34" s="113"/>
      <c r="M34" s="113"/>
      <c r="N34" s="89"/>
      <c r="O34" s="113"/>
      <c r="P34" s="113"/>
      <c r="Q34" s="113"/>
      <c r="R34" s="113"/>
      <c r="S34" s="113"/>
    </row>
    <row r="35" spans="1:19" ht="16" x14ac:dyDescent="0.2">
      <c r="A35" s="84">
        <v>0.60069444444444398</v>
      </c>
      <c r="B35" s="85" t="s">
        <v>61</v>
      </c>
      <c r="C35" s="92">
        <f t="shared" si="11"/>
        <v>3472820</v>
      </c>
      <c r="D35" s="102">
        <v>3477380</v>
      </c>
      <c r="E35" s="86">
        <f t="shared" si="9"/>
        <v>4560</v>
      </c>
      <c r="F35" s="103">
        <v>4524</v>
      </c>
      <c r="G35" s="40">
        <v>0.82930000000000004</v>
      </c>
      <c r="H35" s="88">
        <f t="shared" si="10"/>
        <v>3751.7532000000001</v>
      </c>
      <c r="I35" s="176">
        <v>382</v>
      </c>
      <c r="J35" s="28">
        <v>6653</v>
      </c>
      <c r="K35" s="197" t="s">
        <v>60</v>
      </c>
      <c r="L35" s="113"/>
      <c r="M35" s="113"/>
      <c r="N35" s="89"/>
      <c r="O35" s="113"/>
      <c r="P35" s="113"/>
      <c r="Q35" s="113"/>
      <c r="R35" s="113"/>
      <c r="S35" s="113"/>
    </row>
    <row r="36" spans="1:19" ht="15" customHeight="1" x14ac:dyDescent="0.2">
      <c r="A36" s="84">
        <v>0.61111111111111105</v>
      </c>
      <c r="B36" s="85" t="s">
        <v>61</v>
      </c>
      <c r="C36" s="92">
        <f t="shared" si="11"/>
        <v>3477380</v>
      </c>
      <c r="D36" s="102">
        <v>3483530</v>
      </c>
      <c r="E36" s="86">
        <f t="shared" si="9"/>
        <v>6150</v>
      </c>
      <c r="F36" s="103">
        <v>6117</v>
      </c>
      <c r="G36" s="40">
        <v>0.82930000000000004</v>
      </c>
      <c r="H36" s="88">
        <f t="shared" si="10"/>
        <v>5072.8281000000006</v>
      </c>
      <c r="I36" s="176">
        <v>57</v>
      </c>
      <c r="J36" s="28">
        <v>6654</v>
      </c>
      <c r="K36" s="197" t="s">
        <v>60</v>
      </c>
      <c r="L36" s="113"/>
      <c r="M36" s="113"/>
      <c r="N36" s="89"/>
      <c r="O36" s="113"/>
      <c r="P36" s="113"/>
      <c r="Q36" s="113"/>
      <c r="R36" s="113"/>
      <c r="S36" s="113"/>
    </row>
    <row r="37" spans="1:19" ht="16" x14ac:dyDescent="0.2">
      <c r="A37" s="84">
        <v>0.71875</v>
      </c>
      <c r="B37" s="85" t="s">
        <v>57</v>
      </c>
      <c r="C37" s="92">
        <f t="shared" si="11"/>
        <v>3483530</v>
      </c>
      <c r="D37" s="102">
        <v>3500650</v>
      </c>
      <c r="E37" s="86">
        <f t="shared" si="9"/>
        <v>17120</v>
      </c>
      <c r="F37" s="124">
        <v>17019</v>
      </c>
      <c r="G37" s="40">
        <v>0.83179999999999998</v>
      </c>
      <c r="H37" s="88">
        <f t="shared" si="10"/>
        <v>14156.404199999999</v>
      </c>
      <c r="I37" s="174">
        <v>251</v>
      </c>
      <c r="J37" s="177">
        <v>6656</v>
      </c>
      <c r="K37" s="115" t="s">
        <v>84</v>
      </c>
      <c r="L37" s="113"/>
      <c r="M37" s="113"/>
      <c r="N37" s="113"/>
      <c r="O37" s="113"/>
      <c r="P37" s="113"/>
      <c r="Q37" s="113"/>
      <c r="R37" s="113"/>
      <c r="S37" s="113"/>
    </row>
    <row r="38" spans="1:19" ht="16" x14ac:dyDescent="0.2">
      <c r="A38" s="84">
        <v>0.76388888888888895</v>
      </c>
      <c r="B38" s="85" t="s">
        <v>61</v>
      </c>
      <c r="C38" s="92">
        <f t="shared" si="11"/>
        <v>3500650</v>
      </c>
      <c r="D38" s="102">
        <v>3510680</v>
      </c>
      <c r="E38" s="86">
        <f t="shared" si="9"/>
        <v>10030</v>
      </c>
      <c r="F38" s="124">
        <v>9986</v>
      </c>
      <c r="G38" s="40">
        <v>0.82930000000000004</v>
      </c>
      <c r="H38" s="88">
        <f t="shared" si="10"/>
        <v>8281.3898000000008</v>
      </c>
      <c r="I38" s="176">
        <v>251</v>
      </c>
      <c r="J38" s="28">
        <v>6657</v>
      </c>
      <c r="K38" s="197" t="s">
        <v>60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0.76388888888888895</v>
      </c>
      <c r="B39" s="178" t="s">
        <v>90</v>
      </c>
      <c r="C39" s="92">
        <f t="shared" si="11"/>
        <v>3510680</v>
      </c>
      <c r="D39" s="102">
        <v>3517760</v>
      </c>
      <c r="E39" s="86">
        <f t="shared" si="9"/>
        <v>7080</v>
      </c>
      <c r="F39" s="124">
        <v>7033</v>
      </c>
      <c r="G39" s="40">
        <v>0.82889999999999997</v>
      </c>
      <c r="H39" s="88">
        <f t="shared" si="10"/>
        <v>5829.6536999999998</v>
      </c>
      <c r="I39" s="179">
        <v>251</v>
      </c>
      <c r="J39" s="28">
        <v>6657</v>
      </c>
      <c r="K39" s="197" t="s">
        <v>60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0.80902777777777801</v>
      </c>
      <c r="B40" s="85" t="s">
        <v>57</v>
      </c>
      <c r="C40" s="92">
        <f t="shared" si="11"/>
        <v>3517760</v>
      </c>
      <c r="D40" s="102">
        <v>3534860</v>
      </c>
      <c r="E40" s="86">
        <f t="shared" si="9"/>
        <v>17100</v>
      </c>
      <c r="F40" s="124">
        <v>17019</v>
      </c>
      <c r="G40" s="40">
        <v>0.83179999999999998</v>
      </c>
      <c r="H40" s="88">
        <f t="shared" si="10"/>
        <v>14156.404199999999</v>
      </c>
      <c r="I40" s="174">
        <v>251</v>
      </c>
      <c r="J40" s="177">
        <v>6659</v>
      </c>
      <c r="K40" s="115" t="s">
        <v>84</v>
      </c>
      <c r="L40" s="113"/>
      <c r="M40" s="113"/>
      <c r="N40" s="113"/>
      <c r="O40" s="113"/>
      <c r="P40" s="113"/>
      <c r="Q40" s="113"/>
      <c r="R40" s="113"/>
      <c r="S40" s="113"/>
    </row>
    <row r="41" spans="1:19" ht="16" x14ac:dyDescent="0.2">
      <c r="A41" s="84">
        <v>0.88888888888888895</v>
      </c>
      <c r="B41" s="85" t="s">
        <v>90</v>
      </c>
      <c r="C41" s="92">
        <f t="shared" si="11"/>
        <v>3534860</v>
      </c>
      <c r="D41" s="102">
        <v>3541370</v>
      </c>
      <c r="E41" s="86">
        <f t="shared" si="9"/>
        <v>6510</v>
      </c>
      <c r="F41" s="103">
        <v>6453</v>
      </c>
      <c r="G41" s="40">
        <v>0.82889999999999997</v>
      </c>
      <c r="H41" s="88">
        <f t="shared" si="10"/>
        <v>5348.8917000000001</v>
      </c>
      <c r="I41" s="179">
        <v>57</v>
      </c>
      <c r="J41" s="28">
        <v>6661</v>
      </c>
      <c r="K41" s="197" t="s">
        <v>60</v>
      </c>
      <c r="L41" s="113"/>
      <c r="M41" s="113"/>
      <c r="N41" s="113"/>
      <c r="O41" s="113"/>
      <c r="P41" s="113"/>
      <c r="Q41" s="113"/>
      <c r="R41" s="113"/>
      <c r="S41" s="113"/>
    </row>
    <row r="42" spans="1:19" ht="16" x14ac:dyDescent="0.2">
      <c r="A42" s="84">
        <v>0.89583333333333304</v>
      </c>
      <c r="B42" s="85" t="s">
        <v>90</v>
      </c>
      <c r="C42" s="92">
        <f t="shared" si="11"/>
        <v>3541370</v>
      </c>
      <c r="D42" s="102">
        <v>3548510</v>
      </c>
      <c r="E42" s="86">
        <f t="shared" si="9"/>
        <v>7140</v>
      </c>
      <c r="F42" s="103">
        <v>7098</v>
      </c>
      <c r="G42" s="40">
        <v>0.82889999999999997</v>
      </c>
      <c r="H42" s="88">
        <f t="shared" si="10"/>
        <v>5883.5321999999996</v>
      </c>
      <c r="I42" s="179">
        <v>81</v>
      </c>
      <c r="J42" s="28">
        <v>6662</v>
      </c>
      <c r="K42" s="197" t="s">
        <v>60</v>
      </c>
      <c r="L42" s="113"/>
      <c r="M42" s="113"/>
      <c r="N42" s="113"/>
      <c r="O42" s="113"/>
      <c r="P42" s="113"/>
      <c r="Q42" s="113"/>
      <c r="R42" s="113"/>
      <c r="S42" s="113"/>
    </row>
    <row r="43" spans="1:19" ht="16" x14ac:dyDescent="0.2">
      <c r="A43" s="84">
        <v>0.90277777777777801</v>
      </c>
      <c r="B43" s="85" t="s">
        <v>90</v>
      </c>
      <c r="C43" s="92">
        <f t="shared" si="11"/>
        <v>3548510</v>
      </c>
      <c r="D43" s="102">
        <v>3556480</v>
      </c>
      <c r="E43" s="86">
        <f t="shared" si="9"/>
        <v>7970</v>
      </c>
      <c r="F43" s="103">
        <v>7924</v>
      </c>
      <c r="G43" s="40">
        <v>0.82889999999999997</v>
      </c>
      <c r="H43" s="88">
        <f t="shared" si="10"/>
        <v>6568.2035999999998</v>
      </c>
      <c r="I43" s="179">
        <v>382</v>
      </c>
      <c r="J43" s="28">
        <v>6664</v>
      </c>
      <c r="K43" s="197" t="s">
        <v>60</v>
      </c>
      <c r="L43" s="113"/>
      <c r="M43" s="113"/>
      <c r="N43" s="113"/>
      <c r="O43" s="113"/>
      <c r="P43" s="113"/>
      <c r="Q43" s="113"/>
      <c r="R43" s="113"/>
      <c r="S43" s="113"/>
    </row>
    <row r="44" spans="1:19" ht="16" x14ac:dyDescent="0.2">
      <c r="A44" s="84">
        <v>0.92361111111111105</v>
      </c>
      <c r="B44" s="85" t="s">
        <v>90</v>
      </c>
      <c r="C44" s="92">
        <f t="shared" si="11"/>
        <v>3556480</v>
      </c>
      <c r="D44" s="102">
        <v>3566510</v>
      </c>
      <c r="E44" s="86">
        <f t="shared" si="9"/>
        <v>10030</v>
      </c>
      <c r="F44" s="124">
        <v>9986</v>
      </c>
      <c r="G44" s="40">
        <v>0.82889999999999997</v>
      </c>
      <c r="H44" s="88">
        <f t="shared" si="10"/>
        <v>8277.3953999999994</v>
      </c>
      <c r="I44" s="179">
        <v>251</v>
      </c>
      <c r="J44" s="28">
        <v>6665</v>
      </c>
      <c r="K44" s="197" t="s">
        <v>60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0.93055555555555503</v>
      </c>
      <c r="B45" s="85" t="s">
        <v>90</v>
      </c>
      <c r="C45" s="92">
        <f t="shared" si="11"/>
        <v>3566510</v>
      </c>
      <c r="D45" s="102">
        <v>3573590</v>
      </c>
      <c r="E45" s="86">
        <f t="shared" si="9"/>
        <v>7080</v>
      </c>
      <c r="F45" s="124">
        <v>7033</v>
      </c>
      <c r="G45" s="40">
        <v>0.82889999999999997</v>
      </c>
      <c r="H45" s="88">
        <f t="shared" si="10"/>
        <v>5829.6536999999998</v>
      </c>
      <c r="I45" s="179">
        <v>251</v>
      </c>
      <c r="J45" s="28">
        <v>6666</v>
      </c>
      <c r="K45" s="197" t="s">
        <v>60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0.94097222222222199</v>
      </c>
      <c r="B46" s="180" t="s">
        <v>62</v>
      </c>
      <c r="C46" s="92">
        <f t="shared" si="11"/>
        <v>3573590</v>
      </c>
      <c r="D46" s="102">
        <v>3584510</v>
      </c>
      <c r="E46" s="86">
        <f t="shared" si="9"/>
        <v>10920</v>
      </c>
      <c r="F46" s="103">
        <v>10867</v>
      </c>
      <c r="G46" s="40">
        <v>0.82920000000000005</v>
      </c>
      <c r="H46" s="88">
        <f t="shared" si="10"/>
        <v>9010.9164000000001</v>
      </c>
      <c r="I46" s="181">
        <v>119</v>
      </c>
      <c r="J46" s="177">
        <v>6668</v>
      </c>
      <c r="K46" s="115" t="s">
        <v>84</v>
      </c>
      <c r="L46" s="113"/>
      <c r="M46" s="113"/>
      <c r="N46" s="113"/>
      <c r="O46" s="113"/>
      <c r="P46" s="113"/>
      <c r="Q46" s="113"/>
      <c r="R46" s="113"/>
      <c r="S46" s="113"/>
    </row>
    <row r="47" spans="1:19" ht="16" x14ac:dyDescent="0.2">
      <c r="A47" s="84">
        <v>0.98611111111111105</v>
      </c>
      <c r="B47" s="85" t="s">
        <v>90</v>
      </c>
      <c r="C47" s="92">
        <f t="shared" si="11"/>
        <v>3584510</v>
      </c>
      <c r="D47" s="102">
        <v>3594550</v>
      </c>
      <c r="E47" s="86">
        <f t="shared" si="9"/>
        <v>10040</v>
      </c>
      <c r="F47" s="124">
        <v>9986</v>
      </c>
      <c r="G47" s="40">
        <v>0.82889999999999997</v>
      </c>
      <c r="H47" s="88">
        <f t="shared" si="10"/>
        <v>8277.3953999999994</v>
      </c>
      <c r="I47" s="179">
        <v>251</v>
      </c>
      <c r="J47" s="28">
        <v>6670</v>
      </c>
      <c r="K47" s="197" t="s">
        <v>60</v>
      </c>
      <c r="L47" s="113"/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7.2916666666666699E-2</v>
      </c>
      <c r="B48" s="85" t="s">
        <v>61</v>
      </c>
      <c r="C48" s="92">
        <f t="shared" si="11"/>
        <v>3594550</v>
      </c>
      <c r="D48" s="102">
        <v>3600610</v>
      </c>
      <c r="E48" s="86">
        <f t="shared" si="9"/>
        <v>6060</v>
      </c>
      <c r="F48" s="103">
        <v>6021</v>
      </c>
      <c r="G48" s="40">
        <v>0.82679999999999998</v>
      </c>
      <c r="H48" s="88">
        <f t="shared" si="10"/>
        <v>4978.1628000000001</v>
      </c>
      <c r="I48" s="176">
        <v>57</v>
      </c>
      <c r="J48" s="28">
        <v>6672</v>
      </c>
      <c r="K48" s="197" t="s">
        <v>60</v>
      </c>
      <c r="L48" s="113"/>
      <c r="M48" s="113"/>
      <c r="N48" s="113"/>
      <c r="O48" s="113"/>
      <c r="P48" s="113"/>
      <c r="Q48" s="113"/>
      <c r="R48" s="113"/>
      <c r="S48" s="113"/>
    </row>
    <row r="49" spans="1:19" ht="16" x14ac:dyDescent="0.2">
      <c r="A49" s="84">
        <v>7.9861111111111105E-2</v>
      </c>
      <c r="B49" s="85" t="s">
        <v>61</v>
      </c>
      <c r="C49" s="92">
        <f>D48</f>
        <v>3600610</v>
      </c>
      <c r="D49" s="102">
        <v>3608130</v>
      </c>
      <c r="E49" s="86">
        <f t="shared" si="9"/>
        <v>7520</v>
      </c>
      <c r="F49" s="103">
        <v>7463</v>
      </c>
      <c r="G49" s="40">
        <v>0.82679999999999998</v>
      </c>
      <c r="H49" s="88">
        <f t="shared" si="10"/>
        <v>6170.4084000000003</v>
      </c>
      <c r="I49" s="176">
        <v>81</v>
      </c>
      <c r="J49" s="28">
        <v>6673</v>
      </c>
      <c r="K49" s="197" t="s">
        <v>60</v>
      </c>
      <c r="L49" s="113"/>
      <c r="M49" s="113"/>
      <c r="N49" s="113"/>
      <c r="O49" s="113"/>
      <c r="P49" s="113"/>
      <c r="Q49" s="113"/>
      <c r="R49" s="113"/>
      <c r="S49" s="113"/>
    </row>
    <row r="50" spans="1:19" ht="16" x14ac:dyDescent="0.2">
      <c r="A50" s="84">
        <v>0.100694444444444</v>
      </c>
      <c r="B50" s="85" t="s">
        <v>62</v>
      </c>
      <c r="C50" s="92">
        <f>SUM(D49)</f>
        <v>3608130</v>
      </c>
      <c r="D50" s="102">
        <v>3625230</v>
      </c>
      <c r="E50" s="86">
        <f t="shared" si="9"/>
        <v>17100</v>
      </c>
      <c r="F50" s="124">
        <v>17019</v>
      </c>
      <c r="G50" s="40">
        <v>0.82920000000000005</v>
      </c>
      <c r="H50" s="88">
        <f t="shared" si="10"/>
        <v>14112.1548</v>
      </c>
      <c r="I50" s="181">
        <v>251</v>
      </c>
      <c r="J50" s="177">
        <v>6674</v>
      </c>
      <c r="K50" s="115" t="s">
        <v>84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0.20833333333333301</v>
      </c>
      <c r="B51" s="85" t="s">
        <v>62</v>
      </c>
      <c r="C51" s="92">
        <f>SUM(D50)</f>
        <v>3625230</v>
      </c>
      <c r="D51" s="102">
        <v>3642340</v>
      </c>
      <c r="E51" s="86">
        <f t="shared" si="9"/>
        <v>17110</v>
      </c>
      <c r="F51" s="124">
        <v>17019</v>
      </c>
      <c r="G51" s="40">
        <v>0.82920000000000005</v>
      </c>
      <c r="H51" s="88">
        <f t="shared" si="10"/>
        <v>14112.1548</v>
      </c>
      <c r="I51" s="181">
        <v>251</v>
      </c>
      <c r="J51" s="177">
        <v>6677</v>
      </c>
      <c r="K51" s="115" t="s">
        <v>84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0.28472222222222199</v>
      </c>
      <c r="B52" s="134" t="s">
        <v>59</v>
      </c>
      <c r="C52" s="92">
        <f>SUM(D51)</f>
        <v>3642340</v>
      </c>
      <c r="D52" s="102">
        <v>3657510</v>
      </c>
      <c r="E52" s="86">
        <f t="shared" si="9"/>
        <v>15170</v>
      </c>
      <c r="F52" s="103">
        <v>15040</v>
      </c>
      <c r="G52" s="40">
        <v>0.84519999999999995</v>
      </c>
      <c r="H52" s="88">
        <f t="shared" si="10"/>
        <v>12711.807999999999</v>
      </c>
      <c r="I52" s="160">
        <v>467</v>
      </c>
      <c r="J52" s="28">
        <v>6679</v>
      </c>
      <c r="K52" s="115" t="s">
        <v>104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0.30208333333333298</v>
      </c>
      <c r="B53" s="85" t="s">
        <v>62</v>
      </c>
      <c r="C53" s="92">
        <f>SUM(D52)</f>
        <v>3657510</v>
      </c>
      <c r="D53" s="102">
        <v>3674620</v>
      </c>
      <c r="E53" s="86">
        <f t="shared" si="9"/>
        <v>17110</v>
      </c>
      <c r="F53" s="124">
        <v>17019</v>
      </c>
      <c r="G53" s="40">
        <v>0.82920000000000005</v>
      </c>
      <c r="H53" s="88">
        <f t="shared" si="10"/>
        <v>14112.1548</v>
      </c>
      <c r="I53" s="181">
        <v>251</v>
      </c>
      <c r="J53" s="177">
        <v>6680</v>
      </c>
      <c r="K53" s="115" t="s">
        <v>84</v>
      </c>
      <c r="L53" s="113"/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0.34375</v>
      </c>
      <c r="B54" s="85" t="s">
        <v>61</v>
      </c>
      <c r="C54" s="92">
        <f>SUM(D53)</f>
        <v>3674620</v>
      </c>
      <c r="D54" s="102">
        <v>3691730</v>
      </c>
      <c r="E54" s="86">
        <f t="shared" si="9"/>
        <v>17110</v>
      </c>
      <c r="F54" s="124">
        <v>17019</v>
      </c>
      <c r="G54" s="40">
        <v>0.82730000000000004</v>
      </c>
      <c r="H54" s="88">
        <f t="shared" si="10"/>
        <v>14079.8187</v>
      </c>
      <c r="I54" s="176">
        <v>251</v>
      </c>
      <c r="J54" s="28">
        <v>6682</v>
      </c>
      <c r="K54" s="197" t="s">
        <v>60</v>
      </c>
      <c r="L54" s="113"/>
      <c r="M54" s="113"/>
      <c r="N54" s="113"/>
      <c r="O54" s="113"/>
      <c r="P54" s="113"/>
      <c r="Q54" s="113"/>
      <c r="R54" s="113"/>
      <c r="S54" s="113"/>
    </row>
    <row r="55" spans="1:19" x14ac:dyDescent="0.2">
      <c r="A55" s="84"/>
      <c r="B55" s="85"/>
      <c r="C55" s="92">
        <v>0</v>
      </c>
      <c r="D55" s="102"/>
      <c r="E55" s="86">
        <f t="shared" si="9"/>
        <v>0</v>
      </c>
      <c r="F55" s="103">
        <f>SUM(D55-C55)</f>
        <v>0</v>
      </c>
      <c r="G55" s="40"/>
      <c r="H55" s="88">
        <f t="shared" si="10"/>
        <v>0</v>
      </c>
      <c r="I55" s="1"/>
      <c r="J55" s="28"/>
      <c r="K55" s="105"/>
      <c r="L55" s="113"/>
      <c r="M55" s="113"/>
      <c r="N55" s="113"/>
      <c r="O55" s="113"/>
      <c r="P55" s="113"/>
      <c r="Q55" s="113"/>
      <c r="R55" s="113"/>
      <c r="S55" s="113"/>
    </row>
    <row r="56" spans="1:19" x14ac:dyDescent="0.2">
      <c r="A56" s="84"/>
      <c r="B56" s="85"/>
      <c r="C56" s="92">
        <f>SUM(D55)</f>
        <v>0</v>
      </c>
      <c r="D56" s="102"/>
      <c r="E56" s="86">
        <f t="shared" si="9"/>
        <v>0</v>
      </c>
      <c r="F56" s="103">
        <f>SUM(D56-C56)</f>
        <v>0</v>
      </c>
      <c r="G56" s="40"/>
      <c r="H56" s="88">
        <f t="shared" si="10"/>
        <v>0</v>
      </c>
      <c r="I56" s="1"/>
      <c r="J56" s="28"/>
      <c r="K56" s="113"/>
      <c r="L56" s="113"/>
      <c r="M56" s="113"/>
      <c r="N56" s="113"/>
      <c r="O56" s="113"/>
      <c r="P56" s="113"/>
      <c r="Q56" s="113"/>
      <c r="R56" s="113"/>
      <c r="S56" s="113"/>
    </row>
    <row r="57" spans="1:19" x14ac:dyDescent="0.2">
      <c r="A57" s="84"/>
      <c r="B57" s="85"/>
      <c r="C57" s="92">
        <f>SUM(D56)</f>
        <v>0</v>
      </c>
      <c r="D57" s="70"/>
      <c r="E57" s="86">
        <f t="shared" si="9"/>
        <v>0</v>
      </c>
      <c r="F57" s="126">
        <f>SUM(D57-C57)</f>
        <v>0</v>
      </c>
      <c r="G57" s="40"/>
      <c r="H57" s="127">
        <f t="shared" si="10"/>
        <v>0</v>
      </c>
      <c r="I57" s="1"/>
      <c r="J57" s="28"/>
      <c r="K57" s="113"/>
      <c r="L57" s="113"/>
      <c r="M57" s="113"/>
      <c r="N57" s="113"/>
      <c r="O57" s="113"/>
      <c r="P57" s="113"/>
      <c r="Q57" s="113"/>
      <c r="R57" s="113"/>
      <c r="S57" s="113"/>
    </row>
    <row r="58" spans="1:19" x14ac:dyDescent="0.2">
      <c r="A58" s="84"/>
      <c r="B58" s="85"/>
      <c r="C58" s="92">
        <f>SUM(D57)</f>
        <v>0</v>
      </c>
      <c r="D58" s="70"/>
      <c r="E58" s="104">
        <f t="shared" si="9"/>
        <v>0</v>
      </c>
      <c r="F58" s="170">
        <v>297841</v>
      </c>
      <c r="G58" s="129"/>
      <c r="H58" s="171">
        <v>247394</v>
      </c>
      <c r="I58" s="131"/>
      <c r="J58" s="28"/>
      <c r="K58" s="116"/>
      <c r="L58" s="113"/>
      <c r="M58" s="113"/>
      <c r="N58" s="113"/>
      <c r="O58" s="113"/>
      <c r="P58" s="113"/>
      <c r="Q58" s="113"/>
      <c r="R58" s="113"/>
      <c r="S58" s="113"/>
    </row>
    <row r="59" spans="1:19" x14ac:dyDescent="0.2">
      <c r="L59" s="113"/>
      <c r="M59" s="113"/>
      <c r="N59" s="113"/>
      <c r="O59" s="113"/>
      <c r="P59" s="113"/>
      <c r="Q59" s="113"/>
      <c r="R59" s="113"/>
      <c r="S59" s="113"/>
    </row>
    <row r="60" spans="1:19" x14ac:dyDescent="0.2">
      <c r="F60" s="170">
        <f>F58+F25</f>
        <v>602687</v>
      </c>
      <c r="G60" s="129"/>
      <c r="H60" s="171">
        <f>H58+H25</f>
        <v>502436</v>
      </c>
      <c r="L60" s="113"/>
      <c r="M60" s="113"/>
      <c r="N60" s="113"/>
      <c r="O60" s="113"/>
      <c r="P60" s="113"/>
      <c r="Q60" s="113"/>
      <c r="R60" s="113"/>
      <c r="S60" s="113"/>
    </row>
    <row r="61" spans="1:19" x14ac:dyDescent="0.2">
      <c r="E61" s="113"/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E62" s="113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E63" s="113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E64" s="113"/>
      <c r="L64" s="113"/>
      <c r="M64" s="113"/>
      <c r="N64" s="113"/>
      <c r="O64" s="113"/>
      <c r="P64" s="113"/>
      <c r="Q64" s="113"/>
      <c r="R64" s="113"/>
      <c r="S64" s="113"/>
    </row>
    <row r="65" spans="5:19" x14ac:dyDescent="0.2">
      <c r="E65" s="113"/>
      <c r="L65" s="113"/>
      <c r="M65" s="113"/>
      <c r="N65" s="113"/>
      <c r="O65" s="113"/>
      <c r="P65" s="113"/>
      <c r="Q65" s="113"/>
      <c r="R65" s="113"/>
      <c r="S65" s="113"/>
    </row>
    <row r="66" spans="5:19" x14ac:dyDescent="0.2">
      <c r="E66" s="113"/>
      <c r="L66" s="113"/>
      <c r="M66" s="113"/>
      <c r="N66" s="113"/>
      <c r="O66" s="113"/>
      <c r="P66" s="113"/>
      <c r="Q66" s="113"/>
      <c r="R66" s="113"/>
      <c r="S66" s="113"/>
    </row>
    <row r="67" spans="5:19" x14ac:dyDescent="0.2">
      <c r="E67" s="113"/>
      <c r="L67" s="113"/>
      <c r="M67" s="113"/>
      <c r="N67" s="113"/>
      <c r="O67" s="113"/>
      <c r="P67" s="113"/>
      <c r="Q67" s="113"/>
      <c r="R67" s="113"/>
      <c r="S67" s="113"/>
    </row>
    <row r="68" spans="5:19" x14ac:dyDescent="0.2">
      <c r="E68" s="113"/>
      <c r="L68" s="113"/>
      <c r="M68" s="113"/>
      <c r="N68" s="113"/>
      <c r="O68" s="113"/>
      <c r="P68" s="113"/>
      <c r="Q68" s="113"/>
      <c r="R68" s="113"/>
      <c r="S68" s="113"/>
    </row>
    <row r="69" spans="5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5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5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5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5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5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5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5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5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5:19" hidden="1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5:19" hidden="1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5:19" hidden="1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hidden="1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hidden="1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x14ac:dyDescent="0.2">
      <c r="E86" s="113"/>
    </row>
    <row r="87" spans="5:19" x14ac:dyDescent="0.2">
      <c r="E87" s="113"/>
    </row>
    <row r="88" spans="5:19" x14ac:dyDescent="0.2">
      <c r="E88" s="113"/>
    </row>
    <row r="89" spans="5:19" x14ac:dyDescent="0.2">
      <c r="E89" s="113"/>
    </row>
    <row r="90" spans="5:19" x14ac:dyDescent="0.2">
      <c r="E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377" spans="14:14" x14ac:dyDescent="0.2">
      <c r="N377" s="6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32"/>
  <sheetViews>
    <sheetView topLeftCell="A34" zoomScale="65" zoomScaleNormal="65" workbookViewId="0">
      <selection activeCell="K53" sqref="K53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3.83203125" style="64" customWidth="1"/>
    <col min="9" max="10" width="14.33203125" style="65" customWidth="1"/>
    <col min="11" max="11" width="12.5" style="66" customWidth="1"/>
    <col min="12" max="12" width="12.1640625" style="65" customWidth="1"/>
    <col min="13" max="13" width="9.8320312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22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1" t="s">
        <v>3</v>
      </c>
      <c r="L1" s="72" t="s">
        <v>33</v>
      </c>
      <c r="M1" s="73" t="s">
        <v>34</v>
      </c>
      <c r="N1" s="74" t="s">
        <v>27</v>
      </c>
      <c r="O1" s="74" t="s">
        <v>28</v>
      </c>
      <c r="P1" s="74" t="s">
        <v>29</v>
      </c>
      <c r="Q1" s="74" t="s">
        <v>30</v>
      </c>
      <c r="R1" s="75" t="s">
        <v>31</v>
      </c>
      <c r="S1" s="74" t="s">
        <v>35</v>
      </c>
    </row>
    <row r="2" spans="1:22" x14ac:dyDescent="0.2">
      <c r="A2" s="76">
        <v>45090</v>
      </c>
      <c r="B2" s="76" t="s">
        <v>36</v>
      </c>
      <c r="C2" s="77"/>
      <c r="D2" s="77"/>
      <c r="E2" s="77"/>
      <c r="F2" s="77"/>
      <c r="G2" s="78"/>
      <c r="H2" s="79"/>
      <c r="I2" s="80"/>
      <c r="J2" s="81"/>
      <c r="K2" s="82"/>
      <c r="L2" s="83"/>
      <c r="M2" s="76" t="s">
        <v>37</v>
      </c>
      <c r="N2" s="77"/>
      <c r="O2" s="77"/>
      <c r="P2" s="77"/>
      <c r="Q2" s="78"/>
      <c r="R2" s="79"/>
      <c r="S2" s="80"/>
    </row>
    <row r="3" spans="1:22" ht="16" x14ac:dyDescent="0.2">
      <c r="A3" s="84">
        <v>0.42708333333333298</v>
      </c>
      <c r="B3" s="85" t="s">
        <v>39</v>
      </c>
      <c r="C3" s="70">
        <v>51182270</v>
      </c>
      <c r="D3" s="70">
        <v>51199290</v>
      </c>
      <c r="E3" s="86">
        <f t="shared" ref="E3:E31" si="0">SUM(D3-C3)</f>
        <v>17020</v>
      </c>
      <c r="F3" s="101">
        <v>17019</v>
      </c>
      <c r="G3" s="40">
        <v>0.83640000000000003</v>
      </c>
      <c r="H3" s="88">
        <f t="shared" ref="H3:H31" si="1">SUM(G3*F3)</f>
        <v>14234.6916</v>
      </c>
      <c r="I3" s="28">
        <v>251</v>
      </c>
      <c r="J3" s="28">
        <v>6685</v>
      </c>
      <c r="K3" s="89" t="s">
        <v>18</v>
      </c>
      <c r="L3" s="90">
        <v>0.66666666666666696</v>
      </c>
      <c r="M3" s="91" t="s">
        <v>39</v>
      </c>
      <c r="N3" s="155">
        <v>7629690</v>
      </c>
      <c r="O3" s="93">
        <v>7629980</v>
      </c>
      <c r="P3" s="94">
        <f t="shared" ref="P3:P16" si="2">SUM(O3-N3)</f>
        <v>290</v>
      </c>
      <c r="Q3" s="95">
        <v>0.83640000000000003</v>
      </c>
      <c r="R3" s="96">
        <f t="shared" ref="R3:R16" si="3">SUM(Q3*P3)</f>
        <v>242.55600000000001</v>
      </c>
      <c r="S3" s="97" t="s">
        <v>65</v>
      </c>
      <c r="V3" t="s">
        <v>41</v>
      </c>
    </row>
    <row r="4" spans="1:22" ht="16" x14ac:dyDescent="0.2">
      <c r="A4" s="84">
        <v>0.4375</v>
      </c>
      <c r="B4" s="85" t="s">
        <v>48</v>
      </c>
      <c r="C4" s="92">
        <f t="shared" ref="C4:C20" si="4">SUM(D3)</f>
        <v>51199290</v>
      </c>
      <c r="D4" s="70">
        <v>51207470</v>
      </c>
      <c r="E4" s="86">
        <f t="shared" si="0"/>
        <v>8180</v>
      </c>
      <c r="F4" s="103">
        <f>SUM(D4-C4)</f>
        <v>8180</v>
      </c>
      <c r="G4" s="40">
        <v>0.83309999999999995</v>
      </c>
      <c r="H4" s="88">
        <f t="shared" si="1"/>
        <v>6814.7579999999998</v>
      </c>
      <c r="I4" s="28">
        <v>248</v>
      </c>
      <c r="J4" s="28">
        <v>6687</v>
      </c>
      <c r="K4" s="89" t="s">
        <v>18</v>
      </c>
      <c r="L4" s="90">
        <v>0.70833333333333304</v>
      </c>
      <c r="M4" s="99" t="s">
        <v>44</v>
      </c>
      <c r="N4" s="94">
        <f t="shared" ref="N4:N16" si="5">SUM(O3)</f>
        <v>7629980</v>
      </c>
      <c r="O4" s="93">
        <v>7630110</v>
      </c>
      <c r="P4" s="94">
        <f t="shared" si="2"/>
        <v>130</v>
      </c>
      <c r="Q4" s="100">
        <v>0.83650000000000002</v>
      </c>
      <c r="R4" s="96">
        <f t="shared" si="3"/>
        <v>108.745</v>
      </c>
      <c r="S4" s="97" t="s">
        <v>97</v>
      </c>
    </row>
    <row r="5" spans="1:22" ht="16" x14ac:dyDescent="0.2">
      <c r="A5" s="84">
        <v>0.45138888888888901</v>
      </c>
      <c r="B5" s="85" t="s">
        <v>48</v>
      </c>
      <c r="C5" s="92">
        <f t="shared" si="4"/>
        <v>51207470</v>
      </c>
      <c r="D5" s="70">
        <v>51215980</v>
      </c>
      <c r="E5" s="86">
        <f t="shared" si="0"/>
        <v>8510</v>
      </c>
      <c r="F5" s="103">
        <f>SUM(D5-C5)</f>
        <v>8510</v>
      </c>
      <c r="G5" s="40">
        <v>0.83309999999999995</v>
      </c>
      <c r="H5" s="88">
        <f t="shared" si="1"/>
        <v>7089.6809999999996</v>
      </c>
      <c r="I5" s="28">
        <v>147</v>
      </c>
      <c r="J5" s="28">
        <v>6689</v>
      </c>
      <c r="K5" s="89" t="s">
        <v>18</v>
      </c>
      <c r="L5" s="90">
        <v>0.75</v>
      </c>
      <c r="M5" s="99" t="s">
        <v>44</v>
      </c>
      <c r="N5" s="94">
        <f t="shared" si="5"/>
        <v>7630110</v>
      </c>
      <c r="O5" s="93">
        <v>7630320</v>
      </c>
      <c r="P5" s="94">
        <f t="shared" si="2"/>
        <v>210</v>
      </c>
      <c r="Q5" s="95">
        <v>0.83650000000000002</v>
      </c>
      <c r="R5" s="96">
        <f t="shared" si="3"/>
        <v>175.66499999999999</v>
      </c>
      <c r="S5" s="97" t="s">
        <v>43</v>
      </c>
    </row>
    <row r="6" spans="1:22" ht="16" x14ac:dyDescent="0.2">
      <c r="A6" s="84">
        <v>0.45833333333333298</v>
      </c>
      <c r="B6" s="85" t="s">
        <v>48</v>
      </c>
      <c r="C6" s="92">
        <f t="shared" si="4"/>
        <v>51215980</v>
      </c>
      <c r="D6" s="70">
        <v>51227460</v>
      </c>
      <c r="E6" s="86">
        <f t="shared" si="0"/>
        <v>11480</v>
      </c>
      <c r="F6" s="185">
        <v>11480</v>
      </c>
      <c r="G6" s="40">
        <v>0.83309999999999995</v>
      </c>
      <c r="H6" s="88">
        <f t="shared" si="1"/>
        <v>9563.9879999999994</v>
      </c>
      <c r="I6" s="28">
        <v>388</v>
      </c>
      <c r="J6" s="28">
        <v>6690</v>
      </c>
      <c r="K6" s="89" t="s">
        <v>18</v>
      </c>
      <c r="L6" s="90">
        <v>0.94444444444444398</v>
      </c>
      <c r="M6" s="99" t="s">
        <v>46</v>
      </c>
      <c r="N6" s="94">
        <f t="shared" si="5"/>
        <v>7630320</v>
      </c>
      <c r="O6" s="93">
        <v>7630370</v>
      </c>
      <c r="P6" s="94">
        <f t="shared" si="2"/>
        <v>50</v>
      </c>
      <c r="Q6" s="40">
        <v>0.83650000000000002</v>
      </c>
      <c r="R6" s="96">
        <f t="shared" si="3"/>
        <v>41.825000000000003</v>
      </c>
      <c r="S6" s="97" t="s">
        <v>105</v>
      </c>
    </row>
    <row r="7" spans="1:22" ht="16" x14ac:dyDescent="0.2">
      <c r="A7" s="84">
        <v>0.45833333333333298</v>
      </c>
      <c r="B7" s="85" t="s">
        <v>48</v>
      </c>
      <c r="C7" s="92">
        <f t="shared" si="4"/>
        <v>51227460</v>
      </c>
      <c r="D7" s="70">
        <v>51238410</v>
      </c>
      <c r="E7" s="86">
        <f t="shared" si="0"/>
        <v>10950</v>
      </c>
      <c r="F7" s="185">
        <v>10950</v>
      </c>
      <c r="G7" s="40">
        <v>0.83309999999999995</v>
      </c>
      <c r="H7" s="88">
        <f t="shared" si="1"/>
        <v>9122.4449999999997</v>
      </c>
      <c r="I7" s="28">
        <v>388</v>
      </c>
      <c r="J7" s="28">
        <v>6691</v>
      </c>
      <c r="K7" s="89" t="s">
        <v>18</v>
      </c>
      <c r="L7" s="90">
        <v>0.95833333333333304</v>
      </c>
      <c r="M7" s="99" t="s">
        <v>48</v>
      </c>
      <c r="N7" s="94">
        <f t="shared" si="5"/>
        <v>7630370</v>
      </c>
      <c r="O7" s="93">
        <v>7630430</v>
      </c>
      <c r="P7" s="94">
        <f t="shared" si="2"/>
        <v>60</v>
      </c>
      <c r="Q7" s="40">
        <v>0.83630000000000004</v>
      </c>
      <c r="R7" s="96">
        <f t="shared" si="3"/>
        <v>50.178000000000004</v>
      </c>
      <c r="S7" s="97" t="s">
        <v>63</v>
      </c>
    </row>
    <row r="8" spans="1:22" ht="16" x14ac:dyDescent="0.2">
      <c r="A8" s="84">
        <v>0.54166666666666696</v>
      </c>
      <c r="B8" s="85" t="s">
        <v>48</v>
      </c>
      <c r="C8" s="92">
        <f t="shared" si="4"/>
        <v>51238410</v>
      </c>
      <c r="D8" s="70">
        <v>51260840</v>
      </c>
      <c r="E8" s="86">
        <f t="shared" si="0"/>
        <v>22430</v>
      </c>
      <c r="F8" s="185">
        <v>22430</v>
      </c>
      <c r="G8" s="40">
        <v>0.83379999999999999</v>
      </c>
      <c r="H8" s="88">
        <f t="shared" si="1"/>
        <v>18702.133999999998</v>
      </c>
      <c r="I8" s="28">
        <v>388</v>
      </c>
      <c r="J8" s="28">
        <v>6696</v>
      </c>
      <c r="K8" s="89" t="s">
        <v>18</v>
      </c>
      <c r="L8" s="90">
        <v>0.99305555555555503</v>
      </c>
      <c r="M8" s="91" t="s">
        <v>46</v>
      </c>
      <c r="N8" s="94">
        <f t="shared" si="5"/>
        <v>7630430</v>
      </c>
      <c r="O8" s="93">
        <v>7630700</v>
      </c>
      <c r="P8" s="94">
        <f t="shared" si="2"/>
        <v>270</v>
      </c>
      <c r="Q8" s="95">
        <v>0.83650000000000002</v>
      </c>
      <c r="R8" s="96">
        <f t="shared" si="3"/>
        <v>225.85500000000002</v>
      </c>
      <c r="S8" s="1" t="s">
        <v>45</v>
      </c>
    </row>
    <row r="9" spans="1:22" ht="16" x14ac:dyDescent="0.2">
      <c r="A9" s="84">
        <v>0.70833333333333304</v>
      </c>
      <c r="B9" s="85" t="s">
        <v>46</v>
      </c>
      <c r="C9" s="92">
        <f t="shared" si="4"/>
        <v>51260840</v>
      </c>
      <c r="D9" s="70">
        <v>51283250</v>
      </c>
      <c r="E9" s="86">
        <f t="shared" si="0"/>
        <v>22410</v>
      </c>
      <c r="F9" s="185">
        <v>22430</v>
      </c>
      <c r="G9" s="40">
        <v>0.83630000000000004</v>
      </c>
      <c r="H9" s="88">
        <f t="shared" si="1"/>
        <v>18758.209000000003</v>
      </c>
      <c r="I9" s="28">
        <v>388</v>
      </c>
      <c r="J9" s="28">
        <v>6702</v>
      </c>
      <c r="K9" s="89" t="s">
        <v>18</v>
      </c>
      <c r="L9" s="90">
        <v>5.5555555555555601E-2</v>
      </c>
      <c r="M9" s="91" t="s">
        <v>38</v>
      </c>
      <c r="N9" s="94">
        <f t="shared" si="5"/>
        <v>7630700</v>
      </c>
      <c r="O9" s="93">
        <v>7630760</v>
      </c>
      <c r="P9" s="94">
        <f t="shared" si="2"/>
        <v>60</v>
      </c>
      <c r="Q9" s="95">
        <v>0.83950000000000002</v>
      </c>
      <c r="R9" s="96">
        <f t="shared" si="3"/>
        <v>50.370000000000005</v>
      </c>
      <c r="S9" s="1" t="s">
        <v>51</v>
      </c>
    </row>
    <row r="10" spans="1:22" ht="16" x14ac:dyDescent="0.2">
      <c r="A10" s="84">
        <v>0.77083333333333304</v>
      </c>
      <c r="B10" s="85" t="s">
        <v>46</v>
      </c>
      <c r="C10" s="92">
        <f t="shared" si="4"/>
        <v>51283250</v>
      </c>
      <c r="D10" s="70">
        <v>51305680</v>
      </c>
      <c r="E10" s="86">
        <f t="shared" si="0"/>
        <v>22430</v>
      </c>
      <c r="F10" s="185">
        <v>22430</v>
      </c>
      <c r="G10" s="40">
        <v>0.83630000000000004</v>
      </c>
      <c r="H10" s="88">
        <f t="shared" si="1"/>
        <v>18758.209000000003</v>
      </c>
      <c r="I10" s="28">
        <v>388</v>
      </c>
      <c r="J10" s="28">
        <v>6704</v>
      </c>
      <c r="K10" s="89" t="s">
        <v>18</v>
      </c>
      <c r="L10" s="90"/>
      <c r="M10" s="91"/>
      <c r="N10" s="94">
        <f t="shared" si="5"/>
        <v>7630760</v>
      </c>
      <c r="O10" s="93"/>
      <c r="P10" s="94">
        <f t="shared" si="2"/>
        <v>-7630760</v>
      </c>
      <c r="Q10" s="95"/>
      <c r="R10" s="96">
        <f t="shared" si="3"/>
        <v>0</v>
      </c>
      <c r="S10" s="97"/>
    </row>
    <row r="11" spans="1:22" ht="16" x14ac:dyDescent="0.2">
      <c r="A11" s="84">
        <v>0.82638888888888895</v>
      </c>
      <c r="B11" s="85" t="s">
        <v>48</v>
      </c>
      <c r="C11" s="92">
        <f t="shared" si="4"/>
        <v>51305680</v>
      </c>
      <c r="D11" s="70">
        <v>51328090</v>
      </c>
      <c r="E11" s="86">
        <f t="shared" si="0"/>
        <v>22410</v>
      </c>
      <c r="F11" s="185">
        <v>22430</v>
      </c>
      <c r="G11" s="40">
        <v>0.83630000000000004</v>
      </c>
      <c r="H11" s="88">
        <f t="shared" si="1"/>
        <v>18758.209000000003</v>
      </c>
      <c r="I11" s="28">
        <v>388</v>
      </c>
      <c r="J11" s="28">
        <v>6707</v>
      </c>
      <c r="K11" s="89" t="s">
        <v>18</v>
      </c>
      <c r="L11" s="90"/>
      <c r="M11" s="91"/>
      <c r="N11" s="94">
        <f t="shared" si="5"/>
        <v>0</v>
      </c>
      <c r="O11" s="93"/>
      <c r="P11" s="94">
        <f t="shared" si="2"/>
        <v>0</v>
      </c>
      <c r="Q11" s="95"/>
      <c r="R11" s="96">
        <f t="shared" si="3"/>
        <v>0</v>
      </c>
      <c r="S11" s="1"/>
    </row>
    <row r="12" spans="1:22" ht="16" x14ac:dyDescent="0.2">
      <c r="A12" s="84">
        <v>0.875</v>
      </c>
      <c r="B12" s="85" t="s">
        <v>48</v>
      </c>
      <c r="C12" s="92">
        <f t="shared" si="4"/>
        <v>51328090</v>
      </c>
      <c r="D12" s="70">
        <v>51337320</v>
      </c>
      <c r="E12" s="86">
        <f t="shared" si="0"/>
        <v>9230</v>
      </c>
      <c r="F12" s="103">
        <v>9248</v>
      </c>
      <c r="G12" s="40">
        <v>0.83630000000000004</v>
      </c>
      <c r="H12" s="88">
        <f t="shared" si="1"/>
        <v>7734.1024000000007</v>
      </c>
      <c r="I12" s="28">
        <v>147</v>
      </c>
      <c r="J12" s="28">
        <v>6709</v>
      </c>
      <c r="K12" s="89" t="s">
        <v>18</v>
      </c>
      <c r="L12" s="90"/>
      <c r="M12" s="91"/>
      <c r="N12" s="94">
        <f t="shared" si="5"/>
        <v>0</v>
      </c>
      <c r="O12" s="93"/>
      <c r="P12" s="94">
        <f t="shared" si="2"/>
        <v>0</v>
      </c>
      <c r="Q12" s="95"/>
      <c r="R12" s="96">
        <f t="shared" si="3"/>
        <v>0</v>
      </c>
      <c r="S12" s="1"/>
    </row>
    <row r="13" spans="1:22" ht="16" x14ac:dyDescent="0.2">
      <c r="A13" s="84">
        <v>0.88541666666666696</v>
      </c>
      <c r="B13" s="85" t="s">
        <v>46</v>
      </c>
      <c r="C13" s="92">
        <f t="shared" si="4"/>
        <v>51337320</v>
      </c>
      <c r="D13" s="70">
        <v>51354340</v>
      </c>
      <c r="E13" s="86">
        <f t="shared" si="0"/>
        <v>17020</v>
      </c>
      <c r="F13" s="101">
        <v>17019</v>
      </c>
      <c r="G13" s="40">
        <v>0.83650000000000002</v>
      </c>
      <c r="H13" s="88">
        <f t="shared" si="1"/>
        <v>14236.3935</v>
      </c>
      <c r="I13" s="28">
        <v>251</v>
      </c>
      <c r="J13" s="28">
        <v>6711</v>
      </c>
      <c r="K13" s="89" t="s">
        <v>18</v>
      </c>
      <c r="L13" s="90"/>
      <c r="M13" s="91"/>
      <c r="N13" s="94">
        <f t="shared" si="5"/>
        <v>0</v>
      </c>
      <c r="O13" s="93"/>
      <c r="P13" s="94">
        <f t="shared" si="2"/>
        <v>0</v>
      </c>
      <c r="Q13" s="95"/>
      <c r="R13" s="96">
        <f t="shared" si="3"/>
        <v>0</v>
      </c>
      <c r="S13" s="1"/>
    </row>
    <row r="14" spans="1:22" ht="16" x14ac:dyDescent="0.2">
      <c r="A14" s="84">
        <v>0.90625</v>
      </c>
      <c r="B14" s="85" t="s">
        <v>39</v>
      </c>
      <c r="C14" s="92">
        <f t="shared" si="4"/>
        <v>51354340</v>
      </c>
      <c r="D14" s="70">
        <v>51376760</v>
      </c>
      <c r="E14" s="86">
        <f t="shared" si="0"/>
        <v>22420</v>
      </c>
      <c r="F14" s="185">
        <v>22430</v>
      </c>
      <c r="G14" s="40">
        <v>0.83950000000000002</v>
      </c>
      <c r="H14" s="88">
        <f t="shared" si="1"/>
        <v>18829.985000000001</v>
      </c>
      <c r="I14" s="28">
        <v>388</v>
      </c>
      <c r="J14" s="28">
        <v>6713</v>
      </c>
      <c r="K14" s="89" t="s">
        <v>18</v>
      </c>
      <c r="L14" s="90"/>
      <c r="M14" s="91"/>
      <c r="N14" s="94">
        <f t="shared" si="5"/>
        <v>0</v>
      </c>
      <c r="O14" s="93"/>
      <c r="P14" s="94">
        <f t="shared" si="2"/>
        <v>0</v>
      </c>
      <c r="Q14" s="95"/>
      <c r="R14" s="96">
        <f t="shared" si="3"/>
        <v>0</v>
      </c>
      <c r="S14" s="1"/>
    </row>
    <row r="15" spans="1:22" ht="16" x14ac:dyDescent="0.2">
      <c r="A15" s="84">
        <v>0.96875</v>
      </c>
      <c r="B15" s="85" t="s">
        <v>38</v>
      </c>
      <c r="C15" s="92">
        <f t="shared" si="4"/>
        <v>51376760</v>
      </c>
      <c r="D15" s="70">
        <v>51399190</v>
      </c>
      <c r="E15" s="86">
        <f t="shared" si="0"/>
        <v>22430</v>
      </c>
      <c r="F15" s="185">
        <v>22430</v>
      </c>
      <c r="G15" s="40">
        <v>0.83950000000000002</v>
      </c>
      <c r="H15" s="88">
        <f t="shared" si="1"/>
        <v>18829.985000000001</v>
      </c>
      <c r="I15" s="28">
        <v>388</v>
      </c>
      <c r="J15" s="28">
        <v>6717</v>
      </c>
      <c r="K15" s="89" t="s">
        <v>18</v>
      </c>
      <c r="L15" s="90"/>
      <c r="M15" s="91"/>
      <c r="N15" s="94">
        <f t="shared" si="5"/>
        <v>0</v>
      </c>
      <c r="O15" s="93"/>
      <c r="P15" s="94">
        <f t="shared" si="2"/>
        <v>0</v>
      </c>
      <c r="Q15" s="95"/>
      <c r="R15" s="96">
        <f t="shared" si="3"/>
        <v>0</v>
      </c>
      <c r="S15" s="1"/>
    </row>
    <row r="16" spans="1:22" ht="16" x14ac:dyDescent="0.2">
      <c r="A16" s="84">
        <v>0.1875</v>
      </c>
      <c r="B16" s="85" t="s">
        <v>39</v>
      </c>
      <c r="C16" s="92">
        <f t="shared" si="4"/>
        <v>51399190</v>
      </c>
      <c r="D16" s="70">
        <v>51416210</v>
      </c>
      <c r="E16" s="86">
        <f t="shared" si="0"/>
        <v>17020</v>
      </c>
      <c r="F16" s="101">
        <v>17019</v>
      </c>
      <c r="G16" s="40">
        <v>0.83989999999999998</v>
      </c>
      <c r="H16" s="88">
        <f t="shared" si="1"/>
        <v>14294.258099999999</v>
      </c>
      <c r="I16" s="28">
        <v>251</v>
      </c>
      <c r="J16" s="28">
        <v>6721</v>
      </c>
      <c r="K16" s="89" t="s">
        <v>18</v>
      </c>
      <c r="L16" s="90"/>
      <c r="M16" s="99"/>
      <c r="N16" s="94">
        <f t="shared" si="5"/>
        <v>0</v>
      </c>
      <c r="O16" s="93"/>
      <c r="P16" s="94">
        <f t="shared" si="2"/>
        <v>0</v>
      </c>
      <c r="Q16" s="40"/>
      <c r="R16" s="96">
        <f t="shared" si="3"/>
        <v>0</v>
      </c>
      <c r="S16" s="97"/>
    </row>
    <row r="17" spans="1:20" ht="16" x14ac:dyDescent="0.2">
      <c r="A17" s="84">
        <v>0.20138888888888901</v>
      </c>
      <c r="B17" s="85" t="s">
        <v>54</v>
      </c>
      <c r="C17" s="92">
        <f t="shared" si="4"/>
        <v>51416210</v>
      </c>
      <c r="D17" s="70">
        <v>51438620</v>
      </c>
      <c r="E17" s="86">
        <f t="shared" si="0"/>
        <v>22410</v>
      </c>
      <c r="F17" s="185">
        <v>22430</v>
      </c>
      <c r="G17" s="40">
        <v>0.83989999999999998</v>
      </c>
      <c r="H17" s="88">
        <f t="shared" si="1"/>
        <v>18838.956999999999</v>
      </c>
      <c r="I17" s="28">
        <v>388</v>
      </c>
      <c r="J17" s="28">
        <v>6722</v>
      </c>
      <c r="K17" s="89" t="s">
        <v>18</v>
      </c>
      <c r="L17" s="83"/>
      <c r="M17" s="83" t="s">
        <v>49</v>
      </c>
      <c r="N17" s="77"/>
      <c r="O17" s="77"/>
      <c r="P17" s="77"/>
      <c r="Q17" s="78"/>
      <c r="R17" s="79"/>
      <c r="S17" s="80"/>
    </row>
    <row r="18" spans="1:20" ht="16" x14ac:dyDescent="0.2">
      <c r="A18" s="84">
        <v>0.26041666666666702</v>
      </c>
      <c r="B18" s="85" t="s">
        <v>54</v>
      </c>
      <c r="C18" s="92">
        <f t="shared" si="4"/>
        <v>51438620</v>
      </c>
      <c r="D18" s="70">
        <v>51461040</v>
      </c>
      <c r="E18" s="86">
        <f t="shared" si="0"/>
        <v>22420</v>
      </c>
      <c r="F18" s="185">
        <v>22430</v>
      </c>
      <c r="G18" s="40">
        <v>0.83989999999999998</v>
      </c>
      <c r="H18" s="88">
        <f t="shared" si="1"/>
        <v>18838.956999999999</v>
      </c>
      <c r="I18" s="28">
        <v>388</v>
      </c>
      <c r="J18" s="28">
        <v>6724</v>
      </c>
      <c r="K18" s="89" t="s">
        <v>18</v>
      </c>
      <c r="L18" s="90"/>
      <c r="M18" s="99"/>
      <c r="N18" s="125"/>
      <c r="O18" s="93"/>
      <c r="P18" s="103">
        <f t="shared" ref="P18:P31" si="6">SUM(O18-N18)</f>
        <v>0</v>
      </c>
      <c r="Q18" s="40"/>
      <c r="R18" s="88">
        <f t="shared" ref="R18:R31" si="7">SUM(Q18*P18)</f>
        <v>0</v>
      </c>
      <c r="S18" s="97"/>
      <c r="T18" t="s">
        <v>41</v>
      </c>
    </row>
    <row r="19" spans="1:20" ht="16" x14ac:dyDescent="0.2">
      <c r="A19" s="84">
        <v>0.32291666666666702</v>
      </c>
      <c r="B19" s="85" t="s">
        <v>54</v>
      </c>
      <c r="C19" s="92">
        <f t="shared" si="4"/>
        <v>51461040</v>
      </c>
      <c r="D19" s="70">
        <v>51472520</v>
      </c>
      <c r="E19" s="86">
        <f t="shared" si="0"/>
        <v>11480</v>
      </c>
      <c r="F19" s="185">
        <v>11480</v>
      </c>
      <c r="G19" s="40">
        <v>0.83850000000000002</v>
      </c>
      <c r="H19" s="88">
        <f t="shared" si="1"/>
        <v>9625.98</v>
      </c>
      <c r="I19" s="28">
        <v>388</v>
      </c>
      <c r="J19" s="28">
        <v>6727</v>
      </c>
      <c r="K19" s="89" t="s">
        <v>18</v>
      </c>
      <c r="L19" s="90"/>
      <c r="M19" s="99"/>
      <c r="N19" s="92">
        <f t="shared" ref="N19:N31" si="8">SUM(O18)</f>
        <v>0</v>
      </c>
      <c r="O19" s="93"/>
      <c r="P19" s="103">
        <f t="shared" si="6"/>
        <v>0</v>
      </c>
      <c r="Q19" s="40"/>
      <c r="R19" s="88">
        <f t="shared" si="7"/>
        <v>0</v>
      </c>
      <c r="S19" s="97"/>
    </row>
    <row r="20" spans="1:20" ht="16" x14ac:dyDescent="0.2">
      <c r="A20" s="84">
        <v>0.32291666666666702</v>
      </c>
      <c r="B20" s="85" t="s">
        <v>54</v>
      </c>
      <c r="C20" s="92">
        <f t="shared" si="4"/>
        <v>51472520</v>
      </c>
      <c r="D20" s="70">
        <v>51483480</v>
      </c>
      <c r="E20" s="86">
        <f t="shared" si="0"/>
        <v>10960</v>
      </c>
      <c r="F20" s="185">
        <v>10950</v>
      </c>
      <c r="G20" s="40">
        <v>0.83850000000000002</v>
      </c>
      <c r="H20" s="88">
        <f t="shared" si="1"/>
        <v>9181.5750000000007</v>
      </c>
      <c r="I20" s="28">
        <v>388</v>
      </c>
      <c r="J20" s="28">
        <v>6728</v>
      </c>
      <c r="K20" s="89" t="s">
        <v>18</v>
      </c>
      <c r="L20" s="90"/>
      <c r="M20" s="99"/>
      <c r="N20" s="92">
        <f t="shared" si="8"/>
        <v>0</v>
      </c>
      <c r="O20" s="93"/>
      <c r="P20" s="103">
        <f t="shared" si="6"/>
        <v>0</v>
      </c>
      <c r="Q20" s="40"/>
      <c r="R20" s="88">
        <f t="shared" si="7"/>
        <v>0</v>
      </c>
      <c r="S20" s="97"/>
    </row>
    <row r="21" spans="1:20" x14ac:dyDescent="0.2">
      <c r="A21" s="84"/>
      <c r="B21" s="85"/>
      <c r="C21" s="92"/>
      <c r="D21" s="70"/>
      <c r="E21" s="86">
        <f t="shared" si="0"/>
        <v>0</v>
      </c>
      <c r="F21" s="103">
        <f t="shared" ref="F21:F31" si="9">SUM(D21-C21)</f>
        <v>0</v>
      </c>
      <c r="G21" s="40"/>
      <c r="H21" s="88">
        <f t="shared" si="1"/>
        <v>0</v>
      </c>
      <c r="I21" s="1"/>
      <c r="J21" s="28"/>
      <c r="K21" s="89"/>
      <c r="L21" s="90"/>
      <c r="M21" s="99"/>
      <c r="N21" s="92">
        <f t="shared" si="8"/>
        <v>0</v>
      </c>
      <c r="O21" s="93"/>
      <c r="P21" s="103">
        <f t="shared" si="6"/>
        <v>0</v>
      </c>
      <c r="Q21" s="40"/>
      <c r="R21" s="88">
        <f t="shared" si="7"/>
        <v>0</v>
      </c>
      <c r="S21" s="97"/>
    </row>
    <row r="22" spans="1:20" x14ac:dyDescent="0.2">
      <c r="A22" s="84"/>
      <c r="B22" s="85"/>
      <c r="C22" s="92">
        <f t="shared" ref="C22:C32" si="10">SUM(D21)</f>
        <v>0</v>
      </c>
      <c r="D22" s="70"/>
      <c r="E22" s="86">
        <f t="shared" si="0"/>
        <v>0</v>
      </c>
      <c r="F22" s="103">
        <f t="shared" si="9"/>
        <v>0</v>
      </c>
      <c r="G22" s="40"/>
      <c r="H22" s="88">
        <f t="shared" si="1"/>
        <v>0</v>
      </c>
      <c r="I22" s="1"/>
      <c r="J22" s="28"/>
      <c r="K22" s="89"/>
      <c r="L22" s="90"/>
      <c r="M22" s="99"/>
      <c r="N22" s="92">
        <f t="shared" si="8"/>
        <v>0</v>
      </c>
      <c r="O22" s="93"/>
      <c r="P22" s="103">
        <f t="shared" si="6"/>
        <v>0</v>
      </c>
      <c r="Q22" s="40"/>
      <c r="R22" s="88">
        <f t="shared" si="7"/>
        <v>0</v>
      </c>
      <c r="S22" s="97"/>
    </row>
    <row r="23" spans="1:20" x14ac:dyDescent="0.2">
      <c r="A23" s="84"/>
      <c r="B23" s="85"/>
      <c r="C23" s="92">
        <f t="shared" si="10"/>
        <v>0</v>
      </c>
      <c r="D23" s="70"/>
      <c r="E23" s="86">
        <f t="shared" si="0"/>
        <v>0</v>
      </c>
      <c r="F23" s="103">
        <f t="shared" si="9"/>
        <v>0</v>
      </c>
      <c r="G23" s="40"/>
      <c r="H23" s="88">
        <f t="shared" si="1"/>
        <v>0</v>
      </c>
      <c r="I23" s="1"/>
      <c r="J23" s="28"/>
      <c r="K23" s="89"/>
      <c r="L23" s="90"/>
      <c r="M23" s="99"/>
      <c r="N23" s="92">
        <f t="shared" si="8"/>
        <v>0</v>
      </c>
      <c r="O23" s="93"/>
      <c r="P23" s="103">
        <f t="shared" si="6"/>
        <v>0</v>
      </c>
      <c r="Q23" s="40"/>
      <c r="R23" s="88">
        <f t="shared" si="7"/>
        <v>0</v>
      </c>
      <c r="S23" s="97"/>
    </row>
    <row r="24" spans="1:20" x14ac:dyDescent="0.2">
      <c r="A24" s="84"/>
      <c r="B24" s="85"/>
      <c r="C24" s="92">
        <f t="shared" si="10"/>
        <v>0</v>
      </c>
      <c r="D24" s="70"/>
      <c r="E24" s="86">
        <f t="shared" si="0"/>
        <v>0</v>
      </c>
      <c r="F24" s="103">
        <f t="shared" si="9"/>
        <v>0</v>
      </c>
      <c r="G24" s="40"/>
      <c r="H24" s="88">
        <f t="shared" si="1"/>
        <v>0</v>
      </c>
      <c r="I24" s="1"/>
      <c r="J24" s="28"/>
      <c r="K24" s="89"/>
      <c r="L24" s="90"/>
      <c r="M24" s="99"/>
      <c r="N24" s="92">
        <f t="shared" si="8"/>
        <v>0</v>
      </c>
      <c r="O24" s="93"/>
      <c r="P24" s="103">
        <f t="shared" si="6"/>
        <v>0</v>
      </c>
      <c r="Q24" s="40"/>
      <c r="R24" s="88">
        <f t="shared" si="7"/>
        <v>0</v>
      </c>
      <c r="S24" s="97"/>
    </row>
    <row r="25" spans="1:20" x14ac:dyDescent="0.2">
      <c r="A25" s="84"/>
      <c r="B25" s="85"/>
      <c r="C25" s="92">
        <f t="shared" si="10"/>
        <v>0</v>
      </c>
      <c r="D25" s="70"/>
      <c r="E25" s="86">
        <f t="shared" si="0"/>
        <v>0</v>
      </c>
      <c r="F25" s="103">
        <f t="shared" si="9"/>
        <v>0</v>
      </c>
      <c r="G25" s="40"/>
      <c r="H25" s="88">
        <f t="shared" si="1"/>
        <v>0</v>
      </c>
      <c r="I25" s="1"/>
      <c r="J25" s="28"/>
      <c r="K25" s="89"/>
      <c r="L25" s="90"/>
      <c r="M25" s="91"/>
      <c r="N25" s="92">
        <f t="shared" si="8"/>
        <v>0</v>
      </c>
      <c r="O25" s="93"/>
      <c r="P25" s="103">
        <f t="shared" si="6"/>
        <v>0</v>
      </c>
      <c r="Q25" s="95"/>
      <c r="R25" s="88">
        <f t="shared" si="7"/>
        <v>0</v>
      </c>
      <c r="S25" s="1"/>
    </row>
    <row r="26" spans="1:20" x14ac:dyDescent="0.2">
      <c r="A26" s="84"/>
      <c r="B26" s="85"/>
      <c r="C26" s="92">
        <f t="shared" si="10"/>
        <v>0</v>
      </c>
      <c r="D26" s="70"/>
      <c r="E26" s="86">
        <f t="shared" si="0"/>
        <v>0</v>
      </c>
      <c r="F26" s="103">
        <f t="shared" si="9"/>
        <v>0</v>
      </c>
      <c r="G26" s="40"/>
      <c r="H26" s="88">
        <f t="shared" si="1"/>
        <v>0</v>
      </c>
      <c r="I26" s="1"/>
      <c r="J26" s="28"/>
      <c r="K26" s="89"/>
      <c r="L26" s="90"/>
      <c r="M26" s="91"/>
      <c r="N26" s="92">
        <f t="shared" si="8"/>
        <v>0</v>
      </c>
      <c r="O26" s="93"/>
      <c r="P26" s="103">
        <f t="shared" si="6"/>
        <v>0</v>
      </c>
      <c r="Q26" s="95"/>
      <c r="R26" s="88">
        <f t="shared" si="7"/>
        <v>0</v>
      </c>
      <c r="S26" s="97"/>
    </row>
    <row r="27" spans="1:20" x14ac:dyDescent="0.2">
      <c r="A27" s="84"/>
      <c r="B27" s="85"/>
      <c r="C27" s="92">
        <f t="shared" si="10"/>
        <v>0</v>
      </c>
      <c r="D27" s="70"/>
      <c r="E27" s="86">
        <f t="shared" si="0"/>
        <v>0</v>
      </c>
      <c r="F27" s="103">
        <f t="shared" si="9"/>
        <v>0</v>
      </c>
      <c r="G27" s="40"/>
      <c r="H27" s="88">
        <f t="shared" si="1"/>
        <v>0</v>
      </c>
      <c r="I27" s="1"/>
      <c r="J27" s="28"/>
      <c r="K27" s="89"/>
      <c r="L27" s="90"/>
      <c r="M27" s="91"/>
      <c r="N27" s="92">
        <f t="shared" si="8"/>
        <v>0</v>
      </c>
      <c r="O27" s="93"/>
      <c r="P27" s="103">
        <f t="shared" si="6"/>
        <v>0</v>
      </c>
      <c r="Q27" s="95"/>
      <c r="R27" s="88">
        <f t="shared" si="7"/>
        <v>0</v>
      </c>
      <c r="S27" s="1"/>
    </row>
    <row r="28" spans="1:20" x14ac:dyDescent="0.2">
      <c r="A28" s="84"/>
      <c r="B28" s="85"/>
      <c r="C28" s="92">
        <f t="shared" si="10"/>
        <v>0</v>
      </c>
      <c r="D28" s="70"/>
      <c r="E28" s="86">
        <f t="shared" si="0"/>
        <v>0</v>
      </c>
      <c r="F28" s="103">
        <f t="shared" si="9"/>
        <v>0</v>
      </c>
      <c r="G28" s="40"/>
      <c r="H28" s="88">
        <f t="shared" si="1"/>
        <v>0</v>
      </c>
      <c r="I28" s="1"/>
      <c r="J28" s="28"/>
      <c r="K28" s="89"/>
      <c r="L28" s="90"/>
      <c r="M28" s="91"/>
      <c r="N28" s="92">
        <f t="shared" si="8"/>
        <v>0</v>
      </c>
      <c r="O28" s="93"/>
      <c r="P28" s="103">
        <f t="shared" si="6"/>
        <v>0</v>
      </c>
      <c r="Q28" s="95"/>
      <c r="R28" s="88">
        <f t="shared" si="7"/>
        <v>0</v>
      </c>
      <c r="S28" s="1"/>
    </row>
    <row r="29" spans="1:20" x14ac:dyDescent="0.2">
      <c r="A29" s="84"/>
      <c r="B29" s="85"/>
      <c r="C29" s="92">
        <f t="shared" si="10"/>
        <v>0</v>
      </c>
      <c r="D29" s="70"/>
      <c r="E29" s="86">
        <f t="shared" si="0"/>
        <v>0</v>
      </c>
      <c r="F29" s="103">
        <f t="shared" si="9"/>
        <v>0</v>
      </c>
      <c r="G29" s="40"/>
      <c r="H29" s="88">
        <f t="shared" si="1"/>
        <v>0</v>
      </c>
      <c r="I29" s="1"/>
      <c r="J29" s="28"/>
      <c r="K29" s="89"/>
      <c r="L29" s="90"/>
      <c r="M29" s="91"/>
      <c r="N29" s="92">
        <f t="shared" si="8"/>
        <v>0</v>
      </c>
      <c r="O29" s="93"/>
      <c r="P29" s="103">
        <f t="shared" si="6"/>
        <v>0</v>
      </c>
      <c r="Q29" s="95"/>
      <c r="R29" s="88">
        <f t="shared" si="7"/>
        <v>0</v>
      </c>
      <c r="S29" s="1"/>
    </row>
    <row r="30" spans="1:20" x14ac:dyDescent="0.2">
      <c r="A30" s="84"/>
      <c r="B30" s="85"/>
      <c r="C30" s="92">
        <f t="shared" si="10"/>
        <v>0</v>
      </c>
      <c r="D30" s="70"/>
      <c r="E30" s="86">
        <f t="shared" si="0"/>
        <v>0</v>
      </c>
      <c r="F30" s="103">
        <f t="shared" si="9"/>
        <v>0</v>
      </c>
      <c r="G30" s="40"/>
      <c r="H30" s="88">
        <f t="shared" si="1"/>
        <v>0</v>
      </c>
      <c r="I30" s="1"/>
      <c r="J30" s="28"/>
      <c r="K30" s="89"/>
      <c r="L30" s="90"/>
      <c r="M30" s="91"/>
      <c r="N30" s="92">
        <f t="shared" si="8"/>
        <v>0</v>
      </c>
      <c r="O30" s="93"/>
      <c r="P30" s="103">
        <f t="shared" si="6"/>
        <v>0</v>
      </c>
      <c r="Q30" s="95"/>
      <c r="R30" s="88">
        <f t="shared" si="7"/>
        <v>0</v>
      </c>
      <c r="S30" s="1"/>
    </row>
    <row r="31" spans="1:20" x14ac:dyDescent="0.2">
      <c r="A31" s="84"/>
      <c r="B31" s="85"/>
      <c r="C31" s="92">
        <f t="shared" si="10"/>
        <v>0</v>
      </c>
      <c r="D31" s="70"/>
      <c r="E31" s="86">
        <f t="shared" si="0"/>
        <v>0</v>
      </c>
      <c r="F31" s="103">
        <f t="shared" si="9"/>
        <v>0</v>
      </c>
      <c r="G31" s="40"/>
      <c r="H31" s="88">
        <f t="shared" si="1"/>
        <v>0</v>
      </c>
      <c r="I31" s="1"/>
      <c r="J31" s="28"/>
      <c r="K31" s="89"/>
      <c r="L31" s="90"/>
      <c r="M31" s="91"/>
      <c r="N31" s="92">
        <f t="shared" si="8"/>
        <v>0</v>
      </c>
      <c r="O31" s="93"/>
      <c r="P31" s="103">
        <f t="shared" si="6"/>
        <v>0</v>
      </c>
      <c r="Q31" s="95"/>
      <c r="R31" s="88">
        <f t="shared" si="7"/>
        <v>0</v>
      </c>
      <c r="S31" s="1"/>
    </row>
    <row r="32" spans="1:20" x14ac:dyDescent="0.2">
      <c r="A32" s="84"/>
      <c r="B32" s="85"/>
      <c r="C32" s="92">
        <f t="shared" si="10"/>
        <v>0</v>
      </c>
      <c r="D32" s="70"/>
      <c r="E32" s="104"/>
      <c r="F32" s="103">
        <f>SUM(F3:F31)</f>
        <v>301295</v>
      </c>
      <c r="G32" s="40"/>
      <c r="H32" s="88">
        <f>SUM(H3:H31)</f>
        <v>252212.51760000002</v>
      </c>
      <c r="I32" s="1"/>
      <c r="J32" s="1"/>
      <c r="L32" s="113"/>
      <c r="M32" s="113"/>
      <c r="N32" s="113"/>
      <c r="O32" s="113"/>
      <c r="P32" s="113"/>
      <c r="Q32" s="113"/>
      <c r="R32" s="113"/>
      <c r="S32" s="113"/>
    </row>
    <row r="33" spans="1:19" x14ac:dyDescent="0.2">
      <c r="A33" s="83"/>
      <c r="B33" s="76" t="s">
        <v>49</v>
      </c>
      <c r="C33" s="77"/>
      <c r="D33" s="77"/>
      <c r="E33" s="77"/>
      <c r="F33" s="77"/>
      <c r="G33" s="78"/>
      <c r="H33" s="79"/>
      <c r="I33" s="80"/>
      <c r="J33" s="80"/>
      <c r="L33" s="113"/>
      <c r="M33" s="113"/>
      <c r="N33" s="113"/>
      <c r="O33" s="113"/>
      <c r="P33" s="113"/>
      <c r="Q33" s="113"/>
      <c r="R33" s="113"/>
      <c r="S33" s="113"/>
    </row>
    <row r="34" spans="1:19" ht="16" x14ac:dyDescent="0.2">
      <c r="A34" s="84">
        <v>0.40972222222222199</v>
      </c>
      <c r="B34" s="85" t="s">
        <v>61</v>
      </c>
      <c r="C34" s="102">
        <v>3691730</v>
      </c>
      <c r="D34" s="102">
        <v>3703880</v>
      </c>
      <c r="E34" s="86">
        <f t="shared" ref="E34:E66" si="11">SUM(D34-C34)</f>
        <v>12150</v>
      </c>
      <c r="F34" s="103">
        <v>12093</v>
      </c>
      <c r="G34" s="40">
        <v>0.8276</v>
      </c>
      <c r="H34" s="88">
        <f t="shared" ref="H34:H65" si="12">SUM(G34*F34)</f>
        <v>10008.166800000001</v>
      </c>
      <c r="I34" s="28">
        <v>119</v>
      </c>
      <c r="J34" s="1">
        <v>6683</v>
      </c>
      <c r="K34" s="206" t="s">
        <v>60</v>
      </c>
      <c r="L34" s="113" t="s">
        <v>106</v>
      </c>
      <c r="M34" s="113"/>
      <c r="N34" s="113"/>
      <c r="O34" s="113"/>
      <c r="P34" s="113"/>
      <c r="Q34" s="113"/>
      <c r="R34" s="113"/>
      <c r="S34" s="113"/>
    </row>
    <row r="35" spans="1:19" ht="14.25" customHeight="1" x14ac:dyDescent="0.2">
      <c r="A35" s="84">
        <v>0.41666666666666702</v>
      </c>
      <c r="B35" s="85" t="s">
        <v>50</v>
      </c>
      <c r="C35" s="92">
        <f t="shared" ref="C35:C61" si="13">SUM(D34)</f>
        <v>3703880</v>
      </c>
      <c r="D35" s="102">
        <v>3719040</v>
      </c>
      <c r="E35" s="86">
        <f t="shared" si="11"/>
        <v>15160</v>
      </c>
      <c r="F35" s="207">
        <v>15040</v>
      </c>
      <c r="G35" s="40">
        <v>0.84360000000000002</v>
      </c>
      <c r="H35" s="88">
        <f t="shared" si="12"/>
        <v>12687.744000000001</v>
      </c>
      <c r="I35" s="28">
        <v>467</v>
      </c>
      <c r="J35" s="1">
        <v>6684</v>
      </c>
      <c r="K35" s="115" t="s">
        <v>83</v>
      </c>
      <c r="L35" s="113" t="s">
        <v>107</v>
      </c>
      <c r="M35" s="113"/>
      <c r="N35" s="113"/>
      <c r="O35" s="113"/>
      <c r="P35" s="113"/>
      <c r="Q35" s="113"/>
      <c r="R35" s="113"/>
      <c r="S35" s="113"/>
    </row>
    <row r="36" spans="1:19" ht="15" customHeight="1" x14ac:dyDescent="0.2">
      <c r="A36" s="84">
        <v>0.4375</v>
      </c>
      <c r="B36" s="85" t="s">
        <v>61</v>
      </c>
      <c r="C36" s="92">
        <f t="shared" si="13"/>
        <v>3719040</v>
      </c>
      <c r="D36" s="102">
        <v>3727140</v>
      </c>
      <c r="E36" s="86">
        <f t="shared" si="11"/>
        <v>8100</v>
      </c>
      <c r="F36" s="103">
        <v>8046</v>
      </c>
      <c r="G36" s="40">
        <v>0.82640000000000002</v>
      </c>
      <c r="H36" s="88">
        <f t="shared" si="12"/>
        <v>6649.2143999999998</v>
      </c>
      <c r="I36" s="28">
        <v>382</v>
      </c>
      <c r="J36" s="1">
        <v>6686</v>
      </c>
      <c r="K36" s="206" t="s">
        <v>60</v>
      </c>
      <c r="L36" s="113"/>
      <c r="M36" s="113"/>
      <c r="N36" s="113"/>
      <c r="O36" s="113"/>
      <c r="P36" s="113"/>
      <c r="Q36" s="113"/>
      <c r="R36" s="113"/>
      <c r="S36" s="113"/>
    </row>
    <row r="37" spans="1:19" ht="16" x14ac:dyDescent="0.2">
      <c r="A37" s="84">
        <v>0.44791666666666702</v>
      </c>
      <c r="B37" s="85" t="s">
        <v>89</v>
      </c>
      <c r="C37" s="92">
        <f t="shared" si="13"/>
        <v>3727140</v>
      </c>
      <c r="D37" s="102">
        <v>3738230</v>
      </c>
      <c r="E37" s="86">
        <f t="shared" si="11"/>
        <v>11090</v>
      </c>
      <c r="F37" s="103">
        <v>11020</v>
      </c>
      <c r="G37" s="40">
        <v>0.82840000000000003</v>
      </c>
      <c r="H37" s="88">
        <f t="shared" si="12"/>
        <v>9128.9680000000008</v>
      </c>
      <c r="I37" s="28">
        <v>237</v>
      </c>
      <c r="J37" s="1">
        <v>6688</v>
      </c>
      <c r="K37" s="115" t="s">
        <v>108</v>
      </c>
      <c r="L37" s="113"/>
      <c r="M37" s="113"/>
      <c r="N37" s="113"/>
      <c r="O37" s="113"/>
      <c r="P37" s="113"/>
      <c r="Q37" s="113"/>
      <c r="R37" s="113"/>
      <c r="S37" s="113"/>
    </row>
    <row r="38" spans="1:19" ht="16" x14ac:dyDescent="0.2">
      <c r="A38" s="84">
        <v>0.45833333333333298</v>
      </c>
      <c r="B38" s="85" t="s">
        <v>55</v>
      </c>
      <c r="C38" s="92">
        <f t="shared" si="13"/>
        <v>3738230</v>
      </c>
      <c r="D38" s="102">
        <v>3743420</v>
      </c>
      <c r="E38" s="86">
        <f t="shared" si="11"/>
        <v>5190</v>
      </c>
      <c r="F38" s="103">
        <v>5141</v>
      </c>
      <c r="G38" s="40">
        <v>0.82940000000000003</v>
      </c>
      <c r="H38" s="88">
        <f t="shared" si="12"/>
        <v>4263.9454000000005</v>
      </c>
      <c r="I38" s="28">
        <v>81</v>
      </c>
      <c r="J38" s="1">
        <v>6692</v>
      </c>
      <c r="K38" s="206" t="s">
        <v>60</v>
      </c>
      <c r="L38" s="113"/>
      <c r="M38" s="113"/>
      <c r="N38" s="113"/>
      <c r="O38" s="113"/>
      <c r="P38" s="113"/>
      <c r="Q38" s="113"/>
      <c r="R38" s="113"/>
      <c r="S38" s="113"/>
    </row>
    <row r="39" spans="1:19" ht="16" x14ac:dyDescent="0.2">
      <c r="A39" s="84">
        <v>0.46527777777777801</v>
      </c>
      <c r="B39" s="85" t="s">
        <v>55</v>
      </c>
      <c r="C39" s="92">
        <f t="shared" si="13"/>
        <v>3743420</v>
      </c>
      <c r="D39" s="102">
        <v>3750130</v>
      </c>
      <c r="E39" s="86">
        <f t="shared" si="11"/>
        <v>6710</v>
      </c>
      <c r="F39" s="103">
        <v>6663</v>
      </c>
      <c r="G39" s="40">
        <v>0.82940000000000003</v>
      </c>
      <c r="H39" s="88">
        <f t="shared" si="12"/>
        <v>5526.2921999999999</v>
      </c>
      <c r="I39" s="28">
        <v>57</v>
      </c>
      <c r="J39" s="1">
        <v>6693</v>
      </c>
      <c r="K39" s="206" t="s">
        <v>60</v>
      </c>
      <c r="L39" s="113"/>
      <c r="M39" s="113"/>
      <c r="N39" s="113"/>
      <c r="O39" s="113"/>
      <c r="P39" s="113"/>
      <c r="Q39" s="113"/>
      <c r="R39" s="113"/>
      <c r="S39" s="113"/>
    </row>
    <row r="40" spans="1:19" ht="16" x14ac:dyDescent="0.2">
      <c r="A40" s="84">
        <v>0.47222222222222199</v>
      </c>
      <c r="B40" s="85" t="s">
        <v>55</v>
      </c>
      <c r="C40" s="92">
        <f t="shared" si="13"/>
        <v>3750130</v>
      </c>
      <c r="D40" s="102">
        <v>3752680</v>
      </c>
      <c r="E40" s="86">
        <f t="shared" si="11"/>
        <v>2550</v>
      </c>
      <c r="F40" s="103">
        <v>2524</v>
      </c>
      <c r="G40" s="40">
        <v>0.82940000000000003</v>
      </c>
      <c r="H40" s="88">
        <f t="shared" si="12"/>
        <v>2093.4056</v>
      </c>
      <c r="I40" s="28">
        <v>119</v>
      </c>
      <c r="J40" s="1">
        <v>6694</v>
      </c>
      <c r="K40" s="206" t="s">
        <v>60</v>
      </c>
      <c r="L40" s="113" t="s">
        <v>106</v>
      </c>
      <c r="M40" s="113"/>
      <c r="N40" s="89"/>
      <c r="O40" s="113"/>
      <c r="P40" s="113"/>
      <c r="Q40" s="113"/>
      <c r="R40" s="113"/>
      <c r="S40" s="113"/>
    </row>
    <row r="41" spans="1:19" ht="16" x14ac:dyDescent="0.2">
      <c r="A41" s="84">
        <v>0.48263888888888901</v>
      </c>
      <c r="B41" s="85" t="s">
        <v>55</v>
      </c>
      <c r="C41" s="92">
        <f t="shared" si="13"/>
        <v>3752680</v>
      </c>
      <c r="D41" s="102">
        <v>3769800</v>
      </c>
      <c r="E41" s="86">
        <f t="shared" si="11"/>
        <v>17120</v>
      </c>
      <c r="F41" s="101">
        <v>17019</v>
      </c>
      <c r="G41" s="40">
        <v>0.83089999999999997</v>
      </c>
      <c r="H41" s="88">
        <f t="shared" si="12"/>
        <v>14141.087099999999</v>
      </c>
      <c r="I41" s="28">
        <v>251</v>
      </c>
      <c r="J41" s="28">
        <v>6695</v>
      </c>
      <c r="K41" s="206" t="s">
        <v>60</v>
      </c>
      <c r="L41" s="113"/>
      <c r="M41" s="113"/>
      <c r="N41" s="89"/>
      <c r="O41" s="113"/>
      <c r="P41" s="113"/>
      <c r="Q41" s="113"/>
      <c r="R41" s="113"/>
      <c r="S41" s="113"/>
    </row>
    <row r="42" spans="1:19" ht="16" x14ac:dyDescent="0.2">
      <c r="A42" s="84">
        <v>0.56944444444444398</v>
      </c>
      <c r="B42" s="85" t="s">
        <v>55</v>
      </c>
      <c r="C42" s="92">
        <f t="shared" si="13"/>
        <v>3769800</v>
      </c>
      <c r="D42" s="102">
        <v>3774120</v>
      </c>
      <c r="E42" s="86">
        <f t="shared" si="11"/>
        <v>4320</v>
      </c>
      <c r="F42" s="103">
        <v>4289</v>
      </c>
      <c r="G42" s="40">
        <v>0.82930000000000004</v>
      </c>
      <c r="H42" s="88">
        <f t="shared" si="12"/>
        <v>3556.8677000000002</v>
      </c>
      <c r="I42" s="28">
        <v>382</v>
      </c>
      <c r="J42" s="28">
        <v>6697</v>
      </c>
      <c r="K42" s="206" t="s">
        <v>60</v>
      </c>
      <c r="L42" s="113"/>
      <c r="M42" s="113"/>
      <c r="N42" s="89"/>
      <c r="O42" s="113"/>
      <c r="P42" s="113"/>
      <c r="Q42" s="113"/>
      <c r="R42" s="113"/>
      <c r="S42" s="113"/>
    </row>
    <row r="43" spans="1:19" ht="15" customHeight="1" x14ac:dyDescent="0.2">
      <c r="A43" s="84">
        <v>0.57986111111111105</v>
      </c>
      <c r="B43" s="85" t="s">
        <v>89</v>
      </c>
      <c r="C43" s="92">
        <f t="shared" si="13"/>
        <v>3774120</v>
      </c>
      <c r="D43" s="102">
        <v>3781250</v>
      </c>
      <c r="E43" s="86">
        <f t="shared" si="11"/>
        <v>7130</v>
      </c>
      <c r="F43" s="103">
        <v>7060</v>
      </c>
      <c r="G43" s="40">
        <v>0.82820000000000005</v>
      </c>
      <c r="H43" s="88">
        <f t="shared" si="12"/>
        <v>5847.0920000000006</v>
      </c>
      <c r="I43" s="28">
        <v>237</v>
      </c>
      <c r="J43" s="28">
        <v>6698</v>
      </c>
      <c r="K43" s="115" t="s">
        <v>108</v>
      </c>
      <c r="L43" s="113"/>
      <c r="M43" s="113"/>
      <c r="N43" s="89"/>
      <c r="O43" s="113"/>
      <c r="P43" s="113"/>
      <c r="Q43" s="113"/>
      <c r="R43" s="113"/>
      <c r="S43" s="113"/>
    </row>
    <row r="44" spans="1:19" ht="16" x14ac:dyDescent="0.2">
      <c r="A44" s="84">
        <v>0.59027777777777801</v>
      </c>
      <c r="B44" s="85" t="s">
        <v>61</v>
      </c>
      <c r="C44" s="92">
        <f t="shared" si="13"/>
        <v>3781250</v>
      </c>
      <c r="D44" s="102">
        <v>3789080</v>
      </c>
      <c r="E44" s="86">
        <f t="shared" si="11"/>
        <v>7830</v>
      </c>
      <c r="F44" s="103">
        <v>7787</v>
      </c>
      <c r="G44" s="40">
        <v>0.82820000000000005</v>
      </c>
      <c r="H44" s="88">
        <f t="shared" si="12"/>
        <v>6449.1934000000001</v>
      </c>
      <c r="I44" s="28">
        <v>81</v>
      </c>
      <c r="J44" s="28">
        <v>6699</v>
      </c>
      <c r="K44" s="206" t="s">
        <v>60</v>
      </c>
      <c r="L44" s="113"/>
      <c r="M44" s="113"/>
      <c r="N44" s="113"/>
      <c r="O44" s="113"/>
      <c r="P44" s="113"/>
      <c r="Q44" s="113"/>
      <c r="R44" s="113"/>
      <c r="S44" s="113"/>
    </row>
    <row r="45" spans="1:19" ht="16" x14ac:dyDescent="0.2">
      <c r="A45" s="84">
        <v>0.60069444444444398</v>
      </c>
      <c r="B45" s="85" t="s">
        <v>61</v>
      </c>
      <c r="C45" s="92">
        <f t="shared" si="13"/>
        <v>3789080</v>
      </c>
      <c r="D45" s="102">
        <v>3798420</v>
      </c>
      <c r="E45" s="86">
        <f t="shared" si="11"/>
        <v>9340</v>
      </c>
      <c r="F45" s="103">
        <v>9285</v>
      </c>
      <c r="G45" s="40">
        <v>0.82820000000000005</v>
      </c>
      <c r="H45" s="88">
        <f t="shared" si="12"/>
        <v>7689.8370000000004</v>
      </c>
      <c r="I45" s="28">
        <v>57</v>
      </c>
      <c r="J45" s="28">
        <v>6700</v>
      </c>
      <c r="K45" s="206" t="s">
        <v>60</v>
      </c>
      <c r="L45" s="113"/>
      <c r="M45" s="113"/>
      <c r="N45" s="113"/>
      <c r="O45" s="113"/>
      <c r="P45" s="113"/>
      <c r="Q45" s="113"/>
      <c r="R45" s="113"/>
      <c r="S45" s="113"/>
    </row>
    <row r="46" spans="1:19" ht="16" x14ac:dyDescent="0.2">
      <c r="A46" s="84">
        <v>0.70138888888888895</v>
      </c>
      <c r="B46" s="85" t="s">
        <v>89</v>
      </c>
      <c r="C46" s="92">
        <f t="shared" si="13"/>
        <v>3798420</v>
      </c>
      <c r="D46" s="102">
        <v>3815530</v>
      </c>
      <c r="E46" s="86">
        <f t="shared" si="11"/>
        <v>17110</v>
      </c>
      <c r="F46" s="101">
        <v>17019</v>
      </c>
      <c r="G46" s="40">
        <v>0.82779999999999998</v>
      </c>
      <c r="H46" s="88">
        <f t="shared" si="12"/>
        <v>14088.3282</v>
      </c>
      <c r="I46" s="28">
        <v>251</v>
      </c>
      <c r="J46" s="28">
        <v>6701</v>
      </c>
      <c r="K46" s="115" t="s">
        <v>108</v>
      </c>
      <c r="L46" s="113"/>
      <c r="M46" s="113"/>
      <c r="N46" s="113"/>
      <c r="O46" s="113"/>
      <c r="P46" s="113"/>
      <c r="Q46" s="113"/>
      <c r="R46" s="113"/>
      <c r="S46" s="113"/>
    </row>
    <row r="47" spans="1:19" ht="16" x14ac:dyDescent="0.2">
      <c r="A47" s="84">
        <v>0.74305555555555503</v>
      </c>
      <c r="B47" s="85" t="s">
        <v>50</v>
      </c>
      <c r="C47" s="92">
        <f t="shared" si="13"/>
        <v>3815530</v>
      </c>
      <c r="D47" s="102">
        <v>3830680</v>
      </c>
      <c r="E47" s="86">
        <f t="shared" si="11"/>
        <v>15150</v>
      </c>
      <c r="F47" s="207">
        <v>15040</v>
      </c>
      <c r="G47" s="40">
        <v>0.84279999999999999</v>
      </c>
      <c r="H47" s="88">
        <f t="shared" si="12"/>
        <v>12675.712</v>
      </c>
      <c r="I47" s="28">
        <v>467</v>
      </c>
      <c r="J47" s="28">
        <v>6703</v>
      </c>
      <c r="K47" s="115" t="s">
        <v>83</v>
      </c>
      <c r="L47" s="113" t="s">
        <v>107</v>
      </c>
      <c r="M47" s="113"/>
      <c r="N47" s="113"/>
      <c r="O47" s="113"/>
      <c r="P47" s="113"/>
      <c r="Q47" s="113"/>
      <c r="R47" s="113"/>
      <c r="S47" s="113"/>
    </row>
    <row r="48" spans="1:19" ht="16" x14ac:dyDescent="0.2">
      <c r="A48" s="84">
        <v>0.77083333333333304</v>
      </c>
      <c r="B48" s="85" t="s">
        <v>89</v>
      </c>
      <c r="C48" s="92">
        <f t="shared" si="13"/>
        <v>3830680</v>
      </c>
      <c r="D48" s="102">
        <v>3847790</v>
      </c>
      <c r="E48" s="86">
        <f t="shared" si="11"/>
        <v>17110</v>
      </c>
      <c r="F48" s="101">
        <v>17019</v>
      </c>
      <c r="G48" s="40">
        <v>0.82809999999999995</v>
      </c>
      <c r="H48" s="88">
        <f t="shared" si="12"/>
        <v>14093.4339</v>
      </c>
      <c r="I48" s="28">
        <v>251</v>
      </c>
      <c r="J48" s="28">
        <v>6705</v>
      </c>
      <c r="K48" s="115" t="s">
        <v>108</v>
      </c>
      <c r="L48" s="113"/>
      <c r="M48" s="113"/>
      <c r="N48" s="113"/>
      <c r="O48" s="113"/>
      <c r="P48" s="113"/>
      <c r="Q48" s="113"/>
      <c r="R48" s="113"/>
      <c r="S48" s="113"/>
    </row>
    <row r="49" spans="1:19" ht="16" x14ac:dyDescent="0.2">
      <c r="A49" s="84">
        <v>0.82638888888888895</v>
      </c>
      <c r="B49" s="85" t="s">
        <v>55</v>
      </c>
      <c r="C49" s="92">
        <f t="shared" si="13"/>
        <v>3847790</v>
      </c>
      <c r="D49" s="102">
        <v>3864900</v>
      </c>
      <c r="E49" s="86">
        <f t="shared" si="11"/>
        <v>17110</v>
      </c>
      <c r="F49" s="101">
        <v>17019</v>
      </c>
      <c r="G49" s="40">
        <v>0.82879999999999998</v>
      </c>
      <c r="H49" s="88">
        <f t="shared" si="12"/>
        <v>14105.3472</v>
      </c>
      <c r="I49" s="28">
        <v>251</v>
      </c>
      <c r="J49" s="28">
        <v>6706</v>
      </c>
      <c r="K49" s="206" t="s">
        <v>60</v>
      </c>
      <c r="L49" s="113"/>
      <c r="M49" s="113"/>
      <c r="N49" s="113"/>
      <c r="O49" s="113"/>
      <c r="P49" s="113"/>
      <c r="Q49" s="113"/>
      <c r="R49" s="113"/>
      <c r="S49" s="113"/>
    </row>
    <row r="50" spans="1:19" ht="16" x14ac:dyDescent="0.2">
      <c r="A50" s="84">
        <v>0.85416666666666696</v>
      </c>
      <c r="B50" s="85" t="s">
        <v>55</v>
      </c>
      <c r="C50" s="92">
        <f t="shared" si="13"/>
        <v>3864900</v>
      </c>
      <c r="D50" s="102">
        <v>3871430</v>
      </c>
      <c r="E50" s="86">
        <f t="shared" si="11"/>
        <v>6530</v>
      </c>
      <c r="F50" s="103">
        <v>6490</v>
      </c>
      <c r="G50" s="40">
        <v>0.82909999999999995</v>
      </c>
      <c r="H50" s="88">
        <f t="shared" si="12"/>
        <v>5380.8589999999995</v>
      </c>
      <c r="I50" s="28">
        <v>81</v>
      </c>
      <c r="J50" s="28">
        <v>6708</v>
      </c>
      <c r="K50" s="206" t="s">
        <v>60</v>
      </c>
      <c r="L50" s="113"/>
      <c r="M50" s="113"/>
      <c r="N50" s="113"/>
      <c r="O50" s="113"/>
      <c r="P50" s="113"/>
      <c r="Q50" s="113"/>
      <c r="R50" s="113"/>
      <c r="S50" s="113"/>
    </row>
    <row r="51" spans="1:19" ht="16" x14ac:dyDescent="0.2">
      <c r="A51" s="84">
        <v>0.875</v>
      </c>
      <c r="B51" s="85" t="s">
        <v>61</v>
      </c>
      <c r="C51" s="92">
        <f t="shared" si="13"/>
        <v>3871430</v>
      </c>
      <c r="D51" s="102">
        <v>3876600</v>
      </c>
      <c r="E51" s="86">
        <f t="shared" si="11"/>
        <v>5170</v>
      </c>
      <c r="F51" s="103">
        <v>5131</v>
      </c>
      <c r="G51" s="40">
        <v>0.82720000000000005</v>
      </c>
      <c r="H51" s="88">
        <f t="shared" si="12"/>
        <v>4244.3632000000007</v>
      </c>
      <c r="I51" s="28">
        <v>382</v>
      </c>
      <c r="J51" s="28">
        <v>6710</v>
      </c>
      <c r="K51" s="206" t="s">
        <v>60</v>
      </c>
      <c r="L51" s="113"/>
      <c r="M51" s="113"/>
      <c r="N51" s="113"/>
      <c r="O51" s="113"/>
      <c r="P51" s="113"/>
      <c r="Q51" s="113"/>
      <c r="R51" s="113"/>
      <c r="S51" s="113"/>
    </row>
    <row r="52" spans="1:19" ht="16" x14ac:dyDescent="0.2">
      <c r="A52" s="84">
        <v>0.90277777777777801</v>
      </c>
      <c r="B52" s="85" t="s">
        <v>89</v>
      </c>
      <c r="C52" s="92">
        <f t="shared" si="13"/>
        <v>3876600</v>
      </c>
      <c r="D52" s="102">
        <v>3888750</v>
      </c>
      <c r="E52" s="86">
        <f t="shared" si="11"/>
        <v>12150</v>
      </c>
      <c r="F52" s="103">
        <v>12093</v>
      </c>
      <c r="G52" s="40">
        <v>0.82850000000000001</v>
      </c>
      <c r="H52" s="88">
        <f t="shared" si="12"/>
        <v>10019.050499999999</v>
      </c>
      <c r="I52" s="28">
        <v>119</v>
      </c>
      <c r="J52" s="28">
        <v>6712</v>
      </c>
      <c r="K52" s="115" t="s">
        <v>108</v>
      </c>
      <c r="L52" s="113"/>
      <c r="M52" s="113"/>
      <c r="N52" s="113"/>
      <c r="O52" s="113"/>
      <c r="P52" s="113"/>
      <c r="Q52" s="113"/>
      <c r="R52" s="113"/>
      <c r="S52" s="113"/>
    </row>
    <row r="53" spans="1:19" ht="16" x14ac:dyDescent="0.2">
      <c r="A53" s="84">
        <v>0.91666666666666696</v>
      </c>
      <c r="B53" s="85" t="s">
        <v>50</v>
      </c>
      <c r="C53" s="92">
        <f t="shared" si="13"/>
        <v>3888750</v>
      </c>
      <c r="D53" s="102">
        <v>3903890</v>
      </c>
      <c r="E53" s="86">
        <f t="shared" si="11"/>
        <v>15140</v>
      </c>
      <c r="F53" s="207">
        <v>15040</v>
      </c>
      <c r="G53" s="40">
        <v>0.84450000000000003</v>
      </c>
      <c r="H53" s="88">
        <f t="shared" si="12"/>
        <v>12701.28</v>
      </c>
      <c r="I53" s="28">
        <v>467</v>
      </c>
      <c r="J53" s="28">
        <v>6714</v>
      </c>
      <c r="K53" s="115" t="s">
        <v>83</v>
      </c>
      <c r="L53" s="113" t="s">
        <v>107</v>
      </c>
      <c r="M53" s="113"/>
      <c r="N53" s="113"/>
      <c r="O53" s="113"/>
      <c r="P53" s="113"/>
      <c r="Q53" s="113"/>
      <c r="R53" s="113"/>
      <c r="S53" s="113"/>
    </row>
    <row r="54" spans="1:19" ht="16" x14ac:dyDescent="0.2">
      <c r="A54" s="84">
        <v>0.93055555555555503</v>
      </c>
      <c r="B54" s="85" t="s">
        <v>61</v>
      </c>
      <c r="C54" s="92">
        <f t="shared" si="13"/>
        <v>3903890</v>
      </c>
      <c r="D54" s="102">
        <v>3910520</v>
      </c>
      <c r="E54" s="86">
        <f t="shared" si="11"/>
        <v>6630</v>
      </c>
      <c r="F54" s="103">
        <v>6581</v>
      </c>
      <c r="G54" s="40">
        <v>0.82720000000000005</v>
      </c>
      <c r="H54" s="88">
        <f t="shared" si="12"/>
        <v>5443.8032000000003</v>
      </c>
      <c r="I54" s="28">
        <v>57</v>
      </c>
      <c r="J54" s="28">
        <v>6715</v>
      </c>
      <c r="K54" s="206" t="s">
        <v>60</v>
      </c>
      <c r="L54" s="113"/>
      <c r="M54" s="113"/>
      <c r="N54" s="113"/>
      <c r="O54" s="113"/>
      <c r="P54" s="113"/>
      <c r="Q54" s="113"/>
      <c r="R54" s="113"/>
      <c r="S54" s="113"/>
    </row>
    <row r="55" spans="1:19" ht="16" x14ac:dyDescent="0.2">
      <c r="A55" s="84">
        <v>0.94097222222222199</v>
      </c>
      <c r="B55" s="85" t="s">
        <v>62</v>
      </c>
      <c r="C55" s="92">
        <f t="shared" si="13"/>
        <v>3910520</v>
      </c>
      <c r="D55" s="102">
        <v>3920610</v>
      </c>
      <c r="E55" s="86">
        <f t="shared" si="11"/>
        <v>10090</v>
      </c>
      <c r="F55" s="101">
        <v>9986</v>
      </c>
      <c r="G55" s="40">
        <v>0.82950000000000002</v>
      </c>
      <c r="H55" s="88">
        <f t="shared" si="12"/>
        <v>8283.3870000000006</v>
      </c>
      <c r="I55" s="28">
        <v>251</v>
      </c>
      <c r="J55" s="28">
        <v>6716</v>
      </c>
      <c r="K55" s="115" t="s">
        <v>108</v>
      </c>
      <c r="L55" s="113"/>
      <c r="M55" s="113"/>
      <c r="N55" s="113"/>
      <c r="O55" s="113"/>
      <c r="P55" s="113"/>
      <c r="Q55" s="113"/>
      <c r="R55" s="113"/>
      <c r="S55" s="113"/>
    </row>
    <row r="56" spans="1:19" ht="16" x14ac:dyDescent="0.2">
      <c r="A56" s="84">
        <v>0.97222222222222199</v>
      </c>
      <c r="B56" s="85" t="s">
        <v>62</v>
      </c>
      <c r="C56" s="92">
        <f t="shared" si="13"/>
        <v>3920610</v>
      </c>
      <c r="D56" s="102">
        <v>3937660</v>
      </c>
      <c r="E56" s="86">
        <f t="shared" si="11"/>
        <v>17050</v>
      </c>
      <c r="F56" s="101">
        <v>17019</v>
      </c>
      <c r="G56" s="40">
        <v>0.83009999999999995</v>
      </c>
      <c r="H56" s="88">
        <f t="shared" si="12"/>
        <v>14127.471899999999</v>
      </c>
      <c r="I56" s="28">
        <v>251</v>
      </c>
      <c r="J56" s="28">
        <v>6718</v>
      </c>
      <c r="K56" s="115" t="s">
        <v>108</v>
      </c>
      <c r="L56" s="113"/>
      <c r="M56" s="113"/>
      <c r="N56" s="113"/>
      <c r="O56" s="113"/>
      <c r="P56" s="113"/>
      <c r="Q56" s="113"/>
      <c r="R56" s="113"/>
      <c r="S56" s="113"/>
    </row>
    <row r="57" spans="1:19" ht="16" x14ac:dyDescent="0.2">
      <c r="A57" s="84">
        <v>8.3333333333333301E-2</v>
      </c>
      <c r="B57" s="85" t="s">
        <v>61</v>
      </c>
      <c r="C57" s="92">
        <f t="shared" si="13"/>
        <v>3937660</v>
      </c>
      <c r="D57" s="102">
        <v>3944530</v>
      </c>
      <c r="E57" s="86">
        <f t="shared" si="11"/>
        <v>6870</v>
      </c>
      <c r="F57" s="103">
        <v>6825</v>
      </c>
      <c r="G57" s="40">
        <v>0.82779999999999998</v>
      </c>
      <c r="H57" s="88">
        <f t="shared" si="12"/>
        <v>5649.7349999999997</v>
      </c>
      <c r="I57" s="28">
        <v>57</v>
      </c>
      <c r="J57" s="28">
        <v>6719</v>
      </c>
      <c r="K57" s="206" t="s">
        <v>60</v>
      </c>
      <c r="L57" s="113"/>
      <c r="M57" s="113"/>
      <c r="N57" s="113"/>
      <c r="O57" s="113"/>
      <c r="P57" s="113"/>
      <c r="Q57" s="113"/>
      <c r="R57" s="113"/>
      <c r="S57" s="113"/>
    </row>
    <row r="58" spans="1:19" ht="16" x14ac:dyDescent="0.2">
      <c r="A58" s="84">
        <v>9.0277777777777804E-2</v>
      </c>
      <c r="B58" s="85" t="s">
        <v>61</v>
      </c>
      <c r="C58" s="92">
        <f t="shared" si="13"/>
        <v>3944530</v>
      </c>
      <c r="D58" s="102">
        <v>3952570</v>
      </c>
      <c r="E58" s="86">
        <f t="shared" si="11"/>
        <v>8040</v>
      </c>
      <c r="F58" s="103">
        <v>7989</v>
      </c>
      <c r="G58" s="40">
        <v>0.82779999999999998</v>
      </c>
      <c r="H58" s="88">
        <f t="shared" si="12"/>
        <v>6613.2942000000003</v>
      </c>
      <c r="I58" s="28">
        <v>81</v>
      </c>
      <c r="J58" s="28">
        <v>6720</v>
      </c>
      <c r="K58" s="206" t="s">
        <v>60</v>
      </c>
      <c r="L58" s="113"/>
      <c r="M58" s="113"/>
      <c r="N58" s="113"/>
      <c r="O58" s="113"/>
      <c r="P58" s="113"/>
      <c r="Q58" s="113"/>
      <c r="R58" s="113"/>
      <c r="S58" s="113"/>
    </row>
    <row r="59" spans="1:19" ht="16" x14ac:dyDescent="0.2">
      <c r="A59" s="84">
        <v>0.22916666666666699</v>
      </c>
      <c r="B59" s="85" t="s">
        <v>62</v>
      </c>
      <c r="C59" s="92">
        <f t="shared" si="13"/>
        <v>3952570</v>
      </c>
      <c r="D59" s="102">
        <v>3969680</v>
      </c>
      <c r="E59" s="86">
        <f t="shared" si="11"/>
        <v>17110</v>
      </c>
      <c r="F59" s="101">
        <v>17019</v>
      </c>
      <c r="G59" s="40">
        <v>0.83069999999999999</v>
      </c>
      <c r="H59" s="88">
        <f t="shared" si="12"/>
        <v>14137.683300000001</v>
      </c>
      <c r="I59" s="28">
        <v>251</v>
      </c>
      <c r="J59" s="28">
        <v>6723</v>
      </c>
      <c r="K59" s="115" t="s">
        <v>108</v>
      </c>
      <c r="L59" s="113"/>
      <c r="M59" s="113"/>
      <c r="N59" s="113"/>
      <c r="O59" s="113"/>
      <c r="P59" s="113"/>
      <c r="Q59" s="113"/>
      <c r="R59" s="113"/>
      <c r="S59" s="113"/>
    </row>
    <row r="60" spans="1:19" ht="16" x14ac:dyDescent="0.2">
      <c r="A60" s="84">
        <v>0.27430555555555503</v>
      </c>
      <c r="B60" s="85" t="s">
        <v>90</v>
      </c>
      <c r="C60" s="92">
        <f t="shared" si="13"/>
        <v>3969680</v>
      </c>
      <c r="D60" s="102">
        <v>3986790</v>
      </c>
      <c r="E60" s="86">
        <f t="shared" si="11"/>
        <v>17110</v>
      </c>
      <c r="F60" s="101">
        <v>17019</v>
      </c>
      <c r="G60" s="40">
        <v>0.83220000000000005</v>
      </c>
      <c r="H60" s="88">
        <f t="shared" si="12"/>
        <v>14163.211800000001</v>
      </c>
      <c r="I60" s="28">
        <v>251</v>
      </c>
      <c r="J60" s="28">
        <v>6725</v>
      </c>
      <c r="K60" s="206" t="s">
        <v>60</v>
      </c>
      <c r="L60" s="113"/>
      <c r="M60" s="113"/>
      <c r="N60" s="113"/>
      <c r="O60" s="113"/>
      <c r="P60" s="113"/>
      <c r="Q60" s="113"/>
      <c r="R60" s="113"/>
      <c r="S60" s="113"/>
    </row>
    <row r="61" spans="1:19" ht="16" x14ac:dyDescent="0.2">
      <c r="A61" s="84">
        <v>0.31944444444444398</v>
      </c>
      <c r="B61" s="85" t="s">
        <v>62</v>
      </c>
      <c r="C61" s="92">
        <f t="shared" si="13"/>
        <v>3986790</v>
      </c>
      <c r="D61" s="102">
        <v>4003900</v>
      </c>
      <c r="E61" s="86">
        <f t="shared" si="11"/>
        <v>17110</v>
      </c>
      <c r="F61" s="101">
        <v>17019</v>
      </c>
      <c r="G61" s="40">
        <v>0.83089999999999997</v>
      </c>
      <c r="H61" s="88">
        <f t="shared" si="12"/>
        <v>14141.087099999999</v>
      </c>
      <c r="I61" s="28">
        <v>251</v>
      </c>
      <c r="J61" s="28">
        <v>6726</v>
      </c>
      <c r="K61" s="115" t="s">
        <v>108</v>
      </c>
      <c r="L61" s="113"/>
      <c r="M61" s="113"/>
      <c r="N61" s="113"/>
      <c r="O61" s="113"/>
      <c r="P61" s="113"/>
      <c r="Q61" s="113"/>
      <c r="R61" s="113"/>
      <c r="S61" s="113"/>
    </row>
    <row r="62" spans="1:19" x14ac:dyDescent="0.2">
      <c r="A62" s="84"/>
      <c r="B62" s="85"/>
      <c r="C62" s="92"/>
      <c r="D62" s="102"/>
      <c r="E62" s="86">
        <f t="shared" si="11"/>
        <v>0</v>
      </c>
      <c r="F62" s="103">
        <f>SUM(D62-C62)</f>
        <v>0</v>
      </c>
      <c r="G62" s="40"/>
      <c r="H62" s="88">
        <f t="shared" si="12"/>
        <v>0</v>
      </c>
      <c r="I62" s="28"/>
      <c r="J62" s="28"/>
      <c r="K62" s="116"/>
      <c r="L62" s="113"/>
      <c r="M62" s="113"/>
      <c r="N62" s="113"/>
      <c r="O62" s="113"/>
      <c r="P62" s="113"/>
      <c r="Q62" s="113"/>
      <c r="R62" s="113"/>
      <c r="S62" s="113"/>
    </row>
    <row r="63" spans="1:19" x14ac:dyDescent="0.2">
      <c r="A63" s="84"/>
      <c r="B63" s="85"/>
      <c r="C63" s="92">
        <f>SUM(D62)</f>
        <v>0</v>
      </c>
      <c r="D63" s="102"/>
      <c r="E63" s="86">
        <f t="shared" si="11"/>
        <v>0</v>
      </c>
      <c r="F63" s="103">
        <f>SUM(D63-C63)</f>
        <v>0</v>
      </c>
      <c r="G63" s="40"/>
      <c r="H63" s="88">
        <f t="shared" si="12"/>
        <v>0</v>
      </c>
      <c r="I63" s="1"/>
      <c r="J63" s="28"/>
      <c r="L63" s="113"/>
      <c r="M63" s="113"/>
      <c r="N63" s="113"/>
      <c r="O63" s="113"/>
      <c r="P63" s="113"/>
      <c r="Q63" s="113"/>
      <c r="R63" s="113"/>
      <c r="S63" s="113"/>
    </row>
    <row r="64" spans="1:19" x14ac:dyDescent="0.2">
      <c r="A64" s="84"/>
      <c r="B64" s="85"/>
      <c r="C64" s="92">
        <f>SUM(D63)</f>
        <v>0</v>
      </c>
      <c r="D64" s="102"/>
      <c r="E64" s="86">
        <f t="shared" si="11"/>
        <v>0</v>
      </c>
      <c r="F64" s="103">
        <f>SUM(D64-C64)</f>
        <v>0</v>
      </c>
      <c r="G64" s="40"/>
      <c r="H64" s="88">
        <f t="shared" si="12"/>
        <v>0</v>
      </c>
      <c r="I64" s="1"/>
      <c r="J64" s="28"/>
      <c r="L64" s="113"/>
      <c r="M64" s="113"/>
      <c r="N64" s="113"/>
      <c r="O64" s="113"/>
      <c r="P64" s="113"/>
      <c r="Q64" s="113"/>
      <c r="R64" s="113"/>
      <c r="S64" s="113"/>
    </row>
    <row r="65" spans="1:19" x14ac:dyDescent="0.2">
      <c r="A65" s="84"/>
      <c r="B65" s="85"/>
      <c r="C65" s="92">
        <f>SUM(D64)</f>
        <v>0</v>
      </c>
      <c r="D65" s="70"/>
      <c r="E65" s="86">
        <f t="shared" si="11"/>
        <v>0</v>
      </c>
      <c r="F65" s="103">
        <f>SUM(D65-C65)</f>
        <v>0</v>
      </c>
      <c r="G65" s="40"/>
      <c r="H65" s="88">
        <f t="shared" si="12"/>
        <v>0</v>
      </c>
      <c r="I65" s="1"/>
      <c r="J65" s="28"/>
      <c r="L65" s="113"/>
      <c r="M65" s="113"/>
      <c r="N65" s="113"/>
      <c r="O65" s="113"/>
      <c r="P65" s="113"/>
      <c r="Q65" s="113"/>
      <c r="R65" s="113"/>
      <c r="S65" s="113"/>
    </row>
    <row r="66" spans="1:19" x14ac:dyDescent="0.2">
      <c r="A66" s="84"/>
      <c r="B66" s="85"/>
      <c r="C66" s="92">
        <f>SUM(D65)</f>
        <v>0</v>
      </c>
      <c r="D66" s="70"/>
      <c r="E66" s="86">
        <f t="shared" si="11"/>
        <v>0</v>
      </c>
      <c r="F66" s="103">
        <f>SUM(F34:F65)</f>
        <v>310275</v>
      </c>
      <c r="G66" s="40"/>
      <c r="H66" s="88">
        <f>SUM(H34:H65)</f>
        <v>257909.86109999998</v>
      </c>
      <c r="I66" s="1"/>
      <c r="J66" s="28"/>
      <c r="L66" s="113"/>
      <c r="M66" s="113"/>
      <c r="N66" s="113"/>
      <c r="O66" s="113"/>
      <c r="P66" s="113"/>
      <c r="Q66" s="113"/>
      <c r="R66" s="113"/>
      <c r="S66" s="113"/>
    </row>
    <row r="67" spans="1:19" x14ac:dyDescent="0.2">
      <c r="L67" s="113"/>
      <c r="M67" s="113"/>
      <c r="N67" s="113"/>
      <c r="O67" s="113"/>
      <c r="P67" s="113"/>
      <c r="Q67" s="113"/>
      <c r="R67" s="113"/>
      <c r="S67" s="113"/>
    </row>
    <row r="68" spans="1:19" x14ac:dyDescent="0.2">
      <c r="F68" s="92">
        <f>SUM(F32+F66)</f>
        <v>611570</v>
      </c>
      <c r="G68" s="40"/>
      <c r="H68" s="88">
        <f>SUM(H32+H66)</f>
        <v>510122.3787</v>
      </c>
      <c r="L68" s="113"/>
      <c r="M68" s="113"/>
      <c r="N68" s="113"/>
      <c r="O68" s="113"/>
      <c r="P68" s="113"/>
      <c r="Q68" s="113"/>
      <c r="R68" s="113"/>
      <c r="S68" s="113"/>
    </row>
    <row r="69" spans="1:19" x14ac:dyDescent="0.2">
      <c r="E69" s="113"/>
      <c r="L69" s="113"/>
      <c r="M69" s="113"/>
      <c r="N69" s="113"/>
      <c r="O69" s="113"/>
      <c r="P69" s="113"/>
      <c r="Q69" s="113"/>
      <c r="R69" s="113"/>
      <c r="S69" s="113"/>
    </row>
    <row r="70" spans="1:19" x14ac:dyDescent="0.2">
      <c r="E70" s="113"/>
      <c r="L70" s="113"/>
      <c r="M70" s="113"/>
      <c r="N70" s="113"/>
      <c r="O70" s="113"/>
      <c r="P70" s="113"/>
      <c r="Q70" s="113"/>
      <c r="R70" s="113"/>
      <c r="S70" s="113"/>
    </row>
    <row r="71" spans="1:19" x14ac:dyDescent="0.2">
      <c r="E71" s="113"/>
      <c r="L71" s="113"/>
      <c r="M71" s="113"/>
      <c r="N71" s="113"/>
      <c r="O71" s="113"/>
      <c r="P71" s="113"/>
      <c r="Q71" s="113"/>
      <c r="R71" s="113"/>
      <c r="S71" s="113"/>
    </row>
    <row r="72" spans="1:19" x14ac:dyDescent="0.2">
      <c r="E72" s="113"/>
      <c r="L72" s="113"/>
      <c r="M72" s="113"/>
      <c r="N72" s="113"/>
      <c r="O72" s="113"/>
      <c r="P72" s="113"/>
      <c r="Q72" s="113"/>
      <c r="R72" s="113"/>
      <c r="S72" s="113"/>
    </row>
    <row r="73" spans="1:19" x14ac:dyDescent="0.2">
      <c r="E73" s="113"/>
      <c r="L73" s="113"/>
      <c r="M73" s="113"/>
      <c r="N73" s="113"/>
      <c r="O73" s="113"/>
      <c r="P73" s="113"/>
      <c r="Q73" s="113"/>
      <c r="R73" s="113"/>
      <c r="S73" s="113"/>
    </row>
    <row r="74" spans="1:19" x14ac:dyDescent="0.2">
      <c r="E74" s="113"/>
      <c r="L74" s="113"/>
      <c r="M74" s="113"/>
      <c r="N74" s="113"/>
      <c r="O74" s="113"/>
      <c r="P74" s="113"/>
      <c r="Q74" s="113"/>
      <c r="R74" s="113"/>
      <c r="S74" s="113"/>
    </row>
    <row r="75" spans="1:19" x14ac:dyDescent="0.2">
      <c r="E75" s="113"/>
      <c r="L75" s="113"/>
      <c r="M75" s="113"/>
      <c r="N75" s="113"/>
      <c r="O75" s="113"/>
      <c r="P75" s="113"/>
      <c r="Q75" s="113"/>
      <c r="R75" s="113"/>
      <c r="S75" s="113"/>
    </row>
    <row r="76" spans="1:19" x14ac:dyDescent="0.2">
      <c r="E76" s="113"/>
      <c r="L76" s="113"/>
      <c r="M76" s="113"/>
      <c r="N76" s="113"/>
      <c r="O76" s="113"/>
      <c r="P76" s="113"/>
      <c r="Q76" s="113"/>
      <c r="R76" s="113"/>
      <c r="S76" s="113"/>
    </row>
    <row r="77" spans="1:19" x14ac:dyDescent="0.2">
      <c r="E77" s="113"/>
      <c r="L77" s="113"/>
      <c r="M77" s="113"/>
      <c r="N77" s="113"/>
      <c r="O77" s="113"/>
      <c r="P77" s="113"/>
      <c r="Q77" s="113"/>
      <c r="R77" s="113"/>
      <c r="S77" s="113"/>
    </row>
    <row r="78" spans="1:19" x14ac:dyDescent="0.2">
      <c r="E78" s="113"/>
      <c r="L78" s="113"/>
      <c r="M78" s="113"/>
      <c r="N78" s="113"/>
      <c r="O78" s="113"/>
      <c r="P78" s="113"/>
      <c r="Q78" s="113"/>
      <c r="R78" s="113"/>
      <c r="S78" s="113"/>
    </row>
    <row r="79" spans="1:19" x14ac:dyDescent="0.2">
      <c r="E79" s="113"/>
      <c r="L79" s="113"/>
      <c r="M79" s="113"/>
      <c r="N79" s="113"/>
      <c r="O79" s="113"/>
      <c r="P79" s="113"/>
      <c r="Q79" s="113"/>
      <c r="R79" s="113"/>
      <c r="S79" s="113"/>
    </row>
    <row r="80" spans="1:19" x14ac:dyDescent="0.2">
      <c r="E80" s="113"/>
      <c r="L80" s="113"/>
      <c r="M80" s="113"/>
      <c r="N80" s="113"/>
      <c r="O80" s="113"/>
      <c r="P80" s="113"/>
      <c r="Q80" s="113"/>
      <c r="R80" s="113"/>
      <c r="S80" s="113"/>
    </row>
    <row r="81" spans="5:19" x14ac:dyDescent="0.2">
      <c r="E81" s="113"/>
      <c r="L81" s="113"/>
      <c r="M81" s="113"/>
      <c r="N81" s="113"/>
      <c r="O81" s="113"/>
      <c r="P81" s="113"/>
      <c r="Q81" s="113"/>
      <c r="R81" s="113"/>
      <c r="S81" s="113"/>
    </row>
    <row r="82" spans="5:19" hidden="1" x14ac:dyDescent="0.2">
      <c r="E82" s="113"/>
      <c r="L82" s="113"/>
      <c r="M82" s="113"/>
      <c r="N82" s="113"/>
      <c r="O82" s="113"/>
      <c r="P82" s="113"/>
      <c r="Q82" s="113"/>
      <c r="R82" s="113"/>
      <c r="S82" s="113"/>
    </row>
    <row r="83" spans="5:19" hidden="1" x14ac:dyDescent="0.2">
      <c r="E83" s="113"/>
      <c r="L83" s="113"/>
      <c r="M83" s="113"/>
      <c r="N83" s="113"/>
      <c r="O83" s="113"/>
      <c r="P83" s="113"/>
      <c r="Q83" s="113"/>
      <c r="R83" s="113"/>
      <c r="S83" s="113"/>
    </row>
    <row r="84" spans="5:19" hidden="1" x14ac:dyDescent="0.2">
      <c r="E84" s="113"/>
      <c r="L84" s="113"/>
      <c r="M84" s="113"/>
      <c r="N84" s="113"/>
      <c r="O84" s="113"/>
      <c r="P84" s="113"/>
      <c r="Q84" s="113"/>
      <c r="R84" s="113"/>
      <c r="S84" s="113"/>
    </row>
    <row r="85" spans="5:19" hidden="1" x14ac:dyDescent="0.2">
      <c r="E85" s="113"/>
      <c r="L85" s="113"/>
      <c r="M85" s="113"/>
      <c r="N85" s="113"/>
      <c r="O85" s="113"/>
      <c r="P85" s="113"/>
      <c r="Q85" s="113"/>
      <c r="R85" s="113"/>
      <c r="S85" s="113"/>
    </row>
    <row r="86" spans="5:19" hidden="1" x14ac:dyDescent="0.2">
      <c r="E86" s="113"/>
      <c r="L86" s="113"/>
      <c r="M86" s="113"/>
      <c r="N86" s="113"/>
      <c r="O86" s="113"/>
      <c r="P86" s="113"/>
      <c r="Q86" s="113"/>
      <c r="R86" s="113"/>
      <c r="S86" s="113"/>
    </row>
    <row r="87" spans="5:19" x14ac:dyDescent="0.2">
      <c r="E87" s="113"/>
      <c r="L87" s="113"/>
      <c r="M87" s="113"/>
      <c r="N87" s="113"/>
      <c r="O87" s="113"/>
      <c r="P87" s="113"/>
      <c r="Q87" s="113"/>
      <c r="R87" s="113"/>
      <c r="S87" s="113"/>
    </row>
    <row r="88" spans="5:19" x14ac:dyDescent="0.2">
      <c r="E88" s="113"/>
      <c r="L88" s="113"/>
      <c r="M88" s="113"/>
      <c r="N88" s="113"/>
      <c r="O88" s="113"/>
      <c r="P88" s="113"/>
      <c r="Q88" s="113"/>
      <c r="R88" s="113"/>
      <c r="S88" s="113"/>
    </row>
    <row r="89" spans="5:19" x14ac:dyDescent="0.2">
      <c r="E89" s="113"/>
      <c r="L89" s="113"/>
      <c r="M89" s="113"/>
      <c r="N89" s="113"/>
      <c r="O89" s="113"/>
      <c r="P89" s="113"/>
      <c r="Q89" s="113"/>
      <c r="R89" s="113"/>
      <c r="S89" s="113"/>
    </row>
    <row r="90" spans="5:19" x14ac:dyDescent="0.2">
      <c r="E90" s="113"/>
    </row>
    <row r="91" spans="5:19" x14ac:dyDescent="0.2">
      <c r="E91" s="113"/>
    </row>
    <row r="92" spans="5:19" x14ac:dyDescent="0.2">
      <c r="E92" s="113"/>
    </row>
    <row r="93" spans="5:19" x14ac:dyDescent="0.2">
      <c r="E93" s="113"/>
    </row>
    <row r="94" spans="5:19" x14ac:dyDescent="0.2">
      <c r="E94" s="113"/>
    </row>
    <row r="95" spans="5:19" x14ac:dyDescent="0.2">
      <c r="E95" s="113"/>
    </row>
    <row r="96" spans="5:19" x14ac:dyDescent="0.2">
      <c r="E96" s="113"/>
    </row>
    <row r="97" spans="5:5" x14ac:dyDescent="0.2">
      <c r="E97" s="113"/>
    </row>
    <row r="98" spans="5:5" x14ac:dyDescent="0.2">
      <c r="E98" s="113"/>
    </row>
    <row r="99" spans="5:5" x14ac:dyDescent="0.2">
      <c r="E99" s="113"/>
    </row>
    <row r="100" spans="5:5" x14ac:dyDescent="0.2">
      <c r="E100" s="113"/>
    </row>
    <row r="101" spans="5:5" x14ac:dyDescent="0.2">
      <c r="E101" s="113"/>
    </row>
    <row r="102" spans="5:5" x14ac:dyDescent="0.2">
      <c r="E102" s="113"/>
    </row>
    <row r="103" spans="5:5" x14ac:dyDescent="0.2">
      <c r="E103" s="113"/>
    </row>
    <row r="104" spans="5:5" x14ac:dyDescent="0.2">
      <c r="E104" s="113"/>
    </row>
    <row r="105" spans="5:5" x14ac:dyDescent="0.2">
      <c r="E105" s="113"/>
    </row>
    <row r="106" spans="5:5" x14ac:dyDescent="0.2">
      <c r="E106" s="113"/>
    </row>
    <row r="107" spans="5:5" x14ac:dyDescent="0.2">
      <c r="E107" s="113"/>
    </row>
    <row r="108" spans="5:5" x14ac:dyDescent="0.2">
      <c r="E108" s="113"/>
    </row>
    <row r="109" spans="5:5" x14ac:dyDescent="0.2">
      <c r="E109" s="113"/>
    </row>
    <row r="110" spans="5:5" x14ac:dyDescent="0.2">
      <c r="E110" s="113"/>
    </row>
    <row r="111" spans="5:5" x14ac:dyDescent="0.2">
      <c r="E111" s="113"/>
    </row>
    <row r="112" spans="5:5" x14ac:dyDescent="0.2">
      <c r="E112" s="113"/>
    </row>
    <row r="113" spans="5:5" x14ac:dyDescent="0.2">
      <c r="E113" s="113"/>
    </row>
    <row r="114" spans="5:5" x14ac:dyDescent="0.2">
      <c r="E114" s="113"/>
    </row>
    <row r="115" spans="5:5" x14ac:dyDescent="0.2">
      <c r="E115" s="113"/>
    </row>
    <row r="116" spans="5:5" x14ac:dyDescent="0.2">
      <c r="E116" s="113"/>
    </row>
    <row r="117" spans="5:5" x14ac:dyDescent="0.2">
      <c r="E117" s="113"/>
    </row>
    <row r="118" spans="5:5" x14ac:dyDescent="0.2">
      <c r="E118" s="113"/>
    </row>
    <row r="119" spans="5:5" x14ac:dyDescent="0.2">
      <c r="E119" s="113"/>
    </row>
    <row r="120" spans="5:5" x14ac:dyDescent="0.2">
      <c r="E120" s="113"/>
    </row>
    <row r="121" spans="5:5" x14ac:dyDescent="0.2">
      <c r="E121" s="113"/>
    </row>
    <row r="122" spans="5:5" x14ac:dyDescent="0.2">
      <c r="E122" s="113"/>
    </row>
    <row r="123" spans="5:5" x14ac:dyDescent="0.2">
      <c r="E123" s="113"/>
    </row>
    <row r="124" spans="5:5" x14ac:dyDescent="0.2">
      <c r="E124" s="113"/>
    </row>
    <row r="125" spans="5:5" x14ac:dyDescent="0.2">
      <c r="E125" s="113"/>
    </row>
    <row r="126" spans="5:5" x14ac:dyDescent="0.2">
      <c r="E126" s="113"/>
    </row>
    <row r="127" spans="5:5" x14ac:dyDescent="0.2">
      <c r="E127" s="113"/>
    </row>
    <row r="128" spans="5:5" x14ac:dyDescent="0.2">
      <c r="E128" s="113"/>
    </row>
    <row r="129" spans="5:5" x14ac:dyDescent="0.2">
      <c r="E129" s="113"/>
    </row>
    <row r="130" spans="5:5" x14ac:dyDescent="0.2">
      <c r="E130" s="113"/>
    </row>
    <row r="131" spans="5:5" x14ac:dyDescent="0.2">
      <c r="E131" s="113"/>
    </row>
    <row r="132" spans="5:5" x14ac:dyDescent="0.2">
      <c r="E132" s="1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"/>
  <sheetViews>
    <sheetView tabSelected="1" zoomScale="65" zoomScaleNormal="65" workbookViewId="0">
      <selection activeCell="D48" sqref="D48"/>
    </sheetView>
  </sheetViews>
  <sheetFormatPr baseColWidth="10" defaultColWidth="8.83203125" defaultRowHeight="15" x14ac:dyDescent="0.2"/>
  <cols>
    <col min="1" max="1" width="13.6640625" style="61" customWidth="1"/>
    <col min="2" max="2" width="10.33203125" style="62" customWidth="1"/>
    <col min="3" max="4" width="18.1640625" style="63" customWidth="1"/>
    <col min="5" max="6" width="14" style="63" customWidth="1"/>
    <col min="7" max="7" width="13.5" style="61" customWidth="1"/>
    <col min="8" max="8" width="14.5" style="64" customWidth="1"/>
    <col min="9" max="10" width="14.33203125" style="65" customWidth="1"/>
    <col min="11" max="11" width="8.6640625" style="66" customWidth="1"/>
    <col min="12" max="12" width="12.1640625" style="65" customWidth="1"/>
    <col min="13" max="13" width="12.5" style="65" customWidth="1"/>
    <col min="14" max="14" width="18.5" style="65" customWidth="1"/>
    <col min="15" max="15" width="17.83203125" style="65" customWidth="1"/>
    <col min="16" max="16" width="13.83203125" style="65" customWidth="1"/>
    <col min="17" max="17" width="12.6640625" style="65" customWidth="1"/>
    <col min="18" max="18" width="12.83203125" style="65" customWidth="1"/>
    <col min="19" max="19" width="12.1640625" style="65" customWidth="1"/>
  </cols>
  <sheetData>
    <row r="1" spans="1:19" ht="48" x14ac:dyDescent="0.2">
      <c r="A1" s="40" t="s">
        <v>25</v>
      </c>
      <c r="B1" s="67" t="s">
        <v>26</v>
      </c>
      <c r="C1" s="68" t="s">
        <v>27</v>
      </c>
      <c r="D1" s="68" t="s">
        <v>28</v>
      </c>
      <c r="E1" s="68" t="s">
        <v>29</v>
      </c>
      <c r="F1" s="68" t="s">
        <v>29</v>
      </c>
      <c r="G1" s="68" t="s">
        <v>30</v>
      </c>
      <c r="H1" s="69" t="s">
        <v>31</v>
      </c>
      <c r="I1" s="70" t="s">
        <v>32</v>
      </c>
      <c r="J1" s="70" t="s">
        <v>3</v>
      </c>
      <c r="L1"/>
      <c r="M1"/>
      <c r="N1"/>
      <c r="O1"/>
      <c r="P1"/>
      <c r="Q1"/>
      <c r="R1"/>
      <c r="S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Альянс (СТС) РВ</vt:lpstr>
      <vt:lpstr>ТНЗ СТС СА</vt:lpstr>
      <vt:lpstr>ТНЗ СТС РВ</vt:lpstr>
      <vt:lpstr>01.06.2023</vt:lpstr>
      <vt:lpstr>02.06.2023</vt:lpstr>
      <vt:lpstr>03.06.2023</vt:lpstr>
      <vt:lpstr>04.06.2023</vt:lpstr>
      <vt:lpstr>05.06.2023</vt:lpstr>
      <vt:lpstr>06.06.2023</vt:lpstr>
      <vt:lpstr>07.06.2023</vt:lpstr>
      <vt:lpstr>08.06.2023</vt:lpstr>
      <vt:lpstr>09.06.2023</vt:lpstr>
      <vt:lpstr>10.06.2023</vt:lpstr>
      <vt:lpstr>11.06.2023</vt:lpstr>
      <vt:lpstr>12.06.2023</vt:lpstr>
      <vt:lpstr>13.06.2023</vt:lpstr>
      <vt:lpstr>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Microsoft Office User</cp:lastModifiedBy>
  <cp:revision>2</cp:revision>
  <cp:lastPrinted>2021-12-26T19:41:02Z</cp:lastPrinted>
  <dcterms:created xsi:type="dcterms:W3CDTF">2019-10-21T08:56:16Z</dcterms:created>
  <dcterms:modified xsi:type="dcterms:W3CDTF">2023-08-15T12:15:54Z</dcterms:modified>
  <dc:language>en-US</dc:language>
</cp:coreProperties>
</file>