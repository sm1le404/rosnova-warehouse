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E5BB5719-EAFB-E74F-B13A-E01592502CBD}" xr6:coauthVersionLast="43" xr6:coauthVersionMax="43" xr10:uidLastSave="{00000000-0000-0000-0000-000000000000}"/>
  <bookViews>
    <workbookView xWindow="0" yWindow="500" windowWidth="16380" windowHeight="820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1" l="1"/>
  <c r="K44" i="1"/>
  <c r="I44" i="1"/>
  <c r="G48" i="1" s="1"/>
  <c r="D44" i="1"/>
  <c r="C44" i="1"/>
  <c r="B44" i="1"/>
  <c r="J44" i="1" s="1"/>
  <c r="G50" i="1" s="1"/>
  <c r="J43" i="1"/>
  <c r="F43" i="1"/>
  <c r="G43" i="1" s="1"/>
  <c r="H43" i="1" s="1"/>
  <c r="N43" i="1" s="1"/>
  <c r="O43" i="1" s="1"/>
  <c r="J42" i="1"/>
  <c r="F42" i="1"/>
  <c r="G42" i="1" s="1"/>
  <c r="H42" i="1" s="1"/>
  <c r="N42" i="1" s="1"/>
  <c r="O42" i="1" s="1"/>
  <c r="J41" i="1"/>
  <c r="F41" i="1"/>
  <c r="G41" i="1" s="1"/>
  <c r="H41" i="1" s="1"/>
  <c r="N41" i="1" s="1"/>
  <c r="O41" i="1" s="1"/>
  <c r="J40" i="1"/>
  <c r="F40" i="1"/>
  <c r="G40" i="1" s="1"/>
  <c r="H40" i="1" s="1"/>
  <c r="N40" i="1" s="1"/>
  <c r="O40" i="1" s="1"/>
  <c r="J39" i="1"/>
  <c r="F39" i="1"/>
  <c r="F44" i="1" s="1"/>
  <c r="G44" i="1" s="1"/>
  <c r="M37" i="1"/>
  <c r="M44" i="1" s="1"/>
  <c r="G39" i="1" l="1"/>
  <c r="H39" i="1" s="1"/>
  <c r="N39" i="1" l="1"/>
  <c r="O39" i="1" s="1"/>
  <c r="O44" i="1" s="1"/>
  <c r="H44" i="1"/>
  <c r="G47" i="1" l="1"/>
  <c r="N44" i="1"/>
  <c r="G51" i="1"/>
  <c r="G49" i="1"/>
  <c r="P44" i="1"/>
  <c r="Q44" i="1" s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<sst xmlns="http://schemas.openxmlformats.org/spreadsheetml/2006/main" count="72" uniqueCount="62">
  <si>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</si>
  <si>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</si>
  <si>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</si>
  <si>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</si>
  <si>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</si>
  <si>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</si>
  <si>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</si>
  <si>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</si>
  <si>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</si>
  <si>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</si>
  <si>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</si>
  <si>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>Свидетельство о поверке № С-БН/28-09-2022/189330183</t>
  </si>
  <si>
    <t>Действительно до 07.08.2024г.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</si>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</sst>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11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1"/>
    </font>
    <font>
      <b/>
      <sz val="12"/>
      <color rgb="FFFFFFFF"/>
      <name val="Calibri"/>
      <family val="2"/>
      <charset val="204"/>
    </font>
    <font>
      <sz val="12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7" fillId="2" borderId="1" applyProtection="0"/>
  </cellStyleXfs>
  <cellXfs count="95">
    <xf numFmtId="0" fontId="0" fillId="0" borderId="0" xfId="0"/>
    <xf numFmtId="0" fontId="2" fillId="0" borderId="1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49" fontId="2" fillId="0" borderId="0" xfId="0" applyNumberFormat="1" applyFont="1" applyBorder="1" applyAlignment="1">
      <alignment horizontal="left"/>
    </xf>
    <xf numFmtId="164" fontId="1" fillId="0" borderId="0" xfId="0" applyNumberFormat="1" applyFont="1" applyBorder="1" applyAlignment="1">
      <alignment horizontal="right"/>
    </xf>
    <xf numFmtId="164" fontId="1" fillId="0" borderId="0" xfId="0" applyNumberFormat="1" applyFont="1" applyBorder="1" applyAlignment="1">
      <alignment horizontal="left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167" fontId="1" fillId="0" borderId="16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6" fillId="0" borderId="19" xfId="1" applyFont="1" applyFill="1" applyBorder="1" applyAlignment="1" applyProtection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19" xfId="0" applyFont="1" applyBorder="1"/>
    <xf numFmtId="3" fontId="1" fillId="0" borderId="19" xfId="0" applyNumberFormat="1" applyFont="1" applyBorder="1" applyAlignment="1">
      <alignment horizontal="center" vertical="center"/>
    </xf>
    <xf numFmtId="166" fontId="8" fillId="0" borderId="19" xfId="1" applyNumberFormat="1" applyFont="1" applyFill="1" applyBorder="1" applyAlignment="1" applyProtection="1">
      <alignment horizontal="center" vertical="center"/>
    </xf>
    <xf numFmtId="167" fontId="8" fillId="0" borderId="19" xfId="1" applyNumberFormat="1" applyFont="1" applyFill="1" applyBorder="1" applyAlignment="1" applyProtection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3" fontId="2" fillId="0" borderId="19" xfId="0" applyNumberFormat="1" applyFont="1" applyBorder="1" applyAlignment="1">
      <alignment horizontal="center" vertical="center"/>
    </xf>
    <xf numFmtId="1" fontId="8" fillId="0" borderId="19" xfId="1" applyNumberFormat="1" applyFont="1" applyFill="1" applyBorder="1" applyAlignment="1" applyProtection="1">
      <alignment horizontal="center" vertical="center"/>
    </xf>
    <xf numFmtId="3" fontId="1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167" fontId="2" fillId="0" borderId="29" xfId="0" applyNumberFormat="1" applyFont="1" applyBorder="1" applyAlignment="1">
      <alignment horizontal="center" vertical="center"/>
    </xf>
    <xf numFmtId="3" fontId="2" fillId="0" borderId="30" xfId="0" applyNumberFormat="1" applyFont="1" applyBorder="1" applyAlignment="1">
      <alignment horizontal="center" vertical="center"/>
    </xf>
    <xf numFmtId="1" fontId="2" fillId="0" borderId="31" xfId="0" applyNumberFormat="1" applyFont="1" applyBorder="1" applyAlignment="1">
      <alignment horizontal="center" vertical="center"/>
    </xf>
    <xf numFmtId="0" fontId="0" fillId="0" borderId="32" xfId="0" applyBorder="1"/>
    <xf numFmtId="167" fontId="2" fillId="0" borderId="13" xfId="0" applyNumberFormat="1" applyFont="1" applyBorder="1" applyAlignment="1">
      <alignment horizontal="center" vertical="center"/>
    </xf>
    <xf numFmtId="167" fontId="2" fillId="0" borderId="19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3" fontId="2" fillId="0" borderId="33" xfId="0" applyNumberFormat="1" applyFont="1" applyBorder="1" applyAlignment="1">
      <alignment horizontal="center" vertical="center"/>
    </xf>
    <xf numFmtId="0" fontId="0" fillId="0" borderId="33" xfId="0" applyBorder="1"/>
    <xf numFmtId="167" fontId="2" fillId="0" borderId="34" xfId="0" applyNumberFormat="1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/>
    </xf>
    <xf numFmtId="167" fontId="2" fillId="0" borderId="36" xfId="0" applyNumberFormat="1" applyFont="1" applyBorder="1" applyAlignment="1">
      <alignment horizontal="center" vertical="center"/>
    </xf>
    <xf numFmtId="0" fontId="0" fillId="0" borderId="37" xfId="0" applyBorder="1"/>
    <xf numFmtId="0" fontId="1" fillId="0" borderId="19" xfId="0" applyFont="1" applyBorder="1"/>
    <xf numFmtId="3" fontId="1" fillId="0" borderId="19" xfId="0" applyNumberFormat="1" applyFont="1" applyBorder="1"/>
    <xf numFmtId="3" fontId="1" fillId="0" borderId="20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8" fontId="1" fillId="0" borderId="38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4" xfId="0" applyNumberFormat="1" applyFont="1" applyBorder="1" applyAlignment="1">
      <alignment horizontal="center"/>
    </xf>
    <xf numFmtId="1" fontId="1" fillId="0" borderId="25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9" fillId="0" borderId="10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/>
    <xf numFmtId="0" fontId="10" fillId="0" borderId="0" xfId="0" applyFont="1"/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16" zoomScale="75" zoomScaleNormal="75" workbookViewId="0">
      <selection activeCell="A47" sqref="A47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26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11"/>
      <c r="C1" s="12" t="s">
        <v>0</v>
      </c>
      <c r="D1" s="13"/>
      <c r="E1" s="11"/>
      <c r="F1" s="11"/>
      <c r="G1" s="11"/>
      <c r="H1" s="11"/>
      <c r="I1" s="11"/>
      <c r="J1" s="11"/>
    </row>
    <row r="2" spans="1:10" ht="19" x14ac:dyDescent="0.25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4"/>
    </row>
    <row r="3" spans="1:10" ht="19" x14ac:dyDescent="0.25">
      <c r="A3" s="15" t="s">
        <v>2</v>
      </c>
      <c r="B3" s="9"/>
      <c r="C3" s="9"/>
      <c r="D3" s="15"/>
      <c r="E3" s="15"/>
      <c r="F3" s="15"/>
      <c r="G3" s="15"/>
      <c r="H3" s="15"/>
      <c r="I3" s="15"/>
      <c r="J3" s="15"/>
    </row>
    <row r="4" spans="1:10" ht="9.75" customHeight="1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</row>
    <row r="5" spans="1:10" ht="19" x14ac:dyDescent="0.25">
      <c r="A5" s="8" t="s">
        <v>3</v>
      </c>
      <c r="B5" s="8"/>
      <c r="C5" s="8"/>
      <c r="D5" s="8"/>
      <c r="E5" s="8"/>
      <c r="F5" s="14"/>
      <c r="G5" s="14"/>
      <c r="H5" s="14"/>
      <c r="I5" s="14"/>
      <c r="J5" s="14"/>
    </row>
    <row r="6" spans="1:10" ht="19" x14ac:dyDescent="0.25">
      <c r="A6" s="8"/>
      <c r="B6" s="8"/>
      <c r="C6" s="8"/>
      <c r="D6" s="8"/>
      <c r="E6" s="8"/>
      <c r="F6" s="8"/>
      <c r="G6" s="8"/>
      <c r="H6" s="8"/>
      <c r="I6" s="11"/>
      <c r="J6" s="11"/>
    </row>
    <row r="7" spans="1:10" ht="9" customHeight="1" x14ac:dyDescent="0.25">
      <c r="A7" s="16"/>
      <c r="B7" s="16"/>
      <c r="C7" s="16"/>
      <c r="D7" s="16"/>
      <c r="E7" s="16"/>
      <c r="F7" s="16"/>
      <c r="G7" s="16"/>
      <c r="H7" s="16"/>
      <c r="I7" s="11"/>
      <c r="J7" s="11"/>
    </row>
    <row r="8" spans="1:10" ht="19" x14ac:dyDescent="0.25">
      <c r="A8" s="16" t="s">
        <v>4</v>
      </c>
      <c r="B8" s="16"/>
      <c r="C8" s="16"/>
      <c r="D8" s="16"/>
      <c r="E8" s="16"/>
      <c r="F8" s="16"/>
      <c r="G8" s="16"/>
      <c r="H8" s="16"/>
      <c r="I8" s="11"/>
      <c r="J8" s="11"/>
    </row>
    <row r="9" spans="1:10" ht="19" x14ac:dyDescent="0.25">
      <c r="A9" s="16"/>
      <c r="B9" s="16"/>
      <c r="C9" s="16"/>
      <c r="D9" s="16"/>
      <c r="E9" s="16"/>
      <c r="F9" s="16"/>
      <c r="G9" s="16"/>
      <c r="H9" s="16"/>
      <c r="I9" s="11"/>
      <c r="J9" s="11"/>
    </row>
    <row r="10" spans="1:10" ht="0.75" customHeight="1" x14ac:dyDescent="0.25">
      <c r="A10" s="16"/>
      <c r="B10" s="16"/>
      <c r="C10" s="16"/>
      <c r="D10" s="16"/>
      <c r="E10" s="16"/>
      <c r="F10" s="16"/>
      <c r="G10" s="16"/>
      <c r="H10" s="16"/>
      <c r="I10" s="11"/>
      <c r="J10" s="11"/>
    </row>
    <row r="11" spans="1:10" ht="19" x14ac:dyDescent="0.25">
      <c r="A11" s="7" t="s">
        <v>5</v>
      </c>
      <c r="B11" s="7"/>
      <c r="C11" s="7"/>
      <c r="D11" s="7"/>
      <c r="E11" s="6"/>
      <c r="F11" s="6"/>
      <c r="G11" s="6"/>
      <c r="H11" s="16"/>
      <c r="I11" s="14"/>
      <c r="J11" s="14"/>
    </row>
    <row r="12" spans="1:10" ht="19" x14ac:dyDescent="0.25">
      <c r="A12" s="16" t="s">
        <v>6</v>
      </c>
      <c r="B12" s="13"/>
      <c r="D12" s="12"/>
      <c r="E12" s="12"/>
      <c r="F12" s="5"/>
      <c r="G12" s="5"/>
      <c r="H12" s="17"/>
      <c r="I12" s="14"/>
      <c r="J12" s="14"/>
    </row>
    <row r="13" spans="1:10" ht="19" hidden="1" x14ac:dyDescent="0.25">
      <c r="A13" s="16"/>
      <c r="B13" s="4"/>
      <c r="C13" s="4"/>
      <c r="D13" s="17"/>
      <c r="E13" s="13"/>
      <c r="F13" s="13"/>
      <c r="G13" s="13"/>
      <c r="H13" s="13"/>
      <c r="I13" s="14"/>
      <c r="J13" s="14"/>
    </row>
    <row r="14" spans="1:10" ht="18" hidden="1" customHeight="1" x14ac:dyDescent="0.25">
      <c r="A14" s="16"/>
      <c r="B14" s="4"/>
      <c r="C14" s="4"/>
      <c r="D14" s="17"/>
      <c r="E14" s="13"/>
      <c r="F14" s="13"/>
      <c r="G14" s="13"/>
      <c r="H14" s="13"/>
      <c r="I14" s="14"/>
      <c r="J14" s="14"/>
    </row>
    <row r="15" spans="1:10" ht="19.5" customHeight="1" x14ac:dyDescent="0.25">
      <c r="A15" s="16"/>
      <c r="B15" s="13"/>
      <c r="C15" s="16"/>
      <c r="D15" s="13"/>
      <c r="E15" s="13"/>
      <c r="F15" s="13"/>
      <c r="G15" s="13"/>
      <c r="H15" s="13"/>
      <c r="I15" s="14"/>
      <c r="J15" s="14"/>
    </row>
    <row r="16" spans="1:10" ht="19" x14ac:dyDescent="0.25">
      <c r="A16" s="16" t="s">
        <v>7</v>
      </c>
      <c r="B16" s="13"/>
      <c r="D16" s="16" t="s">
        <v>8</v>
      </c>
      <c r="E16" s="16"/>
      <c r="F16" s="15"/>
      <c r="G16" s="13"/>
      <c r="H16" s="13"/>
      <c r="I16" s="14"/>
      <c r="J16" s="14"/>
    </row>
    <row r="17" spans="1:11" ht="19" x14ac:dyDescent="0.25">
      <c r="A17" s="16"/>
      <c r="B17" s="13"/>
      <c r="C17" s="16"/>
      <c r="D17" s="13"/>
      <c r="E17" s="13"/>
      <c r="F17" s="13"/>
      <c r="G17" s="13"/>
      <c r="H17" s="13"/>
      <c r="I17" s="14"/>
      <c r="J17" s="14"/>
    </row>
    <row r="18" spans="1:11" ht="19" x14ac:dyDescent="0.25">
      <c r="A18" s="16" t="s">
        <v>9</v>
      </c>
      <c r="B18" s="13"/>
      <c r="C18" s="16"/>
      <c r="D18" s="13"/>
      <c r="E18" s="13"/>
      <c r="F18" s="13"/>
      <c r="G18" s="13"/>
      <c r="H18" s="13"/>
      <c r="I18" s="14"/>
      <c r="J18" s="14"/>
    </row>
    <row r="19" spans="1:11" ht="19" x14ac:dyDescent="0.25">
      <c r="A19" s="16" t="s">
        <v>10</v>
      </c>
      <c r="B19" s="13"/>
      <c r="C19" s="16"/>
      <c r="D19" s="16"/>
      <c r="E19" s="13"/>
      <c r="F19" s="13"/>
      <c r="G19" s="13"/>
      <c r="H19" s="13"/>
      <c r="I19" s="14"/>
      <c r="J19" s="14"/>
    </row>
    <row r="20" spans="1:11" ht="19" x14ac:dyDescent="0.25">
      <c r="A20" s="16" t="s">
        <v>11</v>
      </c>
      <c r="B20" s="13"/>
      <c r="C20" s="16"/>
      <c r="D20" s="16" t="s">
        <v>12</v>
      </c>
      <c r="E20" s="13"/>
      <c r="F20" s="13"/>
      <c r="G20" s="13"/>
      <c r="H20" s="13"/>
      <c r="I20" s="14"/>
      <c r="J20" s="14"/>
    </row>
    <row r="21" spans="1:11" ht="19" hidden="1" x14ac:dyDescent="0.25">
      <c r="A21" s="16" t="s">
        <v>13</v>
      </c>
      <c r="B21" s="13"/>
      <c r="C21" s="16"/>
      <c r="D21" s="13"/>
      <c r="E21" s="16" t="s">
        <v>14</v>
      </c>
      <c r="F21" s="16"/>
      <c r="G21" s="3" t="s">
        <v>15</v>
      </c>
      <c r="H21" s="3"/>
      <c r="I21" s="14"/>
      <c r="J21" s="14"/>
    </row>
    <row r="22" spans="1:11" ht="19" hidden="1" x14ac:dyDescent="0.25">
      <c r="A22" s="16" t="s">
        <v>16</v>
      </c>
      <c r="B22" s="16"/>
      <c r="C22" s="16"/>
      <c r="D22" s="16"/>
      <c r="E22" s="16" t="s">
        <v>14</v>
      </c>
      <c r="F22" s="16"/>
      <c r="G22" s="3" t="s">
        <v>17</v>
      </c>
      <c r="H22" s="3"/>
      <c r="I22" s="14"/>
      <c r="J22" s="14"/>
    </row>
    <row r="23" spans="1:11" ht="19" hidden="1" x14ac:dyDescent="0.25">
      <c r="A23" s="18" t="s">
        <v>18</v>
      </c>
      <c r="B23" s="19"/>
      <c r="C23" s="19"/>
      <c r="D23" s="19"/>
      <c r="E23" s="19"/>
      <c r="F23" s="19"/>
      <c r="G23" s="19"/>
      <c r="H23" s="19"/>
      <c r="I23" s="20"/>
      <c r="J23" s="20"/>
      <c r="K23" s="21"/>
    </row>
    <row r="24" spans="1:11" ht="19" hidden="1" x14ac:dyDescent="0.25">
      <c r="A24" s="22" t="s">
        <v>19</v>
      </c>
      <c r="B24" s="23" t="s">
        <v>20</v>
      </c>
      <c r="C24" s="23" t="s">
        <v>20</v>
      </c>
      <c r="D24" s="23" t="s">
        <v>20</v>
      </c>
      <c r="E24" s="23" t="s">
        <v>20</v>
      </c>
      <c r="F24" s="23" t="s">
        <v>20</v>
      </c>
      <c r="G24" s="23" t="s">
        <v>20</v>
      </c>
      <c r="H24" s="23" t="s">
        <v>20</v>
      </c>
      <c r="I24" s="23" t="s">
        <v>20</v>
      </c>
      <c r="J24" s="23"/>
      <c r="K24" s="24"/>
    </row>
    <row r="25" spans="1:11" ht="19" hidden="1" x14ac:dyDescent="0.25">
      <c r="A25" s="25"/>
      <c r="B25" s="26">
        <v>20520986</v>
      </c>
      <c r="C25" s="26">
        <v>20520987</v>
      </c>
      <c r="D25" s="26">
        <v>20520988</v>
      </c>
      <c r="E25" s="26">
        <v>20520989</v>
      </c>
      <c r="F25" s="26"/>
      <c r="G25" s="26"/>
      <c r="H25" s="27"/>
      <c r="I25" s="28"/>
      <c r="J25" s="28"/>
      <c r="K25" s="29"/>
    </row>
    <row r="26" spans="1:11" ht="19" hidden="1" x14ac:dyDescent="0.25">
      <c r="A26" s="16" t="s">
        <v>21</v>
      </c>
      <c r="C26" s="12"/>
      <c r="D26" s="30" t="s">
        <v>22</v>
      </c>
      <c r="E26" s="5"/>
      <c r="F26" s="5"/>
      <c r="G26" s="16" t="s">
        <v>23</v>
      </c>
      <c r="H26" s="16"/>
      <c r="I26" s="23"/>
      <c r="J26" s="23"/>
    </row>
    <row r="27" spans="1:11" ht="9.75" customHeight="1" x14ac:dyDescent="0.25">
      <c r="A27" s="13"/>
      <c r="B27" s="13"/>
      <c r="C27" s="13"/>
      <c r="D27" s="13"/>
      <c r="E27" s="13"/>
      <c r="F27" s="13"/>
      <c r="G27" s="13"/>
      <c r="H27" s="13"/>
      <c r="I27" s="14"/>
      <c r="J27" s="14"/>
    </row>
    <row r="28" spans="1:11" ht="19" x14ac:dyDescent="0.25">
      <c r="A28" s="15" t="s">
        <v>24</v>
      </c>
      <c r="B28" s="15"/>
      <c r="D28" s="9"/>
      <c r="E28" s="9"/>
      <c r="F28" s="31"/>
    </row>
    <row r="29" spans="1:11" ht="19" x14ac:dyDescent="0.25">
      <c r="A29" s="15" t="s">
        <v>25</v>
      </c>
      <c r="B29" s="15"/>
      <c r="D29" s="9"/>
      <c r="E29" s="9"/>
      <c r="F29" s="31"/>
    </row>
    <row r="30" spans="1:11" ht="19" x14ac:dyDescent="0.25">
      <c r="A30" s="15" t="s">
        <v>26</v>
      </c>
      <c r="B30" s="2"/>
      <c r="C30" s="2"/>
      <c r="D30" s="15"/>
      <c r="E30" s="15"/>
      <c r="F30" s="15"/>
      <c r="G30" s="15"/>
      <c r="H30" s="15"/>
      <c r="I30" s="15"/>
      <c r="J30" s="15"/>
    </row>
    <row r="31" spans="1:11" ht="19" x14ac:dyDescent="0.25">
      <c r="A31" s="15" t="s">
        <v>27</v>
      </c>
      <c r="B31" s="2"/>
      <c r="C31" s="2"/>
      <c r="D31" s="15"/>
      <c r="E31" s="15"/>
      <c r="F31" s="15"/>
      <c r="G31" s="15"/>
      <c r="H31" s="15"/>
      <c r="I31" s="15"/>
      <c r="J31" s="15"/>
    </row>
    <row r="32" spans="1:11" ht="19" x14ac:dyDescent="0.25">
      <c r="A32" s="15" t="s">
        <v>28</v>
      </c>
      <c r="B32" s="15"/>
      <c r="D32" s="13"/>
      <c r="F32" s="15"/>
      <c r="G32" s="15"/>
      <c r="H32" s="15"/>
      <c r="I32" s="15"/>
      <c r="J32" s="15"/>
    </row>
    <row r="33" spans="1:17" ht="19" x14ac:dyDescent="0.25">
      <c r="A33" s="1" t="s">
        <v>29</v>
      </c>
      <c r="B33" s="1"/>
      <c r="D33" s="32"/>
      <c r="E33" s="32"/>
      <c r="F33" s="32"/>
      <c r="G33" s="32"/>
      <c r="H33" s="32"/>
      <c r="I33" s="32"/>
      <c r="J33" s="32"/>
      <c r="K33" s="32"/>
      <c r="L33" s="32"/>
      <c r="M33" s="32"/>
    </row>
    <row r="34" spans="1:17" ht="19" x14ac:dyDescent="0.25">
      <c r="A34" s="33" t="s">
        <v>30</v>
      </c>
      <c r="B34" s="34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</row>
    <row r="35" spans="1:17" ht="19" x14ac:dyDescent="0.25">
      <c r="A35" s="35" t="s">
        <v>31</v>
      </c>
      <c r="B35" s="36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</row>
    <row r="36" spans="1:17" ht="19" x14ac:dyDescent="0.25">
      <c r="A36" s="37" t="s">
        <v>32</v>
      </c>
      <c r="B36" s="38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</row>
    <row r="37" spans="1:17" ht="16" x14ac:dyDescent="0.2">
      <c r="A37" s="39"/>
      <c r="B37" s="40"/>
      <c r="C37" s="40"/>
      <c r="D37" s="40"/>
      <c r="E37" s="40"/>
      <c r="F37" s="41"/>
      <c r="G37" s="41"/>
      <c r="H37" s="41"/>
      <c r="I37" s="41"/>
      <c r="J37" s="41"/>
      <c r="K37" s="42">
        <v>0.65</v>
      </c>
      <c r="L37" s="43">
        <v>4.0000000000000002E-4</v>
      </c>
      <c r="M37" s="44">
        <f>K37+L37</f>
        <v>0.65039999999999998</v>
      </c>
      <c r="N37" s="41"/>
      <c r="O37" s="41"/>
    </row>
    <row r="38" spans="1:17" ht="171.75" customHeight="1" x14ac:dyDescent="0.2">
      <c r="A38" s="45"/>
      <c r="B38" s="45"/>
      <c r="C38" s="46" t="s">
        <v>33</v>
      </c>
      <c r="D38" s="46" t="s">
        <v>34</v>
      </c>
      <c r="E38" s="47" t="s">
        <v>35</v>
      </c>
      <c r="F38" s="47" t="s">
        <v>36</v>
      </c>
      <c r="G38" s="47" t="s">
        <v>37</v>
      </c>
      <c r="H38" s="47" t="s">
        <v>38</v>
      </c>
      <c r="I38" s="46" t="s">
        <v>39</v>
      </c>
      <c r="J38" s="48" t="s">
        <v>40</v>
      </c>
      <c r="K38" s="49" t="s">
        <v>41</v>
      </c>
      <c r="L38" s="50" t="s">
        <v>42</v>
      </c>
      <c r="M38" s="51" t="s">
        <v>43</v>
      </c>
      <c r="N38" s="52" t="s">
        <v>44</v>
      </c>
      <c r="O38" s="53" t="s">
        <v>45</v>
      </c>
      <c r="P38" s="54" t="s">
        <v>46</v>
      </c>
    </row>
    <row r="39" spans="1:17" ht="19" x14ac:dyDescent="0.25">
      <c r="A39" s="55" t="s">
        <v>47</v>
      </c>
      <c r="B39" s="56"/>
      <c r="C39" s="57"/>
      <c r="D39" s="58"/>
      <c r="E39" s="59"/>
      <c r="F39" s="60">
        <f>B39*B35</f>
        <v>0</v>
      </c>
      <c r="G39" s="60" t="e">
        <f t="shared" ref="G39:G44" si="0">F39/C39</f>
        <v>#DIV/0!</v>
      </c>
      <c r="H39" s="60" t="e">
        <f>IF(B39-G39&lt;0,0,B39-G39)</f>
        <v>#DIV/0!</v>
      </c>
      <c r="I39" s="61">
        <v>0</v>
      </c>
      <c r="J39" s="62">
        <f t="shared" ref="J39:J44" si="1">B39-I39</f>
        <v>0</v>
      </c>
      <c r="K39" s="63"/>
      <c r="L39" s="64"/>
      <c r="M39" s="65"/>
      <c r="N39" s="66" t="e">
        <f t="shared" ref="N39:N44" si="2">H39-I39</f>
        <v>#DIV/0!</v>
      </c>
      <c r="O39" s="67" t="e">
        <f>N39*C39</f>
        <v>#DIV/0!</v>
      </c>
      <c r="P39" s="68"/>
    </row>
    <row r="40" spans="1:17" ht="19" x14ac:dyDescent="0.25">
      <c r="A40" s="55" t="s">
        <v>48</v>
      </c>
      <c r="B40" s="56"/>
      <c r="C40" s="57"/>
      <c r="D40" s="58"/>
      <c r="E40" s="59"/>
      <c r="F40" s="60">
        <f>B40*B35</f>
        <v>0</v>
      </c>
      <c r="G40" s="60" t="e">
        <f t="shared" si="0"/>
        <v>#DIV/0!</v>
      </c>
      <c r="H40" s="60" t="e">
        <f>IF(B40-G40&lt;0,0,B40-G40)</f>
        <v>#DIV/0!</v>
      </c>
      <c r="I40" s="61">
        <v>0</v>
      </c>
      <c r="J40" s="62">
        <f t="shared" si="1"/>
        <v>0</v>
      </c>
      <c r="K40" s="69"/>
      <c r="L40" s="70"/>
      <c r="M40" s="71"/>
      <c r="N40" s="72" t="e">
        <f t="shared" si="2"/>
        <v>#DIV/0!</v>
      </c>
      <c r="O40" s="67" t="e">
        <f>N40*C40</f>
        <v>#DIV/0!</v>
      </c>
      <c r="P40" s="73"/>
    </row>
    <row r="41" spans="1:17" ht="19" x14ac:dyDescent="0.25">
      <c r="A41" s="55" t="s">
        <v>49</v>
      </c>
      <c r="B41" s="56"/>
      <c r="C41" s="57"/>
      <c r="D41" s="58"/>
      <c r="E41" s="59"/>
      <c r="F41" s="60">
        <f>B41*B35</f>
        <v>0</v>
      </c>
      <c r="G41" s="60" t="e">
        <f t="shared" si="0"/>
        <v>#DIV/0!</v>
      </c>
      <c r="H41" s="60" t="e">
        <f>IF(B41-G41&lt;0,0,B41-G41)</f>
        <v>#DIV/0!</v>
      </c>
      <c r="I41" s="61">
        <v>0</v>
      </c>
      <c r="J41" s="62">
        <f t="shared" si="1"/>
        <v>0</v>
      </c>
      <c r="K41" s="69"/>
      <c r="L41" s="70"/>
      <c r="M41" s="71"/>
      <c r="N41" s="72" t="e">
        <f t="shared" si="2"/>
        <v>#DIV/0!</v>
      </c>
      <c r="O41" s="67" t="e">
        <f>N41*C41</f>
        <v>#DIV/0!</v>
      </c>
      <c r="P41" s="73"/>
    </row>
    <row r="42" spans="1:17" ht="19" x14ac:dyDescent="0.25">
      <c r="A42" s="55" t="s">
        <v>50</v>
      </c>
      <c r="B42" s="56"/>
      <c r="C42" s="57"/>
      <c r="D42" s="58"/>
      <c r="E42" s="59"/>
      <c r="F42" s="60">
        <f>B42*B35</f>
        <v>0</v>
      </c>
      <c r="G42" s="60" t="e">
        <f t="shared" si="0"/>
        <v>#DIV/0!</v>
      </c>
      <c r="H42" s="60" t="e">
        <f>IF(B42-G42&lt;0,0,B42-G42)</f>
        <v>#DIV/0!</v>
      </c>
      <c r="I42" s="61">
        <v>0</v>
      </c>
      <c r="J42" s="62">
        <f t="shared" si="1"/>
        <v>0</v>
      </c>
      <c r="K42" s="74"/>
      <c r="L42" s="75"/>
      <c r="M42" s="76"/>
      <c r="N42" s="72" t="e">
        <f t="shared" si="2"/>
        <v>#DIV/0!</v>
      </c>
      <c r="O42" s="67" t="e">
        <f>N42*C42</f>
        <v>#DIV/0!</v>
      </c>
      <c r="P42" s="77"/>
    </row>
    <row r="43" spans="1:17" ht="19" x14ac:dyDescent="0.25">
      <c r="A43" s="55" t="s">
        <v>51</v>
      </c>
      <c r="B43" s="56"/>
      <c r="C43" s="57"/>
      <c r="D43" s="58"/>
      <c r="E43" s="59"/>
      <c r="F43" s="60">
        <f>B43*B35</f>
        <v>0</v>
      </c>
      <c r="G43" s="60" t="e">
        <f t="shared" si="0"/>
        <v>#DIV/0!</v>
      </c>
      <c r="H43" s="60" t="e">
        <f>IF(B43-G43&lt;0,0,B43-G43)</f>
        <v>#DIV/0!</v>
      </c>
      <c r="I43" s="61">
        <v>0</v>
      </c>
      <c r="J43" s="62">
        <f t="shared" si="1"/>
        <v>0</v>
      </c>
      <c r="K43" s="74"/>
      <c r="L43" s="75"/>
      <c r="M43" s="76"/>
      <c r="N43" s="72" t="e">
        <f t="shared" si="2"/>
        <v>#DIV/0!</v>
      </c>
      <c r="O43" s="67" t="e">
        <f>N43*C43</f>
        <v>#DIV/0!</v>
      </c>
      <c r="P43" s="77"/>
    </row>
    <row r="44" spans="1:17" ht="19" x14ac:dyDescent="0.25">
      <c r="A44" s="78" t="s">
        <v>52</v>
      </c>
      <c r="B44" s="56">
        <f>SUM(B39:B43)</f>
        <v>0</v>
      </c>
      <c r="C44" s="57" t="e">
        <f>AVERAGE(C$39:C$43)</f>
        <v>#DIV/0!</v>
      </c>
      <c r="D44" s="58" t="e">
        <f>AVERAGE(D$39:D$43)</f>
        <v>#DIV/0!</v>
      </c>
      <c r="E44" s="78"/>
      <c r="F44" s="56">
        <f>SUM(F39:F43)</f>
        <v>0</v>
      </c>
      <c r="G44" s="79" t="e">
        <f t="shared" si="0"/>
        <v>#DIV/0!</v>
      </c>
      <c r="H44" s="56" t="e">
        <f>SUM(H39:H43)</f>
        <v>#DIV/0!</v>
      </c>
      <c r="I44" s="61">
        <f>SUM(I39:I43)</f>
        <v>0</v>
      </c>
      <c r="J44" s="80">
        <f t="shared" si="1"/>
        <v>0</v>
      </c>
      <c r="K44" s="81">
        <f>B34*K37/100</f>
        <v>0</v>
      </c>
      <c r="L44" s="82">
        <f>B34*L37/100</f>
        <v>0</v>
      </c>
      <c r="M44" s="83">
        <f>B34*M37/100</f>
        <v>0</v>
      </c>
      <c r="N44" s="84" t="e">
        <f t="shared" si="2"/>
        <v>#DIV/0!</v>
      </c>
      <c r="O44" s="85" t="e">
        <f>SUM(O39:O43)</f>
        <v>#DIV/0!</v>
      </c>
      <c r="P44" s="86" t="e">
        <f>ABS($M$44)-ABS($O$44)</f>
        <v>#DIV/0!</v>
      </c>
      <c r="Q44" s="87" t="e">
        <f>IF(AND(O44&lt;0,P44&lt;0),"ТРЕБУЕТСЯ АКТ НЕДОСТАЧИ","")</f>
        <v>#DIV/0!</v>
      </c>
    </row>
    <row r="45" spans="1:17" ht="19" x14ac:dyDescent="0.2">
      <c r="B45" s="88"/>
      <c r="F45" s="88"/>
      <c r="G45" s="89"/>
      <c r="H45" s="90"/>
      <c r="I45" s="90"/>
      <c r="J45" s="90"/>
      <c r="K45" s="90"/>
      <c r="L45" s="90"/>
      <c r="M45" s="90"/>
      <c r="O45" s="91"/>
    </row>
    <row r="46" spans="1:17" ht="19" x14ac:dyDescent="0.25">
      <c r="A46" s="15" t="s">
        <v>53</v>
      </c>
      <c r="B46" s="15"/>
      <c r="C46" s="15"/>
      <c r="D46" s="15"/>
      <c r="E46" s="15"/>
      <c r="F46" s="15"/>
      <c r="G46" s="15"/>
      <c r="H46" s="15"/>
      <c r="I46" s="89"/>
      <c r="J46" s="89"/>
    </row>
    <row r="47" spans="1:17" ht="19" x14ac:dyDescent="0.25">
      <c r="A47" s="15" t="s">
        <v>54</v>
      </c>
      <c r="B47" s="15"/>
      <c r="C47" s="15"/>
      <c r="D47" s="15"/>
      <c r="F47" s="15"/>
      <c r="G47" s="92" t="e">
        <f>H44</f>
        <v>#DIV/0!</v>
      </c>
      <c r="H47" s="15"/>
    </row>
    <row r="48" spans="1:17" ht="19" x14ac:dyDescent="0.25">
      <c r="A48" s="15" t="s">
        <v>55</v>
      </c>
      <c r="B48" s="15"/>
      <c r="C48" s="15"/>
      <c r="D48" s="15"/>
      <c r="F48" s="15"/>
      <c r="G48" s="92">
        <f>I44</f>
        <v>0</v>
      </c>
      <c r="H48" s="15"/>
    </row>
    <row r="49" spans="1:15" ht="19" x14ac:dyDescent="0.25">
      <c r="A49" s="15" t="s">
        <v>56</v>
      </c>
      <c r="B49" s="15"/>
      <c r="C49" s="15"/>
      <c r="D49" s="15"/>
      <c r="F49" s="15"/>
      <c r="G49" s="92" t="e">
        <f>O44</f>
        <v>#DIV/0!</v>
      </c>
    </row>
    <row r="50" spans="1:15" ht="19" x14ac:dyDescent="0.25">
      <c r="A50" s="15" t="s">
        <v>40</v>
      </c>
      <c r="B50" s="15"/>
      <c r="C50" s="15"/>
      <c r="D50" s="15"/>
      <c r="F50" s="15"/>
      <c r="G50" s="92">
        <f>J44</f>
        <v>0</v>
      </c>
    </row>
    <row r="51" spans="1:15" ht="19" x14ac:dyDescent="0.25">
      <c r="A51" s="15" t="s">
        <v>57</v>
      </c>
      <c r="C51" s="15"/>
      <c r="D51" s="15"/>
      <c r="F51" s="15"/>
      <c r="G51" s="92" t="e">
        <f>IF($B$34+$O$44&gt;B34,B34,$B$34+$O$44)</f>
        <v>#DIV/0!</v>
      </c>
      <c r="H51" s="93"/>
      <c r="I51" s="92"/>
      <c r="J51" s="92"/>
    </row>
    <row r="52" spans="1:15" ht="19" x14ac:dyDescent="0.25">
      <c r="A52" s="15"/>
      <c r="B52" s="92"/>
      <c r="C52" s="15"/>
      <c r="D52" s="15"/>
      <c r="F52" s="15"/>
      <c r="G52" s="92"/>
      <c r="H52" s="15"/>
      <c r="I52" s="92"/>
      <c r="J52" s="92"/>
    </row>
    <row r="53" spans="1:15" ht="19" x14ac:dyDescent="0.25">
      <c r="A53" s="15"/>
      <c r="B53" s="15"/>
      <c r="C53" s="15"/>
      <c r="D53" s="15"/>
      <c r="F53" s="15"/>
      <c r="G53" s="92"/>
      <c r="H53" s="15"/>
    </row>
    <row r="54" spans="1:15" ht="19" x14ac:dyDescent="0.25">
      <c r="A54" s="94" t="s">
        <v>58</v>
      </c>
      <c r="B54" s="15"/>
      <c r="C54" s="15"/>
      <c r="D54" s="15"/>
      <c r="F54" s="15"/>
      <c r="G54" s="92"/>
      <c r="H54" s="15"/>
    </row>
    <row r="55" spans="1:15" ht="19" x14ac:dyDescent="0.25">
      <c r="A55" s="15" t="s">
        <v>59</v>
      </c>
      <c r="B55" s="15"/>
      <c r="C55" s="15"/>
      <c r="D55" s="15"/>
      <c r="E55" s="15"/>
      <c r="F55" s="15"/>
      <c r="G55" s="15"/>
      <c r="H55" s="15"/>
    </row>
    <row r="56" spans="1:15" ht="19" x14ac:dyDescent="0.25">
      <c r="A56" s="15" t="s">
        <v>60</v>
      </c>
      <c r="B56" s="15"/>
      <c r="C56" s="15"/>
      <c r="D56" s="15"/>
      <c r="E56" s="15"/>
      <c r="G56" s="15"/>
      <c r="H56" s="15"/>
      <c r="O56" s="15"/>
    </row>
    <row r="57" spans="1:15" ht="19" x14ac:dyDescent="0.25">
      <c r="A57" s="15" t="s">
        <v>4</v>
      </c>
      <c r="B57" s="15"/>
      <c r="C57" s="15"/>
      <c r="D57" s="15"/>
      <c r="E57" s="15"/>
      <c r="F57" s="15"/>
      <c r="G57" s="15"/>
      <c r="H57" s="15"/>
    </row>
    <row r="58" spans="1:15" ht="19" x14ac:dyDescent="0.25">
      <c r="A58" s="15" t="s">
        <v>61</v>
      </c>
      <c r="B58" s="15"/>
      <c r="C58" s="15"/>
      <c r="D58" s="15"/>
      <c r="E58" s="15"/>
      <c r="F58" s="15"/>
      <c r="G58" s="15"/>
      <c r="H58" s="15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9</cp:revision>
  <dcterms:created xsi:type="dcterms:W3CDTF">2006-09-28T05:33:49Z</dcterms:created>
  <dcterms:modified xsi:type="dcterms:W3CDTF">2024-05-21T11:25:19Z</dcterms:modified>
  <dc:language>en-US</dc:language>
</cp:coreProperties>
</file>