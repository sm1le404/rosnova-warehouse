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sirbiladze/PhpstormProjects/rosnova-warehouse/src/assets/"/>
    </mc:Choice>
  </mc:AlternateContent>
  <xr:revisionPtr revIDLastSave="0" documentId="13_ncr:1_{AD697C2A-4AFE-BF43-8713-D9379FB79BB2}" xr6:coauthVersionLast="43" xr6:coauthVersionMax="43" xr10:uidLastSave="{00000000-0000-0000-0000-000000000000}"/>
  <bookViews>
    <workbookView xWindow="0" yWindow="500" windowWidth="28940" windowHeight="17940" tabRatio="500" xr2:uid="{00000000-000D-0000-FFFF-FFFF00000000}"/>
  </bookViews>
  <sheets>
    <sheet name="page" sheetId="1" r:id="rId1"/>
  </sheets>
  <definedNames>
    <definedName name="_xlnm.Print_Area" localSheetId="0">page!$A$1:$P$58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1" l="1"/>
  <c r="H41" i="1"/>
  <c r="H42" i="1"/>
  <c r="H43" i="1"/>
  <c r="H44" i="1"/>
  <c r="H39" i="1"/>
  <c r="L44" i="1" l="1"/>
  <c r="K44" i="1"/>
  <c r="I44" i="1"/>
  <c r="G48" i="1" s="1"/>
  <c r="D44" i="1"/>
  <c r="C44" i="1"/>
  <c r="B44" i="1"/>
  <c r="J44" i="1" s="1"/>
  <c r="G50" i="1" s="1"/>
  <c r="J43" i="1"/>
  <c r="F43" i="1"/>
  <c r="G43" i="1" s="1"/>
  <c r="N43" i="1" s="1"/>
  <c r="O43" i="1" s="1"/>
  <c r="J42" i="1"/>
  <c r="F42" i="1"/>
  <c r="G42" i="1" s="1"/>
  <c r="N42" i="1" s="1"/>
  <c r="O42" i="1" s="1"/>
  <c r="J41" i="1"/>
  <c r="F41" i="1"/>
  <c r="G41" i="1" s="1"/>
  <c r="N41" i="1" s="1"/>
  <c r="O41" i="1" s="1"/>
  <c r="J40" i="1"/>
  <c r="F40" i="1"/>
  <c r="G40" i="1" s="1"/>
  <c r="N40" i="1" s="1"/>
  <c r="O40" i="1" s="1"/>
  <c r="J39" i="1"/>
  <c r="F39" i="1"/>
  <c r="F44" i="1" s="1"/>
  <c r="G44" i="1" s="1"/>
  <c r="M37" i="1"/>
  <c r="M44" i="1" s="1"/>
  <c r="G39" i="1" l="1"/>
  <c r="N39" i="1" l="1"/>
  <c r="O39" i="1" s="1"/>
  <c r="O44" i="1" s="1"/>
  <c r="G47" i="1" l="1"/>
  <c r="N44" i="1"/>
  <c r="G51" i="1"/>
  <c r="G49" i="1"/>
  <c r="P44" i="1"/>
  <c r="Q44" i="1" s="1"/>
</calcChain>
</file>

<file path=xl/sharedStrings.xml><?xml version="1.0" encoding="utf-8"?>
<sst xmlns="http://schemas.openxmlformats.org/spreadsheetml/2006/main" count="72" uniqueCount="62">
  <si>
    <t xml:space="preserve">Акт № </t>
  </si>
  <si>
    <t>определения объема недостачи нефтепродукта</t>
  </si>
  <si>
    <t>Дата:</t>
  </si>
  <si>
    <t>Покупатель:</t>
  </si>
  <si>
    <t>Поставщик:</t>
  </si>
  <si>
    <t>Место приемки продукции и составление акта:</t>
  </si>
  <si>
    <t>Уведомление о вызове представителя:</t>
  </si>
  <si>
    <t>Метод определения недостачи:</t>
  </si>
  <si>
    <t>косвенный метод статических измерений</t>
  </si>
  <si>
    <t>Сведения об измерительных приборах:</t>
  </si>
  <si>
    <t>Плотномер портотивный</t>
  </si>
  <si>
    <t>Свидетельство о поверке № С-БН/28-09-2022/189330183</t>
  </si>
  <si>
    <t>Действительно до 07.08.2024г.</t>
  </si>
  <si>
    <t xml:space="preserve">Ареометр АНТ-2 </t>
  </si>
  <si>
    <t xml:space="preserve">Дата поверки </t>
  </si>
  <si>
    <t>МАРТ. 2018</t>
  </si>
  <si>
    <t xml:space="preserve">Термометр ртутный стеклянный лабораторный ТЛ-4 </t>
  </si>
  <si>
    <t>ОКТ. 2018</t>
  </si>
  <si>
    <t>После осмотра произведена опломбировка представителем покупателя до прибытия представителя поставщика:</t>
  </si>
  <si>
    <t xml:space="preserve">пломба </t>
  </si>
  <si>
    <t>№</t>
  </si>
  <si>
    <t>Приложение к ТТН №</t>
  </si>
  <si>
    <t>от</t>
  </si>
  <si>
    <t>Целостность пломб не нарушена.</t>
  </si>
  <si>
    <t>Время начала приемки продукции:</t>
  </si>
  <si>
    <t>Время окончания приемки продукции:</t>
  </si>
  <si>
    <t>Автомобиль г/н:</t>
  </si>
  <si>
    <t>Полуприцеп г/н:</t>
  </si>
  <si>
    <t xml:space="preserve">Товарно-транспортная накладная № </t>
  </si>
  <si>
    <t>Сведения о грузе</t>
  </si>
  <si>
    <t>Масса, кг.</t>
  </si>
  <si>
    <t>Плотность</t>
  </si>
  <si>
    <t>Температура, ˚С</t>
  </si>
  <si>
    <t>фактическая плотность</t>
  </si>
  <si>
    <t>фактическая температура, ˚С</t>
  </si>
  <si>
    <t>уровень взлива до калибровочной планки, см</t>
  </si>
  <si>
    <t>масса при отгрузке,кг</t>
  </si>
  <si>
    <t>объем при факт. плотн, л.</t>
  </si>
  <si>
    <t>Допустимое изменение объема при изменении плотности и температуры, л.</t>
  </si>
  <si>
    <t>Факт. объем до калибр. планки, л.</t>
  </si>
  <si>
    <t>Фактический принятый объем к учету, л.</t>
  </si>
  <si>
    <t>Погрешность 0,65%, ГОСТ 8.595-2004 (косвенный метод статических измерений),кг.</t>
  </si>
  <si>
    <t>Погрешность, 0,0004% Приказ №1035 (норма убыли при перевозке),кг.</t>
  </si>
  <si>
    <t>Итого: Погрешность, кг.</t>
  </si>
  <si>
    <t>объем недостачи без приминения допустимой погрешности, л.</t>
  </si>
  <si>
    <t>объем недостачи без приминения допустимой погрешности, кг.</t>
  </si>
  <si>
    <t>Разница между фактической принятой массой и рассчета с учетом изменения плотности, температуры и допустимой погрешности по ГОСТ, кг.</t>
  </si>
  <si>
    <t>1 отсек</t>
  </si>
  <si>
    <t>2 отсек</t>
  </si>
  <si>
    <t>3 отсек</t>
  </si>
  <si>
    <t>4 отсек</t>
  </si>
  <si>
    <t>5 отсек</t>
  </si>
  <si>
    <t>итого</t>
  </si>
  <si>
    <t>Заключение:</t>
  </si>
  <si>
    <t>Допустимое изменение объема нефтепродукта составляет, л.</t>
  </si>
  <si>
    <t>Фактическое изменение объма составила, л.</t>
  </si>
  <si>
    <t>Объем недостачи без приминения допустимой погрешности, кг.</t>
  </si>
  <si>
    <t>Масса к учету, кг.</t>
  </si>
  <si>
    <t>Все члены комиссии ознакомлены с правилами приемки  по количеству и качеству и предупреждены об ответственности за подписание акта, содержащего данные, не соответствующие действительности.</t>
  </si>
  <si>
    <t>Получатель:</t>
  </si>
  <si>
    <t>Оператор ООО "Регион Трейд"</t>
  </si>
  <si>
    <t>Водитель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</si>
</sst>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h:mm"/>
    <numFmt numFmtId="166" formatCode="0.0000"/>
    <numFmt numFmtId="167" formatCode="0.0"/>
    <numFmt numFmtId="168" formatCode="0.000"/>
  </numFmts>
  <fonts count="11" x14ac:knownFonts="1"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sz val="14"/>
      <color rgb="FF000000"/>
      <name val="Calibri"/>
      <family val="2"/>
      <charset val="1"/>
    </font>
    <font>
      <sz val="1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rgb="FF000000"/>
      <name val="Calibri"/>
      <family val="2"/>
      <charset val="1"/>
    </font>
    <font>
      <b/>
      <sz val="12"/>
      <color rgb="FFFFFFFF"/>
      <name val="Calibri"/>
      <family val="2"/>
      <charset val="204"/>
    </font>
    <font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0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3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7" fillId="2" borderId="1" applyProtection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2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2" fillId="0" borderId="11" xfId="0" applyFont="1" applyBorder="1"/>
    <xf numFmtId="3" fontId="1" fillId="0" borderId="12" xfId="0" applyNumberFormat="1" applyFont="1" applyBorder="1" applyAlignment="1">
      <alignment horizontal="center" vertical="center"/>
    </xf>
    <xf numFmtId="0" fontId="2" fillId="0" borderId="13" xfId="0" applyFont="1" applyBorder="1"/>
    <xf numFmtId="166" fontId="1" fillId="0" borderId="14" xfId="0" applyNumberFormat="1" applyFont="1" applyBorder="1" applyAlignment="1">
      <alignment horizontal="center" vertical="center"/>
    </xf>
    <xf numFmtId="0" fontId="2" fillId="0" borderId="15" xfId="0" applyFont="1" applyBorder="1"/>
    <xf numFmtId="167" fontId="1" fillId="0" borderId="1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6" fillId="0" borderId="19" xfId="1" applyFont="1" applyFill="1" applyBorder="1" applyAlignment="1" applyProtection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9" xfId="0" applyFont="1" applyBorder="1"/>
    <xf numFmtId="3" fontId="1" fillId="0" borderId="19" xfId="0" applyNumberFormat="1" applyFont="1" applyBorder="1" applyAlignment="1">
      <alignment horizontal="center" vertical="center"/>
    </xf>
    <xf numFmtId="166" fontId="8" fillId="0" borderId="19" xfId="1" applyNumberFormat="1" applyFont="1" applyFill="1" applyBorder="1" applyAlignment="1" applyProtection="1">
      <alignment horizontal="center" vertical="center"/>
    </xf>
    <xf numFmtId="167" fontId="8" fillId="0" borderId="19" xfId="1" applyNumberFormat="1" applyFont="1" applyFill="1" applyBorder="1" applyAlignment="1" applyProtection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" fontId="8" fillId="0" borderId="19" xfId="1" applyNumberFormat="1" applyFont="1" applyFill="1" applyBorder="1" applyAlignment="1" applyProtection="1">
      <alignment horizontal="center" vertical="center"/>
    </xf>
    <xf numFmtId="3" fontId="1" fillId="0" borderId="26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167" fontId="2" fillId="0" borderId="28" xfId="0" applyNumberFormat="1" applyFont="1" applyBorder="1" applyAlignment="1">
      <alignment horizontal="center" vertical="center"/>
    </xf>
    <xf numFmtId="167" fontId="2" fillId="0" borderId="29" xfId="0" applyNumberFormat="1" applyFont="1" applyBorder="1" applyAlignment="1">
      <alignment horizontal="center" vertical="center"/>
    </xf>
    <xf numFmtId="3" fontId="2" fillId="0" borderId="30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0" fontId="0" fillId="0" borderId="32" xfId="0" applyBorder="1"/>
    <xf numFmtId="167" fontId="2" fillId="0" borderId="13" xfId="0" applyNumberFormat="1" applyFont="1" applyBorder="1" applyAlignment="1">
      <alignment horizontal="center" vertical="center"/>
    </xf>
    <xf numFmtId="167" fontId="2" fillId="0" borderId="19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3" fontId="2" fillId="0" borderId="33" xfId="0" applyNumberFormat="1" applyFont="1" applyBorder="1" applyAlignment="1">
      <alignment horizontal="center" vertical="center"/>
    </xf>
    <xf numFmtId="0" fontId="0" fillId="0" borderId="33" xfId="0" applyBorder="1"/>
    <xf numFmtId="167" fontId="2" fillId="0" borderId="34" xfId="0" applyNumberFormat="1" applyFont="1" applyBorder="1" applyAlignment="1">
      <alignment horizontal="center" vertical="center"/>
    </xf>
    <xf numFmtId="167" fontId="2" fillId="0" borderId="35" xfId="0" applyNumberFormat="1" applyFont="1" applyBorder="1" applyAlignment="1">
      <alignment horizontal="center" vertical="center"/>
    </xf>
    <xf numFmtId="167" fontId="2" fillId="0" borderId="36" xfId="0" applyNumberFormat="1" applyFont="1" applyBorder="1" applyAlignment="1">
      <alignment horizontal="center" vertical="center"/>
    </xf>
    <xf numFmtId="0" fontId="0" fillId="0" borderId="37" xfId="0" applyBorder="1"/>
    <xf numFmtId="0" fontId="1" fillId="0" borderId="19" xfId="0" applyFont="1" applyBorder="1"/>
    <xf numFmtId="3" fontId="1" fillId="0" borderId="19" xfId="0" applyNumberFormat="1" applyFont="1" applyBorder="1"/>
    <xf numFmtId="3" fontId="1" fillId="0" borderId="20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8" fontId="1" fillId="0" borderId="38" xfId="0" applyNumberFormat="1" applyFont="1" applyBorder="1" applyAlignment="1">
      <alignment horizontal="center" vertical="center"/>
    </xf>
    <xf numFmtId="168" fontId="1" fillId="0" borderId="18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 vertical="center"/>
    </xf>
    <xf numFmtId="0" fontId="9" fillId="0" borderId="10" xfId="0" applyFont="1" applyBorder="1"/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2" fillId="0" borderId="0" xfId="0" applyNumberFormat="1" applyFont="1"/>
    <xf numFmtId="0" fontId="10" fillId="0" borderId="0" xfId="0" applyFont="1"/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1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2">
    <cellStyle name="Обычный" xfId="0" builtinId="0"/>
    <cellStyle name="Excel Built-in Check Cell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8"/>
  <sheetViews>
    <sheetView tabSelected="1" topLeftCell="A16" zoomScale="75" zoomScaleNormal="75" workbookViewId="0">
      <selection activeCell="H43" sqref="H43"/>
    </sheetView>
  </sheetViews>
  <sheetFormatPr baseColWidth="10" defaultColWidth="8.83203125" defaultRowHeight="15" x14ac:dyDescent="0.2"/>
  <cols>
    <col min="1" max="1" width="23.5" customWidth="1"/>
    <col min="2" max="2" width="12.5" customWidth="1"/>
    <col min="3" max="3" width="26.5" customWidth="1"/>
    <col min="4" max="4" width="14.83203125" customWidth="1"/>
    <col min="5" max="5" width="12.1640625" customWidth="1"/>
    <col min="6" max="6" width="21.33203125" customWidth="1"/>
    <col min="7" max="7" width="15.83203125" customWidth="1"/>
    <col min="8" max="8" width="17.83203125" customWidth="1"/>
    <col min="9" max="10" width="13" customWidth="1"/>
    <col min="11" max="11" width="14.33203125" customWidth="1"/>
    <col min="12" max="12" width="16.83203125" customWidth="1"/>
    <col min="13" max="13" width="14.83203125" customWidth="1"/>
    <col min="14" max="14" width="13.6640625" customWidth="1"/>
    <col min="15" max="15" width="14.6640625" customWidth="1"/>
    <col min="16" max="16" width="21" customWidth="1"/>
    <col min="17" max="17" width="14.33203125" customWidth="1"/>
  </cols>
  <sheetData>
    <row r="1" spans="1:10" ht="19" x14ac:dyDescent="0.25">
      <c r="B1" s="1"/>
      <c r="C1" s="2" t="s">
        <v>0</v>
      </c>
      <c r="D1" s="3"/>
      <c r="E1" s="1"/>
      <c r="F1" s="1"/>
      <c r="G1" s="1"/>
      <c r="H1" s="1"/>
      <c r="I1" s="1"/>
      <c r="J1" s="1"/>
    </row>
    <row r="2" spans="1:10" ht="19" x14ac:dyDescent="0.25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4"/>
    </row>
    <row r="3" spans="1:10" ht="19" x14ac:dyDescent="0.25">
      <c r="A3" s="5" t="s">
        <v>2</v>
      </c>
      <c r="B3" s="85"/>
      <c r="C3" s="85"/>
      <c r="D3" s="5"/>
      <c r="E3" s="5"/>
      <c r="F3" s="5"/>
      <c r="G3" s="5"/>
      <c r="H3" s="5"/>
      <c r="I3" s="5"/>
      <c r="J3" s="5"/>
    </row>
    <row r="4" spans="1:10" ht="9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9" x14ac:dyDescent="0.25">
      <c r="A5" s="91" t="s">
        <v>3</v>
      </c>
      <c r="B5" s="91"/>
      <c r="C5" s="91"/>
      <c r="D5" s="91"/>
      <c r="E5" s="91"/>
      <c r="F5" s="4"/>
      <c r="G5" s="4"/>
      <c r="H5" s="4"/>
      <c r="I5" s="4"/>
      <c r="J5" s="4"/>
    </row>
    <row r="6" spans="1:10" ht="19" x14ac:dyDescent="0.25">
      <c r="A6" s="91"/>
      <c r="B6" s="91"/>
      <c r="C6" s="91"/>
      <c r="D6" s="91"/>
      <c r="E6" s="91"/>
      <c r="F6" s="91"/>
      <c r="G6" s="91"/>
      <c r="H6" s="91"/>
      <c r="I6" s="1"/>
      <c r="J6" s="1"/>
    </row>
    <row r="7" spans="1:10" ht="9" customHeight="1" x14ac:dyDescent="0.25">
      <c r="A7" s="6"/>
      <c r="B7" s="6"/>
      <c r="C7" s="6"/>
      <c r="D7" s="6"/>
      <c r="E7" s="6"/>
      <c r="F7" s="6"/>
      <c r="G7" s="6"/>
      <c r="H7" s="6"/>
      <c r="I7" s="1"/>
      <c r="J7" s="1"/>
    </row>
    <row r="8" spans="1:10" ht="19" x14ac:dyDescent="0.25">
      <c r="A8" s="6" t="s">
        <v>4</v>
      </c>
      <c r="B8" s="6"/>
      <c r="C8" s="6"/>
      <c r="D8" s="6"/>
      <c r="E8" s="6"/>
      <c r="F8" s="6"/>
      <c r="G8" s="6"/>
      <c r="H8" s="6"/>
      <c r="I8" s="1"/>
      <c r="J8" s="1"/>
    </row>
    <row r="9" spans="1:10" ht="19" x14ac:dyDescent="0.25">
      <c r="A9" s="6"/>
      <c r="B9" s="6"/>
      <c r="C9" s="6"/>
      <c r="D9" s="6"/>
      <c r="E9" s="6"/>
      <c r="F9" s="6"/>
      <c r="G9" s="6"/>
      <c r="H9" s="6"/>
      <c r="I9" s="1"/>
      <c r="J9" s="1"/>
    </row>
    <row r="10" spans="1:10" ht="0.75" customHeight="1" x14ac:dyDescent="0.25">
      <c r="A10" s="6"/>
      <c r="B10" s="6"/>
      <c r="C10" s="6"/>
      <c r="D10" s="6"/>
      <c r="E10" s="6"/>
      <c r="F10" s="6"/>
      <c r="G10" s="6"/>
      <c r="H10" s="6"/>
      <c r="I10" s="1"/>
      <c r="J10" s="1"/>
    </row>
    <row r="11" spans="1:10" ht="19" x14ac:dyDescent="0.25">
      <c r="A11" s="92" t="s">
        <v>5</v>
      </c>
      <c r="B11" s="92"/>
      <c r="C11" s="92"/>
      <c r="D11" s="92"/>
      <c r="E11" s="93"/>
      <c r="F11" s="93"/>
      <c r="G11" s="93"/>
      <c r="H11" s="6"/>
      <c r="I11" s="4"/>
      <c r="J11" s="4"/>
    </row>
    <row r="12" spans="1:10" ht="19" x14ac:dyDescent="0.25">
      <c r="A12" s="6" t="s">
        <v>6</v>
      </c>
      <c r="B12" s="3"/>
      <c r="D12" s="2"/>
      <c r="E12" s="2"/>
      <c r="F12" s="90"/>
      <c r="G12" s="90"/>
      <c r="H12" s="7"/>
      <c r="I12" s="4"/>
      <c r="J12" s="4"/>
    </row>
    <row r="13" spans="1:10" ht="19" hidden="1" x14ac:dyDescent="0.25">
      <c r="A13" s="6"/>
      <c r="B13" s="88"/>
      <c r="C13" s="88"/>
      <c r="D13" s="7"/>
      <c r="E13" s="3"/>
      <c r="F13" s="3"/>
      <c r="G13" s="3"/>
      <c r="H13" s="3"/>
      <c r="I13" s="4"/>
      <c r="J13" s="4"/>
    </row>
    <row r="14" spans="1:10" ht="18" hidden="1" customHeight="1" x14ac:dyDescent="0.25">
      <c r="A14" s="6"/>
      <c r="B14" s="88"/>
      <c r="C14" s="88"/>
      <c r="D14" s="7"/>
      <c r="E14" s="3"/>
      <c r="F14" s="3"/>
      <c r="G14" s="3"/>
      <c r="H14" s="3"/>
      <c r="I14" s="4"/>
      <c r="J14" s="4"/>
    </row>
    <row r="15" spans="1:10" ht="19.5" customHeight="1" x14ac:dyDescent="0.25">
      <c r="A15" s="6"/>
      <c r="B15" s="3"/>
      <c r="C15" s="6"/>
      <c r="D15" s="3"/>
      <c r="E15" s="3"/>
      <c r="F15" s="3"/>
      <c r="G15" s="3"/>
      <c r="H15" s="3"/>
      <c r="I15" s="4"/>
      <c r="J15" s="4"/>
    </row>
    <row r="16" spans="1:10" ht="19" x14ac:dyDescent="0.25">
      <c r="A16" s="6" t="s">
        <v>7</v>
      </c>
      <c r="B16" s="3"/>
      <c r="D16" s="6" t="s">
        <v>8</v>
      </c>
      <c r="E16" s="6"/>
      <c r="F16" s="5"/>
      <c r="G16" s="3"/>
      <c r="H16" s="3"/>
      <c r="I16" s="4"/>
      <c r="J16" s="4"/>
    </row>
    <row r="17" spans="1:11" ht="19" x14ac:dyDescent="0.25">
      <c r="A17" s="6"/>
      <c r="B17" s="3"/>
      <c r="C17" s="6"/>
      <c r="D17" s="3"/>
      <c r="E17" s="3"/>
      <c r="F17" s="3"/>
      <c r="G17" s="3"/>
      <c r="H17" s="3"/>
      <c r="I17" s="4"/>
      <c r="J17" s="4"/>
    </row>
    <row r="18" spans="1:11" ht="19" x14ac:dyDescent="0.25">
      <c r="A18" s="6" t="s">
        <v>9</v>
      </c>
      <c r="B18" s="3"/>
      <c r="C18" s="6"/>
      <c r="D18" s="3"/>
      <c r="E18" s="3"/>
      <c r="F18" s="3"/>
      <c r="G18" s="3"/>
      <c r="H18" s="3"/>
      <c r="I18" s="4"/>
      <c r="J18" s="4"/>
    </row>
    <row r="19" spans="1:11" ht="19" x14ac:dyDescent="0.25">
      <c r="A19" s="6" t="s">
        <v>10</v>
      </c>
      <c r="B19" s="3"/>
      <c r="C19" s="6"/>
      <c r="D19" s="6"/>
      <c r="E19" s="3"/>
      <c r="F19" s="3"/>
      <c r="G19" s="3"/>
      <c r="H19" s="3"/>
      <c r="I19" s="4"/>
      <c r="J19" s="4"/>
    </row>
    <row r="20" spans="1:11" ht="19" x14ac:dyDescent="0.25">
      <c r="A20" s="6" t="s">
        <v>11</v>
      </c>
      <c r="B20" s="3"/>
      <c r="C20" s="6"/>
      <c r="D20" s="6" t="s">
        <v>12</v>
      </c>
      <c r="E20" s="3"/>
      <c r="F20" s="3"/>
      <c r="G20" s="3"/>
      <c r="H20" s="3"/>
      <c r="I20" s="4"/>
      <c r="J20" s="4"/>
    </row>
    <row r="21" spans="1:11" ht="19" hidden="1" x14ac:dyDescent="0.25">
      <c r="A21" s="6" t="s">
        <v>13</v>
      </c>
      <c r="B21" s="3"/>
      <c r="C21" s="6"/>
      <c r="D21" s="3"/>
      <c r="E21" s="6" t="s">
        <v>14</v>
      </c>
      <c r="F21" s="6"/>
      <c r="G21" s="89" t="s">
        <v>15</v>
      </c>
      <c r="H21" s="89"/>
      <c r="I21" s="4"/>
      <c r="J21" s="4"/>
    </row>
    <row r="22" spans="1:11" ht="19" hidden="1" x14ac:dyDescent="0.25">
      <c r="A22" s="6" t="s">
        <v>16</v>
      </c>
      <c r="B22" s="6"/>
      <c r="C22" s="6"/>
      <c r="D22" s="6"/>
      <c r="E22" s="6" t="s">
        <v>14</v>
      </c>
      <c r="F22" s="6"/>
      <c r="G22" s="89" t="s">
        <v>17</v>
      </c>
      <c r="H22" s="89"/>
      <c r="I22" s="4"/>
      <c r="J22" s="4"/>
    </row>
    <row r="23" spans="1:11" ht="19" hidden="1" x14ac:dyDescent="0.25">
      <c r="A23" s="8" t="s">
        <v>18</v>
      </c>
      <c r="B23" s="9"/>
      <c r="C23" s="9"/>
      <c r="D23" s="9"/>
      <c r="E23" s="9"/>
      <c r="F23" s="9"/>
      <c r="G23" s="9"/>
      <c r="H23" s="9"/>
      <c r="I23" s="10"/>
      <c r="J23" s="10"/>
      <c r="K23" s="11"/>
    </row>
    <row r="24" spans="1:11" ht="19" hidden="1" x14ac:dyDescent="0.25">
      <c r="A24" s="12" t="s">
        <v>19</v>
      </c>
      <c r="B24" s="13" t="s">
        <v>20</v>
      </c>
      <c r="C24" s="13" t="s">
        <v>20</v>
      </c>
      <c r="D24" s="13" t="s">
        <v>20</v>
      </c>
      <c r="E24" s="13" t="s">
        <v>20</v>
      </c>
      <c r="F24" s="13" t="s">
        <v>20</v>
      </c>
      <c r="G24" s="13" t="s">
        <v>20</v>
      </c>
      <c r="H24" s="13" t="s">
        <v>20</v>
      </c>
      <c r="I24" s="13" t="s">
        <v>20</v>
      </c>
      <c r="J24" s="13"/>
      <c r="K24" s="14"/>
    </row>
    <row r="25" spans="1:11" ht="19" hidden="1" x14ac:dyDescent="0.25">
      <c r="A25" s="15"/>
      <c r="B25" s="16">
        <v>20520986</v>
      </c>
      <c r="C25" s="16">
        <v>20520987</v>
      </c>
      <c r="D25" s="16">
        <v>20520988</v>
      </c>
      <c r="E25" s="16">
        <v>20520989</v>
      </c>
      <c r="F25" s="16"/>
      <c r="G25" s="16"/>
      <c r="H25" s="17"/>
      <c r="I25" s="18"/>
      <c r="J25" s="18"/>
      <c r="K25" s="19"/>
    </row>
    <row r="26" spans="1:11" ht="19" hidden="1" x14ac:dyDescent="0.25">
      <c r="A26" s="6" t="s">
        <v>21</v>
      </c>
      <c r="C26" s="2"/>
      <c r="D26" s="20" t="s">
        <v>22</v>
      </c>
      <c r="E26" s="90"/>
      <c r="F26" s="90"/>
      <c r="G26" s="6" t="s">
        <v>23</v>
      </c>
      <c r="H26" s="6"/>
      <c r="I26" s="13"/>
      <c r="J26" s="13"/>
    </row>
    <row r="27" spans="1:11" ht="9.75" customHeight="1" x14ac:dyDescent="0.25">
      <c r="A27" s="3"/>
      <c r="B27" s="3"/>
      <c r="C27" s="3"/>
      <c r="D27" s="3"/>
      <c r="E27" s="3"/>
      <c r="F27" s="3"/>
      <c r="G27" s="3"/>
      <c r="H27" s="3"/>
      <c r="I27" s="4"/>
      <c r="J27" s="4"/>
    </row>
    <row r="28" spans="1:11" ht="19" x14ac:dyDescent="0.25">
      <c r="A28" s="5" t="s">
        <v>24</v>
      </c>
      <c r="B28" s="5"/>
      <c r="D28" s="85"/>
      <c r="E28" s="85"/>
      <c r="F28" s="21"/>
    </row>
    <row r="29" spans="1:11" ht="19" x14ac:dyDescent="0.25">
      <c r="A29" s="5" t="s">
        <v>25</v>
      </c>
      <c r="B29" s="5"/>
      <c r="D29" s="85"/>
      <c r="E29" s="85"/>
      <c r="F29" s="21"/>
    </row>
    <row r="30" spans="1:11" ht="19" x14ac:dyDescent="0.25">
      <c r="A30" s="5" t="s">
        <v>26</v>
      </c>
      <c r="B30" s="86"/>
      <c r="C30" s="86"/>
      <c r="D30" s="5"/>
      <c r="E30" s="5"/>
      <c r="F30" s="5"/>
      <c r="G30" s="5"/>
      <c r="H30" s="5"/>
      <c r="I30" s="5"/>
      <c r="J30" s="5"/>
    </row>
    <row r="31" spans="1:11" ht="19" x14ac:dyDescent="0.25">
      <c r="A31" s="5" t="s">
        <v>27</v>
      </c>
      <c r="B31" s="86"/>
      <c r="C31" s="86"/>
      <c r="D31" s="5"/>
      <c r="E31" s="5"/>
      <c r="F31" s="5"/>
      <c r="G31" s="5"/>
      <c r="H31" s="5"/>
      <c r="I31" s="5"/>
      <c r="J31" s="5"/>
    </row>
    <row r="32" spans="1:11" ht="19" x14ac:dyDescent="0.25">
      <c r="A32" s="5" t="s">
        <v>28</v>
      </c>
      <c r="B32" s="5"/>
      <c r="D32" s="3"/>
      <c r="F32" s="5"/>
      <c r="G32" s="5"/>
      <c r="H32" s="5"/>
      <c r="I32" s="5"/>
      <c r="J32" s="5"/>
    </row>
    <row r="33" spans="1:17" ht="19" x14ac:dyDescent="0.25">
      <c r="A33" s="87" t="s">
        <v>29</v>
      </c>
      <c r="B33" s="87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7" ht="19" x14ac:dyDescent="0.25">
      <c r="A34" s="23" t="s">
        <v>30</v>
      </c>
      <c r="B34" s="24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1:17" ht="19" x14ac:dyDescent="0.25">
      <c r="A35" s="25" t="s">
        <v>31</v>
      </c>
      <c r="B35" s="26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1:17" ht="19" x14ac:dyDescent="0.25">
      <c r="A36" s="27" t="s">
        <v>32</v>
      </c>
      <c r="B36" s="28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1:17" ht="16" x14ac:dyDescent="0.2">
      <c r="A37" s="29"/>
      <c r="B37" s="30"/>
      <c r="C37" s="30"/>
      <c r="D37" s="30"/>
      <c r="E37" s="30"/>
      <c r="F37" s="31"/>
      <c r="G37" s="31"/>
      <c r="H37" s="31"/>
      <c r="I37" s="31"/>
      <c r="J37" s="31"/>
      <c r="K37" s="32">
        <v>0.65</v>
      </c>
      <c r="L37" s="33">
        <v>4.0000000000000002E-4</v>
      </c>
      <c r="M37" s="34">
        <f>K37+L37</f>
        <v>0.65039999999999998</v>
      </c>
      <c r="N37" s="31"/>
      <c r="O37" s="31"/>
    </row>
    <row r="38" spans="1:17" ht="171.75" customHeight="1" x14ac:dyDescent="0.2">
      <c r="A38" s="35"/>
      <c r="B38" s="35"/>
      <c r="C38" s="36" t="s">
        <v>33</v>
      </c>
      <c r="D38" s="36" t="s">
        <v>34</v>
      </c>
      <c r="E38" s="37" t="s">
        <v>35</v>
      </c>
      <c r="F38" s="37" t="s">
        <v>36</v>
      </c>
      <c r="G38" s="37" t="s">
        <v>37</v>
      </c>
      <c r="H38" s="37" t="s">
        <v>38</v>
      </c>
      <c r="I38" s="36" t="s">
        <v>39</v>
      </c>
      <c r="J38" s="38" t="s">
        <v>40</v>
      </c>
      <c r="K38" s="39" t="s">
        <v>41</v>
      </c>
      <c r="L38" s="40" t="s">
        <v>42</v>
      </c>
      <c r="M38" s="41" t="s">
        <v>43</v>
      </c>
      <c r="N38" s="42" t="s">
        <v>44</v>
      </c>
      <c r="O38" s="43" t="s">
        <v>45</v>
      </c>
      <c r="P38" s="44" t="s">
        <v>46</v>
      </c>
    </row>
    <row r="39" spans="1:17" ht="19" x14ac:dyDescent="0.25">
      <c r="A39" s="45" t="s">
        <v>47</v>
      </c>
      <c r="B39" s="46"/>
      <c r="C39" s="47"/>
      <c r="D39" s="48"/>
      <c r="E39" s="49"/>
      <c r="F39" s="50">
        <f>B39*B35</f>
        <v>0</v>
      </c>
      <c r="G39" s="50" t="e">
        <f t="shared" ref="G39:G44" si="0">F39/C39</f>
        <v>#DIV/0!</v>
      </c>
      <c r="H39" s="50" t="e">
        <f>B39-G39</f>
        <v>#DIV/0!</v>
      </c>
      <c r="I39" s="51">
        <v>0</v>
      </c>
      <c r="J39" s="52">
        <f t="shared" ref="J39:J44" si="1">B39-I39</f>
        <v>0</v>
      </c>
      <c r="K39" s="53"/>
      <c r="L39" s="54"/>
      <c r="M39" s="55"/>
      <c r="N39" s="56" t="e">
        <f t="shared" ref="N39:N44" si="2">H39-I39</f>
        <v>#DIV/0!</v>
      </c>
      <c r="O39" s="57" t="e">
        <f>N39*C39</f>
        <v>#DIV/0!</v>
      </c>
      <c r="P39" s="58"/>
    </row>
    <row r="40" spans="1:17" ht="19" x14ac:dyDescent="0.25">
      <c r="A40" s="45" t="s">
        <v>48</v>
      </c>
      <c r="B40" s="46"/>
      <c r="C40" s="47"/>
      <c r="D40" s="48"/>
      <c r="E40" s="49"/>
      <c r="F40" s="50">
        <f>B40*B35</f>
        <v>0</v>
      </c>
      <c r="G40" s="50" t="e">
        <f t="shared" si="0"/>
        <v>#DIV/0!</v>
      </c>
      <c r="H40" s="50" t="e">
        <f t="shared" ref="H40:H44" si="3">B40-G40</f>
        <v>#DIV/0!</v>
      </c>
      <c r="I40" s="51">
        <v>0</v>
      </c>
      <c r="J40" s="52">
        <f t="shared" si="1"/>
        <v>0</v>
      </c>
      <c r="K40" s="59"/>
      <c r="L40" s="60"/>
      <c r="M40" s="61"/>
      <c r="N40" s="62" t="e">
        <f t="shared" si="2"/>
        <v>#DIV/0!</v>
      </c>
      <c r="O40" s="57" t="e">
        <f>N40*C40</f>
        <v>#DIV/0!</v>
      </c>
      <c r="P40" s="63"/>
    </row>
    <row r="41" spans="1:17" ht="19" x14ac:dyDescent="0.25">
      <c r="A41" s="45" t="s">
        <v>49</v>
      </c>
      <c r="B41" s="46"/>
      <c r="C41" s="47"/>
      <c r="D41" s="48"/>
      <c r="E41" s="49"/>
      <c r="F41" s="50">
        <f>B41*B35</f>
        <v>0</v>
      </c>
      <c r="G41" s="50" t="e">
        <f t="shared" si="0"/>
        <v>#DIV/0!</v>
      </c>
      <c r="H41" s="50" t="e">
        <f t="shared" si="3"/>
        <v>#DIV/0!</v>
      </c>
      <c r="I41" s="51">
        <v>0</v>
      </c>
      <c r="J41" s="52">
        <f t="shared" si="1"/>
        <v>0</v>
      </c>
      <c r="K41" s="59"/>
      <c r="L41" s="60"/>
      <c r="M41" s="61"/>
      <c r="N41" s="62" t="e">
        <f t="shared" si="2"/>
        <v>#DIV/0!</v>
      </c>
      <c r="O41" s="57" t="e">
        <f>N41*C41</f>
        <v>#DIV/0!</v>
      </c>
      <c r="P41" s="63"/>
    </row>
    <row r="42" spans="1:17" ht="19" x14ac:dyDescent="0.25">
      <c r="A42" s="45" t="s">
        <v>50</v>
      </c>
      <c r="B42" s="46"/>
      <c r="C42" s="47"/>
      <c r="D42" s="48"/>
      <c r="E42" s="49"/>
      <c r="F42" s="50">
        <f>B42*B35</f>
        <v>0</v>
      </c>
      <c r="G42" s="50" t="e">
        <f t="shared" si="0"/>
        <v>#DIV/0!</v>
      </c>
      <c r="H42" s="50" t="e">
        <f t="shared" si="3"/>
        <v>#DIV/0!</v>
      </c>
      <c r="I42" s="51">
        <v>0</v>
      </c>
      <c r="J42" s="52">
        <f t="shared" si="1"/>
        <v>0</v>
      </c>
      <c r="K42" s="64"/>
      <c r="L42" s="65"/>
      <c r="M42" s="66"/>
      <c r="N42" s="62" t="e">
        <f t="shared" si="2"/>
        <v>#DIV/0!</v>
      </c>
      <c r="O42" s="57" t="e">
        <f>N42*C42</f>
        <v>#DIV/0!</v>
      </c>
      <c r="P42" s="67"/>
    </row>
    <row r="43" spans="1:17" ht="19" x14ac:dyDescent="0.25">
      <c r="A43" s="45" t="s">
        <v>51</v>
      </c>
      <c r="B43" s="46"/>
      <c r="C43" s="47"/>
      <c r="D43" s="48"/>
      <c r="E43" s="49"/>
      <c r="F43" s="50">
        <f>B43*B35</f>
        <v>0</v>
      </c>
      <c r="G43" s="50" t="e">
        <f t="shared" si="0"/>
        <v>#DIV/0!</v>
      </c>
      <c r="H43" s="50" t="e">
        <f t="shared" si="3"/>
        <v>#DIV/0!</v>
      </c>
      <c r="I43" s="51">
        <v>0</v>
      </c>
      <c r="J43" s="52">
        <f t="shared" si="1"/>
        <v>0</v>
      </c>
      <c r="K43" s="64"/>
      <c r="L43" s="65"/>
      <c r="M43" s="66"/>
      <c r="N43" s="62" t="e">
        <f t="shared" si="2"/>
        <v>#DIV/0!</v>
      </c>
      <c r="O43" s="57" t="e">
        <f>N43*C43</f>
        <v>#DIV/0!</v>
      </c>
      <c r="P43" s="67"/>
    </row>
    <row r="44" spans="1:17" ht="19" x14ac:dyDescent="0.25">
      <c r="A44" s="68" t="s">
        <v>52</v>
      </c>
      <c r="B44" s="46">
        <f>SUM(B39:B43)</f>
        <v>0</v>
      </c>
      <c r="C44" s="47" t="e">
        <f>AVERAGE(C$39:C$43)</f>
        <v>#DIV/0!</v>
      </c>
      <c r="D44" s="48" t="e">
        <f>AVERAGE(D$39:D$43)</f>
        <v>#DIV/0!</v>
      </c>
      <c r="E44" s="68"/>
      <c r="F44" s="46">
        <f>SUM(F39:F43)</f>
        <v>0</v>
      </c>
      <c r="G44" s="69" t="e">
        <f t="shared" si="0"/>
        <v>#DIV/0!</v>
      </c>
      <c r="H44" s="50" t="e">
        <f t="shared" si="3"/>
        <v>#DIV/0!</v>
      </c>
      <c r="I44" s="51">
        <f>SUM(I39:I43)</f>
        <v>0</v>
      </c>
      <c r="J44" s="70">
        <f t="shared" si="1"/>
        <v>0</v>
      </c>
      <c r="K44" s="71">
        <f>B34*K37/100</f>
        <v>0</v>
      </c>
      <c r="L44" s="72">
        <f>B34*L37/100</f>
        <v>0</v>
      </c>
      <c r="M44" s="73">
        <f>B34*M37/100</f>
        <v>0</v>
      </c>
      <c r="N44" s="74" t="e">
        <f t="shared" si="2"/>
        <v>#DIV/0!</v>
      </c>
      <c r="O44" s="75" t="e">
        <f>SUM(O39:O43)</f>
        <v>#DIV/0!</v>
      </c>
      <c r="P44" s="76" t="e">
        <f>ABS($M$44)-ABS($O$44)</f>
        <v>#DIV/0!</v>
      </c>
      <c r="Q44" s="77" t="e">
        <f>IF(AND(O44&lt;0,P44&lt;0),"ТРЕБУЕТСЯ АКТ НЕДОСТАЧИ","")</f>
        <v>#DIV/0!</v>
      </c>
    </row>
    <row r="45" spans="1:17" ht="19" x14ac:dyDescent="0.2">
      <c r="B45" s="78"/>
      <c r="F45" s="78"/>
      <c r="G45" s="79"/>
      <c r="H45" s="80"/>
      <c r="I45" s="80"/>
      <c r="J45" s="80"/>
      <c r="K45" s="80"/>
      <c r="L45" s="80"/>
      <c r="M45" s="80"/>
      <c r="O45" s="81"/>
    </row>
    <row r="46" spans="1:17" ht="19" x14ac:dyDescent="0.25">
      <c r="A46" s="5" t="s">
        <v>53</v>
      </c>
      <c r="B46" s="5"/>
      <c r="C46" s="5"/>
      <c r="D46" s="5"/>
      <c r="E46" s="5"/>
      <c r="F46" s="5"/>
      <c r="G46" s="5"/>
      <c r="H46" s="5"/>
      <c r="I46" s="79"/>
      <c r="J46" s="79"/>
    </row>
    <row r="47" spans="1:17" ht="19" x14ac:dyDescent="0.25">
      <c r="A47" s="5" t="s">
        <v>54</v>
      </c>
      <c r="B47" s="5"/>
      <c r="C47" s="5"/>
      <c r="D47" s="5"/>
      <c r="F47" s="5"/>
      <c r="G47" s="82" t="e">
        <f>H44</f>
        <v>#DIV/0!</v>
      </c>
      <c r="H47" s="5"/>
    </row>
    <row r="48" spans="1:17" ht="19" x14ac:dyDescent="0.25">
      <c r="A48" s="5" t="s">
        <v>55</v>
      </c>
      <c r="B48" s="5"/>
      <c r="C48" s="5"/>
      <c r="D48" s="5"/>
      <c r="F48" s="5"/>
      <c r="G48" s="82">
        <f>I44</f>
        <v>0</v>
      </c>
      <c r="H48" s="5"/>
    </row>
    <row r="49" spans="1:15" ht="19" x14ac:dyDescent="0.25">
      <c r="A49" s="5" t="s">
        <v>56</v>
      </c>
      <c r="B49" s="5"/>
      <c r="C49" s="5"/>
      <c r="D49" s="5"/>
      <c r="F49" s="5"/>
      <c r="G49" s="82" t="e">
        <f>O44</f>
        <v>#DIV/0!</v>
      </c>
    </row>
    <row r="50" spans="1:15" ht="19" x14ac:dyDescent="0.25">
      <c r="A50" s="5" t="s">
        <v>40</v>
      </c>
      <c r="B50" s="5"/>
      <c r="C50" s="5"/>
      <c r="D50" s="5"/>
      <c r="F50" s="5"/>
      <c r="G50" s="82">
        <f>J44</f>
        <v>0</v>
      </c>
    </row>
    <row r="51" spans="1:15" ht="19" x14ac:dyDescent="0.25">
      <c r="A51" s="5" t="s">
        <v>57</v>
      </c>
      <c r="C51" s="5"/>
      <c r="D51" s="5"/>
      <c r="F51" s="5"/>
      <c r="G51" s="82" t="e">
        <f>IF($B$34+$O$44&gt;B34,B34,$B$34+$O$44)</f>
        <v>#DIV/0!</v>
      </c>
      <c r="H51" s="83"/>
      <c r="I51" s="82"/>
      <c r="J51" s="82"/>
    </row>
    <row r="52" spans="1:15" ht="19" x14ac:dyDescent="0.25">
      <c r="A52" s="5"/>
      <c r="B52" s="82"/>
      <c r="C52" s="5"/>
      <c r="D52" s="5"/>
      <c r="F52" s="5"/>
      <c r="G52" s="82"/>
      <c r="H52" s="5"/>
      <c r="I52" s="82"/>
      <c r="J52" s="82"/>
    </row>
    <row r="53" spans="1:15" ht="19" x14ac:dyDescent="0.25">
      <c r="A53" s="5"/>
      <c r="B53" s="5"/>
      <c r="C53" s="5"/>
      <c r="D53" s="5"/>
      <c r="F53" s="5"/>
      <c r="G53" s="82"/>
      <c r="H53" s="5"/>
    </row>
    <row r="54" spans="1:15" ht="19" x14ac:dyDescent="0.25">
      <c r="A54" s="84" t="s">
        <v>58</v>
      </c>
      <c r="B54" s="5"/>
      <c r="C54" s="5"/>
      <c r="D54" s="5"/>
      <c r="F54" s="5"/>
      <c r="G54" s="82"/>
      <c r="H54" s="5"/>
    </row>
    <row r="55" spans="1:15" ht="19" x14ac:dyDescent="0.25">
      <c r="A55" s="5" t="s">
        <v>59</v>
      </c>
      <c r="B55" s="5"/>
      <c r="C55" s="5"/>
      <c r="D55" s="5"/>
      <c r="E55" s="5"/>
      <c r="F55" s="5"/>
      <c r="G55" s="5"/>
      <c r="H55" s="5"/>
    </row>
    <row r="56" spans="1:15" ht="19" x14ac:dyDescent="0.25">
      <c r="A56" s="5" t="s">
        <v>60</v>
      </c>
      <c r="B56" s="5"/>
      <c r="C56" s="5"/>
      <c r="D56" s="5"/>
      <c r="E56" s="5"/>
      <c r="G56" s="5"/>
      <c r="H56" s="5"/>
      <c r="O56" s="5"/>
    </row>
    <row r="57" spans="1:15" ht="19" x14ac:dyDescent="0.25">
      <c r="A57" s="5" t="s">
        <v>4</v>
      </c>
      <c r="B57" s="5"/>
      <c r="C57" s="5"/>
      <c r="D57" s="5"/>
      <c r="E57" s="5"/>
      <c r="F57" s="5"/>
      <c r="G57" s="5"/>
      <c r="H57" s="5"/>
    </row>
    <row r="58" spans="1:15" ht="19" x14ac:dyDescent="0.25">
      <c r="A58" s="5" t="s">
        <v>61</v>
      </c>
      <c r="B58" s="5"/>
      <c r="C58" s="5"/>
      <c r="D58" s="5"/>
      <c r="E58" s="5"/>
      <c r="F58" s="5"/>
      <c r="G58" s="5"/>
      <c r="H58" s="5"/>
    </row>
  </sheetData>
  <mergeCells count="19">
    <mergeCell ref="A2:F2"/>
    <mergeCell ref="G2:I2"/>
    <mergeCell ref="B3:C3"/>
    <mergeCell ref="A5:B5"/>
    <mergeCell ref="C5:E5"/>
    <mergeCell ref="G21:H21"/>
    <mergeCell ref="G22:H22"/>
    <mergeCell ref="E26:F26"/>
    <mergeCell ref="D28:E28"/>
    <mergeCell ref="A6:H6"/>
    <mergeCell ref="A11:D11"/>
    <mergeCell ref="E11:G11"/>
    <mergeCell ref="F12:G12"/>
    <mergeCell ref="B13:C13"/>
    <mergeCell ref="D29:E29"/>
    <mergeCell ref="B30:C30"/>
    <mergeCell ref="B31:C31"/>
    <mergeCell ref="A33:B33"/>
    <mergeCell ref="B14:C14"/>
  </mergeCells>
  <conditionalFormatting sqref="P44">
    <cfRule type="cellIs" dxfId="1" priority="2" operator="lessThan">
      <formula>0</formula>
    </cfRule>
    <cfRule type="cellIs" dxfId="0" priority="3" operator="greaterThan">
      <formula>0</formula>
    </cfRule>
  </conditionalFormatting>
  <pageMargins left="0.37013888888888902" right="0.15972222222222199" top="0.15" bottom="0.1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</vt:lpstr>
      <vt:lpstr>page!Область_печати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9</cp:revision>
  <dcterms:created xsi:type="dcterms:W3CDTF">2006-09-28T05:33:49Z</dcterms:created>
  <dcterms:modified xsi:type="dcterms:W3CDTF">2024-09-09T13:54:22Z</dcterms:modified>
  <dc:language>en-US</dc:language>
</cp:coreProperties>
</file>